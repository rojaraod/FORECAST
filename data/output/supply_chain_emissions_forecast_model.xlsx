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master" sheetId="1" state="visible" r:id="rId1"/>
    <sheet name="historical_emissions" sheetId="2" state="visible" r:id="rId2"/>
    <sheet name="supplier_targets" sheetId="3" state="visible" r:id="rId3"/>
    <sheet name="industry_haircut_pathway" sheetId="4" state="visible" r:id="rId4"/>
    <sheet name="historical_emissions_enriched" sheetId="5" state="visible" r:id="rId5"/>
    <sheet name="forecast_output" sheetId="6" state="visible" r:id="rId6"/>
    <sheet name="data_dictionary" sheetId="7" state="visible" r:id="rId7"/>
    <sheet name="formula_diction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Supplier_Country</t>
        </is>
      </c>
      <c r="E1" t="inlineStr">
        <is>
          <t>Preferred_Supplier_Flag</t>
        </is>
      </c>
      <c r="F1" t="inlineStr">
        <is>
          <t>Supplier_Status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inlineStr">
        <is>
          <t>CN</t>
        </is>
      </c>
      <c r="E2" t="b">
        <v>1</v>
      </c>
      <c r="F2" t="inlineStr">
        <is>
          <t>Active</t>
        </is>
      </c>
    </row>
    <row r="3">
      <c r="A3" t="inlineStr">
        <is>
          <t>SUP-0002</t>
        </is>
      </c>
      <c r="B3" t="inlineStr">
        <is>
          <t>Textiles Supplier 002</t>
        </is>
      </c>
      <c r="C3" t="inlineStr">
        <is>
          <t>Textiles</t>
        </is>
      </c>
      <c r="D3" t="inlineStr">
        <is>
          <t>CN</t>
        </is>
      </c>
      <c r="E3" t="b">
        <v>0</v>
      </c>
      <c r="F3" t="inlineStr">
        <is>
          <t>Active</t>
        </is>
      </c>
    </row>
    <row r="4">
      <c r="A4" t="inlineStr">
        <is>
          <t>SUP-0003</t>
        </is>
      </c>
      <c r="B4" t="inlineStr">
        <is>
          <t>Electronics Supplier 003</t>
        </is>
      </c>
      <c r="C4" t="inlineStr">
        <is>
          <t>Electronics</t>
        </is>
      </c>
      <c r="D4" t="inlineStr">
        <is>
          <t>IN</t>
        </is>
      </c>
      <c r="E4" t="b">
        <v>0</v>
      </c>
      <c r="F4" t="inlineStr">
        <is>
          <t>Strategic</t>
        </is>
      </c>
    </row>
    <row r="5">
      <c r="A5" t="inlineStr">
        <is>
          <t>SUP-0004</t>
        </is>
      </c>
      <c r="B5" t="inlineStr">
        <is>
          <t>Agriculture Supplier 004</t>
        </is>
      </c>
      <c r="C5" t="inlineStr">
        <is>
          <t>Agriculture</t>
        </is>
      </c>
      <c r="D5" t="inlineStr">
        <is>
          <t>CN</t>
        </is>
      </c>
      <c r="E5" t="b">
        <v>1</v>
      </c>
      <c r="F5" t="inlineStr">
        <is>
          <t>Active</t>
        </is>
      </c>
    </row>
    <row r="6">
      <c r="A6" t="inlineStr">
        <is>
          <t>SUP-0005</t>
        </is>
      </c>
      <c r="B6" t="inlineStr">
        <is>
          <t>Professional Supplier 005</t>
        </is>
      </c>
      <c r="C6" t="inlineStr">
        <is>
          <t>Professional Services</t>
        </is>
      </c>
      <c r="D6" t="inlineStr">
        <is>
          <t>DE</t>
        </is>
      </c>
      <c r="E6" t="b">
        <v>1</v>
      </c>
      <c r="F6" t="inlineStr">
        <is>
          <t>Active</t>
        </is>
      </c>
    </row>
    <row r="7">
      <c r="A7" t="inlineStr">
        <is>
          <t>SUP-0006</t>
        </is>
      </c>
      <c r="B7" t="inlineStr">
        <is>
          <t>Agriculture Supplier 006</t>
        </is>
      </c>
      <c r="C7" t="inlineStr">
        <is>
          <t>Agriculture</t>
        </is>
      </c>
      <c r="D7" t="inlineStr">
        <is>
          <t>UK</t>
        </is>
      </c>
      <c r="E7" t="b">
        <v>0</v>
      </c>
      <c r="F7" t="inlineStr">
        <is>
          <t>Active</t>
        </is>
      </c>
    </row>
    <row r="8">
      <c r="A8" t="inlineStr">
        <is>
          <t>SUP-0007</t>
        </is>
      </c>
      <c r="B8" t="inlineStr">
        <is>
          <t>Chemicals Supplier 007</t>
        </is>
      </c>
      <c r="C8" t="inlineStr">
        <is>
          <t>Chemicals</t>
        </is>
      </c>
      <c r="D8" t="inlineStr">
        <is>
          <t>UK</t>
        </is>
      </c>
      <c r="E8" t="b">
        <v>1</v>
      </c>
      <c r="F8" t="inlineStr">
        <is>
          <t>Active</t>
        </is>
      </c>
    </row>
    <row r="9">
      <c r="A9" t="inlineStr">
        <is>
          <t>SUP-0008</t>
        </is>
      </c>
      <c r="B9" t="inlineStr">
        <is>
          <t>Electronics Supplier 008</t>
        </is>
      </c>
      <c r="C9" t="inlineStr">
        <is>
          <t>Electronics</t>
        </is>
      </c>
      <c r="D9" t="inlineStr">
        <is>
          <t>DE</t>
        </is>
      </c>
      <c r="E9" t="b">
        <v>1</v>
      </c>
      <c r="F9" t="inlineStr">
        <is>
          <t>Active</t>
        </is>
      </c>
    </row>
    <row r="10">
      <c r="A10" t="inlineStr">
        <is>
          <t>SUP-0009</t>
        </is>
      </c>
      <c r="B10" t="inlineStr">
        <is>
          <t>Professional Supplier 009</t>
        </is>
      </c>
      <c r="C10" t="inlineStr">
        <is>
          <t>Professional Services</t>
        </is>
      </c>
      <c r="D10" t="inlineStr">
        <is>
          <t>CN</t>
        </is>
      </c>
      <c r="E10" t="b">
        <v>0</v>
      </c>
      <c r="F10" t="inlineStr">
        <is>
          <t>Strategic</t>
        </is>
      </c>
    </row>
    <row r="11">
      <c r="A11" t="inlineStr">
        <is>
          <t>SUP-0010</t>
        </is>
      </c>
      <c r="B11" t="inlineStr">
        <is>
          <t>Packaging Supplier 010</t>
        </is>
      </c>
      <c r="C11" t="inlineStr">
        <is>
          <t>Packaging</t>
        </is>
      </c>
      <c r="D11" t="inlineStr">
        <is>
          <t>MX</t>
        </is>
      </c>
      <c r="E11" t="b">
        <v>0</v>
      </c>
      <c r="F11" t="inlineStr">
        <is>
          <t>Active</t>
        </is>
      </c>
    </row>
    <row r="12">
      <c r="A12" t="inlineStr">
        <is>
          <t>SUP-0011</t>
        </is>
      </c>
      <c r="B12" t="inlineStr">
        <is>
          <t>Agriculture Supplier 011</t>
        </is>
      </c>
      <c r="C12" t="inlineStr">
        <is>
          <t>Agriculture</t>
        </is>
      </c>
      <c r="D12" t="inlineStr">
        <is>
          <t>IN</t>
        </is>
      </c>
      <c r="E12" t="b">
        <v>1</v>
      </c>
      <c r="F12" t="inlineStr">
        <is>
          <t>Active</t>
        </is>
      </c>
    </row>
    <row r="13">
      <c r="A13" t="inlineStr">
        <is>
          <t>SUP-0012</t>
        </is>
      </c>
      <c r="B13" t="inlineStr">
        <is>
          <t>Textiles Supplier 012</t>
        </is>
      </c>
      <c r="C13" t="inlineStr">
        <is>
          <t>Textiles</t>
        </is>
      </c>
      <c r="D13" t="inlineStr">
        <is>
          <t>DE</t>
        </is>
      </c>
      <c r="E13" t="b">
        <v>1</v>
      </c>
      <c r="F13" t="inlineStr">
        <is>
          <t>Strategic</t>
        </is>
      </c>
    </row>
    <row r="14">
      <c r="A14" t="inlineStr">
        <is>
          <t>SUP-0013</t>
        </is>
      </c>
      <c r="B14" t="inlineStr">
        <is>
          <t>Electronics Supplier 013</t>
        </is>
      </c>
      <c r="C14" t="inlineStr">
        <is>
          <t>Electronics</t>
        </is>
      </c>
      <c r="D14" t="inlineStr">
        <is>
          <t>DE</t>
        </is>
      </c>
      <c r="E14" t="b">
        <v>1</v>
      </c>
      <c r="F14" t="inlineStr">
        <is>
          <t>Active</t>
        </is>
      </c>
    </row>
    <row r="15">
      <c r="A15" t="inlineStr">
        <is>
          <t>SUP-0014</t>
        </is>
      </c>
      <c r="B15" t="inlineStr">
        <is>
          <t>Textiles Supplier 014</t>
        </is>
      </c>
      <c r="C15" t="inlineStr">
        <is>
          <t>Textiles</t>
        </is>
      </c>
      <c r="D15" t="inlineStr">
        <is>
          <t>IN</t>
        </is>
      </c>
      <c r="E15" t="b">
        <v>0</v>
      </c>
      <c r="F15" t="inlineStr">
        <is>
          <t>Active</t>
        </is>
      </c>
    </row>
    <row r="16">
      <c r="A16" t="inlineStr">
        <is>
          <t>SUP-0015</t>
        </is>
      </c>
      <c r="B16" t="inlineStr">
        <is>
          <t>Packaging Supplier 015</t>
        </is>
      </c>
      <c r="C16" t="inlineStr">
        <is>
          <t>Packaging</t>
        </is>
      </c>
      <c r="D16" t="inlineStr">
        <is>
          <t>UK</t>
        </is>
      </c>
      <c r="E16" t="b">
        <v>0</v>
      </c>
      <c r="F16" t="inlineStr">
        <is>
          <t>Active</t>
        </is>
      </c>
    </row>
    <row r="17">
      <c r="A17" t="inlineStr">
        <is>
          <t>SUP-0016</t>
        </is>
      </c>
      <c r="B17" t="inlineStr">
        <is>
          <t>Metals Supplier 016</t>
        </is>
      </c>
      <c r="C17" t="inlineStr">
        <is>
          <t>Metals</t>
        </is>
      </c>
      <c r="D17" t="inlineStr">
        <is>
          <t>UK</t>
        </is>
      </c>
      <c r="E17" t="b">
        <v>1</v>
      </c>
      <c r="F17" t="inlineStr">
        <is>
          <t>Active</t>
        </is>
      </c>
    </row>
    <row r="18">
      <c r="A18" t="inlineStr">
        <is>
          <t>SUP-0017</t>
        </is>
      </c>
      <c r="B18" t="inlineStr">
        <is>
          <t>Electronics Supplier 017</t>
        </is>
      </c>
      <c r="C18" t="inlineStr">
        <is>
          <t>Electronics</t>
        </is>
      </c>
      <c r="D18" t="inlineStr">
        <is>
          <t>US</t>
        </is>
      </c>
      <c r="E18" t="b">
        <v>0</v>
      </c>
      <c r="F18" t="inlineStr">
        <is>
          <t>Active</t>
        </is>
      </c>
    </row>
    <row r="19">
      <c r="A19" t="inlineStr">
        <is>
          <t>SUP-0018</t>
        </is>
      </c>
      <c r="B19" t="inlineStr">
        <is>
          <t>Professional Supplier 018</t>
        </is>
      </c>
      <c r="C19" t="inlineStr">
        <is>
          <t>Professional Services</t>
        </is>
      </c>
      <c r="D19" t="inlineStr">
        <is>
          <t>DE</t>
        </is>
      </c>
      <c r="E19" t="b">
        <v>1</v>
      </c>
      <c r="F19" t="inlineStr">
        <is>
          <t>Active</t>
        </is>
      </c>
    </row>
    <row r="20">
      <c r="A20" t="inlineStr">
        <is>
          <t>SUP-0019</t>
        </is>
      </c>
      <c r="B20" t="inlineStr">
        <is>
          <t>Metals Supplier 019</t>
        </is>
      </c>
      <c r="C20" t="inlineStr">
        <is>
          <t>Metals</t>
        </is>
      </c>
      <c r="D20" t="inlineStr">
        <is>
          <t>MX</t>
        </is>
      </c>
      <c r="E20" t="b">
        <v>1</v>
      </c>
      <c r="F20" t="inlineStr">
        <is>
          <t>Active</t>
        </is>
      </c>
    </row>
    <row r="21">
      <c r="A21" t="inlineStr">
        <is>
          <t>SUP-0020</t>
        </is>
      </c>
      <c r="B21" t="inlineStr">
        <is>
          <t>Logistics Supplier 020</t>
        </is>
      </c>
      <c r="C21" t="inlineStr">
        <is>
          <t>Logistics</t>
        </is>
      </c>
      <c r="D21" t="inlineStr">
        <is>
          <t>IN</t>
        </is>
      </c>
      <c r="E21" t="b">
        <v>0</v>
      </c>
      <c r="F21" t="inlineStr">
        <is>
          <t>Active</t>
        </is>
      </c>
    </row>
    <row r="22">
      <c r="A22" t="inlineStr">
        <is>
          <t>SUP-0021</t>
        </is>
      </c>
      <c r="B22" t="inlineStr">
        <is>
          <t>Textiles Supplier 021</t>
        </is>
      </c>
      <c r="C22" t="inlineStr">
        <is>
          <t>Textiles</t>
        </is>
      </c>
      <c r="D22" t="inlineStr">
        <is>
          <t>US</t>
        </is>
      </c>
      <c r="E22" t="b">
        <v>1</v>
      </c>
      <c r="F22" t="inlineStr">
        <is>
          <t>Watchlist</t>
        </is>
      </c>
    </row>
    <row r="23">
      <c r="A23" t="inlineStr">
        <is>
          <t>SUP-0022</t>
        </is>
      </c>
      <c r="B23" t="inlineStr">
        <is>
          <t>Chemicals Supplier 022</t>
        </is>
      </c>
      <c r="C23" t="inlineStr">
        <is>
          <t>Chemicals</t>
        </is>
      </c>
      <c r="D23" t="inlineStr">
        <is>
          <t>JP</t>
        </is>
      </c>
      <c r="E23" t="b">
        <v>0</v>
      </c>
      <c r="F23" t="inlineStr">
        <is>
          <t>Active</t>
        </is>
      </c>
    </row>
    <row r="24">
      <c r="A24" t="inlineStr">
        <is>
          <t>SUP-0023</t>
        </is>
      </c>
      <c r="B24" t="inlineStr">
        <is>
          <t>Agriculture Supplier 023</t>
        </is>
      </c>
      <c r="C24" t="inlineStr">
        <is>
          <t>Agriculture</t>
        </is>
      </c>
      <c r="D24" t="inlineStr">
        <is>
          <t>JP</t>
        </is>
      </c>
      <c r="E24" t="b">
        <v>0</v>
      </c>
      <c r="F24" t="inlineStr">
        <is>
          <t>Active</t>
        </is>
      </c>
    </row>
    <row r="25">
      <c r="A25" t="inlineStr">
        <is>
          <t>SUP-0024</t>
        </is>
      </c>
      <c r="B25" t="inlineStr">
        <is>
          <t>Agriculture Supplier 024</t>
        </is>
      </c>
      <c r="C25" t="inlineStr">
        <is>
          <t>Agriculture</t>
        </is>
      </c>
      <c r="D25" t="inlineStr">
        <is>
          <t>CN</t>
        </is>
      </c>
      <c r="E25" t="b">
        <v>1</v>
      </c>
      <c r="F25" t="inlineStr">
        <is>
          <t>Active</t>
        </is>
      </c>
    </row>
    <row r="26">
      <c r="A26" t="inlineStr">
        <is>
          <t>SUP-0025</t>
        </is>
      </c>
      <c r="B26" t="inlineStr">
        <is>
          <t>Metals Supplier 025</t>
        </is>
      </c>
      <c r="C26" t="inlineStr">
        <is>
          <t>Metals</t>
        </is>
      </c>
      <c r="D26" t="inlineStr">
        <is>
          <t>JP</t>
        </is>
      </c>
      <c r="E26" t="b">
        <v>1</v>
      </c>
      <c r="F26" t="inlineStr">
        <is>
          <t>Active</t>
        </is>
      </c>
    </row>
    <row r="27">
      <c r="A27" t="inlineStr">
        <is>
          <t>SUP-0026</t>
        </is>
      </c>
      <c r="B27" t="inlineStr">
        <is>
          <t>Professional Supplier 026</t>
        </is>
      </c>
      <c r="C27" t="inlineStr">
        <is>
          <t>Professional Services</t>
        </is>
      </c>
      <c r="D27" t="inlineStr">
        <is>
          <t>IN</t>
        </is>
      </c>
      <c r="E27" t="b">
        <v>0</v>
      </c>
      <c r="F27" t="inlineStr">
        <is>
          <t>Active</t>
        </is>
      </c>
    </row>
    <row r="28">
      <c r="A28" t="inlineStr">
        <is>
          <t>SUP-0027</t>
        </is>
      </c>
      <c r="B28" t="inlineStr">
        <is>
          <t>Metals Supplier 027</t>
        </is>
      </c>
      <c r="C28" t="inlineStr">
        <is>
          <t>Metals</t>
        </is>
      </c>
      <c r="D28" t="inlineStr">
        <is>
          <t>UK</t>
        </is>
      </c>
      <c r="E28" t="b">
        <v>0</v>
      </c>
      <c r="F28" t="inlineStr">
        <is>
          <t>Active</t>
        </is>
      </c>
    </row>
    <row r="29">
      <c r="A29" t="inlineStr">
        <is>
          <t>SUP-0028</t>
        </is>
      </c>
      <c r="B29" t="inlineStr">
        <is>
          <t>Professional Supplier 028</t>
        </is>
      </c>
      <c r="C29" t="inlineStr">
        <is>
          <t>Professional Services</t>
        </is>
      </c>
      <c r="D29" t="inlineStr">
        <is>
          <t>CN</t>
        </is>
      </c>
      <c r="E29" t="b">
        <v>0</v>
      </c>
      <c r="F29" t="inlineStr">
        <is>
          <t>Active</t>
        </is>
      </c>
    </row>
    <row r="30">
      <c r="A30" t="inlineStr">
        <is>
          <t>SUP-0029</t>
        </is>
      </c>
      <c r="B30" t="inlineStr">
        <is>
          <t>Electronics Supplier 029</t>
        </is>
      </c>
      <c r="C30" t="inlineStr">
        <is>
          <t>Electronics</t>
        </is>
      </c>
      <c r="D30" t="inlineStr">
        <is>
          <t>MX</t>
        </is>
      </c>
      <c r="E30" t="b">
        <v>1</v>
      </c>
      <c r="F30" t="inlineStr">
        <is>
          <t>Active</t>
        </is>
      </c>
    </row>
    <row r="31">
      <c r="A31" t="inlineStr">
        <is>
          <t>SUP-0030</t>
        </is>
      </c>
      <c r="B31" t="inlineStr">
        <is>
          <t>Agriculture Supplier 030</t>
        </is>
      </c>
      <c r="C31" t="inlineStr">
        <is>
          <t>Agriculture</t>
        </is>
      </c>
      <c r="D31" t="inlineStr">
        <is>
          <t>US</t>
        </is>
      </c>
      <c r="E31" t="b">
        <v>1</v>
      </c>
      <c r="F31" t="inlineStr">
        <is>
          <t>Active</t>
        </is>
      </c>
    </row>
    <row r="32">
      <c r="A32" t="inlineStr">
        <is>
          <t>SUP-0031</t>
        </is>
      </c>
      <c r="B32" t="inlineStr">
        <is>
          <t>Professional Supplier 031</t>
        </is>
      </c>
      <c r="C32" t="inlineStr">
        <is>
          <t>Professional Services</t>
        </is>
      </c>
      <c r="D32" t="inlineStr">
        <is>
          <t>DE</t>
        </is>
      </c>
      <c r="E32" t="b">
        <v>1</v>
      </c>
      <c r="F32" t="inlineStr">
        <is>
          <t>Active</t>
        </is>
      </c>
    </row>
    <row r="33">
      <c r="A33" t="inlineStr">
        <is>
          <t>SUP-0032</t>
        </is>
      </c>
      <c r="B33" t="inlineStr">
        <is>
          <t>Agriculture Supplier 032</t>
        </is>
      </c>
      <c r="C33" t="inlineStr">
        <is>
          <t>Agriculture</t>
        </is>
      </c>
      <c r="D33" t="inlineStr">
        <is>
          <t>DE</t>
        </is>
      </c>
      <c r="E33" t="b">
        <v>0</v>
      </c>
      <c r="F33" t="inlineStr">
        <is>
          <t>Active</t>
        </is>
      </c>
    </row>
    <row r="34">
      <c r="A34" t="inlineStr">
        <is>
          <t>SUP-0033</t>
        </is>
      </c>
      <c r="B34" t="inlineStr">
        <is>
          <t>Metals Supplier 033</t>
        </is>
      </c>
      <c r="C34" t="inlineStr">
        <is>
          <t>Metals</t>
        </is>
      </c>
      <c r="D34" t="inlineStr">
        <is>
          <t>IN</t>
        </is>
      </c>
      <c r="E34" t="b">
        <v>0</v>
      </c>
      <c r="F34" t="inlineStr">
        <is>
          <t>Active</t>
        </is>
      </c>
    </row>
    <row r="35">
      <c r="A35" t="inlineStr">
        <is>
          <t>SUP-0034</t>
        </is>
      </c>
      <c r="B35" t="inlineStr">
        <is>
          <t>Logistics Supplier 034</t>
        </is>
      </c>
      <c r="C35" t="inlineStr">
        <is>
          <t>Logistics</t>
        </is>
      </c>
      <c r="D35" t="inlineStr">
        <is>
          <t>JP</t>
        </is>
      </c>
      <c r="E35" t="b">
        <v>1</v>
      </c>
      <c r="F35" t="inlineStr">
        <is>
          <t>Strategic</t>
        </is>
      </c>
    </row>
    <row r="36">
      <c r="A36" t="inlineStr">
        <is>
          <t>SUP-0035</t>
        </is>
      </c>
      <c r="B36" t="inlineStr">
        <is>
          <t>Electronics Supplier 035</t>
        </is>
      </c>
      <c r="C36" t="inlineStr">
        <is>
          <t>Electronics</t>
        </is>
      </c>
      <c r="D36" t="inlineStr">
        <is>
          <t>US</t>
        </is>
      </c>
      <c r="E36" t="b">
        <v>1</v>
      </c>
      <c r="F36" t="inlineStr">
        <is>
          <t>Active</t>
        </is>
      </c>
    </row>
    <row r="37">
      <c r="A37" t="inlineStr">
        <is>
          <t>SUP-0036</t>
        </is>
      </c>
      <c r="B37" t="inlineStr">
        <is>
          <t>Metals Supplier 036</t>
        </is>
      </c>
      <c r="C37" t="inlineStr">
        <is>
          <t>Metals</t>
        </is>
      </c>
      <c r="D37" t="inlineStr">
        <is>
          <t>JP</t>
        </is>
      </c>
      <c r="E37" t="b">
        <v>0</v>
      </c>
      <c r="F37" t="inlineStr">
        <is>
          <t>Active</t>
        </is>
      </c>
    </row>
    <row r="38">
      <c r="A38" t="inlineStr">
        <is>
          <t>SUP-0037</t>
        </is>
      </c>
      <c r="B38" t="inlineStr">
        <is>
          <t>Agriculture Supplier 037</t>
        </is>
      </c>
      <c r="C38" t="inlineStr">
        <is>
          <t>Agriculture</t>
        </is>
      </c>
      <c r="D38" t="inlineStr">
        <is>
          <t>IN</t>
        </is>
      </c>
      <c r="E38" t="b">
        <v>1</v>
      </c>
      <c r="F38" t="inlineStr">
        <is>
          <t>Active</t>
        </is>
      </c>
    </row>
    <row r="39">
      <c r="A39" t="inlineStr">
        <is>
          <t>SUP-0038</t>
        </is>
      </c>
      <c r="B39" t="inlineStr">
        <is>
          <t>Agriculture Supplier 038</t>
        </is>
      </c>
      <c r="C39" t="inlineStr">
        <is>
          <t>Agriculture</t>
        </is>
      </c>
      <c r="D39" t="inlineStr">
        <is>
          <t>CN</t>
        </is>
      </c>
      <c r="E39" t="b">
        <v>1</v>
      </c>
      <c r="F39" t="inlineStr">
        <is>
          <t>Strategic</t>
        </is>
      </c>
    </row>
    <row r="40">
      <c r="A40" t="inlineStr">
        <is>
          <t>SUP-0039</t>
        </is>
      </c>
      <c r="B40" t="inlineStr">
        <is>
          <t>Electronics Supplier 039</t>
        </is>
      </c>
      <c r="C40" t="inlineStr">
        <is>
          <t>Electronics</t>
        </is>
      </c>
      <c r="D40" t="inlineStr">
        <is>
          <t>JP</t>
        </is>
      </c>
      <c r="E40" t="b">
        <v>1</v>
      </c>
      <c r="F40" t="inlineStr">
        <is>
          <t>Active</t>
        </is>
      </c>
    </row>
    <row r="41">
      <c r="A41" t="inlineStr">
        <is>
          <t>SUP-0040</t>
        </is>
      </c>
      <c r="B41" t="inlineStr">
        <is>
          <t>Chemicals Supplier 040</t>
        </is>
      </c>
      <c r="C41" t="inlineStr">
        <is>
          <t>Chemicals</t>
        </is>
      </c>
      <c r="D41" t="inlineStr">
        <is>
          <t>US</t>
        </is>
      </c>
      <c r="E41" t="b">
        <v>0</v>
      </c>
      <c r="F41" t="inlineStr">
        <is>
          <t>Active</t>
        </is>
      </c>
    </row>
    <row r="42">
      <c r="A42" t="inlineStr">
        <is>
          <t>SUP-0041</t>
        </is>
      </c>
      <c r="B42" t="inlineStr">
        <is>
          <t>Logistics Supplier 041</t>
        </is>
      </c>
      <c r="C42" t="inlineStr">
        <is>
          <t>Logistics</t>
        </is>
      </c>
      <c r="D42" t="inlineStr">
        <is>
          <t>MX</t>
        </is>
      </c>
      <c r="E42" t="b">
        <v>0</v>
      </c>
      <c r="F42" t="inlineStr">
        <is>
          <t>Strategic</t>
        </is>
      </c>
    </row>
    <row r="43">
      <c r="A43" t="inlineStr">
        <is>
          <t>SUP-0042</t>
        </is>
      </c>
      <c r="B43" t="inlineStr">
        <is>
          <t>Chemicals Supplier 042</t>
        </is>
      </c>
      <c r="C43" t="inlineStr">
        <is>
          <t>Chemicals</t>
        </is>
      </c>
      <c r="D43" t="inlineStr">
        <is>
          <t>US</t>
        </is>
      </c>
      <c r="E43" t="b">
        <v>0</v>
      </c>
      <c r="F43" t="inlineStr">
        <is>
          <t>Active</t>
        </is>
      </c>
    </row>
    <row r="44">
      <c r="A44" t="inlineStr">
        <is>
          <t>SUP-0043</t>
        </is>
      </c>
      <c r="B44" t="inlineStr">
        <is>
          <t>Logistics Supplier 043</t>
        </is>
      </c>
      <c r="C44" t="inlineStr">
        <is>
          <t>Logistics</t>
        </is>
      </c>
      <c r="D44" t="inlineStr">
        <is>
          <t>US</t>
        </is>
      </c>
      <c r="E44" t="b">
        <v>0</v>
      </c>
      <c r="F44" t="inlineStr">
        <is>
          <t>Active</t>
        </is>
      </c>
    </row>
    <row r="45">
      <c r="A45" t="inlineStr">
        <is>
          <t>SUP-0044</t>
        </is>
      </c>
      <c r="B45" t="inlineStr">
        <is>
          <t>Chemicals Supplier 044</t>
        </is>
      </c>
      <c r="C45" t="inlineStr">
        <is>
          <t>Chemicals</t>
        </is>
      </c>
      <c r="D45" t="inlineStr">
        <is>
          <t>UK</t>
        </is>
      </c>
      <c r="E45" t="b">
        <v>0</v>
      </c>
      <c r="F45" t="inlineStr">
        <is>
          <t>Active</t>
        </is>
      </c>
    </row>
    <row r="46">
      <c r="A46" t="inlineStr">
        <is>
          <t>SUP-0045</t>
        </is>
      </c>
      <c r="B46" t="inlineStr">
        <is>
          <t>Logistics Supplier 045</t>
        </is>
      </c>
      <c r="C46" t="inlineStr">
        <is>
          <t>Logistics</t>
        </is>
      </c>
      <c r="D46" t="inlineStr">
        <is>
          <t>JP</t>
        </is>
      </c>
      <c r="E46" t="b">
        <v>1</v>
      </c>
      <c r="F46" t="inlineStr">
        <is>
          <t>Active</t>
        </is>
      </c>
    </row>
    <row r="47">
      <c r="A47" t="inlineStr">
        <is>
          <t>SUP-0046</t>
        </is>
      </c>
      <c r="B47" t="inlineStr">
        <is>
          <t>Textiles Supplier 046</t>
        </is>
      </c>
      <c r="C47" t="inlineStr">
        <is>
          <t>Textiles</t>
        </is>
      </c>
      <c r="D47" t="inlineStr">
        <is>
          <t>IN</t>
        </is>
      </c>
      <c r="E47" t="b">
        <v>0</v>
      </c>
      <c r="F47" t="inlineStr">
        <is>
          <t>Active</t>
        </is>
      </c>
    </row>
    <row r="48">
      <c r="A48" t="inlineStr">
        <is>
          <t>SUP-0047</t>
        </is>
      </c>
      <c r="B48" t="inlineStr">
        <is>
          <t>Packaging Supplier 047</t>
        </is>
      </c>
      <c r="C48" t="inlineStr">
        <is>
          <t>Packaging</t>
        </is>
      </c>
      <c r="D48" t="inlineStr">
        <is>
          <t>US</t>
        </is>
      </c>
      <c r="E48" t="b">
        <v>1</v>
      </c>
      <c r="F48" t="inlineStr">
        <is>
          <t>Watchlist</t>
        </is>
      </c>
    </row>
    <row r="49">
      <c r="A49" t="inlineStr">
        <is>
          <t>SUP-0048</t>
        </is>
      </c>
      <c r="B49" t="inlineStr">
        <is>
          <t>Logistics Supplier 048</t>
        </is>
      </c>
      <c r="C49" t="inlineStr">
        <is>
          <t>Logistics</t>
        </is>
      </c>
      <c r="D49" t="inlineStr">
        <is>
          <t>JP</t>
        </is>
      </c>
      <c r="E49" t="b">
        <v>0</v>
      </c>
      <c r="F49" t="inlineStr">
        <is>
          <t>Strategic</t>
        </is>
      </c>
    </row>
    <row r="50">
      <c r="A50" t="inlineStr">
        <is>
          <t>SUP-0049</t>
        </is>
      </c>
      <c r="B50" t="inlineStr">
        <is>
          <t>Logistics Supplier 049</t>
        </is>
      </c>
      <c r="C50" t="inlineStr">
        <is>
          <t>Logistics</t>
        </is>
      </c>
      <c r="D50" t="inlineStr">
        <is>
          <t>JP</t>
        </is>
      </c>
      <c r="E50" t="b">
        <v>1</v>
      </c>
      <c r="F50" t="inlineStr">
        <is>
          <t>Active</t>
        </is>
      </c>
    </row>
    <row r="51">
      <c r="A51" t="inlineStr">
        <is>
          <t>SUP-0050</t>
        </is>
      </c>
      <c r="B51" t="inlineStr">
        <is>
          <t>Electronics Supplier 050</t>
        </is>
      </c>
      <c r="C51" t="inlineStr">
        <is>
          <t>Electronics</t>
        </is>
      </c>
      <c r="D51" t="inlineStr">
        <is>
          <t>UK</t>
        </is>
      </c>
      <c r="E51" t="b">
        <v>0</v>
      </c>
      <c r="F51" t="inlineStr">
        <is>
          <t>Active</t>
        </is>
      </c>
    </row>
    <row r="52">
      <c r="A52" t="inlineStr">
        <is>
          <t>SUP-0051</t>
        </is>
      </c>
      <c r="B52" t="inlineStr">
        <is>
          <t>Textiles Supplier 051</t>
        </is>
      </c>
      <c r="C52" t="inlineStr">
        <is>
          <t>Textiles</t>
        </is>
      </c>
      <c r="D52" t="inlineStr">
        <is>
          <t>US</t>
        </is>
      </c>
      <c r="E52" t="b">
        <v>0</v>
      </c>
      <c r="F52" t="inlineStr">
        <is>
          <t>Active</t>
        </is>
      </c>
    </row>
    <row r="53">
      <c r="A53" t="inlineStr">
        <is>
          <t>SUP-0052</t>
        </is>
      </c>
      <c r="B53" t="inlineStr">
        <is>
          <t>Electronics Supplier 052</t>
        </is>
      </c>
      <c r="C53" t="inlineStr">
        <is>
          <t>Electronics</t>
        </is>
      </c>
      <c r="D53" t="inlineStr">
        <is>
          <t>JP</t>
        </is>
      </c>
      <c r="E53" t="b">
        <v>1</v>
      </c>
      <c r="F53" t="inlineStr">
        <is>
          <t>Active</t>
        </is>
      </c>
    </row>
    <row r="54">
      <c r="A54" t="inlineStr">
        <is>
          <t>SUP-0053</t>
        </is>
      </c>
      <c r="B54" t="inlineStr">
        <is>
          <t>Electronics Supplier 053</t>
        </is>
      </c>
      <c r="C54" t="inlineStr">
        <is>
          <t>Electronics</t>
        </is>
      </c>
      <c r="D54" t="inlineStr">
        <is>
          <t>UK</t>
        </is>
      </c>
      <c r="E54" t="b">
        <v>1</v>
      </c>
      <c r="F54" t="inlineStr">
        <is>
          <t>Active</t>
        </is>
      </c>
    </row>
    <row r="55">
      <c r="A55" t="inlineStr">
        <is>
          <t>SUP-0054</t>
        </is>
      </c>
      <c r="B55" t="inlineStr">
        <is>
          <t>Chemicals Supplier 054</t>
        </is>
      </c>
      <c r="C55" t="inlineStr">
        <is>
          <t>Chemicals</t>
        </is>
      </c>
      <c r="D55" t="inlineStr">
        <is>
          <t>BR</t>
        </is>
      </c>
      <c r="E55" t="b">
        <v>0</v>
      </c>
      <c r="F55" t="inlineStr">
        <is>
          <t>Active</t>
        </is>
      </c>
    </row>
    <row r="56">
      <c r="A56" t="inlineStr">
        <is>
          <t>SUP-0055</t>
        </is>
      </c>
      <c r="B56" t="inlineStr">
        <is>
          <t>Chemicals Supplier 055</t>
        </is>
      </c>
      <c r="C56" t="inlineStr">
        <is>
          <t>Chemicals</t>
        </is>
      </c>
      <c r="D56" t="inlineStr">
        <is>
          <t>IN</t>
        </is>
      </c>
      <c r="E56" t="b">
        <v>0</v>
      </c>
      <c r="F56" t="inlineStr">
        <is>
          <t>Watchlist</t>
        </is>
      </c>
    </row>
    <row r="57">
      <c r="A57" t="inlineStr">
        <is>
          <t>SUP-0056</t>
        </is>
      </c>
      <c r="B57" t="inlineStr">
        <is>
          <t>Metals Supplier 056</t>
        </is>
      </c>
      <c r="C57" t="inlineStr">
        <is>
          <t>Metals</t>
        </is>
      </c>
      <c r="D57" t="inlineStr">
        <is>
          <t>BR</t>
        </is>
      </c>
      <c r="E57" t="b">
        <v>1</v>
      </c>
      <c r="F57" t="inlineStr">
        <is>
          <t>Active</t>
        </is>
      </c>
    </row>
    <row r="58">
      <c r="A58" t="inlineStr">
        <is>
          <t>SUP-0057</t>
        </is>
      </c>
      <c r="B58" t="inlineStr">
        <is>
          <t>Logistics Supplier 057</t>
        </is>
      </c>
      <c r="C58" t="inlineStr">
        <is>
          <t>Logistics</t>
        </is>
      </c>
      <c r="D58" t="inlineStr">
        <is>
          <t>DE</t>
        </is>
      </c>
      <c r="E58" t="b">
        <v>1</v>
      </c>
      <c r="F58" t="inlineStr">
        <is>
          <t>Active</t>
        </is>
      </c>
    </row>
    <row r="59">
      <c r="A59" t="inlineStr">
        <is>
          <t>SUP-0058</t>
        </is>
      </c>
      <c r="B59" t="inlineStr">
        <is>
          <t>Textiles Supplier 058</t>
        </is>
      </c>
      <c r="C59" t="inlineStr">
        <is>
          <t>Textiles</t>
        </is>
      </c>
      <c r="D59" t="inlineStr">
        <is>
          <t>US</t>
        </is>
      </c>
      <c r="E59" t="b">
        <v>1</v>
      </c>
      <c r="F59" t="inlineStr">
        <is>
          <t>Active</t>
        </is>
      </c>
    </row>
    <row r="60">
      <c r="A60" t="inlineStr">
        <is>
          <t>SUP-0059</t>
        </is>
      </c>
      <c r="B60" t="inlineStr">
        <is>
          <t>Agriculture Supplier 059</t>
        </is>
      </c>
      <c r="C60" t="inlineStr">
        <is>
          <t>Agriculture</t>
        </is>
      </c>
      <c r="D60" t="inlineStr">
        <is>
          <t>BR</t>
        </is>
      </c>
      <c r="E60" t="b">
        <v>1</v>
      </c>
      <c r="F60" t="inlineStr">
        <is>
          <t>Strategic</t>
        </is>
      </c>
    </row>
    <row r="61">
      <c r="A61" t="inlineStr">
        <is>
          <t>SUP-0060</t>
        </is>
      </c>
      <c r="B61" t="inlineStr">
        <is>
          <t>Electronics Supplier 060</t>
        </is>
      </c>
      <c r="C61" t="inlineStr">
        <is>
          <t>Electronics</t>
        </is>
      </c>
      <c r="D61" t="inlineStr">
        <is>
          <t>MX</t>
        </is>
      </c>
      <c r="E61" t="b">
        <v>0</v>
      </c>
      <c r="F61" t="inlineStr">
        <is>
          <t>Active</t>
        </is>
      </c>
    </row>
    <row r="62">
      <c r="A62" t="inlineStr">
        <is>
          <t>SUP-0061</t>
        </is>
      </c>
      <c r="B62" t="inlineStr">
        <is>
          <t>Metals Supplier 061</t>
        </is>
      </c>
      <c r="C62" t="inlineStr">
        <is>
          <t>Metals</t>
        </is>
      </c>
      <c r="D62" t="inlineStr">
        <is>
          <t>US</t>
        </is>
      </c>
      <c r="E62" t="b">
        <v>0</v>
      </c>
      <c r="F62" t="inlineStr">
        <is>
          <t>Active</t>
        </is>
      </c>
    </row>
    <row r="63">
      <c r="A63" t="inlineStr">
        <is>
          <t>SUP-0062</t>
        </is>
      </c>
      <c r="B63" t="inlineStr">
        <is>
          <t>Textiles Supplier 062</t>
        </is>
      </c>
      <c r="C63" t="inlineStr">
        <is>
          <t>Textiles</t>
        </is>
      </c>
      <c r="D63" t="inlineStr">
        <is>
          <t>IN</t>
        </is>
      </c>
      <c r="E63" t="b">
        <v>1</v>
      </c>
      <c r="F63" t="inlineStr">
        <is>
          <t>Active</t>
        </is>
      </c>
    </row>
    <row r="64">
      <c r="A64" t="inlineStr">
        <is>
          <t>SUP-0063</t>
        </is>
      </c>
      <c r="B64" t="inlineStr">
        <is>
          <t>Chemicals Supplier 063</t>
        </is>
      </c>
      <c r="C64" t="inlineStr">
        <is>
          <t>Chemicals</t>
        </is>
      </c>
      <c r="D64" t="inlineStr">
        <is>
          <t>JP</t>
        </is>
      </c>
      <c r="E64" t="b">
        <v>1</v>
      </c>
      <c r="F64" t="inlineStr">
        <is>
          <t>Strategic</t>
        </is>
      </c>
    </row>
    <row r="65">
      <c r="A65" t="inlineStr">
        <is>
          <t>SUP-0064</t>
        </is>
      </c>
      <c r="B65" t="inlineStr">
        <is>
          <t>Metals Supplier 064</t>
        </is>
      </c>
      <c r="C65" t="inlineStr">
        <is>
          <t>Metals</t>
        </is>
      </c>
      <c r="D65" t="inlineStr">
        <is>
          <t>US</t>
        </is>
      </c>
      <c r="E65" t="b">
        <v>0</v>
      </c>
      <c r="F65" t="inlineStr">
        <is>
          <t>Active</t>
        </is>
      </c>
    </row>
    <row r="66">
      <c r="A66" t="inlineStr">
        <is>
          <t>SUP-0065</t>
        </is>
      </c>
      <c r="B66" t="inlineStr">
        <is>
          <t>Agriculture Supplier 065</t>
        </is>
      </c>
      <c r="C66" t="inlineStr">
        <is>
          <t>Agriculture</t>
        </is>
      </c>
      <c r="D66" t="inlineStr">
        <is>
          <t>US</t>
        </is>
      </c>
      <c r="E66" t="b">
        <v>1</v>
      </c>
      <c r="F66" t="inlineStr">
        <is>
          <t>Active</t>
        </is>
      </c>
    </row>
    <row r="67">
      <c r="A67" t="inlineStr">
        <is>
          <t>SUP-0066</t>
        </is>
      </c>
      <c r="B67" t="inlineStr">
        <is>
          <t>Electronics Supplier 066</t>
        </is>
      </c>
      <c r="C67" t="inlineStr">
        <is>
          <t>Electronics</t>
        </is>
      </c>
      <c r="D67" t="inlineStr">
        <is>
          <t>JP</t>
        </is>
      </c>
      <c r="E67" t="b">
        <v>0</v>
      </c>
      <c r="F67" t="inlineStr">
        <is>
          <t>Watchlist</t>
        </is>
      </c>
    </row>
    <row r="68">
      <c r="A68" t="inlineStr">
        <is>
          <t>SUP-0067</t>
        </is>
      </c>
      <c r="B68" t="inlineStr">
        <is>
          <t>Professional Supplier 067</t>
        </is>
      </c>
      <c r="C68" t="inlineStr">
        <is>
          <t>Professional Services</t>
        </is>
      </c>
      <c r="D68" t="inlineStr">
        <is>
          <t>UK</t>
        </is>
      </c>
      <c r="E68" t="b">
        <v>1</v>
      </c>
      <c r="F68" t="inlineStr">
        <is>
          <t>Strategic</t>
        </is>
      </c>
    </row>
    <row r="69">
      <c r="A69" t="inlineStr">
        <is>
          <t>SUP-0068</t>
        </is>
      </c>
      <c r="B69" t="inlineStr">
        <is>
          <t>Agriculture Supplier 068</t>
        </is>
      </c>
      <c r="C69" t="inlineStr">
        <is>
          <t>Agriculture</t>
        </is>
      </c>
      <c r="D69" t="inlineStr">
        <is>
          <t>US</t>
        </is>
      </c>
      <c r="E69" t="b">
        <v>1</v>
      </c>
      <c r="F69" t="inlineStr">
        <is>
          <t>Strategic</t>
        </is>
      </c>
    </row>
    <row r="70">
      <c r="A70" t="inlineStr">
        <is>
          <t>SUP-0069</t>
        </is>
      </c>
      <c r="B70" t="inlineStr">
        <is>
          <t>Chemicals Supplier 069</t>
        </is>
      </c>
      <c r="C70" t="inlineStr">
        <is>
          <t>Chemicals</t>
        </is>
      </c>
      <c r="D70" t="inlineStr">
        <is>
          <t>UK</t>
        </is>
      </c>
      <c r="E70" t="b">
        <v>1</v>
      </c>
      <c r="F70" t="inlineStr">
        <is>
          <t>Active</t>
        </is>
      </c>
    </row>
    <row r="71">
      <c r="A71" t="inlineStr">
        <is>
          <t>SUP-0070</t>
        </is>
      </c>
      <c r="B71" t="inlineStr">
        <is>
          <t>Agriculture Supplier 070</t>
        </is>
      </c>
      <c r="C71" t="inlineStr">
        <is>
          <t>Agriculture</t>
        </is>
      </c>
      <c r="D71" t="inlineStr">
        <is>
          <t>BR</t>
        </is>
      </c>
      <c r="E71" t="b">
        <v>0</v>
      </c>
      <c r="F71" t="inlineStr">
        <is>
          <t>Active</t>
        </is>
      </c>
    </row>
    <row r="72">
      <c r="A72" t="inlineStr">
        <is>
          <t>SUP-0071</t>
        </is>
      </c>
      <c r="B72" t="inlineStr">
        <is>
          <t>Chemicals Supplier 071</t>
        </is>
      </c>
      <c r="C72" t="inlineStr">
        <is>
          <t>Chemicals</t>
        </is>
      </c>
      <c r="D72" t="inlineStr">
        <is>
          <t>CN</t>
        </is>
      </c>
      <c r="E72" t="b">
        <v>1</v>
      </c>
      <c r="F72" t="inlineStr">
        <is>
          <t>Active</t>
        </is>
      </c>
    </row>
    <row r="73">
      <c r="A73" t="inlineStr">
        <is>
          <t>SUP-0072</t>
        </is>
      </c>
      <c r="B73" t="inlineStr">
        <is>
          <t>Electronics Supplier 072</t>
        </is>
      </c>
      <c r="C73" t="inlineStr">
        <is>
          <t>Electronics</t>
        </is>
      </c>
      <c r="D73" t="inlineStr">
        <is>
          <t>MX</t>
        </is>
      </c>
      <c r="E73" t="b">
        <v>0</v>
      </c>
      <c r="F73" t="inlineStr">
        <is>
          <t>Active</t>
        </is>
      </c>
    </row>
    <row r="74">
      <c r="A74" t="inlineStr">
        <is>
          <t>SUP-0073</t>
        </is>
      </c>
      <c r="B74" t="inlineStr">
        <is>
          <t>Packaging Supplier 073</t>
        </is>
      </c>
      <c r="C74" t="inlineStr">
        <is>
          <t>Packaging</t>
        </is>
      </c>
      <c r="D74" t="inlineStr">
        <is>
          <t>DE</t>
        </is>
      </c>
      <c r="E74" t="b">
        <v>1</v>
      </c>
      <c r="F74" t="inlineStr">
        <is>
          <t>Active</t>
        </is>
      </c>
    </row>
    <row r="75">
      <c r="A75" t="inlineStr">
        <is>
          <t>SUP-0074</t>
        </is>
      </c>
      <c r="B75" t="inlineStr">
        <is>
          <t>Agriculture Supplier 074</t>
        </is>
      </c>
      <c r="C75" t="inlineStr">
        <is>
          <t>Agriculture</t>
        </is>
      </c>
      <c r="D75" t="inlineStr">
        <is>
          <t>UK</t>
        </is>
      </c>
      <c r="E75" t="b">
        <v>1</v>
      </c>
      <c r="F75" t="inlineStr">
        <is>
          <t>Active</t>
        </is>
      </c>
    </row>
    <row r="76">
      <c r="A76" t="inlineStr">
        <is>
          <t>SUP-0075</t>
        </is>
      </c>
      <c r="B76" t="inlineStr">
        <is>
          <t>Metals Supplier 075</t>
        </is>
      </c>
      <c r="C76" t="inlineStr">
        <is>
          <t>Metals</t>
        </is>
      </c>
      <c r="D76" t="inlineStr">
        <is>
          <t>BR</t>
        </is>
      </c>
      <c r="E76" t="b">
        <v>1</v>
      </c>
      <c r="F76" t="inlineStr">
        <is>
          <t>Strategic</t>
        </is>
      </c>
    </row>
    <row r="77">
      <c r="A77" t="inlineStr">
        <is>
          <t>SUP-0076</t>
        </is>
      </c>
      <c r="B77" t="inlineStr">
        <is>
          <t>Chemicals Supplier 076</t>
        </is>
      </c>
      <c r="C77" t="inlineStr">
        <is>
          <t>Chemicals</t>
        </is>
      </c>
      <c r="D77" t="inlineStr">
        <is>
          <t>IN</t>
        </is>
      </c>
      <c r="E77" t="b">
        <v>1</v>
      </c>
      <c r="F77" t="inlineStr">
        <is>
          <t>Strategic</t>
        </is>
      </c>
    </row>
    <row r="78">
      <c r="A78" t="inlineStr">
        <is>
          <t>SUP-0077</t>
        </is>
      </c>
      <c r="B78" t="inlineStr">
        <is>
          <t>Packaging Supplier 077</t>
        </is>
      </c>
      <c r="C78" t="inlineStr">
        <is>
          <t>Packaging</t>
        </is>
      </c>
      <c r="D78" t="inlineStr">
        <is>
          <t>DE</t>
        </is>
      </c>
      <c r="E78" t="b">
        <v>1</v>
      </c>
      <c r="F78" t="inlineStr">
        <is>
          <t>Active</t>
        </is>
      </c>
    </row>
    <row r="79">
      <c r="A79" t="inlineStr">
        <is>
          <t>SUP-0078</t>
        </is>
      </c>
      <c r="B79" t="inlineStr">
        <is>
          <t>Metals Supplier 078</t>
        </is>
      </c>
      <c r="C79" t="inlineStr">
        <is>
          <t>Metals</t>
        </is>
      </c>
      <c r="D79" t="inlineStr">
        <is>
          <t>US</t>
        </is>
      </c>
      <c r="E79" t="b">
        <v>1</v>
      </c>
      <c r="F79" t="inlineStr">
        <is>
          <t>Active</t>
        </is>
      </c>
    </row>
    <row r="80">
      <c r="A80" t="inlineStr">
        <is>
          <t>SUP-0079</t>
        </is>
      </c>
      <c r="B80" t="inlineStr">
        <is>
          <t>Logistics Supplier 079</t>
        </is>
      </c>
      <c r="C80" t="inlineStr">
        <is>
          <t>Logistics</t>
        </is>
      </c>
      <c r="D80" t="inlineStr">
        <is>
          <t>DE</t>
        </is>
      </c>
      <c r="E80" t="b">
        <v>1</v>
      </c>
      <c r="F80" t="inlineStr">
        <is>
          <t>Active</t>
        </is>
      </c>
    </row>
    <row r="81">
      <c r="A81" t="inlineStr">
        <is>
          <t>SUP-0080</t>
        </is>
      </c>
      <c r="B81" t="inlineStr">
        <is>
          <t>Packaging Supplier 080</t>
        </is>
      </c>
      <c r="C81" t="inlineStr">
        <is>
          <t>Packaging</t>
        </is>
      </c>
      <c r="D81" t="inlineStr">
        <is>
          <t>MX</t>
        </is>
      </c>
      <c r="E81" t="b">
        <v>1</v>
      </c>
      <c r="F81" t="inlineStr">
        <is>
          <t>Active</t>
        </is>
      </c>
    </row>
    <row r="82">
      <c r="A82" t="inlineStr">
        <is>
          <t>SUP-0081</t>
        </is>
      </c>
      <c r="B82" t="inlineStr">
        <is>
          <t>Textiles Supplier 081</t>
        </is>
      </c>
      <c r="C82" t="inlineStr">
        <is>
          <t>Textiles</t>
        </is>
      </c>
      <c r="D82" t="inlineStr">
        <is>
          <t>BR</t>
        </is>
      </c>
      <c r="E82" t="b">
        <v>0</v>
      </c>
      <c r="F82" t="inlineStr">
        <is>
          <t>Strategic</t>
        </is>
      </c>
    </row>
    <row r="83">
      <c r="A83" t="inlineStr">
        <is>
          <t>SUP-0082</t>
        </is>
      </c>
      <c r="B83" t="inlineStr">
        <is>
          <t>Packaging Supplier 082</t>
        </is>
      </c>
      <c r="C83" t="inlineStr">
        <is>
          <t>Packaging</t>
        </is>
      </c>
      <c r="D83" t="inlineStr">
        <is>
          <t>US</t>
        </is>
      </c>
      <c r="E83" t="b">
        <v>1</v>
      </c>
      <c r="F83" t="inlineStr">
        <is>
          <t>Active</t>
        </is>
      </c>
    </row>
    <row r="84">
      <c r="A84" t="inlineStr">
        <is>
          <t>SUP-0083</t>
        </is>
      </c>
      <c r="B84" t="inlineStr">
        <is>
          <t>Logistics Supplier 083</t>
        </is>
      </c>
      <c r="C84" t="inlineStr">
        <is>
          <t>Logistics</t>
        </is>
      </c>
      <c r="D84" t="inlineStr">
        <is>
          <t>DE</t>
        </is>
      </c>
      <c r="E84" t="b">
        <v>0</v>
      </c>
      <c r="F84" t="inlineStr">
        <is>
          <t>Active</t>
        </is>
      </c>
    </row>
    <row r="85">
      <c r="A85" t="inlineStr">
        <is>
          <t>SUP-0084</t>
        </is>
      </c>
      <c r="B85" t="inlineStr">
        <is>
          <t>Chemicals Supplier 084</t>
        </is>
      </c>
      <c r="C85" t="inlineStr">
        <is>
          <t>Chemicals</t>
        </is>
      </c>
      <c r="D85" t="inlineStr">
        <is>
          <t>US</t>
        </is>
      </c>
      <c r="E85" t="b">
        <v>1</v>
      </c>
      <c r="F85" t="inlineStr">
        <is>
          <t>Active</t>
        </is>
      </c>
    </row>
    <row r="86">
      <c r="A86" t="inlineStr">
        <is>
          <t>SUP-0085</t>
        </is>
      </c>
      <c r="B86" t="inlineStr">
        <is>
          <t>Textiles Supplier 085</t>
        </is>
      </c>
      <c r="C86" t="inlineStr">
        <is>
          <t>Textiles</t>
        </is>
      </c>
      <c r="D86" t="inlineStr">
        <is>
          <t>US</t>
        </is>
      </c>
      <c r="E86" t="b">
        <v>0</v>
      </c>
      <c r="F86" t="inlineStr">
        <is>
          <t>Active</t>
        </is>
      </c>
    </row>
    <row r="87">
      <c r="A87" t="inlineStr">
        <is>
          <t>SUP-0086</t>
        </is>
      </c>
      <c r="B87" t="inlineStr">
        <is>
          <t>Metals Supplier 086</t>
        </is>
      </c>
      <c r="C87" t="inlineStr">
        <is>
          <t>Metals</t>
        </is>
      </c>
      <c r="D87" t="inlineStr">
        <is>
          <t>JP</t>
        </is>
      </c>
      <c r="E87" t="b">
        <v>1</v>
      </c>
      <c r="F87" t="inlineStr">
        <is>
          <t>Strategic</t>
        </is>
      </c>
    </row>
    <row r="88">
      <c r="A88" t="inlineStr">
        <is>
          <t>SUP-0087</t>
        </is>
      </c>
      <c r="B88" t="inlineStr">
        <is>
          <t>Agriculture Supplier 087</t>
        </is>
      </c>
      <c r="C88" t="inlineStr">
        <is>
          <t>Agriculture</t>
        </is>
      </c>
      <c r="D88" t="inlineStr">
        <is>
          <t>JP</t>
        </is>
      </c>
      <c r="E88" t="b">
        <v>0</v>
      </c>
      <c r="F88" t="inlineStr">
        <is>
          <t>Strategic</t>
        </is>
      </c>
    </row>
    <row r="89">
      <c r="A89" t="inlineStr">
        <is>
          <t>SUP-0088</t>
        </is>
      </c>
      <c r="B89" t="inlineStr">
        <is>
          <t>Packaging Supplier 088</t>
        </is>
      </c>
      <c r="C89" t="inlineStr">
        <is>
          <t>Packaging</t>
        </is>
      </c>
      <c r="D89" t="inlineStr">
        <is>
          <t>UK</t>
        </is>
      </c>
      <c r="E89" t="b">
        <v>0</v>
      </c>
      <c r="F89" t="inlineStr">
        <is>
          <t>Strategic</t>
        </is>
      </c>
    </row>
    <row r="90">
      <c r="A90" t="inlineStr">
        <is>
          <t>SUP-0089</t>
        </is>
      </c>
      <c r="B90" t="inlineStr">
        <is>
          <t>Professional Supplier 089</t>
        </is>
      </c>
      <c r="C90" t="inlineStr">
        <is>
          <t>Professional Services</t>
        </is>
      </c>
      <c r="D90" t="inlineStr">
        <is>
          <t>DE</t>
        </is>
      </c>
      <c r="E90" t="b">
        <v>1</v>
      </c>
      <c r="F90" t="inlineStr">
        <is>
          <t>Active</t>
        </is>
      </c>
    </row>
    <row r="91">
      <c r="A91" t="inlineStr">
        <is>
          <t>SUP-0090</t>
        </is>
      </c>
      <c r="B91" t="inlineStr">
        <is>
          <t>Textiles Supplier 090</t>
        </is>
      </c>
      <c r="C91" t="inlineStr">
        <is>
          <t>Textiles</t>
        </is>
      </c>
      <c r="D91" t="inlineStr">
        <is>
          <t>UK</t>
        </is>
      </c>
      <c r="E91" t="b">
        <v>1</v>
      </c>
      <c r="F91" t="inlineStr">
        <is>
          <t>Active</t>
        </is>
      </c>
    </row>
    <row r="92">
      <c r="A92" t="inlineStr">
        <is>
          <t>SUP-0091</t>
        </is>
      </c>
      <c r="B92" t="inlineStr">
        <is>
          <t>Professional Supplier 091</t>
        </is>
      </c>
      <c r="C92" t="inlineStr">
        <is>
          <t>Professional Services</t>
        </is>
      </c>
      <c r="D92" t="inlineStr">
        <is>
          <t>MX</t>
        </is>
      </c>
      <c r="E92" t="b">
        <v>1</v>
      </c>
      <c r="F92" t="inlineStr">
        <is>
          <t>Active</t>
        </is>
      </c>
    </row>
    <row r="93">
      <c r="A93" t="inlineStr">
        <is>
          <t>SUP-0092</t>
        </is>
      </c>
      <c r="B93" t="inlineStr">
        <is>
          <t>Metals Supplier 092</t>
        </is>
      </c>
      <c r="C93" t="inlineStr">
        <is>
          <t>Metals</t>
        </is>
      </c>
      <c r="D93" t="inlineStr">
        <is>
          <t>CN</t>
        </is>
      </c>
      <c r="E93" t="b">
        <v>1</v>
      </c>
      <c r="F93" t="inlineStr">
        <is>
          <t>Active</t>
        </is>
      </c>
    </row>
    <row r="94">
      <c r="A94" t="inlineStr">
        <is>
          <t>SUP-0093</t>
        </is>
      </c>
      <c r="B94" t="inlineStr">
        <is>
          <t>Chemicals Supplier 093</t>
        </is>
      </c>
      <c r="C94" t="inlineStr">
        <is>
          <t>Chemicals</t>
        </is>
      </c>
      <c r="D94" t="inlineStr">
        <is>
          <t>IN</t>
        </is>
      </c>
      <c r="E94" t="b">
        <v>1</v>
      </c>
      <c r="F94" t="inlineStr">
        <is>
          <t>Active</t>
        </is>
      </c>
    </row>
    <row r="95">
      <c r="A95" t="inlineStr">
        <is>
          <t>SUP-0094</t>
        </is>
      </c>
      <c r="B95" t="inlineStr">
        <is>
          <t>Metals Supplier 094</t>
        </is>
      </c>
      <c r="C95" t="inlineStr">
        <is>
          <t>Metals</t>
        </is>
      </c>
      <c r="D95" t="inlineStr">
        <is>
          <t>CN</t>
        </is>
      </c>
      <c r="E95" t="b">
        <v>0</v>
      </c>
      <c r="F95" t="inlineStr">
        <is>
          <t>Active</t>
        </is>
      </c>
    </row>
    <row r="96">
      <c r="A96" t="inlineStr">
        <is>
          <t>SUP-0095</t>
        </is>
      </c>
      <c r="B96" t="inlineStr">
        <is>
          <t>Agriculture Supplier 095</t>
        </is>
      </c>
      <c r="C96" t="inlineStr">
        <is>
          <t>Agriculture</t>
        </is>
      </c>
      <c r="D96" t="inlineStr">
        <is>
          <t>JP</t>
        </is>
      </c>
      <c r="E96" t="b">
        <v>0</v>
      </c>
      <c r="F96" t="inlineStr">
        <is>
          <t>Active</t>
        </is>
      </c>
    </row>
    <row r="97">
      <c r="A97" t="inlineStr">
        <is>
          <t>SUP-0096</t>
        </is>
      </c>
      <c r="B97" t="inlineStr">
        <is>
          <t>Agriculture Supplier 096</t>
        </is>
      </c>
      <c r="C97" t="inlineStr">
        <is>
          <t>Agriculture</t>
        </is>
      </c>
      <c r="D97" t="inlineStr">
        <is>
          <t>IN</t>
        </is>
      </c>
      <c r="E97" t="b">
        <v>1</v>
      </c>
      <c r="F97" t="inlineStr">
        <is>
          <t>Strategic</t>
        </is>
      </c>
    </row>
    <row r="98">
      <c r="A98" t="inlineStr">
        <is>
          <t>SUP-0097</t>
        </is>
      </c>
      <c r="B98" t="inlineStr">
        <is>
          <t>Metals Supplier 097</t>
        </is>
      </c>
      <c r="C98" t="inlineStr">
        <is>
          <t>Metals</t>
        </is>
      </c>
      <c r="D98" t="inlineStr">
        <is>
          <t>MX</t>
        </is>
      </c>
      <c r="E98" t="b">
        <v>0</v>
      </c>
      <c r="F98" t="inlineStr">
        <is>
          <t>Active</t>
        </is>
      </c>
    </row>
    <row r="99">
      <c r="A99" t="inlineStr">
        <is>
          <t>SUP-0098</t>
        </is>
      </c>
      <c r="B99" t="inlineStr">
        <is>
          <t>Agriculture Supplier 098</t>
        </is>
      </c>
      <c r="C99" t="inlineStr">
        <is>
          <t>Agriculture</t>
        </is>
      </c>
      <c r="D99" t="inlineStr">
        <is>
          <t>MX</t>
        </is>
      </c>
      <c r="E99" t="b">
        <v>1</v>
      </c>
      <c r="F99" t="inlineStr">
        <is>
          <t>Active</t>
        </is>
      </c>
    </row>
    <row r="100">
      <c r="A100" t="inlineStr">
        <is>
          <t>SUP-0099</t>
        </is>
      </c>
      <c r="B100" t="inlineStr">
        <is>
          <t>Electronics Supplier 099</t>
        </is>
      </c>
      <c r="C100" t="inlineStr">
        <is>
          <t>Electronics</t>
        </is>
      </c>
      <c r="D100" t="inlineStr">
        <is>
          <t>DE</t>
        </is>
      </c>
      <c r="E100" t="b">
        <v>0</v>
      </c>
      <c r="F100" t="inlineStr">
        <is>
          <t>Strategic</t>
        </is>
      </c>
    </row>
    <row r="101">
      <c r="A101" t="inlineStr">
        <is>
          <t>SUP-0100</t>
        </is>
      </c>
      <c r="B101" t="inlineStr">
        <is>
          <t>Textiles Supplier 100</t>
        </is>
      </c>
      <c r="C101" t="inlineStr">
        <is>
          <t>Textiles</t>
        </is>
      </c>
      <c r="D101" t="inlineStr">
        <is>
          <t>DE</t>
        </is>
      </c>
      <c r="E101" t="b">
        <v>0</v>
      </c>
      <c r="F101" t="inlineStr">
        <is>
          <t>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Gross_Spend</t>
        </is>
      </c>
      <c r="F1" t="inlineStr">
        <is>
          <t>Revenue</t>
        </is>
      </c>
      <c r="G1" t="inlineStr">
        <is>
          <t>Reported_Emissions</t>
        </is>
      </c>
      <c r="H1" t="inlineStr">
        <is>
          <t>Scope1_Emission</t>
        </is>
      </c>
      <c r="I1" t="inlineStr">
        <is>
          <t>Scope2_Emission</t>
        </is>
      </c>
      <c r="J1" t="inlineStr">
        <is>
          <t>Scope3_Emission</t>
        </is>
      </c>
      <c r="K1" t="inlineStr">
        <is>
          <t>Baseline_Year</t>
        </is>
      </c>
      <c r="L1" t="inlineStr">
        <is>
          <t>Target_Year</t>
        </is>
      </c>
      <c r="M1" t="inlineStr">
        <is>
          <t>Target_Reduction_Percentage</t>
        </is>
      </c>
      <c r="N1" t="inlineStr">
        <is>
          <t>Interim_Target_Reduction_Percentage</t>
        </is>
      </c>
      <c r="O1" t="inlineStr">
        <is>
          <t>Industry_Baseline_Year</t>
        </is>
      </c>
      <c r="P1" t="inlineStr">
        <is>
          <t>Industry_Target_Year</t>
        </is>
      </c>
      <c r="Q1" t="inlineStr">
        <is>
          <t>Industry_Reduction_Percentage</t>
        </is>
      </c>
      <c r="R1" t="inlineStr">
        <is>
          <t>Industry_Emission_Factor</t>
        </is>
      </c>
      <c r="S1" t="inlineStr">
        <is>
          <t>Spend_Based_Emission_Factor</t>
        </is>
      </c>
      <c r="T1" t="inlineStr">
        <is>
          <t>Revenue_Based_Emission_Intensity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2015</v>
      </c>
      <c r="E2" t="n">
        <v>8929709.460000001</v>
      </c>
      <c r="F2" t="n">
        <v>14715731.77</v>
      </c>
      <c r="G2" t="inlineStr"/>
      <c r="H2" t="n">
        <v>195.7142</v>
      </c>
      <c r="I2" t="inlineStr"/>
      <c r="J2" t="inlineStr"/>
      <c r="K2" t="n">
        <v>2021</v>
      </c>
      <c r="L2" t="n">
        <v>2040</v>
      </c>
      <c r="M2" t="n">
        <v>0.478</v>
      </c>
      <c r="N2" t="n">
        <v>0.2876</v>
      </c>
      <c r="O2" t="n">
        <v>2020</v>
      </c>
      <c r="P2" t="inlineStr"/>
      <c r="Q2" t="inlineStr"/>
      <c r="R2" t="n">
        <v>400.0326</v>
      </c>
      <c r="S2" t="n">
        <v>0.00012906</v>
      </c>
      <c r="T2" t="n">
        <v>0.00019658</v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2016</v>
      </c>
      <c r="E3" t="n">
        <v>8713653.73</v>
      </c>
      <c r="F3" t="n">
        <v>16786825.79</v>
      </c>
      <c r="G3" t="n">
        <v>824.1616</v>
      </c>
      <c r="H3" t="inlineStr"/>
      <c r="I3" t="n">
        <v>78.47029999999999</v>
      </c>
      <c r="J3" t="n">
        <v>663.2914</v>
      </c>
      <c r="K3" t="n">
        <v>2021</v>
      </c>
      <c r="L3" t="n">
        <v>2040</v>
      </c>
      <c r="M3" t="n">
        <v>0.478</v>
      </c>
      <c r="N3" t="n">
        <v>0.2876</v>
      </c>
      <c r="O3" t="n">
        <v>2020</v>
      </c>
      <c r="P3" t="inlineStr"/>
      <c r="Q3" t="inlineStr"/>
      <c r="R3" t="n">
        <v>400.0326</v>
      </c>
      <c r="S3" t="n">
        <v>0.00012906</v>
      </c>
      <c r="T3" t="n">
        <v>0.00019658</v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2017</v>
      </c>
      <c r="E4" t="n">
        <v>11180556.71</v>
      </c>
      <c r="F4" t="n">
        <v>23582290.78</v>
      </c>
      <c r="G4" t="n">
        <v>917.5956</v>
      </c>
      <c r="H4" t="n">
        <v>176.0997</v>
      </c>
      <c r="I4" t="n">
        <v>110.1337</v>
      </c>
      <c r="J4" t="n">
        <v>588.0937</v>
      </c>
      <c r="K4" t="n">
        <v>2021</v>
      </c>
      <c r="L4" t="n">
        <v>2040</v>
      </c>
      <c r="M4" t="n">
        <v>0.478</v>
      </c>
      <c r="N4" t="n">
        <v>0.2876</v>
      </c>
      <c r="O4" t="n">
        <v>2020</v>
      </c>
      <c r="P4" t="inlineStr"/>
      <c r="Q4" t="inlineStr"/>
      <c r="R4" t="n">
        <v>400.0326</v>
      </c>
      <c r="S4" t="n">
        <v>0.00012906</v>
      </c>
      <c r="T4" t="n">
        <v>0.00019658</v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2018</v>
      </c>
      <c r="E5" t="n">
        <v>11049242.33</v>
      </c>
      <c r="F5" t="n">
        <v>17908111.79</v>
      </c>
      <c r="G5" t="inlineStr"/>
      <c r="H5" t="n">
        <v>243.1622</v>
      </c>
      <c r="I5" t="n">
        <v>136.1182</v>
      </c>
      <c r="J5" t="n">
        <v>536.7631</v>
      </c>
      <c r="K5" t="n">
        <v>2021</v>
      </c>
      <c r="L5" t="n">
        <v>2040</v>
      </c>
      <c r="M5" t="n">
        <v>0.478</v>
      </c>
      <c r="N5" t="n">
        <v>0.2876</v>
      </c>
      <c r="O5" t="n">
        <v>2020</v>
      </c>
      <c r="P5" t="inlineStr"/>
      <c r="Q5" t="inlineStr"/>
      <c r="R5" t="n">
        <v>400.0326</v>
      </c>
      <c r="S5" t="n">
        <v>0.00012906</v>
      </c>
      <c r="T5" t="n">
        <v>0.00019658</v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2019</v>
      </c>
      <c r="E6" t="n">
        <v>10388936.39</v>
      </c>
      <c r="F6" t="n">
        <v>22477291.35</v>
      </c>
      <c r="G6" t="n">
        <v>855.9281999999999</v>
      </c>
      <c r="H6" t="n">
        <v>106.9347</v>
      </c>
      <c r="I6" t="n">
        <v>91.5333</v>
      </c>
      <c r="J6" t="n">
        <v>582.8864</v>
      </c>
      <c r="K6" t="n">
        <v>2021</v>
      </c>
      <c r="L6" t="n">
        <v>2040</v>
      </c>
      <c r="M6" t="n">
        <v>0.478</v>
      </c>
      <c r="N6" t="n">
        <v>0.2876</v>
      </c>
      <c r="O6" t="n">
        <v>2020</v>
      </c>
      <c r="P6" t="inlineStr"/>
      <c r="Q6" t="inlineStr"/>
      <c r="R6" t="n">
        <v>400.0326</v>
      </c>
      <c r="S6" t="n">
        <v>0.00012906</v>
      </c>
      <c r="T6" t="n">
        <v>0.00019658</v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2020</v>
      </c>
      <c r="E7" t="n">
        <v>12306110.33</v>
      </c>
      <c r="F7" t="n">
        <v>26707674.82</v>
      </c>
      <c r="G7" t="n">
        <v>933.3792</v>
      </c>
      <c r="H7" t="inlineStr"/>
      <c r="I7" t="n">
        <v>127.5841</v>
      </c>
      <c r="J7" t="n">
        <v>653.7876</v>
      </c>
      <c r="K7" t="n">
        <v>2021</v>
      </c>
      <c r="L7" t="n">
        <v>2040</v>
      </c>
      <c r="M7" t="n">
        <v>0.478</v>
      </c>
      <c r="N7" t="n">
        <v>0.2876</v>
      </c>
      <c r="O7" t="n">
        <v>2020</v>
      </c>
      <c r="P7" t="inlineStr"/>
      <c r="Q7" t="inlineStr"/>
      <c r="R7" t="n">
        <v>400.0326</v>
      </c>
      <c r="S7" t="n">
        <v>0.00012906</v>
      </c>
      <c r="T7" t="n">
        <v>0.00019658</v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2021</v>
      </c>
      <c r="E8" t="n">
        <v>10378835.56</v>
      </c>
      <c r="F8" t="n">
        <v>26838099.96</v>
      </c>
      <c r="G8" t="inlineStr"/>
      <c r="H8" t="n">
        <v>91.2199</v>
      </c>
      <c r="I8" t="inlineStr"/>
      <c r="J8" t="n">
        <v>600.3301</v>
      </c>
      <c r="K8" t="n">
        <v>2021</v>
      </c>
      <c r="L8" t="n">
        <v>2040</v>
      </c>
      <c r="M8" t="n">
        <v>0.478</v>
      </c>
      <c r="N8" t="n">
        <v>0.2876</v>
      </c>
      <c r="O8" t="n">
        <v>2020</v>
      </c>
      <c r="P8" t="inlineStr"/>
      <c r="Q8" t="inlineStr"/>
      <c r="R8" t="n">
        <v>400.0326</v>
      </c>
      <c r="S8" t="n">
        <v>0.00012906</v>
      </c>
      <c r="T8" t="n">
        <v>0.00019658</v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2022</v>
      </c>
      <c r="E9" t="n">
        <v>14157640.33</v>
      </c>
      <c r="F9" t="n">
        <v>27636358.4</v>
      </c>
      <c r="G9" t="n">
        <v>1190.7194</v>
      </c>
      <c r="H9" t="n">
        <v>290.8411</v>
      </c>
      <c r="I9" t="n">
        <v>67.2197</v>
      </c>
      <c r="J9" t="n">
        <v>759.1163</v>
      </c>
      <c r="K9" t="n">
        <v>2021</v>
      </c>
      <c r="L9" t="n">
        <v>2040</v>
      </c>
      <c r="M9" t="n">
        <v>0.478</v>
      </c>
      <c r="N9" t="n">
        <v>0.2876</v>
      </c>
      <c r="O9" t="n">
        <v>2020</v>
      </c>
      <c r="P9" t="inlineStr"/>
      <c r="Q9" t="inlineStr"/>
      <c r="R9" t="n">
        <v>400.0326</v>
      </c>
      <c r="S9" t="n">
        <v>0.00012906</v>
      </c>
      <c r="T9" t="n">
        <v>0.00019658</v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2023</v>
      </c>
      <c r="E10" t="n">
        <v>15985212.63</v>
      </c>
      <c r="F10" t="n">
        <v>27528316.27</v>
      </c>
      <c r="G10" t="n">
        <v>1279.5899</v>
      </c>
      <c r="H10" t="inlineStr"/>
      <c r="I10" t="inlineStr"/>
      <c r="J10" t="inlineStr"/>
      <c r="K10" t="n">
        <v>2021</v>
      </c>
      <c r="L10" t="n">
        <v>2040</v>
      </c>
      <c r="M10" t="n">
        <v>0.478</v>
      </c>
      <c r="N10" t="n">
        <v>0.2876</v>
      </c>
      <c r="O10" t="n">
        <v>2020</v>
      </c>
      <c r="P10" t="inlineStr"/>
      <c r="Q10" t="inlineStr"/>
      <c r="R10" t="n">
        <v>400.0326</v>
      </c>
      <c r="S10" t="n">
        <v>0.00012906</v>
      </c>
      <c r="T10" t="n">
        <v>0.00019658</v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16663864.5</v>
      </c>
      <c r="F11" t="n">
        <v>33844140</v>
      </c>
      <c r="G11" t="inlineStr"/>
      <c r="H11" t="n">
        <v>79.7811</v>
      </c>
      <c r="I11" t="n">
        <v>186.6403</v>
      </c>
      <c r="J11" t="n">
        <v>668.1231</v>
      </c>
      <c r="K11" t="n">
        <v>2021</v>
      </c>
      <c r="L11" t="n">
        <v>2040</v>
      </c>
      <c r="M11" t="n">
        <v>0.478</v>
      </c>
      <c r="N11" t="n">
        <v>0.2876</v>
      </c>
      <c r="O11" t="n">
        <v>2020</v>
      </c>
      <c r="P11" t="inlineStr"/>
      <c r="Q11" t="inlineStr"/>
      <c r="R11" t="n">
        <v>400.0326</v>
      </c>
      <c r="S11" t="n">
        <v>0.00012906</v>
      </c>
      <c r="T11" t="n">
        <v>0.00019658</v>
      </c>
    </row>
    <row r="12">
      <c r="A12" t="inlineStr">
        <is>
          <t>SUP-0002</t>
        </is>
      </c>
      <c r="B12" t="inlineStr">
        <is>
          <t>Textiles Supplier 002</t>
        </is>
      </c>
      <c r="C12" t="inlineStr">
        <is>
          <t>Textiles</t>
        </is>
      </c>
      <c r="D12" t="n">
        <v>2015</v>
      </c>
      <c r="E12" t="n">
        <v>21562167.91</v>
      </c>
      <c r="F12" t="n">
        <v>72866699.56999999</v>
      </c>
      <c r="G12" t="n">
        <v>9040.966700000001</v>
      </c>
      <c r="H12" t="n">
        <v>1241.4006</v>
      </c>
      <c r="I12" t="n">
        <v>512.652</v>
      </c>
      <c r="J12" t="inlineStr"/>
      <c r="K12" t="n">
        <v>2021</v>
      </c>
      <c r="L12" t="n">
        <v>2040</v>
      </c>
      <c r="M12" t="n">
        <v>0.3164</v>
      </c>
      <c r="N12" t="n">
        <v>0.1385</v>
      </c>
      <c r="O12" t="n">
        <v>2019</v>
      </c>
      <c r="P12" t="n">
        <v>2030</v>
      </c>
      <c r="Q12" t="n">
        <v>0.3171</v>
      </c>
      <c r="R12" t="n">
        <v>401.7335</v>
      </c>
      <c r="S12" t="n">
        <v>0.00029221</v>
      </c>
      <c r="T12" t="n">
        <v>0.00017343</v>
      </c>
    </row>
    <row r="13">
      <c r="A13" t="inlineStr">
        <is>
          <t>SUP-0002</t>
        </is>
      </c>
      <c r="B13" t="inlineStr">
        <is>
          <t>Textiles Supplier 002</t>
        </is>
      </c>
      <c r="C13" t="inlineStr">
        <is>
          <t>Textiles</t>
        </is>
      </c>
      <c r="D13" t="n">
        <v>2016</v>
      </c>
      <c r="E13" t="n">
        <v>21316278.19</v>
      </c>
      <c r="F13" t="n">
        <v>62811272.33</v>
      </c>
      <c r="G13" t="n">
        <v>7963.5569</v>
      </c>
      <c r="H13" t="n">
        <v>680.0877</v>
      </c>
      <c r="I13" t="n">
        <v>1740.6913</v>
      </c>
      <c r="J13" t="inlineStr"/>
      <c r="K13" t="n">
        <v>2021</v>
      </c>
      <c r="L13" t="n">
        <v>2040</v>
      </c>
      <c r="M13" t="n">
        <v>0.3164</v>
      </c>
      <c r="N13" t="n">
        <v>0.1385</v>
      </c>
      <c r="O13" t="n">
        <v>2019</v>
      </c>
      <c r="P13" t="n">
        <v>2030</v>
      </c>
      <c r="Q13" t="n">
        <v>0.3171</v>
      </c>
      <c r="R13" t="n">
        <v>401.7335</v>
      </c>
      <c r="S13" t="n">
        <v>0.00029221</v>
      </c>
      <c r="T13" t="n">
        <v>0.00017343</v>
      </c>
    </row>
    <row r="14">
      <c r="A14" t="inlineStr">
        <is>
          <t>SUP-0002</t>
        </is>
      </c>
      <c r="B14" t="inlineStr">
        <is>
          <t>Textiles Supplier 002</t>
        </is>
      </c>
      <c r="C14" t="inlineStr">
        <is>
          <t>Textiles</t>
        </is>
      </c>
      <c r="D14" t="n">
        <v>2017</v>
      </c>
      <c r="E14" t="n">
        <v>18946796.12</v>
      </c>
      <c r="F14" t="n">
        <v>75186820.56</v>
      </c>
      <c r="G14" t="n">
        <v>8035.9235</v>
      </c>
      <c r="H14" t="n">
        <v>1001.9577</v>
      </c>
      <c r="I14" t="n">
        <v>1543.7679</v>
      </c>
      <c r="J14" t="n">
        <v>5168.2771</v>
      </c>
      <c r="K14" t="n">
        <v>2021</v>
      </c>
      <c r="L14" t="n">
        <v>2040</v>
      </c>
      <c r="M14" t="n">
        <v>0.3164</v>
      </c>
      <c r="N14" t="n">
        <v>0.1385</v>
      </c>
      <c r="O14" t="n">
        <v>2019</v>
      </c>
      <c r="P14" t="n">
        <v>2030</v>
      </c>
      <c r="Q14" t="n">
        <v>0.3171</v>
      </c>
      <c r="R14" t="n">
        <v>401.7335</v>
      </c>
      <c r="S14" t="n">
        <v>0.00029221</v>
      </c>
      <c r="T14" t="n">
        <v>0.00017343</v>
      </c>
    </row>
    <row r="15">
      <c r="A15" t="inlineStr">
        <is>
          <t>SUP-0002</t>
        </is>
      </c>
      <c r="B15" t="inlineStr">
        <is>
          <t>Textiles Supplier 002</t>
        </is>
      </c>
      <c r="C15" t="inlineStr">
        <is>
          <t>Textiles</t>
        </is>
      </c>
      <c r="D15" t="n">
        <v>2018</v>
      </c>
      <c r="E15" t="n">
        <v>22664638.32</v>
      </c>
      <c r="F15" t="n">
        <v>74932065.31</v>
      </c>
      <c r="G15" t="n">
        <v>8786.594999999999</v>
      </c>
      <c r="H15" t="inlineStr"/>
      <c r="I15" t="inlineStr"/>
      <c r="J15" t="n">
        <v>6683.3831</v>
      </c>
      <c r="K15" t="n">
        <v>2021</v>
      </c>
      <c r="L15" t="n">
        <v>2040</v>
      </c>
      <c r="M15" t="n">
        <v>0.3164</v>
      </c>
      <c r="N15" t="n">
        <v>0.1385</v>
      </c>
      <c r="O15" t="n">
        <v>2019</v>
      </c>
      <c r="P15" t="n">
        <v>2030</v>
      </c>
      <c r="Q15" t="n">
        <v>0.3171</v>
      </c>
      <c r="R15" t="n">
        <v>401.7335</v>
      </c>
      <c r="S15" t="n">
        <v>0.00029221</v>
      </c>
      <c r="T15" t="n">
        <v>0.00017343</v>
      </c>
    </row>
    <row r="16">
      <c r="A16" t="inlineStr">
        <is>
          <t>SUP-0002</t>
        </is>
      </c>
      <c r="B16" t="inlineStr">
        <is>
          <t>Textiles Supplier 002</t>
        </is>
      </c>
      <c r="C16" t="inlineStr">
        <is>
          <t>Textiles</t>
        </is>
      </c>
      <c r="D16" t="n">
        <v>2019</v>
      </c>
      <c r="E16" t="n">
        <v>20430922.47</v>
      </c>
      <c r="F16" t="n">
        <v>71206667.77</v>
      </c>
      <c r="G16" t="n">
        <v>7258.539</v>
      </c>
      <c r="H16" t="n">
        <v>1282.3467</v>
      </c>
      <c r="I16" t="n">
        <v>1374.3187</v>
      </c>
      <c r="J16" t="inlineStr"/>
      <c r="K16" t="n">
        <v>2021</v>
      </c>
      <c r="L16" t="n">
        <v>2040</v>
      </c>
      <c r="M16" t="n">
        <v>0.3164</v>
      </c>
      <c r="N16" t="n">
        <v>0.1385</v>
      </c>
      <c r="O16" t="n">
        <v>2019</v>
      </c>
      <c r="P16" t="n">
        <v>2030</v>
      </c>
      <c r="Q16" t="n">
        <v>0.3171</v>
      </c>
      <c r="R16" t="n">
        <v>401.7335</v>
      </c>
      <c r="S16" t="n">
        <v>0.00029221</v>
      </c>
      <c r="T16" t="n">
        <v>0.00017343</v>
      </c>
    </row>
    <row r="17">
      <c r="A17" t="inlineStr">
        <is>
          <t>SUP-0002</t>
        </is>
      </c>
      <c r="B17" t="inlineStr">
        <is>
          <t>Textiles Supplier 002</t>
        </is>
      </c>
      <c r="C17" t="inlineStr">
        <is>
          <t>Textiles</t>
        </is>
      </c>
      <c r="D17" t="n">
        <v>2020</v>
      </c>
      <c r="E17" t="n">
        <v>28829769.51</v>
      </c>
      <c r="F17" t="n">
        <v>84061203.45</v>
      </c>
      <c r="G17" t="n">
        <v>12518.5458</v>
      </c>
      <c r="H17" t="n">
        <v>3353.9337</v>
      </c>
      <c r="I17" t="n">
        <v>1737.7147</v>
      </c>
      <c r="J17" t="inlineStr"/>
      <c r="K17" t="n">
        <v>2021</v>
      </c>
      <c r="L17" t="n">
        <v>2040</v>
      </c>
      <c r="M17" t="n">
        <v>0.3164</v>
      </c>
      <c r="N17" t="n">
        <v>0.1385</v>
      </c>
      <c r="O17" t="n">
        <v>2019</v>
      </c>
      <c r="P17" t="n">
        <v>2030</v>
      </c>
      <c r="Q17" t="n">
        <v>0.3171</v>
      </c>
      <c r="R17" t="n">
        <v>401.7335</v>
      </c>
      <c r="S17" t="n">
        <v>0.00029221</v>
      </c>
      <c r="T17" t="n">
        <v>0.00017343</v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2021</v>
      </c>
      <c r="E18" t="n">
        <v>26771946.84</v>
      </c>
      <c r="F18" t="inlineStr"/>
      <c r="G18" t="inlineStr"/>
      <c r="H18" t="n">
        <v>1958.7766</v>
      </c>
      <c r="I18" t="n">
        <v>746.4904</v>
      </c>
      <c r="J18" t="n">
        <v>4772.2435</v>
      </c>
      <c r="K18" t="n">
        <v>2021</v>
      </c>
      <c r="L18" t="n">
        <v>2040</v>
      </c>
      <c r="M18" t="n">
        <v>0.3164</v>
      </c>
      <c r="N18" t="n">
        <v>0.1385</v>
      </c>
      <c r="O18" t="n">
        <v>2019</v>
      </c>
      <c r="P18" t="n">
        <v>2030</v>
      </c>
      <c r="Q18" t="n">
        <v>0.3171</v>
      </c>
      <c r="R18" t="n">
        <v>401.7335</v>
      </c>
      <c r="S18" t="n">
        <v>0.00029221</v>
      </c>
      <c r="T18" t="n">
        <v>0.00017343</v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2022</v>
      </c>
      <c r="E19" t="n">
        <v>28741343.46</v>
      </c>
      <c r="F19" t="n">
        <v>84176219.13</v>
      </c>
      <c r="G19" t="n">
        <v>8208.506100000001</v>
      </c>
      <c r="H19" t="n">
        <v>825.3989</v>
      </c>
      <c r="I19" t="n">
        <v>814.1481</v>
      </c>
      <c r="J19" t="inlineStr"/>
      <c r="K19" t="n">
        <v>2021</v>
      </c>
      <c r="L19" t="n">
        <v>2040</v>
      </c>
      <c r="M19" t="n">
        <v>0.3164</v>
      </c>
      <c r="N19" t="n">
        <v>0.1385</v>
      </c>
      <c r="O19" t="n">
        <v>2019</v>
      </c>
      <c r="P19" t="n">
        <v>2030</v>
      </c>
      <c r="Q19" t="n">
        <v>0.3171</v>
      </c>
      <c r="R19" t="n">
        <v>401.7335</v>
      </c>
      <c r="S19" t="n">
        <v>0.00029221</v>
      </c>
      <c r="T19" t="n">
        <v>0.00017343</v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2023</v>
      </c>
      <c r="E20" t="n">
        <v>22644645.97</v>
      </c>
      <c r="F20" t="n">
        <v>77373171.61</v>
      </c>
      <c r="G20" t="n">
        <v>7231.8153</v>
      </c>
      <c r="H20" t="n">
        <v>1402.5033</v>
      </c>
      <c r="I20" t="n">
        <v>636.5549</v>
      </c>
      <c r="J20" t="n">
        <v>5559.0151</v>
      </c>
      <c r="K20" t="n">
        <v>2021</v>
      </c>
      <c r="L20" t="n">
        <v>2040</v>
      </c>
      <c r="M20" t="n">
        <v>0.3164</v>
      </c>
      <c r="N20" t="n">
        <v>0.1385</v>
      </c>
      <c r="O20" t="n">
        <v>2019</v>
      </c>
      <c r="P20" t="n">
        <v>2030</v>
      </c>
      <c r="Q20" t="n">
        <v>0.3171</v>
      </c>
      <c r="R20" t="n">
        <v>401.7335</v>
      </c>
      <c r="S20" t="n">
        <v>0.00029221</v>
      </c>
      <c r="T20" t="n">
        <v>0.00017343</v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28033642.13</v>
      </c>
      <c r="F21" t="n">
        <v>159297478.5</v>
      </c>
      <c r="G21" t="inlineStr"/>
      <c r="H21" t="n">
        <v>959.4414</v>
      </c>
      <c r="I21" t="n">
        <v>990.8535000000001</v>
      </c>
      <c r="J21" t="n">
        <v>7995.6351</v>
      </c>
      <c r="K21" t="n">
        <v>2021</v>
      </c>
      <c r="L21" t="n">
        <v>2040</v>
      </c>
      <c r="M21" t="n">
        <v>0.3164</v>
      </c>
      <c r="N21" t="n">
        <v>0.1385</v>
      </c>
      <c r="O21" t="n">
        <v>2019</v>
      </c>
      <c r="P21" t="n">
        <v>2030</v>
      </c>
      <c r="Q21" t="n">
        <v>0.3171</v>
      </c>
      <c r="R21" t="n">
        <v>401.7335</v>
      </c>
      <c r="S21" t="n">
        <v>0.00029221</v>
      </c>
      <c r="T21" t="n">
        <v>0.00017343</v>
      </c>
    </row>
    <row r="22">
      <c r="A22" t="inlineStr">
        <is>
          <t>SUP-0003</t>
        </is>
      </c>
      <c r="B22" t="inlineStr">
        <is>
          <t>Electronics Supplier 003</t>
        </is>
      </c>
      <c r="C22" t="inlineStr">
        <is>
          <t>Electronics</t>
        </is>
      </c>
      <c r="D22" t="n">
        <v>2015</v>
      </c>
      <c r="E22" t="n">
        <v>6238851.19</v>
      </c>
      <c r="F22" t="inlineStr"/>
      <c r="G22" t="n">
        <v>4290.6371</v>
      </c>
      <c r="H22" t="inlineStr"/>
      <c r="I22" t="n">
        <v>531.1107</v>
      </c>
      <c r="J22" t="inlineStr"/>
      <c r="K22" t="n">
        <v>2018</v>
      </c>
      <c r="L22" t="n">
        <v>2030</v>
      </c>
      <c r="M22" t="n">
        <v>0.4542</v>
      </c>
      <c r="N22" t="n">
        <v>0.214</v>
      </c>
      <c r="O22" t="n">
        <v>2018</v>
      </c>
      <c r="P22" t="n">
        <v>2040</v>
      </c>
      <c r="Q22" t="n">
        <v>0.3424</v>
      </c>
      <c r="R22" t="n">
        <v>635.1588</v>
      </c>
      <c r="S22" t="n">
        <v>0.00086105</v>
      </c>
      <c r="T22" t="n">
        <v>0.00013947</v>
      </c>
    </row>
    <row r="23">
      <c r="A23" t="inlineStr">
        <is>
          <t>SUP-0003</t>
        </is>
      </c>
      <c r="B23" t="inlineStr">
        <is>
          <t>Electronics Supplier 003</t>
        </is>
      </c>
      <c r="C23" t="inlineStr">
        <is>
          <t>Electronics</t>
        </is>
      </c>
      <c r="D23" t="n">
        <v>2016</v>
      </c>
      <c r="E23" t="n">
        <v>6962351.64</v>
      </c>
      <c r="F23" t="inlineStr"/>
      <c r="G23" t="n">
        <v>4781.2477</v>
      </c>
      <c r="H23" t="n">
        <v>805.9985</v>
      </c>
      <c r="I23" t="inlineStr"/>
      <c r="J23" t="n">
        <v>3019.1396</v>
      </c>
      <c r="K23" t="n">
        <v>2018</v>
      </c>
      <c r="L23" t="n">
        <v>2030</v>
      </c>
      <c r="M23" t="n">
        <v>0.4542</v>
      </c>
      <c r="N23" t="n">
        <v>0.214</v>
      </c>
      <c r="O23" t="n">
        <v>2018</v>
      </c>
      <c r="P23" t="n">
        <v>2040</v>
      </c>
      <c r="Q23" t="n">
        <v>0.3424</v>
      </c>
      <c r="R23" t="n">
        <v>635.1588</v>
      </c>
      <c r="S23" t="n">
        <v>0.00086105</v>
      </c>
      <c r="T23" t="n">
        <v>0.00013947</v>
      </c>
    </row>
    <row r="24">
      <c r="A24" t="inlineStr">
        <is>
          <t>SUP-0003</t>
        </is>
      </c>
      <c r="B24" t="inlineStr">
        <is>
          <t>Electronics Supplier 003</t>
        </is>
      </c>
      <c r="C24" t="inlineStr">
        <is>
          <t>Electronics</t>
        </is>
      </c>
      <c r="D24" t="n">
        <v>2017</v>
      </c>
      <c r="E24" t="n">
        <v>7126288.42</v>
      </c>
      <c r="F24" t="n">
        <v>27443905.47</v>
      </c>
      <c r="G24" t="n">
        <v>4327.548</v>
      </c>
      <c r="H24" t="n">
        <v>1038.6433</v>
      </c>
      <c r="I24" t="inlineStr"/>
      <c r="J24" t="n">
        <v>2882.6325</v>
      </c>
      <c r="K24" t="n">
        <v>2018</v>
      </c>
      <c r="L24" t="n">
        <v>2030</v>
      </c>
      <c r="M24" t="n">
        <v>0.4542</v>
      </c>
      <c r="N24" t="n">
        <v>0.214</v>
      </c>
      <c r="O24" t="n">
        <v>2018</v>
      </c>
      <c r="P24" t="n">
        <v>2040</v>
      </c>
      <c r="Q24" t="n">
        <v>0.3424</v>
      </c>
      <c r="R24" t="n">
        <v>635.1588</v>
      </c>
      <c r="S24" t="n">
        <v>0.00086105</v>
      </c>
      <c r="T24" t="n">
        <v>0.00013947</v>
      </c>
    </row>
    <row r="25">
      <c r="A25" t="inlineStr">
        <is>
          <t>SUP-0003</t>
        </is>
      </c>
      <c r="B25" t="inlineStr">
        <is>
          <t>Electronics Supplier 003</t>
        </is>
      </c>
      <c r="C25" t="inlineStr">
        <is>
          <t>Electronics</t>
        </is>
      </c>
      <c r="D25" t="n">
        <v>2018</v>
      </c>
      <c r="E25" t="inlineStr"/>
      <c r="F25" t="n">
        <v>24622697.24</v>
      </c>
      <c r="G25" t="n">
        <v>4242.1461</v>
      </c>
      <c r="H25" t="inlineStr"/>
      <c r="I25" t="n">
        <v>533.4873</v>
      </c>
      <c r="J25" t="n">
        <v>2705.2282</v>
      </c>
      <c r="K25" t="n">
        <v>2018</v>
      </c>
      <c r="L25" t="n">
        <v>2030</v>
      </c>
      <c r="M25" t="n">
        <v>0.4542</v>
      </c>
      <c r="N25" t="n">
        <v>0.214</v>
      </c>
      <c r="O25" t="n">
        <v>2018</v>
      </c>
      <c r="P25" t="n">
        <v>2040</v>
      </c>
      <c r="Q25" t="n">
        <v>0.3424</v>
      </c>
      <c r="R25" t="n">
        <v>635.1588</v>
      </c>
      <c r="S25" t="n">
        <v>0.00086105</v>
      </c>
      <c r="T25" t="n">
        <v>0.00013947</v>
      </c>
    </row>
    <row r="26">
      <c r="A26" t="inlineStr">
        <is>
          <t>SUP-0003</t>
        </is>
      </c>
      <c r="B26" t="inlineStr">
        <is>
          <t>Electronics Supplier 003</t>
        </is>
      </c>
      <c r="C26" t="inlineStr">
        <is>
          <t>Electronics</t>
        </is>
      </c>
      <c r="D26" t="n">
        <v>2019</v>
      </c>
      <c r="E26" t="n">
        <v>8481437.220000001</v>
      </c>
      <c r="F26" t="n">
        <v>24670734.85</v>
      </c>
      <c r="G26" t="n">
        <v>5325.6246</v>
      </c>
      <c r="H26" t="n">
        <v>1447.5085</v>
      </c>
      <c r="I26" t="n">
        <v>610.8751</v>
      </c>
      <c r="J26" t="n">
        <v>3195.117</v>
      </c>
      <c r="K26" t="n">
        <v>2018</v>
      </c>
      <c r="L26" t="n">
        <v>2030</v>
      </c>
      <c r="M26" t="n">
        <v>0.4542</v>
      </c>
      <c r="N26" t="n">
        <v>0.214</v>
      </c>
      <c r="O26" t="n">
        <v>2018</v>
      </c>
      <c r="P26" t="n">
        <v>2040</v>
      </c>
      <c r="Q26" t="n">
        <v>0.3424</v>
      </c>
      <c r="R26" t="n">
        <v>635.1588</v>
      </c>
      <c r="S26" t="n">
        <v>0.00086105</v>
      </c>
      <c r="T26" t="n">
        <v>0.00013947</v>
      </c>
    </row>
    <row r="27">
      <c r="A27" t="inlineStr">
        <is>
          <t>SUP-0003</t>
        </is>
      </c>
      <c r="B27" t="inlineStr">
        <is>
          <t>Electronics Supplier 003</t>
        </is>
      </c>
      <c r="C27" t="inlineStr">
        <is>
          <t>Electronics</t>
        </is>
      </c>
      <c r="D27" t="n">
        <v>2020</v>
      </c>
      <c r="E27" t="n">
        <v>9413823.460000001</v>
      </c>
      <c r="F27" t="n">
        <v>30055273.3</v>
      </c>
      <c r="G27" t="n">
        <v>5235.5213</v>
      </c>
      <c r="H27" t="n">
        <v>1140.6453</v>
      </c>
      <c r="I27" t="n">
        <v>854.3442</v>
      </c>
      <c r="J27" t="inlineStr"/>
      <c r="K27" t="n">
        <v>2018</v>
      </c>
      <c r="L27" t="n">
        <v>2030</v>
      </c>
      <c r="M27" t="n">
        <v>0.4542</v>
      </c>
      <c r="N27" t="n">
        <v>0.214</v>
      </c>
      <c r="O27" t="n">
        <v>2018</v>
      </c>
      <c r="P27" t="n">
        <v>2040</v>
      </c>
      <c r="Q27" t="n">
        <v>0.3424</v>
      </c>
      <c r="R27" t="n">
        <v>635.1588</v>
      </c>
      <c r="S27" t="n">
        <v>0.00086105</v>
      </c>
      <c r="T27" t="n">
        <v>0.00013947</v>
      </c>
    </row>
    <row r="28">
      <c r="A28" t="inlineStr">
        <is>
          <t>SUP-0003</t>
        </is>
      </c>
      <c r="B28" t="inlineStr">
        <is>
          <t>Electronics Supplier 003</t>
        </is>
      </c>
      <c r="C28" t="inlineStr">
        <is>
          <t>Electronics</t>
        </is>
      </c>
      <c r="D28" t="n">
        <v>2021</v>
      </c>
      <c r="E28" t="inlineStr"/>
      <c r="F28" t="n">
        <v>32913953.29</v>
      </c>
      <c r="G28" t="n">
        <v>5492.7382</v>
      </c>
      <c r="H28" t="n">
        <v>1023.7935</v>
      </c>
      <c r="I28" t="n">
        <v>884.2648</v>
      </c>
      <c r="J28" t="n">
        <v>3516.2967</v>
      </c>
      <c r="K28" t="n">
        <v>2018</v>
      </c>
      <c r="L28" t="n">
        <v>2030</v>
      </c>
      <c r="M28" t="n">
        <v>0.4542</v>
      </c>
      <c r="N28" t="n">
        <v>0.214</v>
      </c>
      <c r="O28" t="n">
        <v>2018</v>
      </c>
      <c r="P28" t="n">
        <v>2040</v>
      </c>
      <c r="Q28" t="n">
        <v>0.3424</v>
      </c>
      <c r="R28" t="n">
        <v>635.1588</v>
      </c>
      <c r="S28" t="n">
        <v>0.00086105</v>
      </c>
      <c r="T28" t="n">
        <v>0.00013947</v>
      </c>
    </row>
    <row r="29">
      <c r="A29" t="inlineStr">
        <is>
          <t>SUP-0003</t>
        </is>
      </c>
      <c r="B29" t="inlineStr">
        <is>
          <t>Electronics Supplier 003</t>
        </is>
      </c>
      <c r="C29" t="inlineStr">
        <is>
          <t>Electronics</t>
        </is>
      </c>
      <c r="D29" t="n">
        <v>2022</v>
      </c>
      <c r="E29" t="n">
        <v>11905233.58</v>
      </c>
      <c r="F29" t="n">
        <v>30820303.57</v>
      </c>
      <c r="G29" t="inlineStr"/>
      <c r="H29" t="n">
        <v>1605.351</v>
      </c>
      <c r="I29" t="n">
        <v>708.3299</v>
      </c>
      <c r="J29" t="n">
        <v>3977.8499</v>
      </c>
      <c r="K29" t="n">
        <v>2018</v>
      </c>
      <c r="L29" t="n">
        <v>2030</v>
      </c>
      <c r="M29" t="n">
        <v>0.4542</v>
      </c>
      <c r="N29" t="n">
        <v>0.214</v>
      </c>
      <c r="O29" t="n">
        <v>2018</v>
      </c>
      <c r="P29" t="n">
        <v>2040</v>
      </c>
      <c r="Q29" t="n">
        <v>0.3424</v>
      </c>
      <c r="R29" t="n">
        <v>635.1588</v>
      </c>
      <c r="S29" t="n">
        <v>0.00086105</v>
      </c>
      <c r="T29" t="n">
        <v>0.00013947</v>
      </c>
    </row>
    <row r="30">
      <c r="A30" t="inlineStr">
        <is>
          <t>SUP-0003</t>
        </is>
      </c>
      <c r="B30" t="inlineStr">
        <is>
          <t>Electronics Supplier 003</t>
        </is>
      </c>
      <c r="C30" t="inlineStr">
        <is>
          <t>Electronics</t>
        </is>
      </c>
      <c r="D30" t="n">
        <v>2023</v>
      </c>
      <c r="E30" t="inlineStr"/>
      <c r="F30" t="n">
        <v>43015996.27</v>
      </c>
      <c r="G30" t="inlineStr"/>
      <c r="H30" t="n">
        <v>591.5886</v>
      </c>
      <c r="I30" t="n">
        <v>747.3334</v>
      </c>
      <c r="J30" t="inlineStr"/>
      <c r="K30" t="n">
        <v>2018</v>
      </c>
      <c r="L30" t="n">
        <v>2030</v>
      </c>
      <c r="M30" t="n">
        <v>0.4542</v>
      </c>
      <c r="N30" t="n">
        <v>0.214</v>
      </c>
      <c r="O30" t="n">
        <v>2018</v>
      </c>
      <c r="P30" t="n">
        <v>2040</v>
      </c>
      <c r="Q30" t="n">
        <v>0.3424</v>
      </c>
      <c r="R30" t="n">
        <v>635.1588</v>
      </c>
      <c r="S30" t="n">
        <v>0.00086105</v>
      </c>
      <c r="T30" t="n">
        <v>0.00013947</v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2024</v>
      </c>
      <c r="E31" t="n">
        <v>14433482.87</v>
      </c>
      <c r="F31" t="n">
        <v>41008991.04</v>
      </c>
      <c r="G31" t="n">
        <v>6408.6921</v>
      </c>
      <c r="H31" t="n">
        <v>597.869</v>
      </c>
      <c r="I31" t="n">
        <v>724.7649</v>
      </c>
      <c r="J31" t="inlineStr"/>
      <c r="K31" t="n">
        <v>2018</v>
      </c>
      <c r="L31" t="n">
        <v>2030</v>
      </c>
      <c r="M31" t="n">
        <v>0.4542</v>
      </c>
      <c r="N31" t="n">
        <v>0.214</v>
      </c>
      <c r="O31" t="n">
        <v>2018</v>
      </c>
      <c r="P31" t="n">
        <v>2040</v>
      </c>
      <c r="Q31" t="n">
        <v>0.3424</v>
      </c>
      <c r="R31" t="n">
        <v>635.1588</v>
      </c>
      <c r="S31" t="n">
        <v>0.00086105</v>
      </c>
      <c r="T31" t="n">
        <v>0.00013947</v>
      </c>
    </row>
    <row r="32">
      <c r="A32" t="inlineStr">
        <is>
          <t>SUP-0004</t>
        </is>
      </c>
      <c r="B32" t="inlineStr">
        <is>
          <t>Agriculture Supplier 004</t>
        </is>
      </c>
      <c r="C32" t="inlineStr">
        <is>
          <t>Agriculture</t>
        </is>
      </c>
      <c r="D32" t="n">
        <v>2015</v>
      </c>
      <c r="E32" t="inlineStr"/>
      <c r="F32" t="n">
        <v>46660515.83</v>
      </c>
      <c r="G32" t="n">
        <v>7407.7346</v>
      </c>
      <c r="H32" t="n">
        <v>1546.9278</v>
      </c>
      <c r="I32" t="n">
        <v>1238.3659</v>
      </c>
      <c r="J32" t="n">
        <v>4704.4192</v>
      </c>
      <c r="K32" t="n">
        <v>2020</v>
      </c>
      <c r="L32" t="n">
        <v>2040</v>
      </c>
      <c r="M32" t="n">
        <v>0.5872000000000001</v>
      </c>
      <c r="N32" t="n">
        <v>0.3238</v>
      </c>
      <c r="O32" t="n">
        <v>2018</v>
      </c>
      <c r="P32" t="inlineStr"/>
      <c r="Q32" t="inlineStr"/>
      <c r="R32" t="n">
        <v>529.8294</v>
      </c>
      <c r="S32" t="n">
        <v>0.00091413</v>
      </c>
      <c r="T32" t="n">
        <v>0.00096913</v>
      </c>
    </row>
    <row r="33">
      <c r="A33" t="inlineStr">
        <is>
          <t>SUP-0004</t>
        </is>
      </c>
      <c r="B33" t="inlineStr">
        <is>
          <t>Agriculture Supplier 004</t>
        </is>
      </c>
      <c r="C33" t="inlineStr">
        <is>
          <t>Agriculture</t>
        </is>
      </c>
      <c r="D33" t="n">
        <v>2016</v>
      </c>
      <c r="E33" t="n">
        <v>7140247.37</v>
      </c>
      <c r="F33" t="inlineStr"/>
      <c r="G33" t="inlineStr"/>
      <c r="H33" t="n">
        <v>1137.1114</v>
      </c>
      <c r="I33" t="inlineStr"/>
      <c r="J33" t="inlineStr"/>
      <c r="K33" t="n">
        <v>2020</v>
      </c>
      <c r="L33" t="n">
        <v>2040</v>
      </c>
      <c r="M33" t="n">
        <v>0.5872000000000001</v>
      </c>
      <c r="N33" t="n">
        <v>0.3238</v>
      </c>
      <c r="O33" t="n">
        <v>2018</v>
      </c>
      <c r="P33" t="inlineStr"/>
      <c r="Q33" t="inlineStr"/>
      <c r="R33" t="n">
        <v>529.8294</v>
      </c>
      <c r="S33" t="n">
        <v>0.00091413</v>
      </c>
      <c r="T33" t="n">
        <v>0.00096913</v>
      </c>
    </row>
    <row r="34">
      <c r="A34" t="inlineStr">
        <is>
          <t>SUP-0004</t>
        </is>
      </c>
      <c r="B34" t="inlineStr">
        <is>
          <t>Agriculture Supplier 004</t>
        </is>
      </c>
      <c r="C34" t="inlineStr">
        <is>
          <t>Agriculture</t>
        </is>
      </c>
      <c r="D34" t="n">
        <v>2017</v>
      </c>
      <c r="E34" t="n">
        <v>6650789.17</v>
      </c>
      <c r="F34" t="n">
        <v>45579518.54</v>
      </c>
      <c r="G34" t="n">
        <v>5838.9102</v>
      </c>
      <c r="H34" t="n">
        <v>583.7569</v>
      </c>
      <c r="I34" t="n">
        <v>1044.4864</v>
      </c>
      <c r="J34" t="inlineStr"/>
      <c r="K34" t="n">
        <v>2020</v>
      </c>
      <c r="L34" t="n">
        <v>2040</v>
      </c>
      <c r="M34" t="n">
        <v>0.5872000000000001</v>
      </c>
      <c r="N34" t="n">
        <v>0.3238</v>
      </c>
      <c r="O34" t="n">
        <v>2018</v>
      </c>
      <c r="P34" t="inlineStr"/>
      <c r="Q34" t="inlineStr"/>
      <c r="R34" t="n">
        <v>529.8294</v>
      </c>
      <c r="S34" t="n">
        <v>0.00091413</v>
      </c>
      <c r="T34" t="n">
        <v>0.00096913</v>
      </c>
    </row>
    <row r="35">
      <c r="A35" t="inlineStr">
        <is>
          <t>SUP-0004</t>
        </is>
      </c>
      <c r="B35" t="inlineStr">
        <is>
          <t>Agriculture Supplier 004</t>
        </is>
      </c>
      <c r="C35" t="inlineStr">
        <is>
          <t>Agriculture</t>
        </is>
      </c>
      <c r="D35" t="n">
        <v>2018</v>
      </c>
      <c r="E35" t="n">
        <v>6558376.45</v>
      </c>
      <c r="F35" t="n">
        <v>47649354.82</v>
      </c>
      <c r="G35" t="inlineStr"/>
      <c r="H35" t="inlineStr"/>
      <c r="I35" t="inlineStr"/>
      <c r="J35" t="n">
        <v>4382.5535</v>
      </c>
      <c r="K35" t="n">
        <v>2020</v>
      </c>
      <c r="L35" t="n">
        <v>2040</v>
      </c>
      <c r="M35" t="n">
        <v>0.5872000000000001</v>
      </c>
      <c r="N35" t="n">
        <v>0.3238</v>
      </c>
      <c r="O35" t="n">
        <v>2018</v>
      </c>
      <c r="P35" t="inlineStr"/>
      <c r="Q35" t="inlineStr"/>
      <c r="R35" t="n">
        <v>529.8294</v>
      </c>
      <c r="S35" t="n">
        <v>0.00091413</v>
      </c>
      <c r="T35" t="n">
        <v>0.00096913</v>
      </c>
    </row>
    <row r="36">
      <c r="A36" t="inlineStr">
        <is>
          <t>SUP-0004</t>
        </is>
      </c>
      <c r="B36" t="inlineStr">
        <is>
          <t>Agriculture Supplier 004</t>
        </is>
      </c>
      <c r="C36" t="inlineStr">
        <is>
          <t>Agriculture</t>
        </is>
      </c>
      <c r="D36" t="n">
        <v>2019</v>
      </c>
      <c r="E36" t="n">
        <v>6141646.97</v>
      </c>
      <c r="F36" t="n">
        <v>51678348</v>
      </c>
      <c r="G36" t="n">
        <v>5526.4852</v>
      </c>
      <c r="H36" t="n">
        <v>1324.9754</v>
      </c>
      <c r="I36" t="n">
        <v>1160.3154</v>
      </c>
      <c r="J36" t="n">
        <v>2860.3629</v>
      </c>
      <c r="K36" t="n">
        <v>2020</v>
      </c>
      <c r="L36" t="n">
        <v>2040</v>
      </c>
      <c r="M36" t="n">
        <v>0.5872000000000001</v>
      </c>
      <c r="N36" t="n">
        <v>0.3238</v>
      </c>
      <c r="O36" t="n">
        <v>2018</v>
      </c>
      <c r="P36" t="inlineStr"/>
      <c r="Q36" t="inlineStr"/>
      <c r="R36" t="n">
        <v>529.8294</v>
      </c>
      <c r="S36" t="n">
        <v>0.00091413</v>
      </c>
      <c r="T36" t="n">
        <v>0.00096913</v>
      </c>
    </row>
    <row r="37">
      <c r="A37" t="inlineStr">
        <is>
          <t>SUP-0004</t>
        </is>
      </c>
      <c r="B37" t="inlineStr">
        <is>
          <t>Agriculture Supplier 004</t>
        </is>
      </c>
      <c r="C37" t="inlineStr">
        <is>
          <t>Agriculture</t>
        </is>
      </c>
      <c r="D37" t="n">
        <v>2020</v>
      </c>
      <c r="E37" t="n">
        <v>6139946.56</v>
      </c>
      <c r="F37" t="inlineStr"/>
      <c r="G37" t="inlineStr"/>
      <c r="H37" t="n">
        <v>537.0582000000001</v>
      </c>
      <c r="I37" t="n">
        <v>492.9686</v>
      </c>
      <c r="J37" t="n">
        <v>2952.5369</v>
      </c>
      <c r="K37" t="n">
        <v>2020</v>
      </c>
      <c r="L37" t="n">
        <v>2040</v>
      </c>
      <c r="M37" t="n">
        <v>0.5872000000000001</v>
      </c>
      <c r="N37" t="n">
        <v>0.3238</v>
      </c>
      <c r="O37" t="n">
        <v>2018</v>
      </c>
      <c r="P37" t="inlineStr"/>
      <c r="Q37" t="inlineStr"/>
      <c r="R37" t="n">
        <v>529.8294</v>
      </c>
      <c r="S37" t="n">
        <v>0.00091413</v>
      </c>
      <c r="T37" t="n">
        <v>0.00096913</v>
      </c>
    </row>
    <row r="38">
      <c r="A38" t="inlineStr">
        <is>
          <t>SUP-0004</t>
        </is>
      </c>
      <c r="B38" t="inlineStr">
        <is>
          <t>Agriculture Supplier 004</t>
        </is>
      </c>
      <c r="C38" t="inlineStr">
        <is>
          <t>Agriculture</t>
        </is>
      </c>
      <c r="D38" t="n">
        <v>2021</v>
      </c>
      <c r="E38" t="n">
        <v>5534260.62</v>
      </c>
      <c r="F38" t="n">
        <v>44754305.44</v>
      </c>
      <c r="G38" t="inlineStr"/>
      <c r="H38" t="n">
        <v>569.1272</v>
      </c>
      <c r="I38" t="inlineStr"/>
      <c r="J38" t="n">
        <v>3224.559</v>
      </c>
      <c r="K38" t="n">
        <v>2020</v>
      </c>
      <c r="L38" t="n">
        <v>2040</v>
      </c>
      <c r="M38" t="n">
        <v>0.5872000000000001</v>
      </c>
      <c r="N38" t="n">
        <v>0.3238</v>
      </c>
      <c r="O38" t="n">
        <v>2018</v>
      </c>
      <c r="P38" t="inlineStr"/>
      <c r="Q38" t="inlineStr"/>
      <c r="R38" t="n">
        <v>529.8294</v>
      </c>
      <c r="S38" t="n">
        <v>0.00091413</v>
      </c>
      <c r="T38" t="n">
        <v>0.00096913</v>
      </c>
    </row>
    <row r="39">
      <c r="A39" t="inlineStr">
        <is>
          <t>SUP-0004</t>
        </is>
      </c>
      <c r="B39" t="inlineStr">
        <is>
          <t>Agriculture Supplier 004</t>
        </is>
      </c>
      <c r="C39" t="inlineStr">
        <is>
          <t>Agriculture</t>
        </is>
      </c>
      <c r="D39" t="n">
        <v>2022</v>
      </c>
      <c r="E39" t="n">
        <v>5878059.93</v>
      </c>
      <c r="F39" t="n">
        <v>40178921.02</v>
      </c>
      <c r="G39" t="n">
        <v>4623.9622</v>
      </c>
      <c r="H39" t="n">
        <v>1127.1784</v>
      </c>
      <c r="I39" t="n">
        <v>495.0129</v>
      </c>
      <c r="J39" t="n">
        <v>3108.5048</v>
      </c>
      <c r="K39" t="n">
        <v>2020</v>
      </c>
      <c r="L39" t="n">
        <v>2040</v>
      </c>
      <c r="M39" t="n">
        <v>0.5872000000000001</v>
      </c>
      <c r="N39" t="n">
        <v>0.3238</v>
      </c>
      <c r="O39" t="n">
        <v>2018</v>
      </c>
      <c r="P39" t="inlineStr"/>
      <c r="Q39" t="inlineStr"/>
      <c r="R39" t="n">
        <v>529.8294</v>
      </c>
      <c r="S39" t="n">
        <v>0.00091413</v>
      </c>
      <c r="T39" t="n">
        <v>0.00096913</v>
      </c>
    </row>
    <row r="40">
      <c r="A40" t="inlineStr">
        <is>
          <t>SUP-0004</t>
        </is>
      </c>
      <c r="B40" t="inlineStr">
        <is>
          <t>Agriculture Supplier 004</t>
        </is>
      </c>
      <c r="C40" t="inlineStr">
        <is>
          <t>Agriculture</t>
        </is>
      </c>
      <c r="D40" t="n">
        <v>2023</v>
      </c>
      <c r="E40" t="n">
        <v>4932034.1</v>
      </c>
      <c r="F40" t="n">
        <v>30436787.05</v>
      </c>
      <c r="G40" t="n">
        <v>4390.6953</v>
      </c>
      <c r="H40" t="n">
        <v>1005.0444</v>
      </c>
      <c r="I40" t="n">
        <v>841.4374</v>
      </c>
      <c r="J40" t="n">
        <v>2418.4452</v>
      </c>
      <c r="K40" t="n">
        <v>2020</v>
      </c>
      <c r="L40" t="n">
        <v>2040</v>
      </c>
      <c r="M40" t="n">
        <v>0.5872000000000001</v>
      </c>
      <c r="N40" t="n">
        <v>0.3238</v>
      </c>
      <c r="O40" t="n">
        <v>2018</v>
      </c>
      <c r="P40" t="inlineStr"/>
      <c r="Q40" t="inlineStr"/>
      <c r="R40" t="n">
        <v>529.8294</v>
      </c>
      <c r="S40" t="n">
        <v>0.00091413</v>
      </c>
      <c r="T40" t="n">
        <v>0.00096913</v>
      </c>
    </row>
    <row r="41">
      <c r="A41" t="inlineStr">
        <is>
          <t>SUP-0004</t>
        </is>
      </c>
      <c r="B41" t="inlineStr">
        <is>
          <t>Agriculture Supplier 004</t>
        </is>
      </c>
      <c r="C41" t="inlineStr">
        <is>
          <t>Agriculture</t>
        </is>
      </c>
      <c r="D41" t="n">
        <v>2024</v>
      </c>
      <c r="E41" t="n">
        <v>5955769.2</v>
      </c>
      <c r="F41" t="n">
        <v>37921597.27</v>
      </c>
      <c r="G41" t="n">
        <v>3720.5628</v>
      </c>
      <c r="H41" t="n">
        <v>416.9159</v>
      </c>
      <c r="I41" t="n">
        <v>451.7582</v>
      </c>
      <c r="J41" t="n">
        <v>3151.0702</v>
      </c>
      <c r="K41" t="n">
        <v>2020</v>
      </c>
      <c r="L41" t="n">
        <v>2040</v>
      </c>
      <c r="M41" t="n">
        <v>0.5872000000000001</v>
      </c>
      <c r="N41" t="n">
        <v>0.3238</v>
      </c>
      <c r="O41" t="n">
        <v>2018</v>
      </c>
      <c r="P41" t="inlineStr"/>
      <c r="Q41" t="inlineStr"/>
      <c r="R41" t="n">
        <v>529.8294</v>
      </c>
      <c r="S41" t="n">
        <v>0.00091413</v>
      </c>
      <c r="T41" t="n">
        <v>0.00096913</v>
      </c>
    </row>
    <row r="42">
      <c r="A42" t="inlineStr">
        <is>
          <t>SUP-0005</t>
        </is>
      </c>
      <c r="B42" t="inlineStr">
        <is>
          <t>Professional Supplier 005</t>
        </is>
      </c>
      <c r="C42" t="inlineStr">
        <is>
          <t>Professional Services</t>
        </is>
      </c>
      <c r="D42" t="n">
        <v>2015</v>
      </c>
      <c r="E42" t="n">
        <v>9305308.890000001</v>
      </c>
      <c r="F42" t="n">
        <v>31837165.56</v>
      </c>
      <c r="G42" t="n">
        <v>1369.0155</v>
      </c>
      <c r="H42" t="n">
        <v>203.6157</v>
      </c>
      <c r="I42" t="n">
        <v>102.6865</v>
      </c>
      <c r="J42" t="n">
        <v>1023.4625</v>
      </c>
      <c r="K42" t="inlineStr"/>
      <c r="L42" t="inlineStr"/>
      <c r="M42" t="inlineStr"/>
      <c r="N42" t="inlineStr"/>
      <c r="O42" t="n">
        <v>2020</v>
      </c>
      <c r="P42" t="inlineStr"/>
      <c r="Q42" t="inlineStr"/>
      <c r="R42" t="n">
        <v>400.0326</v>
      </c>
      <c r="S42" t="n">
        <v>0.00012906</v>
      </c>
      <c r="T42" t="n">
        <v>0.00019658</v>
      </c>
    </row>
    <row r="43">
      <c r="A43" t="inlineStr">
        <is>
          <t>SUP-0005</t>
        </is>
      </c>
      <c r="B43" t="inlineStr">
        <is>
          <t>Professional Supplier 005</t>
        </is>
      </c>
      <c r="C43" t="inlineStr">
        <is>
          <t>Professional Services</t>
        </is>
      </c>
      <c r="D43" t="n">
        <v>2016</v>
      </c>
      <c r="E43" t="n">
        <v>11516447.87</v>
      </c>
      <c r="F43" t="inlineStr"/>
      <c r="G43" t="inlineStr"/>
      <c r="H43" t="n">
        <v>372.5678</v>
      </c>
      <c r="I43" t="n">
        <v>210.7603</v>
      </c>
      <c r="J43" t="n">
        <v>858.9834</v>
      </c>
      <c r="K43" t="inlineStr"/>
      <c r="L43" t="inlineStr"/>
      <c r="M43" t="inlineStr"/>
      <c r="N43" t="inlineStr"/>
      <c r="O43" t="n">
        <v>2020</v>
      </c>
      <c r="P43" t="inlineStr"/>
      <c r="Q43" t="inlineStr"/>
      <c r="R43" t="n">
        <v>400.0326</v>
      </c>
      <c r="S43" t="n">
        <v>0.00012906</v>
      </c>
      <c r="T43" t="n">
        <v>0.00019658</v>
      </c>
    </row>
    <row r="44">
      <c r="A44" t="inlineStr">
        <is>
          <t>SUP-0005</t>
        </is>
      </c>
      <c r="B44" t="inlineStr">
        <is>
          <t>Professional Supplier 005</t>
        </is>
      </c>
      <c r="C44" t="inlineStr">
        <is>
          <t>Professional Services</t>
        </is>
      </c>
      <c r="D44" t="n">
        <v>2017</v>
      </c>
      <c r="E44" t="n">
        <v>9516989.07</v>
      </c>
      <c r="F44" t="n">
        <v>37201051.87</v>
      </c>
      <c r="G44" t="n">
        <v>1494.2746</v>
      </c>
      <c r="H44" t="n">
        <v>281.7161</v>
      </c>
      <c r="I44" t="n">
        <v>150.9093</v>
      </c>
      <c r="J44" t="inlineStr"/>
      <c r="K44" t="inlineStr"/>
      <c r="L44" t="inlineStr"/>
      <c r="M44" t="inlineStr"/>
      <c r="N44" t="inlineStr"/>
      <c r="O44" t="n">
        <v>2020</v>
      </c>
      <c r="P44" t="inlineStr"/>
      <c r="Q44" t="inlineStr"/>
      <c r="R44" t="n">
        <v>400.0326</v>
      </c>
      <c r="S44" t="n">
        <v>0.00012906</v>
      </c>
      <c r="T44" t="n">
        <v>0.00019658</v>
      </c>
    </row>
    <row r="45">
      <c r="A45" t="inlineStr">
        <is>
          <t>SUP-0005</t>
        </is>
      </c>
      <c r="B45" t="inlineStr">
        <is>
          <t>Professional Supplier 005</t>
        </is>
      </c>
      <c r="C45" t="inlineStr">
        <is>
          <t>Professional Services</t>
        </is>
      </c>
      <c r="D45" t="n">
        <v>2018</v>
      </c>
      <c r="E45" t="n">
        <v>11596085.91</v>
      </c>
      <c r="F45" t="inlineStr"/>
      <c r="G45" t="n">
        <v>1315.6871</v>
      </c>
      <c r="H45" t="n">
        <v>395.829</v>
      </c>
      <c r="I45" t="n">
        <v>198.9226</v>
      </c>
      <c r="J45" t="n">
        <v>773.9908</v>
      </c>
      <c r="K45" t="inlineStr"/>
      <c r="L45" t="inlineStr"/>
      <c r="M45" t="inlineStr"/>
      <c r="N45" t="inlineStr"/>
      <c r="O45" t="n">
        <v>2020</v>
      </c>
      <c r="P45" t="inlineStr"/>
      <c r="Q45" t="inlineStr"/>
      <c r="R45" t="n">
        <v>400.0326</v>
      </c>
      <c r="S45" t="n">
        <v>0.00012906</v>
      </c>
      <c r="T45" t="n">
        <v>0.00019658</v>
      </c>
    </row>
    <row r="46">
      <c r="A46" t="inlineStr">
        <is>
          <t>SUP-0005</t>
        </is>
      </c>
      <c r="B46" t="inlineStr">
        <is>
          <t>Professional Supplier 005</t>
        </is>
      </c>
      <c r="C46" t="inlineStr">
        <is>
          <t>Professional Services</t>
        </is>
      </c>
      <c r="D46" t="n">
        <v>2019</v>
      </c>
      <c r="E46" t="n">
        <v>10111383.74</v>
      </c>
      <c r="F46" t="n">
        <v>46195221.1</v>
      </c>
      <c r="G46" t="inlineStr"/>
      <c r="H46" t="inlineStr"/>
      <c r="I46" t="inlineStr"/>
      <c r="J46" t="n">
        <v>757.7592</v>
      </c>
      <c r="K46" t="inlineStr"/>
      <c r="L46" t="inlineStr"/>
      <c r="M46" t="inlineStr"/>
      <c r="N46" t="inlineStr"/>
      <c r="O46" t="n">
        <v>2020</v>
      </c>
      <c r="P46" t="inlineStr"/>
      <c r="Q46" t="inlineStr"/>
      <c r="R46" t="n">
        <v>400.0326</v>
      </c>
      <c r="S46" t="n">
        <v>0.00012906</v>
      </c>
      <c r="T46" t="n">
        <v>0.00019658</v>
      </c>
    </row>
    <row r="47">
      <c r="A47" t="inlineStr">
        <is>
          <t>SUP-0005</t>
        </is>
      </c>
      <c r="B47" t="inlineStr">
        <is>
          <t>Professional Supplier 005</t>
        </is>
      </c>
      <c r="C47" t="inlineStr">
        <is>
          <t>Professional Services</t>
        </is>
      </c>
      <c r="D47" t="n">
        <v>2020</v>
      </c>
      <c r="E47" t="n">
        <v>12305006.02</v>
      </c>
      <c r="F47" t="n">
        <v>50936116.2</v>
      </c>
      <c r="G47" t="n">
        <v>1559.415</v>
      </c>
      <c r="H47" t="n">
        <v>320.2702</v>
      </c>
      <c r="I47" t="n">
        <v>298.305</v>
      </c>
      <c r="J47" t="inlineStr"/>
      <c r="K47" t="inlineStr"/>
      <c r="L47" t="inlineStr"/>
      <c r="M47" t="inlineStr"/>
      <c r="N47" t="inlineStr"/>
      <c r="O47" t="n">
        <v>2020</v>
      </c>
      <c r="P47" t="inlineStr"/>
      <c r="Q47" t="inlineStr"/>
      <c r="R47" t="n">
        <v>400.0326</v>
      </c>
      <c r="S47" t="n">
        <v>0.00012906</v>
      </c>
      <c r="T47" t="n">
        <v>0.00019658</v>
      </c>
    </row>
    <row r="48">
      <c r="A48" t="inlineStr">
        <is>
          <t>SUP-0005</t>
        </is>
      </c>
      <c r="B48" t="inlineStr">
        <is>
          <t>Professional Supplier 005</t>
        </is>
      </c>
      <c r="C48" t="inlineStr">
        <is>
          <t>Professional Services</t>
        </is>
      </c>
      <c r="D48" t="n">
        <v>2021</v>
      </c>
      <c r="E48" t="n">
        <v>12116695.13</v>
      </c>
      <c r="F48" t="n">
        <v>45714673.5</v>
      </c>
      <c r="G48" t="n">
        <v>1159.0675</v>
      </c>
      <c r="H48" t="n">
        <v>129.4754</v>
      </c>
      <c r="I48" t="n">
        <v>83.4592</v>
      </c>
      <c r="J48" t="inlineStr"/>
      <c r="K48" t="inlineStr"/>
      <c r="L48" t="inlineStr"/>
      <c r="M48" t="inlineStr"/>
      <c r="N48" t="inlineStr"/>
      <c r="O48" t="n">
        <v>2020</v>
      </c>
      <c r="P48" t="inlineStr"/>
      <c r="Q48" t="inlineStr"/>
      <c r="R48" t="n">
        <v>400.0326</v>
      </c>
      <c r="S48" t="n">
        <v>0.00012906</v>
      </c>
      <c r="T48" t="n">
        <v>0.00019658</v>
      </c>
    </row>
    <row r="49">
      <c r="A49" t="inlineStr">
        <is>
          <t>SUP-0005</t>
        </is>
      </c>
      <c r="B49" t="inlineStr">
        <is>
          <t>Professional Supplier 005</t>
        </is>
      </c>
      <c r="C49" t="inlineStr">
        <is>
          <t>Professional Services</t>
        </is>
      </c>
      <c r="D49" t="n">
        <v>2022</v>
      </c>
      <c r="E49" t="n">
        <v>13225867.99</v>
      </c>
      <c r="F49" t="n">
        <v>38694230.11</v>
      </c>
      <c r="G49" t="inlineStr"/>
      <c r="H49" t="n">
        <v>420.1288</v>
      </c>
      <c r="I49" t="n">
        <v>308.3373</v>
      </c>
      <c r="J49" t="n">
        <v>1007.5881</v>
      </c>
      <c r="K49" t="inlineStr"/>
      <c r="L49" t="inlineStr"/>
      <c r="M49" t="inlineStr"/>
      <c r="N49" t="inlineStr"/>
      <c r="O49" t="n">
        <v>2020</v>
      </c>
      <c r="P49" t="inlineStr"/>
      <c r="Q49" t="inlineStr"/>
      <c r="R49" t="n">
        <v>400.0326</v>
      </c>
      <c r="S49" t="n">
        <v>0.00012906</v>
      </c>
      <c r="T49" t="n">
        <v>0.00019658</v>
      </c>
    </row>
    <row r="50">
      <c r="A50" t="inlineStr">
        <is>
          <t>SUP-0005</t>
        </is>
      </c>
      <c r="B50" t="inlineStr">
        <is>
          <t>Professional Supplier 005</t>
        </is>
      </c>
      <c r="C50" t="inlineStr">
        <is>
          <t>Professional Services</t>
        </is>
      </c>
      <c r="D50" t="n">
        <v>2023</v>
      </c>
      <c r="E50" t="n">
        <v>10271439.72</v>
      </c>
      <c r="F50" t="n">
        <v>54529520.37</v>
      </c>
      <c r="G50" t="n">
        <v>1076.3994</v>
      </c>
      <c r="H50" t="n">
        <v>176.5674</v>
      </c>
      <c r="I50" t="inlineStr"/>
      <c r="J50" t="inlineStr"/>
      <c r="K50" t="inlineStr"/>
      <c r="L50" t="inlineStr"/>
      <c r="M50" t="inlineStr"/>
      <c r="N50" t="inlineStr"/>
      <c r="O50" t="n">
        <v>2020</v>
      </c>
      <c r="P50" t="inlineStr"/>
      <c r="Q50" t="inlineStr"/>
      <c r="R50" t="n">
        <v>400.0326</v>
      </c>
      <c r="S50" t="n">
        <v>0.00012906</v>
      </c>
      <c r="T50" t="n">
        <v>0.00019658</v>
      </c>
    </row>
    <row r="51">
      <c r="A51" t="inlineStr">
        <is>
          <t>SUP-0005</t>
        </is>
      </c>
      <c r="B51" t="inlineStr">
        <is>
          <t>Professional Supplier 005</t>
        </is>
      </c>
      <c r="C51" t="inlineStr">
        <is>
          <t>Professional Services</t>
        </is>
      </c>
      <c r="D51" t="n">
        <v>2024</v>
      </c>
      <c r="E51" t="n">
        <v>13635020.82</v>
      </c>
      <c r="F51" t="n">
        <v>57675629.87</v>
      </c>
      <c r="G51" t="n">
        <v>1266.1984</v>
      </c>
      <c r="H51" t="n">
        <v>155.835</v>
      </c>
      <c r="I51" t="n">
        <v>82.36669999999999</v>
      </c>
      <c r="J51" t="inlineStr"/>
      <c r="K51" t="inlineStr"/>
      <c r="L51" t="inlineStr"/>
      <c r="M51" t="inlineStr"/>
      <c r="N51" t="inlineStr"/>
      <c r="O51" t="n">
        <v>2020</v>
      </c>
      <c r="P51" t="inlineStr"/>
      <c r="Q51" t="inlineStr"/>
      <c r="R51" t="n">
        <v>400.0326</v>
      </c>
      <c r="S51" t="n">
        <v>0.00012906</v>
      </c>
      <c r="T51" t="n">
        <v>0.00019658</v>
      </c>
    </row>
    <row r="52">
      <c r="A52" t="inlineStr">
        <is>
          <t>SUP-0006</t>
        </is>
      </c>
      <c r="B52" t="inlineStr">
        <is>
          <t>Agriculture Supplier 006</t>
        </is>
      </c>
      <c r="C52" t="inlineStr">
        <is>
          <t>Agriculture</t>
        </is>
      </c>
      <c r="D52" t="n">
        <v>2015</v>
      </c>
      <c r="E52" t="n">
        <v>23303777.47</v>
      </c>
      <c r="F52" t="n">
        <v>165931875.98</v>
      </c>
      <c r="G52" t="inlineStr"/>
      <c r="H52" t="n">
        <v>3775.0429</v>
      </c>
      <c r="I52" t="inlineStr"/>
      <c r="J52" t="n">
        <v>13537.9233</v>
      </c>
      <c r="K52" t="inlineStr"/>
      <c r="L52" t="inlineStr"/>
      <c r="M52" t="inlineStr"/>
      <c r="N52" t="inlineStr"/>
      <c r="O52" t="n">
        <v>2018</v>
      </c>
      <c r="P52" t="inlineStr"/>
      <c r="Q52" t="inlineStr"/>
      <c r="R52" t="n">
        <v>529.8294</v>
      </c>
      <c r="S52" t="n">
        <v>0.00091413</v>
      </c>
      <c r="T52" t="n">
        <v>0.00096913</v>
      </c>
    </row>
    <row r="53">
      <c r="A53" t="inlineStr">
        <is>
          <t>SUP-0006</t>
        </is>
      </c>
      <c r="B53" t="inlineStr">
        <is>
          <t>Agriculture Supplier 006</t>
        </is>
      </c>
      <c r="C53" t="inlineStr">
        <is>
          <t>Agriculture</t>
        </is>
      </c>
      <c r="D53" t="n">
        <v>2016</v>
      </c>
      <c r="E53" t="n">
        <v>21612182.6</v>
      </c>
      <c r="F53" t="n">
        <v>156938286.98</v>
      </c>
      <c r="G53" t="inlineStr"/>
      <c r="H53" t="n">
        <v>4985.5951</v>
      </c>
      <c r="I53" t="inlineStr"/>
      <c r="J53" t="n">
        <v>10193.4602</v>
      </c>
      <c r="K53" t="inlineStr"/>
      <c r="L53" t="inlineStr"/>
      <c r="M53" t="inlineStr"/>
      <c r="N53" t="inlineStr"/>
      <c r="O53" t="n">
        <v>2018</v>
      </c>
      <c r="P53" t="inlineStr"/>
      <c r="Q53" t="inlineStr"/>
      <c r="R53" t="n">
        <v>529.8294</v>
      </c>
      <c r="S53" t="n">
        <v>0.00091413</v>
      </c>
      <c r="T53" t="n">
        <v>0.00096913</v>
      </c>
    </row>
    <row r="54">
      <c r="A54" t="inlineStr">
        <is>
          <t>SUP-0006</t>
        </is>
      </c>
      <c r="B54" t="inlineStr">
        <is>
          <t>Agriculture Supplier 006</t>
        </is>
      </c>
      <c r="C54" t="inlineStr">
        <is>
          <t>Agriculture</t>
        </is>
      </c>
      <c r="D54" t="n">
        <v>2017</v>
      </c>
      <c r="E54" t="n">
        <v>20262544.64</v>
      </c>
      <c r="F54" t="n">
        <v>165383768.62</v>
      </c>
      <c r="G54" t="n">
        <v>18020.1668</v>
      </c>
      <c r="H54" t="n">
        <v>3961.5909</v>
      </c>
      <c r="I54" t="n">
        <v>2310.4793</v>
      </c>
      <c r="J54" t="n">
        <v>10711.5691</v>
      </c>
      <c r="K54" t="inlineStr"/>
      <c r="L54" t="inlineStr"/>
      <c r="M54" t="inlineStr"/>
      <c r="N54" t="inlineStr"/>
      <c r="O54" t="n">
        <v>2018</v>
      </c>
      <c r="P54" t="inlineStr"/>
      <c r="Q54" t="inlineStr"/>
      <c r="R54" t="n">
        <v>529.8294</v>
      </c>
      <c r="S54" t="n">
        <v>0.00091413</v>
      </c>
      <c r="T54" t="n">
        <v>0.00096913</v>
      </c>
    </row>
    <row r="55">
      <c r="A55" t="inlineStr">
        <is>
          <t>SUP-0006</t>
        </is>
      </c>
      <c r="B55" t="inlineStr">
        <is>
          <t>Agriculture Supplier 006</t>
        </is>
      </c>
      <c r="C55" t="inlineStr">
        <is>
          <t>Agriculture</t>
        </is>
      </c>
      <c r="D55" t="n">
        <v>2018</v>
      </c>
      <c r="E55" t="n">
        <v>18306317.88</v>
      </c>
      <c r="F55" t="n">
        <v>137287450.4</v>
      </c>
      <c r="G55" t="inlineStr"/>
      <c r="H55" t="inlineStr"/>
      <c r="I55" t="n">
        <v>1027.6309</v>
      </c>
      <c r="J55" t="inlineStr"/>
      <c r="K55" t="inlineStr"/>
      <c r="L55" t="inlineStr"/>
      <c r="M55" t="inlineStr"/>
      <c r="N55" t="inlineStr"/>
      <c r="O55" t="n">
        <v>2018</v>
      </c>
      <c r="P55" t="inlineStr"/>
      <c r="Q55" t="inlineStr"/>
      <c r="R55" t="n">
        <v>529.8294</v>
      </c>
      <c r="S55" t="n">
        <v>0.00091413</v>
      </c>
      <c r="T55" t="n">
        <v>0.00096913</v>
      </c>
    </row>
    <row r="56">
      <c r="A56" t="inlineStr">
        <is>
          <t>SUP-0006</t>
        </is>
      </c>
      <c r="B56" t="inlineStr">
        <is>
          <t>Agriculture Supplier 006</t>
        </is>
      </c>
      <c r="C56" t="inlineStr">
        <is>
          <t>Agriculture</t>
        </is>
      </c>
      <c r="D56" t="n">
        <v>2019</v>
      </c>
      <c r="E56" t="n">
        <v>20199464.39</v>
      </c>
      <c r="F56" t="n">
        <v>168215398.68</v>
      </c>
      <c r="G56" t="inlineStr"/>
      <c r="H56" t="n">
        <v>2028.6103</v>
      </c>
      <c r="I56" t="n">
        <v>2177.3343</v>
      </c>
      <c r="J56" t="inlineStr"/>
      <c r="K56" t="inlineStr"/>
      <c r="L56" t="inlineStr"/>
      <c r="M56" t="inlineStr"/>
      <c r="N56" t="inlineStr"/>
      <c r="O56" t="n">
        <v>2018</v>
      </c>
      <c r="P56" t="inlineStr"/>
      <c r="Q56" t="inlineStr"/>
      <c r="R56" t="n">
        <v>529.8294</v>
      </c>
      <c r="S56" t="n">
        <v>0.00091413</v>
      </c>
      <c r="T56" t="n">
        <v>0.00096913</v>
      </c>
    </row>
    <row r="57">
      <c r="A57" t="inlineStr">
        <is>
          <t>SUP-0006</t>
        </is>
      </c>
      <c r="B57" t="inlineStr">
        <is>
          <t>Agriculture Supplier 006</t>
        </is>
      </c>
      <c r="C57" t="inlineStr">
        <is>
          <t>Agriculture</t>
        </is>
      </c>
      <c r="D57" t="n">
        <v>2020</v>
      </c>
      <c r="E57" t="n">
        <v>20751330.16</v>
      </c>
      <c r="F57" t="n">
        <v>122215064.98</v>
      </c>
      <c r="G57" t="n">
        <v>14680.7946</v>
      </c>
      <c r="H57" t="n">
        <v>2074.8816</v>
      </c>
      <c r="I57" t="n">
        <v>1875.4654</v>
      </c>
      <c r="J57" t="inlineStr"/>
      <c r="K57" t="inlineStr"/>
      <c r="L57" t="inlineStr"/>
      <c r="M57" t="inlineStr"/>
      <c r="N57" t="inlineStr"/>
      <c r="O57" t="n">
        <v>2018</v>
      </c>
      <c r="P57" t="inlineStr"/>
      <c r="Q57" t="inlineStr"/>
      <c r="R57" t="n">
        <v>529.8294</v>
      </c>
      <c r="S57" t="n">
        <v>0.00091413</v>
      </c>
      <c r="T57" t="n">
        <v>0.00096913</v>
      </c>
    </row>
    <row r="58">
      <c r="A58" t="inlineStr">
        <is>
          <t>SUP-0006</t>
        </is>
      </c>
      <c r="B58" t="inlineStr">
        <is>
          <t>Agriculture Supplier 006</t>
        </is>
      </c>
      <c r="C58" t="inlineStr">
        <is>
          <t>Agriculture</t>
        </is>
      </c>
      <c r="D58" t="n">
        <v>2021</v>
      </c>
      <c r="E58" t="inlineStr"/>
      <c r="F58" t="n">
        <v>124125605.64</v>
      </c>
      <c r="G58" t="n">
        <v>12452.4094</v>
      </c>
      <c r="H58" t="n">
        <v>2126.4122</v>
      </c>
      <c r="I58" t="n">
        <v>1969.5347</v>
      </c>
      <c r="J58" t="inlineStr"/>
      <c r="K58" t="inlineStr"/>
      <c r="L58" t="inlineStr"/>
      <c r="M58" t="inlineStr"/>
      <c r="N58" t="inlineStr"/>
      <c r="O58" t="n">
        <v>2018</v>
      </c>
      <c r="P58" t="inlineStr"/>
      <c r="Q58" t="inlineStr"/>
      <c r="R58" t="n">
        <v>529.8294</v>
      </c>
      <c r="S58" t="n">
        <v>0.00091413</v>
      </c>
      <c r="T58" t="n">
        <v>0.00096913</v>
      </c>
    </row>
    <row r="59">
      <c r="A59" t="inlineStr">
        <is>
          <t>SUP-0006</t>
        </is>
      </c>
      <c r="B59" t="inlineStr">
        <is>
          <t>Agriculture Supplier 006</t>
        </is>
      </c>
      <c r="C59" t="inlineStr">
        <is>
          <t>Agriculture</t>
        </is>
      </c>
      <c r="D59" t="n">
        <v>2022</v>
      </c>
      <c r="E59" t="n">
        <v>19728289.82</v>
      </c>
      <c r="F59" t="n">
        <v>167014581.44</v>
      </c>
      <c r="G59" t="n">
        <v>17434.3103</v>
      </c>
      <c r="H59" t="n">
        <v>4349.6432</v>
      </c>
      <c r="I59" t="n">
        <v>1432.7962</v>
      </c>
      <c r="J59" t="n">
        <v>11609.2755</v>
      </c>
      <c r="K59" t="inlineStr"/>
      <c r="L59" t="inlineStr"/>
      <c r="M59" t="inlineStr"/>
      <c r="N59" t="inlineStr"/>
      <c r="O59" t="n">
        <v>2018</v>
      </c>
      <c r="P59" t="inlineStr"/>
      <c r="Q59" t="inlineStr"/>
      <c r="R59" t="n">
        <v>529.8294</v>
      </c>
      <c r="S59" t="n">
        <v>0.00091413</v>
      </c>
      <c r="T59" t="n">
        <v>0.00096913</v>
      </c>
    </row>
    <row r="60">
      <c r="A60" t="inlineStr">
        <is>
          <t>SUP-0006</t>
        </is>
      </c>
      <c r="B60" t="inlineStr">
        <is>
          <t>Agriculture Supplier 006</t>
        </is>
      </c>
      <c r="C60" t="inlineStr">
        <is>
          <t>Agriculture</t>
        </is>
      </c>
      <c r="D60" t="n">
        <v>2023</v>
      </c>
      <c r="E60" t="n">
        <v>15888272.73</v>
      </c>
      <c r="F60" t="n">
        <v>131177654.8</v>
      </c>
      <c r="G60" t="n">
        <v>13082.6638</v>
      </c>
      <c r="H60" t="n">
        <v>1543.4487</v>
      </c>
      <c r="I60" t="inlineStr"/>
      <c r="J60" t="n">
        <v>10883.2029</v>
      </c>
      <c r="K60" t="inlineStr"/>
      <c r="L60" t="inlineStr"/>
      <c r="M60" t="inlineStr"/>
      <c r="N60" t="inlineStr"/>
      <c r="O60" t="n">
        <v>2018</v>
      </c>
      <c r="P60" t="inlineStr"/>
      <c r="Q60" t="inlineStr"/>
      <c r="R60" t="n">
        <v>529.8294</v>
      </c>
      <c r="S60" t="n">
        <v>0.00091413</v>
      </c>
      <c r="T60" t="n">
        <v>0.00096913</v>
      </c>
    </row>
    <row r="61">
      <c r="A61" t="inlineStr">
        <is>
          <t>SUP-0006</t>
        </is>
      </c>
      <c r="B61" t="inlineStr">
        <is>
          <t>Agriculture Supplier 006</t>
        </is>
      </c>
      <c r="C61" t="inlineStr">
        <is>
          <t>Agriculture</t>
        </is>
      </c>
      <c r="D61" t="n">
        <v>2024</v>
      </c>
      <c r="E61" t="n">
        <v>16986081.37</v>
      </c>
      <c r="F61" t="inlineStr"/>
      <c r="G61" t="n">
        <v>12271.2118</v>
      </c>
      <c r="H61" t="n">
        <v>1665.9707</v>
      </c>
      <c r="I61" t="n">
        <v>2684.8791</v>
      </c>
      <c r="J61" t="n">
        <v>7593.9697</v>
      </c>
      <c r="K61" t="inlineStr"/>
      <c r="L61" t="inlineStr"/>
      <c r="M61" t="inlineStr"/>
      <c r="N61" t="inlineStr"/>
      <c r="O61" t="n">
        <v>2018</v>
      </c>
      <c r="P61" t="inlineStr"/>
      <c r="Q61" t="inlineStr"/>
      <c r="R61" t="n">
        <v>529.8294</v>
      </c>
      <c r="S61" t="n">
        <v>0.00091413</v>
      </c>
      <c r="T61" t="n">
        <v>0.00096913</v>
      </c>
    </row>
    <row r="62">
      <c r="A62" t="inlineStr">
        <is>
          <t>SUP-0007</t>
        </is>
      </c>
      <c r="B62" t="inlineStr">
        <is>
          <t>Chemicals Supplier 007</t>
        </is>
      </c>
      <c r="C62" t="inlineStr">
        <is>
          <t>Chemicals</t>
        </is>
      </c>
      <c r="D62" t="n">
        <v>2015</v>
      </c>
      <c r="E62" t="n">
        <v>13536750.73</v>
      </c>
      <c r="F62" t="n">
        <v>112807632.84</v>
      </c>
      <c r="G62" t="n">
        <v>7016.2181</v>
      </c>
      <c r="H62" t="n">
        <v>1113.4689</v>
      </c>
      <c r="I62" t="n">
        <v>661.6248000000001</v>
      </c>
      <c r="J62" t="n">
        <v>5383.7638</v>
      </c>
      <c r="K62" t="n">
        <v>2019</v>
      </c>
      <c r="L62" t="n">
        <v>2030</v>
      </c>
      <c r="M62" t="n">
        <v>0.5673</v>
      </c>
      <c r="N62" t="n">
        <v>0.2314</v>
      </c>
      <c r="O62" t="n">
        <v>2019</v>
      </c>
      <c r="P62" t="n">
        <v>2035</v>
      </c>
      <c r="Q62" t="n">
        <v>0.5229</v>
      </c>
      <c r="R62" t="n">
        <v>506.3191</v>
      </c>
      <c r="S62" t="n">
        <v>0.00100149</v>
      </c>
      <c r="T62" t="n">
        <v>0.00047124</v>
      </c>
    </row>
    <row r="63">
      <c r="A63" t="inlineStr">
        <is>
          <t>SUP-0007</t>
        </is>
      </c>
      <c r="B63" t="inlineStr">
        <is>
          <t>Chemicals Supplier 007</t>
        </is>
      </c>
      <c r="C63" t="inlineStr">
        <is>
          <t>Chemicals</t>
        </is>
      </c>
      <c r="D63" t="n">
        <v>2016</v>
      </c>
      <c r="E63" t="n">
        <v>13052345.59</v>
      </c>
      <c r="F63" t="n">
        <v>116763288.93</v>
      </c>
      <c r="G63" t="n">
        <v>9947.781800000001</v>
      </c>
      <c r="H63" t="n">
        <v>1697.9466</v>
      </c>
      <c r="I63" t="n">
        <v>946.0271</v>
      </c>
      <c r="J63" t="n">
        <v>7358.1591</v>
      </c>
      <c r="K63" t="n">
        <v>2019</v>
      </c>
      <c r="L63" t="n">
        <v>2030</v>
      </c>
      <c r="M63" t="n">
        <v>0.5673</v>
      </c>
      <c r="N63" t="n">
        <v>0.2314</v>
      </c>
      <c r="O63" t="n">
        <v>2019</v>
      </c>
      <c r="P63" t="n">
        <v>2035</v>
      </c>
      <c r="Q63" t="n">
        <v>0.5229</v>
      </c>
      <c r="R63" t="n">
        <v>506.3191</v>
      </c>
      <c r="S63" t="n">
        <v>0.00100149</v>
      </c>
      <c r="T63" t="n">
        <v>0.00047124</v>
      </c>
    </row>
    <row r="64">
      <c r="A64" t="inlineStr">
        <is>
          <t>SUP-0007</t>
        </is>
      </c>
      <c r="B64" t="inlineStr">
        <is>
          <t>Chemicals Supplier 007</t>
        </is>
      </c>
      <c r="C64" t="inlineStr">
        <is>
          <t>Chemicals</t>
        </is>
      </c>
      <c r="D64" t="n">
        <v>2017</v>
      </c>
      <c r="E64" t="inlineStr"/>
      <c r="F64" t="n">
        <v>143853591.56</v>
      </c>
      <c r="G64" t="n">
        <v>7925.9302</v>
      </c>
      <c r="H64" t="n">
        <v>1230.939</v>
      </c>
      <c r="I64" t="n">
        <v>497.4265</v>
      </c>
      <c r="J64" t="n">
        <v>5997.284</v>
      </c>
      <c r="K64" t="n">
        <v>2019</v>
      </c>
      <c r="L64" t="n">
        <v>2030</v>
      </c>
      <c r="M64" t="n">
        <v>0.5673</v>
      </c>
      <c r="N64" t="n">
        <v>0.2314</v>
      </c>
      <c r="O64" t="n">
        <v>2019</v>
      </c>
      <c r="P64" t="n">
        <v>2035</v>
      </c>
      <c r="Q64" t="n">
        <v>0.5229</v>
      </c>
      <c r="R64" t="n">
        <v>506.3191</v>
      </c>
      <c r="S64" t="n">
        <v>0.00100149</v>
      </c>
      <c r="T64" t="n">
        <v>0.00047124</v>
      </c>
    </row>
    <row r="65">
      <c r="A65" t="inlineStr">
        <is>
          <t>SUP-0007</t>
        </is>
      </c>
      <c r="B65" t="inlineStr">
        <is>
          <t>Chemicals Supplier 007</t>
        </is>
      </c>
      <c r="C65" t="inlineStr">
        <is>
          <t>Chemicals</t>
        </is>
      </c>
      <c r="D65" t="n">
        <v>2018</v>
      </c>
      <c r="E65" t="n">
        <v>13188765.95</v>
      </c>
      <c r="F65" t="n">
        <v>108359036.59</v>
      </c>
      <c r="G65" t="n">
        <v>8283.4475</v>
      </c>
      <c r="H65" t="n">
        <v>1867.9103</v>
      </c>
      <c r="I65" t="n">
        <v>1806.448</v>
      </c>
      <c r="J65" t="n">
        <v>4625.1408</v>
      </c>
      <c r="K65" t="n">
        <v>2019</v>
      </c>
      <c r="L65" t="n">
        <v>2030</v>
      </c>
      <c r="M65" t="n">
        <v>0.5673</v>
      </c>
      <c r="N65" t="n">
        <v>0.2314</v>
      </c>
      <c r="O65" t="n">
        <v>2019</v>
      </c>
      <c r="P65" t="n">
        <v>2035</v>
      </c>
      <c r="Q65" t="n">
        <v>0.5229</v>
      </c>
      <c r="R65" t="n">
        <v>506.3191</v>
      </c>
      <c r="S65" t="n">
        <v>0.00100149</v>
      </c>
      <c r="T65" t="n">
        <v>0.00047124</v>
      </c>
    </row>
    <row r="66">
      <c r="A66" t="inlineStr">
        <is>
          <t>SUP-0007</t>
        </is>
      </c>
      <c r="B66" t="inlineStr">
        <is>
          <t>Chemicals Supplier 007</t>
        </is>
      </c>
      <c r="C66" t="inlineStr">
        <is>
          <t>Chemicals</t>
        </is>
      </c>
      <c r="D66" t="n">
        <v>2019</v>
      </c>
      <c r="E66" t="n">
        <v>13922501.66</v>
      </c>
      <c r="F66" t="n">
        <v>127994072.57</v>
      </c>
      <c r="G66" t="inlineStr"/>
      <c r="H66" t="n">
        <v>2079.899</v>
      </c>
      <c r="I66" t="n">
        <v>1767.4425</v>
      </c>
      <c r="J66" t="n">
        <v>4642.4885</v>
      </c>
      <c r="K66" t="n">
        <v>2019</v>
      </c>
      <c r="L66" t="n">
        <v>2030</v>
      </c>
      <c r="M66" t="n">
        <v>0.5673</v>
      </c>
      <c r="N66" t="n">
        <v>0.2314</v>
      </c>
      <c r="O66" t="n">
        <v>2019</v>
      </c>
      <c r="P66" t="n">
        <v>2035</v>
      </c>
      <c r="Q66" t="n">
        <v>0.5229</v>
      </c>
      <c r="R66" t="n">
        <v>506.3191</v>
      </c>
      <c r="S66" t="n">
        <v>0.00100149</v>
      </c>
      <c r="T66" t="n">
        <v>0.00047124</v>
      </c>
    </row>
    <row r="67">
      <c r="A67" t="inlineStr">
        <is>
          <t>SUP-0007</t>
        </is>
      </c>
      <c r="B67" t="inlineStr">
        <is>
          <t>Chemicals Supplier 007</t>
        </is>
      </c>
      <c r="C67" t="inlineStr">
        <is>
          <t>Chemicals</t>
        </is>
      </c>
      <c r="D67" t="n">
        <v>2020</v>
      </c>
      <c r="E67" t="n">
        <v>13870797.66</v>
      </c>
      <c r="F67" t="n">
        <v>121857320.04</v>
      </c>
      <c r="G67" t="n">
        <v>9553.6944</v>
      </c>
      <c r="H67" t="n">
        <v>946.9778</v>
      </c>
      <c r="I67" t="n">
        <v>1218.107</v>
      </c>
      <c r="J67" t="n">
        <v>7277.3379</v>
      </c>
      <c r="K67" t="n">
        <v>2019</v>
      </c>
      <c r="L67" t="n">
        <v>2030</v>
      </c>
      <c r="M67" t="n">
        <v>0.5673</v>
      </c>
      <c r="N67" t="n">
        <v>0.2314</v>
      </c>
      <c r="O67" t="n">
        <v>2019</v>
      </c>
      <c r="P67" t="n">
        <v>2035</v>
      </c>
      <c r="Q67" t="n">
        <v>0.5229</v>
      </c>
      <c r="R67" t="n">
        <v>506.3191</v>
      </c>
      <c r="S67" t="n">
        <v>0.00100149</v>
      </c>
      <c r="T67" t="n">
        <v>0.00047124</v>
      </c>
    </row>
    <row r="68">
      <c r="A68" t="inlineStr">
        <is>
          <t>SUP-0007</t>
        </is>
      </c>
      <c r="B68" t="inlineStr">
        <is>
          <t>Chemicals Supplier 007</t>
        </is>
      </c>
      <c r="C68" t="inlineStr">
        <is>
          <t>Chemicals</t>
        </is>
      </c>
      <c r="D68" t="n">
        <v>2021</v>
      </c>
      <c r="E68" t="n">
        <v>13106960.56</v>
      </c>
      <c r="F68" t="n">
        <v>115380051.67</v>
      </c>
      <c r="G68" t="inlineStr"/>
      <c r="H68" t="n">
        <v>1463.0324</v>
      </c>
      <c r="I68" t="n">
        <v>934.515</v>
      </c>
      <c r="J68" t="inlineStr"/>
      <c r="K68" t="n">
        <v>2019</v>
      </c>
      <c r="L68" t="n">
        <v>2030</v>
      </c>
      <c r="M68" t="n">
        <v>0.5673</v>
      </c>
      <c r="N68" t="n">
        <v>0.2314</v>
      </c>
      <c r="O68" t="n">
        <v>2019</v>
      </c>
      <c r="P68" t="n">
        <v>2035</v>
      </c>
      <c r="Q68" t="n">
        <v>0.5229</v>
      </c>
      <c r="R68" t="n">
        <v>506.3191</v>
      </c>
      <c r="S68" t="n">
        <v>0.00100149</v>
      </c>
      <c r="T68" t="n">
        <v>0.00047124</v>
      </c>
    </row>
    <row r="69">
      <c r="A69" t="inlineStr">
        <is>
          <t>SUP-0007</t>
        </is>
      </c>
      <c r="B69" t="inlineStr">
        <is>
          <t>Chemicals Supplier 007</t>
        </is>
      </c>
      <c r="C69" t="inlineStr">
        <is>
          <t>Chemicals</t>
        </is>
      </c>
      <c r="D69" t="n">
        <v>2022</v>
      </c>
      <c r="E69" t="n">
        <v>13255925.8</v>
      </c>
      <c r="F69" t="n">
        <v>83734559.75</v>
      </c>
      <c r="G69" t="n">
        <v>7858.7419</v>
      </c>
      <c r="H69" t="n">
        <v>1792.2614</v>
      </c>
      <c r="I69" t="n">
        <v>801.0444</v>
      </c>
      <c r="J69" t="n">
        <v>5149.5934</v>
      </c>
      <c r="K69" t="n">
        <v>2019</v>
      </c>
      <c r="L69" t="n">
        <v>2030</v>
      </c>
      <c r="M69" t="n">
        <v>0.5673</v>
      </c>
      <c r="N69" t="n">
        <v>0.2314</v>
      </c>
      <c r="O69" t="n">
        <v>2019</v>
      </c>
      <c r="P69" t="n">
        <v>2035</v>
      </c>
      <c r="Q69" t="n">
        <v>0.5229</v>
      </c>
      <c r="R69" t="n">
        <v>506.3191</v>
      </c>
      <c r="S69" t="n">
        <v>0.00100149</v>
      </c>
      <c r="T69" t="n">
        <v>0.00047124</v>
      </c>
    </row>
    <row r="70">
      <c r="A70" t="inlineStr">
        <is>
          <t>SUP-0007</t>
        </is>
      </c>
      <c r="B70" t="inlineStr">
        <is>
          <t>Chemicals Supplier 007</t>
        </is>
      </c>
      <c r="C70" t="inlineStr">
        <is>
          <t>Chemicals</t>
        </is>
      </c>
      <c r="D70" t="n">
        <v>2023</v>
      </c>
      <c r="E70" t="n">
        <v>13594572.55</v>
      </c>
      <c r="F70" t="n">
        <v>124433110.8</v>
      </c>
      <c r="G70" t="inlineStr"/>
      <c r="H70" t="n">
        <v>1055.3321</v>
      </c>
      <c r="I70" t="inlineStr"/>
      <c r="J70" t="inlineStr"/>
      <c r="K70" t="n">
        <v>2019</v>
      </c>
      <c r="L70" t="n">
        <v>2030</v>
      </c>
      <c r="M70" t="n">
        <v>0.5673</v>
      </c>
      <c r="N70" t="n">
        <v>0.2314</v>
      </c>
      <c r="O70" t="n">
        <v>2019</v>
      </c>
      <c r="P70" t="n">
        <v>2035</v>
      </c>
      <c r="Q70" t="n">
        <v>0.5229</v>
      </c>
      <c r="R70" t="n">
        <v>506.3191</v>
      </c>
      <c r="S70" t="n">
        <v>0.00100149</v>
      </c>
      <c r="T70" t="n">
        <v>0.00047124</v>
      </c>
    </row>
    <row r="71">
      <c r="A71" t="inlineStr">
        <is>
          <t>SUP-0007</t>
        </is>
      </c>
      <c r="B71" t="inlineStr">
        <is>
          <t>Chemicals Supplier 007</t>
        </is>
      </c>
      <c r="C71" t="inlineStr">
        <is>
          <t>Chemicals</t>
        </is>
      </c>
      <c r="D71" t="n">
        <v>2024</v>
      </c>
      <c r="E71" t="n">
        <v>13812841.6</v>
      </c>
      <c r="F71" t="n">
        <v>123886547.06</v>
      </c>
      <c r="G71" t="n">
        <v>6696.6134</v>
      </c>
      <c r="H71" t="n">
        <v>1664.6513</v>
      </c>
      <c r="I71" t="n">
        <v>1142.706</v>
      </c>
      <c r="J71" t="inlineStr"/>
      <c r="K71" t="n">
        <v>2019</v>
      </c>
      <c r="L71" t="n">
        <v>2030</v>
      </c>
      <c r="M71" t="n">
        <v>0.5673</v>
      </c>
      <c r="N71" t="n">
        <v>0.2314</v>
      </c>
      <c r="O71" t="n">
        <v>2019</v>
      </c>
      <c r="P71" t="n">
        <v>2035</v>
      </c>
      <c r="Q71" t="n">
        <v>0.5229</v>
      </c>
      <c r="R71" t="n">
        <v>506.3191</v>
      </c>
      <c r="S71" t="n">
        <v>0.00100149</v>
      </c>
      <c r="T71" t="n">
        <v>0.00047124</v>
      </c>
    </row>
    <row r="72">
      <c r="A72" t="inlineStr">
        <is>
          <t>SUP-0008</t>
        </is>
      </c>
      <c r="B72" t="inlineStr">
        <is>
          <t>Electronics Supplier 008</t>
        </is>
      </c>
      <c r="C72" t="inlineStr">
        <is>
          <t>Electronics</t>
        </is>
      </c>
      <c r="D72" t="n">
        <v>2015</v>
      </c>
      <c r="E72" t="n">
        <v>3782223.73</v>
      </c>
      <c r="F72" t="n">
        <v>11758675.33</v>
      </c>
      <c r="G72" t="n">
        <v>4234.703</v>
      </c>
      <c r="H72" t="n">
        <v>490.959</v>
      </c>
      <c r="I72" t="n">
        <v>676.8933</v>
      </c>
      <c r="J72" t="n">
        <v>2816.9898</v>
      </c>
      <c r="K72" t="inlineStr"/>
      <c r="L72" t="inlineStr"/>
      <c r="M72" t="inlineStr"/>
      <c r="N72" t="inlineStr"/>
      <c r="O72" t="n">
        <v>2018</v>
      </c>
      <c r="P72" t="n">
        <v>2040</v>
      </c>
      <c r="Q72" t="n">
        <v>0.3424</v>
      </c>
      <c r="R72" t="n">
        <v>635.1588</v>
      </c>
      <c r="S72" t="n">
        <v>0.00086105</v>
      </c>
      <c r="T72" t="n">
        <v>0.00013947</v>
      </c>
    </row>
    <row r="73">
      <c r="A73" t="inlineStr">
        <is>
          <t>SUP-0008</t>
        </is>
      </c>
      <c r="B73" t="inlineStr">
        <is>
          <t>Electronics Supplier 008</t>
        </is>
      </c>
      <c r="C73" t="inlineStr">
        <is>
          <t>Electronics</t>
        </is>
      </c>
      <c r="D73" t="n">
        <v>2016</v>
      </c>
      <c r="E73" t="n">
        <v>3801622.34</v>
      </c>
      <c r="F73" t="n">
        <v>10202037.79</v>
      </c>
      <c r="G73" t="n">
        <v>3588.9609</v>
      </c>
      <c r="H73" t="n">
        <v>606.3379</v>
      </c>
      <c r="I73" t="n">
        <v>262.5714</v>
      </c>
      <c r="J73" t="n">
        <v>3029.0103</v>
      </c>
      <c r="K73" t="inlineStr"/>
      <c r="L73" t="inlineStr"/>
      <c r="M73" t="inlineStr"/>
      <c r="N73" t="inlineStr"/>
      <c r="O73" t="n">
        <v>2018</v>
      </c>
      <c r="P73" t="n">
        <v>2040</v>
      </c>
      <c r="Q73" t="n">
        <v>0.3424</v>
      </c>
      <c r="R73" t="n">
        <v>635.1588</v>
      </c>
      <c r="S73" t="n">
        <v>0.00086105</v>
      </c>
      <c r="T73" t="n">
        <v>0.00013947</v>
      </c>
    </row>
    <row r="74">
      <c r="A74" t="inlineStr">
        <is>
          <t>SUP-0008</t>
        </is>
      </c>
      <c r="B74" t="inlineStr">
        <is>
          <t>Electronics Supplier 008</t>
        </is>
      </c>
      <c r="C74" t="inlineStr">
        <is>
          <t>Electronics</t>
        </is>
      </c>
      <c r="D74" t="n">
        <v>2017</v>
      </c>
      <c r="E74" t="inlineStr"/>
      <c r="F74" t="n">
        <v>13553870.16</v>
      </c>
      <c r="G74" t="n">
        <v>4478.0967</v>
      </c>
      <c r="H74" t="n">
        <v>762.1002</v>
      </c>
      <c r="I74" t="n">
        <v>599.7962</v>
      </c>
      <c r="J74" t="inlineStr"/>
      <c r="K74" t="inlineStr"/>
      <c r="L74" t="inlineStr"/>
      <c r="M74" t="inlineStr"/>
      <c r="N74" t="inlineStr"/>
      <c r="O74" t="n">
        <v>2018</v>
      </c>
      <c r="P74" t="n">
        <v>2040</v>
      </c>
      <c r="Q74" t="n">
        <v>0.3424</v>
      </c>
      <c r="R74" t="n">
        <v>635.1588</v>
      </c>
      <c r="S74" t="n">
        <v>0.00086105</v>
      </c>
      <c r="T74" t="n">
        <v>0.00013947</v>
      </c>
    </row>
    <row r="75">
      <c r="A75" t="inlineStr">
        <is>
          <t>SUP-0008</t>
        </is>
      </c>
      <c r="B75" t="inlineStr">
        <is>
          <t>Electronics Supplier 008</t>
        </is>
      </c>
      <c r="C75" t="inlineStr">
        <is>
          <t>Electronics</t>
        </is>
      </c>
      <c r="D75" t="n">
        <v>2018</v>
      </c>
      <c r="E75" t="n">
        <v>3476179.36</v>
      </c>
      <c r="F75" t="n">
        <v>11337144.22</v>
      </c>
      <c r="G75" t="n">
        <v>3383.0948</v>
      </c>
      <c r="H75" t="n">
        <v>374.6158</v>
      </c>
      <c r="I75" t="n">
        <v>720.3084</v>
      </c>
      <c r="J75" t="n">
        <v>2354.8173</v>
      </c>
      <c r="K75" t="inlineStr"/>
      <c r="L75" t="inlineStr"/>
      <c r="M75" t="inlineStr"/>
      <c r="N75" t="inlineStr"/>
      <c r="O75" t="n">
        <v>2018</v>
      </c>
      <c r="P75" t="n">
        <v>2040</v>
      </c>
      <c r="Q75" t="n">
        <v>0.3424</v>
      </c>
      <c r="R75" t="n">
        <v>635.1588</v>
      </c>
      <c r="S75" t="n">
        <v>0.00086105</v>
      </c>
      <c r="T75" t="n">
        <v>0.00013947</v>
      </c>
    </row>
    <row r="76">
      <c r="A76" t="inlineStr">
        <is>
          <t>SUP-0008</t>
        </is>
      </c>
      <c r="B76" t="inlineStr">
        <is>
          <t>Electronics Supplier 008</t>
        </is>
      </c>
      <c r="C76" t="inlineStr">
        <is>
          <t>Electronics</t>
        </is>
      </c>
      <c r="D76" t="n">
        <v>2019</v>
      </c>
      <c r="E76" t="n">
        <v>3476458.19</v>
      </c>
      <c r="F76" t="n">
        <v>10375922.86</v>
      </c>
      <c r="G76" t="n">
        <v>3623.6743</v>
      </c>
      <c r="H76" t="n">
        <v>456.0279</v>
      </c>
      <c r="I76" t="n">
        <v>370.0373</v>
      </c>
      <c r="J76" t="inlineStr"/>
      <c r="K76" t="inlineStr"/>
      <c r="L76" t="inlineStr"/>
      <c r="M76" t="inlineStr"/>
      <c r="N76" t="inlineStr"/>
      <c r="O76" t="n">
        <v>2018</v>
      </c>
      <c r="P76" t="n">
        <v>2040</v>
      </c>
      <c r="Q76" t="n">
        <v>0.3424</v>
      </c>
      <c r="R76" t="n">
        <v>635.1588</v>
      </c>
      <c r="S76" t="n">
        <v>0.00086105</v>
      </c>
      <c r="T76" t="n">
        <v>0.00013947</v>
      </c>
    </row>
    <row r="77">
      <c r="A77" t="inlineStr">
        <is>
          <t>SUP-0008</t>
        </is>
      </c>
      <c r="B77" t="inlineStr">
        <is>
          <t>Electronics Supplier 008</t>
        </is>
      </c>
      <c r="C77" t="inlineStr">
        <is>
          <t>Electronics</t>
        </is>
      </c>
      <c r="D77" t="n">
        <v>2020</v>
      </c>
      <c r="E77" t="n">
        <v>4446147.63</v>
      </c>
      <c r="F77" t="n">
        <v>15037685.63</v>
      </c>
      <c r="G77" t="n">
        <v>3890.7677</v>
      </c>
      <c r="H77" t="n">
        <v>995.0698</v>
      </c>
      <c r="I77" t="n">
        <v>690.0402</v>
      </c>
      <c r="J77" t="n">
        <v>2121.48</v>
      </c>
      <c r="K77" t="inlineStr"/>
      <c r="L77" t="inlineStr"/>
      <c r="M77" t="inlineStr"/>
      <c r="N77" t="inlineStr"/>
      <c r="O77" t="n">
        <v>2018</v>
      </c>
      <c r="P77" t="n">
        <v>2040</v>
      </c>
      <c r="Q77" t="n">
        <v>0.3424</v>
      </c>
      <c r="R77" t="n">
        <v>635.1588</v>
      </c>
      <c r="S77" t="n">
        <v>0.00086105</v>
      </c>
      <c r="T77" t="n">
        <v>0.00013947</v>
      </c>
    </row>
    <row r="78">
      <c r="A78" t="inlineStr">
        <is>
          <t>SUP-0008</t>
        </is>
      </c>
      <c r="B78" t="inlineStr">
        <is>
          <t>Electronics Supplier 008</t>
        </is>
      </c>
      <c r="C78" t="inlineStr">
        <is>
          <t>Electronics</t>
        </is>
      </c>
      <c r="D78" t="n">
        <v>2021</v>
      </c>
      <c r="E78" t="n">
        <v>4495128.34</v>
      </c>
      <c r="F78" t="inlineStr"/>
      <c r="G78" t="n">
        <v>3405.8349</v>
      </c>
      <c r="H78" t="n">
        <v>424.2206</v>
      </c>
      <c r="I78" t="inlineStr"/>
      <c r="J78" t="inlineStr"/>
      <c r="K78" t="inlineStr"/>
      <c r="L78" t="inlineStr"/>
      <c r="M78" t="inlineStr"/>
      <c r="N78" t="inlineStr"/>
      <c r="O78" t="n">
        <v>2018</v>
      </c>
      <c r="P78" t="n">
        <v>2040</v>
      </c>
      <c r="Q78" t="n">
        <v>0.3424</v>
      </c>
      <c r="R78" t="n">
        <v>635.1588</v>
      </c>
      <c r="S78" t="n">
        <v>0.00086105</v>
      </c>
      <c r="T78" t="n">
        <v>0.00013947</v>
      </c>
    </row>
    <row r="79">
      <c r="A79" t="inlineStr">
        <is>
          <t>SUP-0008</t>
        </is>
      </c>
      <c r="B79" t="inlineStr">
        <is>
          <t>Electronics Supplier 008</t>
        </is>
      </c>
      <c r="C79" t="inlineStr">
        <is>
          <t>Electronics</t>
        </is>
      </c>
      <c r="D79" t="n">
        <v>2022</v>
      </c>
      <c r="E79" t="n">
        <v>4373673.35</v>
      </c>
      <c r="F79" t="n">
        <v>12345363.16</v>
      </c>
      <c r="G79" t="n">
        <v>4167.4076</v>
      </c>
      <c r="H79" t="n">
        <v>730.1894</v>
      </c>
      <c r="I79" t="inlineStr"/>
      <c r="J79" t="inlineStr"/>
      <c r="K79" t="inlineStr"/>
      <c r="L79" t="inlineStr"/>
      <c r="M79" t="inlineStr"/>
      <c r="N79" t="inlineStr"/>
      <c r="O79" t="n">
        <v>2018</v>
      </c>
      <c r="P79" t="n">
        <v>2040</v>
      </c>
      <c r="Q79" t="n">
        <v>0.3424</v>
      </c>
      <c r="R79" t="n">
        <v>635.1588</v>
      </c>
      <c r="S79" t="n">
        <v>0.00086105</v>
      </c>
      <c r="T79" t="n">
        <v>0.00013947</v>
      </c>
    </row>
    <row r="80">
      <c r="A80" t="inlineStr">
        <is>
          <t>SUP-0008</t>
        </is>
      </c>
      <c r="B80" t="inlineStr">
        <is>
          <t>Electronics Supplier 008</t>
        </is>
      </c>
      <c r="C80" t="inlineStr">
        <is>
          <t>Electronics</t>
        </is>
      </c>
      <c r="D80" t="n">
        <v>2023</v>
      </c>
      <c r="E80" t="n">
        <v>3916477.11</v>
      </c>
      <c r="F80" t="n">
        <v>8816162.289999999</v>
      </c>
      <c r="G80" t="inlineStr"/>
      <c r="H80" t="n">
        <v>611.3185</v>
      </c>
      <c r="I80" t="n">
        <v>439.9423</v>
      </c>
      <c r="J80" t="n">
        <v>2700.2903</v>
      </c>
      <c r="K80" t="inlineStr"/>
      <c r="L80" t="inlineStr"/>
      <c r="M80" t="inlineStr"/>
      <c r="N80" t="inlineStr"/>
      <c r="O80" t="n">
        <v>2018</v>
      </c>
      <c r="P80" t="n">
        <v>2040</v>
      </c>
      <c r="Q80" t="n">
        <v>0.3424</v>
      </c>
      <c r="R80" t="n">
        <v>635.1588</v>
      </c>
      <c r="S80" t="n">
        <v>0.00086105</v>
      </c>
      <c r="T80" t="n">
        <v>0.00013947</v>
      </c>
    </row>
    <row r="81">
      <c r="A81" t="inlineStr">
        <is>
          <t>SUP-0008</t>
        </is>
      </c>
      <c r="B81" t="inlineStr">
        <is>
          <t>Electronics Supplier 008</t>
        </is>
      </c>
      <c r="C81" t="inlineStr">
        <is>
          <t>Electronics</t>
        </is>
      </c>
      <c r="D81" t="n">
        <v>2024</v>
      </c>
      <c r="E81" t="inlineStr"/>
      <c r="F81" t="n">
        <v>13053571.69</v>
      </c>
      <c r="G81" t="n">
        <v>3292.5056</v>
      </c>
      <c r="H81" t="n">
        <v>425.3445</v>
      </c>
      <c r="I81" t="n">
        <v>213.5756</v>
      </c>
      <c r="J81" t="n">
        <v>2732.5965</v>
      </c>
      <c r="K81" t="inlineStr"/>
      <c r="L81" t="inlineStr"/>
      <c r="M81" t="inlineStr"/>
      <c r="N81" t="inlineStr"/>
      <c r="O81" t="n">
        <v>2018</v>
      </c>
      <c r="P81" t="n">
        <v>2040</v>
      </c>
      <c r="Q81" t="n">
        <v>0.3424</v>
      </c>
      <c r="R81" t="n">
        <v>635.1588</v>
      </c>
      <c r="S81" t="n">
        <v>0.00086105</v>
      </c>
      <c r="T81" t="n">
        <v>0.00013947</v>
      </c>
    </row>
    <row r="82">
      <c r="A82" t="inlineStr">
        <is>
          <t>SUP-0009</t>
        </is>
      </c>
      <c r="B82" t="inlineStr">
        <is>
          <t>Professional Supplier 009</t>
        </is>
      </c>
      <c r="C82" t="inlineStr">
        <is>
          <t>Professional Services</t>
        </is>
      </c>
      <c r="D82" t="n">
        <v>2015</v>
      </c>
      <c r="E82" t="n">
        <v>24776350.54</v>
      </c>
      <c r="F82" t="n">
        <v>32201566.49</v>
      </c>
      <c r="G82" t="inlineStr"/>
      <c r="H82" t="n">
        <v>521.326</v>
      </c>
      <c r="I82" t="n">
        <v>427.5766</v>
      </c>
      <c r="J82" t="n">
        <v>1657.6</v>
      </c>
      <c r="K82" t="inlineStr"/>
      <c r="L82" t="inlineStr"/>
      <c r="M82" t="inlineStr"/>
      <c r="N82" t="inlineStr"/>
      <c r="O82" t="n">
        <v>2020</v>
      </c>
      <c r="P82" t="inlineStr"/>
      <c r="Q82" t="inlineStr"/>
      <c r="R82" t="n">
        <v>400.0326</v>
      </c>
      <c r="S82" t="n">
        <v>0.00012906</v>
      </c>
      <c r="T82" t="n">
        <v>0.00019658</v>
      </c>
    </row>
    <row r="83">
      <c r="A83" t="inlineStr">
        <is>
          <t>SUP-0009</t>
        </is>
      </c>
      <c r="B83" t="inlineStr">
        <is>
          <t>Professional Supplier 009</t>
        </is>
      </c>
      <c r="C83" t="inlineStr">
        <is>
          <t>Professional Services</t>
        </is>
      </c>
      <c r="D83" t="n">
        <v>2016</v>
      </c>
      <c r="E83" t="n">
        <v>23758134.24</v>
      </c>
      <c r="F83" t="n">
        <v>35844584.02</v>
      </c>
      <c r="G83" t="n">
        <v>4255.4701</v>
      </c>
      <c r="H83" t="n">
        <v>482.6913</v>
      </c>
      <c r="I83" t="n">
        <v>557.5871</v>
      </c>
      <c r="J83" t="n">
        <v>2846.4294</v>
      </c>
      <c r="K83" t="inlineStr"/>
      <c r="L83" t="inlineStr"/>
      <c r="M83" t="inlineStr"/>
      <c r="N83" t="inlineStr"/>
      <c r="O83" t="n">
        <v>2020</v>
      </c>
      <c r="P83" t="inlineStr"/>
      <c r="Q83" t="inlineStr"/>
      <c r="R83" t="n">
        <v>400.0326</v>
      </c>
      <c r="S83" t="n">
        <v>0.00012906</v>
      </c>
      <c r="T83" t="n">
        <v>0.00019658</v>
      </c>
    </row>
    <row r="84">
      <c r="A84" t="inlineStr">
        <is>
          <t>SUP-0009</t>
        </is>
      </c>
      <c r="B84" t="inlineStr">
        <is>
          <t>Professional Supplier 009</t>
        </is>
      </c>
      <c r="C84" t="inlineStr">
        <is>
          <t>Professional Services</t>
        </is>
      </c>
      <c r="D84" t="n">
        <v>2017</v>
      </c>
      <c r="E84" t="n">
        <v>23196858.01</v>
      </c>
      <c r="F84" t="n">
        <v>33570242.17</v>
      </c>
      <c r="G84" t="n">
        <v>2701.2809</v>
      </c>
      <c r="H84" t="n">
        <v>559.6794</v>
      </c>
      <c r="I84" t="n">
        <v>324.2734</v>
      </c>
      <c r="J84" t="n">
        <v>1797.4528</v>
      </c>
      <c r="K84" t="inlineStr"/>
      <c r="L84" t="inlineStr"/>
      <c r="M84" t="inlineStr"/>
      <c r="N84" t="inlineStr"/>
      <c r="O84" t="n">
        <v>2020</v>
      </c>
      <c r="P84" t="inlineStr"/>
      <c r="Q84" t="inlineStr"/>
      <c r="R84" t="n">
        <v>400.0326</v>
      </c>
      <c r="S84" t="n">
        <v>0.00012906</v>
      </c>
      <c r="T84" t="n">
        <v>0.00019658</v>
      </c>
    </row>
    <row r="85">
      <c r="A85" t="inlineStr">
        <is>
          <t>SUP-0009</t>
        </is>
      </c>
      <c r="B85" t="inlineStr">
        <is>
          <t>Professional Supplier 009</t>
        </is>
      </c>
      <c r="C85" t="inlineStr">
        <is>
          <t>Professional Services</t>
        </is>
      </c>
      <c r="D85" t="n">
        <v>2018</v>
      </c>
      <c r="E85" t="inlineStr"/>
      <c r="F85" t="n">
        <v>39759348.71</v>
      </c>
      <c r="G85" t="n">
        <v>3745.867</v>
      </c>
      <c r="H85" t="n">
        <v>398.2531</v>
      </c>
      <c r="I85" t="n">
        <v>322.0091</v>
      </c>
      <c r="J85" t="n">
        <v>3056.2788</v>
      </c>
      <c r="K85" t="inlineStr"/>
      <c r="L85" t="inlineStr"/>
      <c r="M85" t="inlineStr"/>
      <c r="N85" t="inlineStr"/>
      <c r="O85" t="n">
        <v>2020</v>
      </c>
      <c r="P85" t="inlineStr"/>
      <c r="Q85" t="inlineStr"/>
      <c r="R85" t="n">
        <v>400.0326</v>
      </c>
      <c r="S85" t="n">
        <v>0.00012906</v>
      </c>
      <c r="T85" t="n">
        <v>0.00019658</v>
      </c>
    </row>
    <row r="86">
      <c r="A86" t="inlineStr">
        <is>
          <t>SUP-0009</t>
        </is>
      </c>
      <c r="B86" t="inlineStr">
        <is>
          <t>Professional Supplier 009</t>
        </is>
      </c>
      <c r="C86" t="inlineStr">
        <is>
          <t>Professional Services</t>
        </is>
      </c>
      <c r="D86" t="n">
        <v>2019</v>
      </c>
      <c r="E86" t="n">
        <v>35207077.02</v>
      </c>
      <c r="F86" t="n">
        <v>32102692.02</v>
      </c>
      <c r="G86" t="n">
        <v>4760.4401</v>
      </c>
      <c r="H86" t="inlineStr"/>
      <c r="I86" t="n">
        <v>629.0584</v>
      </c>
      <c r="J86" t="n">
        <v>3548.8928</v>
      </c>
      <c r="K86" t="inlineStr"/>
      <c r="L86" t="inlineStr"/>
      <c r="M86" t="inlineStr"/>
      <c r="N86" t="inlineStr"/>
      <c r="O86" t="n">
        <v>2020</v>
      </c>
      <c r="P86" t="inlineStr"/>
      <c r="Q86" t="inlineStr"/>
      <c r="R86" t="n">
        <v>400.0326</v>
      </c>
      <c r="S86" t="n">
        <v>0.00012906</v>
      </c>
      <c r="T86" t="n">
        <v>0.00019658</v>
      </c>
    </row>
    <row r="87">
      <c r="A87" t="inlineStr">
        <is>
          <t>SUP-0009</t>
        </is>
      </c>
      <c r="B87" t="inlineStr">
        <is>
          <t>Professional Supplier 009</t>
        </is>
      </c>
      <c r="C87" t="inlineStr">
        <is>
          <t>Professional Services</t>
        </is>
      </c>
      <c r="D87" t="n">
        <v>2020</v>
      </c>
      <c r="E87" t="n">
        <v>37602611.08</v>
      </c>
      <c r="F87" t="n">
        <v>49935560.02</v>
      </c>
      <c r="G87" t="inlineStr"/>
      <c r="H87" t="n">
        <v>1247.8186</v>
      </c>
      <c r="I87" t="n">
        <v>559.2795</v>
      </c>
      <c r="J87" t="inlineStr"/>
      <c r="K87" t="inlineStr"/>
      <c r="L87" t="inlineStr"/>
      <c r="M87" t="inlineStr"/>
      <c r="N87" t="inlineStr"/>
      <c r="O87" t="n">
        <v>2020</v>
      </c>
      <c r="P87" t="inlineStr"/>
      <c r="Q87" t="inlineStr"/>
      <c r="R87" t="n">
        <v>400.0326</v>
      </c>
      <c r="S87" t="n">
        <v>0.00012906</v>
      </c>
      <c r="T87" t="n">
        <v>0.00019658</v>
      </c>
    </row>
    <row r="88">
      <c r="A88" t="inlineStr">
        <is>
          <t>SUP-0009</t>
        </is>
      </c>
      <c r="B88" t="inlineStr">
        <is>
          <t>Professional Supplier 009</t>
        </is>
      </c>
      <c r="C88" t="inlineStr">
        <is>
          <t>Professional Services</t>
        </is>
      </c>
      <c r="D88" t="n">
        <v>2021</v>
      </c>
      <c r="E88" t="n">
        <v>35665704.28</v>
      </c>
      <c r="F88" t="n">
        <v>57179614.73</v>
      </c>
      <c r="G88" t="n">
        <v>4646.8409</v>
      </c>
      <c r="H88" t="inlineStr"/>
      <c r="I88" t="n">
        <v>999.3069</v>
      </c>
      <c r="J88" t="n">
        <v>2939.1592</v>
      </c>
      <c r="K88" t="inlineStr"/>
      <c r="L88" t="inlineStr"/>
      <c r="M88" t="inlineStr"/>
      <c r="N88" t="inlineStr"/>
      <c r="O88" t="n">
        <v>2020</v>
      </c>
      <c r="P88" t="inlineStr"/>
      <c r="Q88" t="inlineStr"/>
      <c r="R88" t="n">
        <v>400.0326</v>
      </c>
      <c r="S88" t="n">
        <v>0.00012906</v>
      </c>
      <c r="T88" t="n">
        <v>0.00019658</v>
      </c>
    </row>
    <row r="89">
      <c r="A89" t="inlineStr">
        <is>
          <t>SUP-0009</t>
        </is>
      </c>
      <c r="B89" t="inlineStr">
        <is>
          <t>Professional Supplier 009</t>
        </is>
      </c>
      <c r="C89" t="inlineStr">
        <is>
          <t>Professional Services</t>
        </is>
      </c>
      <c r="D89" t="n">
        <v>2022</v>
      </c>
      <c r="E89" t="n">
        <v>42290241.88</v>
      </c>
      <c r="F89" t="n">
        <v>49528531.02</v>
      </c>
      <c r="G89" t="n">
        <v>3909.5303</v>
      </c>
      <c r="H89" t="inlineStr"/>
      <c r="I89" t="n">
        <v>773.9299999999999</v>
      </c>
      <c r="J89" t="inlineStr"/>
      <c r="K89" t="inlineStr"/>
      <c r="L89" t="inlineStr"/>
      <c r="M89" t="inlineStr"/>
      <c r="N89" t="inlineStr"/>
      <c r="O89" t="n">
        <v>2020</v>
      </c>
      <c r="P89" t="inlineStr"/>
      <c r="Q89" t="inlineStr"/>
      <c r="R89" t="n">
        <v>400.0326</v>
      </c>
      <c r="S89" t="n">
        <v>0.00012906</v>
      </c>
      <c r="T89" t="n">
        <v>0.00019658</v>
      </c>
    </row>
    <row r="90">
      <c r="A90" t="inlineStr">
        <is>
          <t>SUP-0009</t>
        </is>
      </c>
      <c r="B90" t="inlineStr">
        <is>
          <t>Professional Supplier 009</t>
        </is>
      </c>
      <c r="C90" t="inlineStr">
        <is>
          <t>Professional Services</t>
        </is>
      </c>
      <c r="D90" t="n">
        <v>2023</v>
      </c>
      <c r="E90" t="n">
        <v>47292024.59</v>
      </c>
      <c r="F90" t="n">
        <v>58804939.13</v>
      </c>
      <c r="G90" t="n">
        <v>5670.6263</v>
      </c>
      <c r="H90" t="n">
        <v>1190.4245</v>
      </c>
      <c r="I90" t="inlineStr"/>
      <c r="J90" t="n">
        <v>3640.2184</v>
      </c>
      <c r="K90" t="inlineStr"/>
      <c r="L90" t="inlineStr"/>
      <c r="M90" t="inlineStr"/>
      <c r="N90" t="inlineStr"/>
      <c r="O90" t="n">
        <v>2020</v>
      </c>
      <c r="P90" t="inlineStr"/>
      <c r="Q90" t="inlineStr"/>
      <c r="R90" t="n">
        <v>400.0326</v>
      </c>
      <c r="S90" t="n">
        <v>0.00012906</v>
      </c>
      <c r="T90" t="n">
        <v>0.00019658</v>
      </c>
    </row>
    <row r="91">
      <c r="A91" t="inlineStr">
        <is>
          <t>SUP-0009</t>
        </is>
      </c>
      <c r="B91" t="inlineStr">
        <is>
          <t>Professional Supplier 009</t>
        </is>
      </c>
      <c r="C91" t="inlineStr">
        <is>
          <t>Professional Services</t>
        </is>
      </c>
      <c r="D91" t="n">
        <v>2024</v>
      </c>
      <c r="E91" t="n">
        <v>52537789.25</v>
      </c>
      <c r="F91" t="n">
        <v>67311812.73</v>
      </c>
      <c r="G91" t="n">
        <v>4325.7647</v>
      </c>
      <c r="H91" t="inlineStr"/>
      <c r="I91" t="n">
        <v>780.5117</v>
      </c>
      <c r="J91" t="inlineStr"/>
      <c r="K91" t="inlineStr"/>
      <c r="L91" t="inlineStr"/>
      <c r="M91" t="inlineStr"/>
      <c r="N91" t="inlineStr"/>
      <c r="O91" t="n">
        <v>2020</v>
      </c>
      <c r="P91" t="inlineStr"/>
      <c r="Q91" t="inlineStr"/>
      <c r="R91" t="n">
        <v>400.0326</v>
      </c>
      <c r="S91" t="n">
        <v>0.00012906</v>
      </c>
      <c r="T91" t="n">
        <v>0.00019658</v>
      </c>
    </row>
    <row r="92">
      <c r="A92" t="inlineStr">
        <is>
          <t>SUP-0010</t>
        </is>
      </c>
      <c r="B92" t="inlineStr">
        <is>
          <t>Packaging Supplier 010</t>
        </is>
      </c>
      <c r="C92" t="inlineStr">
        <is>
          <t>Packaging</t>
        </is>
      </c>
      <c r="D92" t="n">
        <v>2015</v>
      </c>
      <c r="E92" t="n">
        <v>1016489.03</v>
      </c>
      <c r="F92" t="n">
        <v>2186171.93</v>
      </c>
      <c r="G92" t="n">
        <v>936.6947</v>
      </c>
      <c r="H92" t="n">
        <v>139.2539</v>
      </c>
      <c r="I92" t="n">
        <v>105.9001</v>
      </c>
      <c r="J92" t="n">
        <v>664.7074</v>
      </c>
      <c r="K92" t="n">
        <v>2018</v>
      </c>
      <c r="L92" t="n">
        <v>2035</v>
      </c>
      <c r="M92" t="n">
        <v>0.3963</v>
      </c>
      <c r="N92" t="n">
        <v>0.1482</v>
      </c>
      <c r="O92" t="n">
        <v>2018</v>
      </c>
      <c r="P92" t="n">
        <v>2040</v>
      </c>
      <c r="Q92" t="n">
        <v>0.3112</v>
      </c>
      <c r="R92" t="n">
        <v>702.4188</v>
      </c>
      <c r="S92" t="n">
        <v>0.0010803</v>
      </c>
      <c r="T92" t="n">
        <v>0.00078946</v>
      </c>
    </row>
    <row r="93">
      <c r="A93" t="inlineStr">
        <is>
          <t>SUP-0010</t>
        </is>
      </c>
      <c r="B93" t="inlineStr">
        <is>
          <t>Packaging Supplier 010</t>
        </is>
      </c>
      <c r="C93" t="inlineStr">
        <is>
          <t>Packaging</t>
        </is>
      </c>
      <c r="D93" t="n">
        <v>2016</v>
      </c>
      <c r="E93" t="n">
        <v>1193538.1</v>
      </c>
      <c r="F93" t="n">
        <v>2247959.7</v>
      </c>
      <c r="G93" t="n">
        <v>1276.2001</v>
      </c>
      <c r="H93" t="inlineStr"/>
      <c r="I93" t="n">
        <v>221.7209</v>
      </c>
      <c r="J93" t="inlineStr"/>
      <c r="K93" t="n">
        <v>2018</v>
      </c>
      <c r="L93" t="n">
        <v>2035</v>
      </c>
      <c r="M93" t="n">
        <v>0.3963</v>
      </c>
      <c r="N93" t="n">
        <v>0.1482</v>
      </c>
      <c r="O93" t="n">
        <v>2018</v>
      </c>
      <c r="P93" t="n">
        <v>2040</v>
      </c>
      <c r="Q93" t="n">
        <v>0.3112</v>
      </c>
      <c r="R93" t="n">
        <v>702.4188</v>
      </c>
      <c r="S93" t="n">
        <v>0.0010803</v>
      </c>
      <c r="T93" t="n">
        <v>0.00078946</v>
      </c>
    </row>
    <row r="94">
      <c r="A94" t="inlineStr">
        <is>
          <t>SUP-0010</t>
        </is>
      </c>
      <c r="B94" t="inlineStr">
        <is>
          <t>Packaging Supplier 010</t>
        </is>
      </c>
      <c r="C94" t="inlineStr">
        <is>
          <t>Packaging</t>
        </is>
      </c>
      <c r="D94" t="n">
        <v>2017</v>
      </c>
      <c r="E94" t="n">
        <v>1044103.95</v>
      </c>
      <c r="F94" t="n">
        <v>2154422.64</v>
      </c>
      <c r="G94" t="n">
        <v>979.1795</v>
      </c>
      <c r="H94" t="n">
        <v>165.5201</v>
      </c>
      <c r="I94" t="n">
        <v>66.4815</v>
      </c>
      <c r="J94" t="n">
        <v>773.4256</v>
      </c>
      <c r="K94" t="n">
        <v>2018</v>
      </c>
      <c r="L94" t="n">
        <v>2035</v>
      </c>
      <c r="M94" t="n">
        <v>0.3963</v>
      </c>
      <c r="N94" t="n">
        <v>0.1482</v>
      </c>
      <c r="O94" t="n">
        <v>2018</v>
      </c>
      <c r="P94" t="n">
        <v>2040</v>
      </c>
      <c r="Q94" t="n">
        <v>0.3112</v>
      </c>
      <c r="R94" t="n">
        <v>702.4188</v>
      </c>
      <c r="S94" t="n">
        <v>0.0010803</v>
      </c>
      <c r="T94" t="n">
        <v>0.00078946</v>
      </c>
    </row>
    <row r="95">
      <c r="A95" t="inlineStr">
        <is>
          <t>SUP-0010</t>
        </is>
      </c>
      <c r="B95" t="inlineStr">
        <is>
          <t>Packaging Supplier 010</t>
        </is>
      </c>
      <c r="C95" t="inlineStr">
        <is>
          <t>Packaging</t>
        </is>
      </c>
      <c r="D95" t="n">
        <v>2018</v>
      </c>
      <c r="E95" t="n">
        <v>1149037.69</v>
      </c>
      <c r="F95" t="n">
        <v>2143940.82</v>
      </c>
      <c r="G95" t="n">
        <v>1197.5142</v>
      </c>
      <c r="H95" t="n">
        <v>166.7751</v>
      </c>
      <c r="I95" t="n">
        <v>170.1263</v>
      </c>
      <c r="J95" t="inlineStr"/>
      <c r="K95" t="n">
        <v>2018</v>
      </c>
      <c r="L95" t="n">
        <v>2035</v>
      </c>
      <c r="M95" t="n">
        <v>0.3963</v>
      </c>
      <c r="N95" t="n">
        <v>0.1482</v>
      </c>
      <c r="O95" t="n">
        <v>2018</v>
      </c>
      <c r="P95" t="n">
        <v>2040</v>
      </c>
      <c r="Q95" t="n">
        <v>0.3112</v>
      </c>
      <c r="R95" t="n">
        <v>702.4188</v>
      </c>
      <c r="S95" t="n">
        <v>0.0010803</v>
      </c>
      <c r="T95" t="n">
        <v>0.00078946</v>
      </c>
    </row>
    <row r="96">
      <c r="A96" t="inlineStr">
        <is>
          <t>SUP-0010</t>
        </is>
      </c>
      <c r="B96" t="inlineStr">
        <is>
          <t>Packaging Supplier 010</t>
        </is>
      </c>
      <c r="C96" t="inlineStr">
        <is>
          <t>Packaging</t>
        </is>
      </c>
      <c r="D96" t="n">
        <v>2019</v>
      </c>
      <c r="E96" t="n">
        <v>1261577.84</v>
      </c>
      <c r="F96" t="n">
        <v>2293653.8</v>
      </c>
      <c r="G96" t="inlineStr"/>
      <c r="H96" t="n">
        <v>114.6407</v>
      </c>
      <c r="I96" t="n">
        <v>167.2639</v>
      </c>
      <c r="J96" t="n">
        <v>825.1528</v>
      </c>
      <c r="K96" t="n">
        <v>2018</v>
      </c>
      <c r="L96" t="n">
        <v>2035</v>
      </c>
      <c r="M96" t="n">
        <v>0.3963</v>
      </c>
      <c r="N96" t="n">
        <v>0.1482</v>
      </c>
      <c r="O96" t="n">
        <v>2018</v>
      </c>
      <c r="P96" t="n">
        <v>2040</v>
      </c>
      <c r="Q96" t="n">
        <v>0.3112</v>
      </c>
      <c r="R96" t="n">
        <v>702.4188</v>
      </c>
      <c r="S96" t="n">
        <v>0.0010803</v>
      </c>
      <c r="T96" t="n">
        <v>0.00078946</v>
      </c>
    </row>
    <row r="97">
      <c r="A97" t="inlineStr">
        <is>
          <t>SUP-0010</t>
        </is>
      </c>
      <c r="B97" t="inlineStr">
        <is>
          <t>Packaging Supplier 010</t>
        </is>
      </c>
      <c r="C97" t="inlineStr">
        <is>
          <t>Packaging</t>
        </is>
      </c>
      <c r="D97" t="n">
        <v>2020</v>
      </c>
      <c r="E97" t="n">
        <v>1204677.36</v>
      </c>
      <c r="F97" t="n">
        <v>2404871.91</v>
      </c>
      <c r="G97" t="n">
        <v>1055.2041</v>
      </c>
      <c r="H97" t="inlineStr"/>
      <c r="I97" t="inlineStr"/>
      <c r="J97" t="n">
        <v>690.3007</v>
      </c>
      <c r="K97" t="n">
        <v>2018</v>
      </c>
      <c r="L97" t="n">
        <v>2035</v>
      </c>
      <c r="M97" t="n">
        <v>0.3963</v>
      </c>
      <c r="N97" t="n">
        <v>0.1482</v>
      </c>
      <c r="O97" t="n">
        <v>2018</v>
      </c>
      <c r="P97" t="n">
        <v>2040</v>
      </c>
      <c r="Q97" t="n">
        <v>0.3112</v>
      </c>
      <c r="R97" t="n">
        <v>702.4188</v>
      </c>
      <c r="S97" t="n">
        <v>0.0010803</v>
      </c>
      <c r="T97" t="n">
        <v>0.00078946</v>
      </c>
    </row>
    <row r="98">
      <c r="A98" t="inlineStr">
        <is>
          <t>SUP-0010</t>
        </is>
      </c>
      <c r="B98" t="inlineStr">
        <is>
          <t>Packaging Supplier 010</t>
        </is>
      </c>
      <c r="C98" t="inlineStr">
        <is>
          <t>Packaging</t>
        </is>
      </c>
      <c r="D98" t="n">
        <v>2021</v>
      </c>
      <c r="E98" t="n">
        <v>1053342.84</v>
      </c>
      <c r="F98" t="n">
        <v>2034680.5</v>
      </c>
      <c r="G98" t="n">
        <v>845.0359999999999</v>
      </c>
      <c r="H98" t="n">
        <v>225.9767</v>
      </c>
      <c r="I98" t="inlineStr"/>
      <c r="J98" t="n">
        <v>558.7769</v>
      </c>
      <c r="K98" t="n">
        <v>2018</v>
      </c>
      <c r="L98" t="n">
        <v>2035</v>
      </c>
      <c r="M98" t="n">
        <v>0.3963</v>
      </c>
      <c r="N98" t="n">
        <v>0.1482</v>
      </c>
      <c r="O98" t="n">
        <v>2018</v>
      </c>
      <c r="P98" t="n">
        <v>2040</v>
      </c>
      <c r="Q98" t="n">
        <v>0.3112</v>
      </c>
      <c r="R98" t="n">
        <v>702.4188</v>
      </c>
      <c r="S98" t="n">
        <v>0.0010803</v>
      </c>
      <c r="T98" t="n">
        <v>0.00078946</v>
      </c>
    </row>
    <row r="99">
      <c r="A99" t="inlineStr">
        <is>
          <t>SUP-0010</t>
        </is>
      </c>
      <c r="B99" t="inlineStr">
        <is>
          <t>Packaging Supplier 010</t>
        </is>
      </c>
      <c r="C99" t="inlineStr">
        <is>
          <t>Packaging</t>
        </is>
      </c>
      <c r="D99" t="n">
        <v>2022</v>
      </c>
      <c r="E99" t="n">
        <v>1112700.54</v>
      </c>
      <c r="F99" t="n">
        <v>2741371.97</v>
      </c>
      <c r="G99" t="inlineStr"/>
      <c r="H99" t="n">
        <v>154.1106</v>
      </c>
      <c r="I99" t="n">
        <v>79.5401</v>
      </c>
      <c r="J99" t="n">
        <v>906.259</v>
      </c>
      <c r="K99" t="n">
        <v>2018</v>
      </c>
      <c r="L99" t="n">
        <v>2035</v>
      </c>
      <c r="M99" t="n">
        <v>0.3963</v>
      </c>
      <c r="N99" t="n">
        <v>0.1482</v>
      </c>
      <c r="O99" t="n">
        <v>2018</v>
      </c>
      <c r="P99" t="n">
        <v>2040</v>
      </c>
      <c r="Q99" t="n">
        <v>0.3112</v>
      </c>
      <c r="R99" t="n">
        <v>702.4188</v>
      </c>
      <c r="S99" t="n">
        <v>0.0010803</v>
      </c>
      <c r="T99" t="n">
        <v>0.00078946</v>
      </c>
    </row>
    <row r="100">
      <c r="A100" t="inlineStr">
        <is>
          <t>SUP-0010</t>
        </is>
      </c>
      <c r="B100" t="inlineStr">
        <is>
          <t>Packaging Supplier 010</t>
        </is>
      </c>
      <c r="C100" t="inlineStr">
        <is>
          <t>Packaging</t>
        </is>
      </c>
      <c r="D100" t="n">
        <v>2023</v>
      </c>
      <c r="E100" t="n">
        <v>1215430.28</v>
      </c>
      <c r="F100" t="n">
        <v>2621916.4</v>
      </c>
      <c r="G100" t="n">
        <v>1180.296</v>
      </c>
      <c r="H100" t="inlineStr"/>
      <c r="I100" t="n">
        <v>209.6126</v>
      </c>
      <c r="J100" t="inlineStr"/>
      <c r="K100" t="n">
        <v>2018</v>
      </c>
      <c r="L100" t="n">
        <v>2035</v>
      </c>
      <c r="M100" t="n">
        <v>0.3963</v>
      </c>
      <c r="N100" t="n">
        <v>0.1482</v>
      </c>
      <c r="O100" t="n">
        <v>2018</v>
      </c>
      <c r="P100" t="n">
        <v>2040</v>
      </c>
      <c r="Q100" t="n">
        <v>0.3112</v>
      </c>
      <c r="R100" t="n">
        <v>702.4188</v>
      </c>
      <c r="S100" t="n">
        <v>0.0010803</v>
      </c>
      <c r="T100" t="n">
        <v>0.00078946</v>
      </c>
    </row>
    <row r="101">
      <c r="A101" t="inlineStr">
        <is>
          <t>SUP-0010</t>
        </is>
      </c>
      <c r="B101" t="inlineStr">
        <is>
          <t>Packaging Supplier 010</t>
        </is>
      </c>
      <c r="C101" t="inlineStr">
        <is>
          <t>Packaging</t>
        </is>
      </c>
      <c r="D101" t="n">
        <v>2024</v>
      </c>
      <c r="E101" t="n">
        <v>1024486.81</v>
      </c>
      <c r="F101" t="n">
        <v>2139138.22</v>
      </c>
      <c r="G101" t="n">
        <v>929.0374</v>
      </c>
      <c r="H101" t="n">
        <v>202.7525</v>
      </c>
      <c r="I101" t="n">
        <v>178.1147</v>
      </c>
      <c r="J101" t="inlineStr"/>
      <c r="K101" t="n">
        <v>2018</v>
      </c>
      <c r="L101" t="n">
        <v>2035</v>
      </c>
      <c r="M101" t="n">
        <v>0.3963</v>
      </c>
      <c r="N101" t="n">
        <v>0.1482</v>
      </c>
      <c r="O101" t="n">
        <v>2018</v>
      </c>
      <c r="P101" t="n">
        <v>2040</v>
      </c>
      <c r="Q101" t="n">
        <v>0.3112</v>
      </c>
      <c r="R101" t="n">
        <v>702.4188</v>
      </c>
      <c r="S101" t="n">
        <v>0.0010803</v>
      </c>
      <c r="T101" t="n">
        <v>0.00078946</v>
      </c>
    </row>
    <row r="102">
      <c r="A102" t="inlineStr">
        <is>
          <t>SUP-0011</t>
        </is>
      </c>
      <c r="B102" t="inlineStr">
        <is>
          <t>Agriculture Supplier 011</t>
        </is>
      </c>
      <c r="C102" t="inlineStr">
        <is>
          <t>Agriculture</t>
        </is>
      </c>
      <c r="D102" t="n">
        <v>2015</v>
      </c>
      <c r="E102" t="n">
        <v>5742541.72</v>
      </c>
      <c r="F102" t="n">
        <v>8827281.17</v>
      </c>
      <c r="G102" t="n">
        <v>5934.0913</v>
      </c>
      <c r="H102" t="n">
        <v>826</v>
      </c>
      <c r="I102" t="n">
        <v>611.0082</v>
      </c>
      <c r="J102" t="n">
        <v>4364.2621</v>
      </c>
      <c r="K102" t="n">
        <v>2020</v>
      </c>
      <c r="L102" t="n">
        <v>2040</v>
      </c>
      <c r="M102" t="n">
        <v>0.3477</v>
      </c>
      <c r="N102" t="n">
        <v>0.1695</v>
      </c>
      <c r="O102" t="n">
        <v>2018</v>
      </c>
      <c r="P102" t="inlineStr"/>
      <c r="Q102" t="inlineStr"/>
      <c r="R102" t="n">
        <v>529.8294</v>
      </c>
      <c r="S102" t="n">
        <v>0.00091413</v>
      </c>
      <c r="T102" t="n">
        <v>0.00096913</v>
      </c>
    </row>
    <row r="103">
      <c r="A103" t="inlineStr">
        <is>
          <t>SUP-0011</t>
        </is>
      </c>
      <c r="B103" t="inlineStr">
        <is>
          <t>Agriculture Supplier 011</t>
        </is>
      </c>
      <c r="C103" t="inlineStr">
        <is>
          <t>Agriculture</t>
        </is>
      </c>
      <c r="D103" t="n">
        <v>2016</v>
      </c>
      <c r="E103" t="n">
        <v>5698381.6</v>
      </c>
      <c r="F103" t="inlineStr"/>
      <c r="G103" t="n">
        <v>8137.4689</v>
      </c>
      <c r="H103" t="inlineStr"/>
      <c r="I103" t="n">
        <v>1757.5639</v>
      </c>
      <c r="J103" t="n">
        <v>4137.1948</v>
      </c>
      <c r="K103" t="n">
        <v>2020</v>
      </c>
      <c r="L103" t="n">
        <v>2040</v>
      </c>
      <c r="M103" t="n">
        <v>0.3477</v>
      </c>
      <c r="N103" t="n">
        <v>0.1695</v>
      </c>
      <c r="O103" t="n">
        <v>2018</v>
      </c>
      <c r="P103" t="inlineStr"/>
      <c r="Q103" t="inlineStr"/>
      <c r="R103" t="n">
        <v>529.8294</v>
      </c>
      <c r="S103" t="n">
        <v>0.00091413</v>
      </c>
      <c r="T103" t="n">
        <v>0.00096913</v>
      </c>
    </row>
    <row r="104">
      <c r="A104" t="inlineStr">
        <is>
          <t>SUP-0011</t>
        </is>
      </c>
      <c r="B104" t="inlineStr">
        <is>
          <t>Agriculture Supplier 011</t>
        </is>
      </c>
      <c r="C104" t="inlineStr">
        <is>
          <t>Agriculture</t>
        </is>
      </c>
      <c r="D104" t="n">
        <v>2017</v>
      </c>
      <c r="E104" t="n">
        <v>6191105.14</v>
      </c>
      <c r="F104" t="n">
        <v>11482602.88</v>
      </c>
      <c r="G104" t="n">
        <v>8153.7818</v>
      </c>
      <c r="H104" t="n">
        <v>2275.7324</v>
      </c>
      <c r="I104" t="inlineStr"/>
      <c r="J104" t="n">
        <v>4598.9745</v>
      </c>
      <c r="K104" t="n">
        <v>2020</v>
      </c>
      <c r="L104" t="n">
        <v>2040</v>
      </c>
      <c r="M104" t="n">
        <v>0.3477</v>
      </c>
      <c r="N104" t="n">
        <v>0.1695</v>
      </c>
      <c r="O104" t="n">
        <v>2018</v>
      </c>
      <c r="P104" t="inlineStr"/>
      <c r="Q104" t="inlineStr"/>
      <c r="R104" t="n">
        <v>529.8294</v>
      </c>
      <c r="S104" t="n">
        <v>0.00091413</v>
      </c>
      <c r="T104" t="n">
        <v>0.00096913</v>
      </c>
    </row>
    <row r="105">
      <c r="A105" t="inlineStr">
        <is>
          <t>SUP-0011</t>
        </is>
      </c>
      <c r="B105" t="inlineStr">
        <is>
          <t>Agriculture Supplier 011</t>
        </is>
      </c>
      <c r="C105" t="inlineStr">
        <is>
          <t>Agriculture</t>
        </is>
      </c>
      <c r="D105" t="n">
        <v>2018</v>
      </c>
      <c r="E105" t="n">
        <v>6743188.4</v>
      </c>
      <c r="F105" t="n">
        <v>10987073.44</v>
      </c>
      <c r="G105" t="n">
        <v>9657.440399999999</v>
      </c>
      <c r="H105" t="inlineStr"/>
      <c r="I105" t="inlineStr"/>
      <c r="J105" t="inlineStr"/>
      <c r="K105" t="n">
        <v>2020</v>
      </c>
      <c r="L105" t="n">
        <v>2040</v>
      </c>
      <c r="M105" t="n">
        <v>0.3477</v>
      </c>
      <c r="N105" t="n">
        <v>0.1695</v>
      </c>
      <c r="O105" t="n">
        <v>2018</v>
      </c>
      <c r="P105" t="inlineStr"/>
      <c r="Q105" t="inlineStr"/>
      <c r="R105" t="n">
        <v>529.8294</v>
      </c>
      <c r="S105" t="n">
        <v>0.00091413</v>
      </c>
      <c r="T105" t="n">
        <v>0.00096913</v>
      </c>
    </row>
    <row r="106">
      <c r="A106" t="inlineStr">
        <is>
          <t>SUP-0011</t>
        </is>
      </c>
      <c r="B106" t="inlineStr">
        <is>
          <t>Agriculture Supplier 011</t>
        </is>
      </c>
      <c r="C106" t="inlineStr">
        <is>
          <t>Agriculture</t>
        </is>
      </c>
      <c r="D106" t="n">
        <v>2019</v>
      </c>
      <c r="E106" t="n">
        <v>6839527.49</v>
      </c>
      <c r="F106" t="n">
        <v>11474758.89</v>
      </c>
      <c r="G106" t="n">
        <v>10923.4372</v>
      </c>
      <c r="H106" t="n">
        <v>1880.1531</v>
      </c>
      <c r="I106" t="n">
        <v>2316.3739</v>
      </c>
      <c r="J106" t="n">
        <v>6282.7467</v>
      </c>
      <c r="K106" t="n">
        <v>2020</v>
      </c>
      <c r="L106" t="n">
        <v>2040</v>
      </c>
      <c r="M106" t="n">
        <v>0.3477</v>
      </c>
      <c r="N106" t="n">
        <v>0.1695</v>
      </c>
      <c r="O106" t="n">
        <v>2018</v>
      </c>
      <c r="P106" t="inlineStr"/>
      <c r="Q106" t="inlineStr"/>
      <c r="R106" t="n">
        <v>529.8294</v>
      </c>
      <c r="S106" t="n">
        <v>0.00091413</v>
      </c>
      <c r="T106" t="n">
        <v>0.00096913</v>
      </c>
    </row>
    <row r="107">
      <c r="A107" t="inlineStr">
        <is>
          <t>SUP-0011</t>
        </is>
      </c>
      <c r="B107" t="inlineStr">
        <is>
          <t>Agriculture Supplier 011</t>
        </is>
      </c>
      <c r="C107" t="inlineStr">
        <is>
          <t>Agriculture</t>
        </is>
      </c>
      <c r="D107" t="n">
        <v>2020</v>
      </c>
      <c r="E107" t="inlineStr"/>
      <c r="F107" t="inlineStr"/>
      <c r="G107" t="n">
        <v>10221.962</v>
      </c>
      <c r="H107" t="n">
        <v>1342.1262</v>
      </c>
      <c r="I107" t="n">
        <v>1122.1598</v>
      </c>
      <c r="J107" t="inlineStr"/>
      <c r="K107" t="n">
        <v>2020</v>
      </c>
      <c r="L107" t="n">
        <v>2040</v>
      </c>
      <c r="M107" t="n">
        <v>0.3477</v>
      </c>
      <c r="N107" t="n">
        <v>0.1695</v>
      </c>
      <c r="O107" t="n">
        <v>2018</v>
      </c>
      <c r="P107" t="inlineStr"/>
      <c r="Q107" t="inlineStr"/>
      <c r="R107" t="n">
        <v>529.8294</v>
      </c>
      <c r="S107" t="n">
        <v>0.00091413</v>
      </c>
      <c r="T107" t="n">
        <v>0.00096913</v>
      </c>
    </row>
    <row r="108">
      <c r="A108" t="inlineStr">
        <is>
          <t>SUP-0011</t>
        </is>
      </c>
      <c r="B108" t="inlineStr">
        <is>
          <t>Agriculture Supplier 011</t>
        </is>
      </c>
      <c r="C108" t="inlineStr">
        <is>
          <t>Agriculture</t>
        </is>
      </c>
      <c r="D108" t="n">
        <v>2021</v>
      </c>
      <c r="E108" t="n">
        <v>9146253.689999999</v>
      </c>
      <c r="F108" t="n">
        <v>15456764.63</v>
      </c>
      <c r="G108" t="n">
        <v>12987.4338</v>
      </c>
      <c r="H108" t="n">
        <v>1180.3418</v>
      </c>
      <c r="I108" t="inlineStr"/>
      <c r="J108" t="inlineStr"/>
      <c r="K108" t="n">
        <v>2020</v>
      </c>
      <c r="L108" t="n">
        <v>2040</v>
      </c>
      <c r="M108" t="n">
        <v>0.3477</v>
      </c>
      <c r="N108" t="n">
        <v>0.1695</v>
      </c>
      <c r="O108" t="n">
        <v>2018</v>
      </c>
      <c r="P108" t="inlineStr"/>
      <c r="Q108" t="inlineStr"/>
      <c r="R108" t="n">
        <v>529.8294</v>
      </c>
      <c r="S108" t="n">
        <v>0.00091413</v>
      </c>
      <c r="T108" t="n">
        <v>0.00096913</v>
      </c>
    </row>
    <row r="109">
      <c r="A109" t="inlineStr">
        <is>
          <t>SUP-0011</t>
        </is>
      </c>
      <c r="B109" t="inlineStr">
        <is>
          <t>Agriculture Supplier 011</t>
        </is>
      </c>
      <c r="C109" t="inlineStr">
        <is>
          <t>Agriculture</t>
        </is>
      </c>
      <c r="D109" t="n">
        <v>2022</v>
      </c>
      <c r="E109" t="n">
        <v>7926747.22</v>
      </c>
      <c r="F109" t="n">
        <v>16552013.65</v>
      </c>
      <c r="G109" t="n">
        <v>8800.554599999999</v>
      </c>
      <c r="H109" t="n">
        <v>1082.3628</v>
      </c>
      <c r="I109" t="n">
        <v>1278.0482</v>
      </c>
      <c r="J109" t="n">
        <v>6256.9625</v>
      </c>
      <c r="K109" t="n">
        <v>2020</v>
      </c>
      <c r="L109" t="n">
        <v>2040</v>
      </c>
      <c r="M109" t="n">
        <v>0.3477</v>
      </c>
      <c r="N109" t="n">
        <v>0.1695</v>
      </c>
      <c r="O109" t="n">
        <v>2018</v>
      </c>
      <c r="P109" t="inlineStr"/>
      <c r="Q109" t="inlineStr"/>
      <c r="R109" t="n">
        <v>529.8294</v>
      </c>
      <c r="S109" t="n">
        <v>0.00091413</v>
      </c>
      <c r="T109" t="n">
        <v>0.00096913</v>
      </c>
    </row>
    <row r="110">
      <c r="A110" t="inlineStr">
        <is>
          <t>SUP-0011</t>
        </is>
      </c>
      <c r="B110" t="inlineStr">
        <is>
          <t>Agriculture Supplier 011</t>
        </is>
      </c>
      <c r="C110" t="inlineStr">
        <is>
          <t>Agriculture</t>
        </is>
      </c>
      <c r="D110" t="n">
        <v>2023</v>
      </c>
      <c r="E110" t="n">
        <v>7844614.16</v>
      </c>
      <c r="F110" t="n">
        <v>16475753.12</v>
      </c>
      <c r="G110" t="n">
        <v>8433.68</v>
      </c>
      <c r="H110" t="n">
        <v>1035.9329</v>
      </c>
      <c r="I110" t="n">
        <v>1492.2528</v>
      </c>
      <c r="J110" t="n">
        <v>5347.6585</v>
      </c>
      <c r="K110" t="n">
        <v>2020</v>
      </c>
      <c r="L110" t="n">
        <v>2040</v>
      </c>
      <c r="M110" t="n">
        <v>0.3477</v>
      </c>
      <c r="N110" t="n">
        <v>0.1695</v>
      </c>
      <c r="O110" t="n">
        <v>2018</v>
      </c>
      <c r="P110" t="inlineStr"/>
      <c r="Q110" t="inlineStr"/>
      <c r="R110" t="n">
        <v>529.8294</v>
      </c>
      <c r="S110" t="n">
        <v>0.00091413</v>
      </c>
      <c r="T110" t="n">
        <v>0.00096913</v>
      </c>
    </row>
    <row r="111">
      <c r="A111" t="inlineStr">
        <is>
          <t>SUP-0011</t>
        </is>
      </c>
      <c r="B111" t="inlineStr">
        <is>
          <t>Agriculture Supplier 011</t>
        </is>
      </c>
      <c r="C111" t="inlineStr">
        <is>
          <t>Agriculture</t>
        </is>
      </c>
      <c r="D111" t="n">
        <v>2024</v>
      </c>
      <c r="E111" t="n">
        <v>9452299.33</v>
      </c>
      <c r="F111" t="n">
        <v>14891854.76</v>
      </c>
      <c r="G111" t="n">
        <v>8620.5301</v>
      </c>
      <c r="H111" t="n">
        <v>1962.8937</v>
      </c>
      <c r="I111" t="n">
        <v>1129.2387</v>
      </c>
      <c r="J111" t="inlineStr"/>
      <c r="K111" t="n">
        <v>2020</v>
      </c>
      <c r="L111" t="n">
        <v>2040</v>
      </c>
      <c r="M111" t="n">
        <v>0.3477</v>
      </c>
      <c r="N111" t="n">
        <v>0.1695</v>
      </c>
      <c r="O111" t="n">
        <v>2018</v>
      </c>
      <c r="P111" t="inlineStr"/>
      <c r="Q111" t="inlineStr"/>
      <c r="R111" t="n">
        <v>529.8294</v>
      </c>
      <c r="S111" t="n">
        <v>0.00091413</v>
      </c>
      <c r="T111" t="n">
        <v>0.00096913</v>
      </c>
    </row>
    <row r="112">
      <c r="A112" t="inlineStr">
        <is>
          <t>SUP-0012</t>
        </is>
      </c>
      <c r="B112" t="inlineStr">
        <is>
          <t>Textiles Supplier 012</t>
        </is>
      </c>
      <c r="C112" t="inlineStr">
        <is>
          <t>Textiles</t>
        </is>
      </c>
      <c r="D112" t="n">
        <v>2015</v>
      </c>
      <c r="E112" t="n">
        <v>12755603.16</v>
      </c>
      <c r="F112" t="n">
        <v>85723631.56</v>
      </c>
      <c r="G112" t="n">
        <v>4123.5761</v>
      </c>
      <c r="H112" t="n">
        <v>1083.9685</v>
      </c>
      <c r="I112" t="n">
        <v>772.8661</v>
      </c>
      <c r="J112" t="n">
        <v>2394.8733</v>
      </c>
      <c r="K112" t="inlineStr"/>
      <c r="L112" t="inlineStr"/>
      <c r="M112" t="inlineStr"/>
      <c r="N112" t="inlineStr"/>
      <c r="O112" t="n">
        <v>2019</v>
      </c>
      <c r="P112" t="n">
        <v>2030</v>
      </c>
      <c r="Q112" t="n">
        <v>0.3171</v>
      </c>
      <c r="R112" t="n">
        <v>401.7335</v>
      </c>
      <c r="S112" t="n">
        <v>0.00029221</v>
      </c>
      <c r="T112" t="n">
        <v>0.00017343</v>
      </c>
    </row>
    <row r="113">
      <c r="A113" t="inlineStr">
        <is>
          <t>SUP-0012</t>
        </is>
      </c>
      <c r="B113" t="inlineStr">
        <is>
          <t>Textiles Supplier 012</t>
        </is>
      </c>
      <c r="C113" t="inlineStr">
        <is>
          <t>Textiles</t>
        </is>
      </c>
      <c r="D113" t="n">
        <v>2016</v>
      </c>
      <c r="E113" t="n">
        <v>15036852.25</v>
      </c>
      <c r="F113" t="n">
        <v>97991047.3</v>
      </c>
      <c r="G113" t="inlineStr"/>
      <c r="H113" t="n">
        <v>565.1797</v>
      </c>
      <c r="I113" t="n">
        <v>437.1589</v>
      </c>
      <c r="J113" t="n">
        <v>3916.3631</v>
      </c>
      <c r="K113" t="inlineStr"/>
      <c r="L113" t="inlineStr"/>
      <c r="M113" t="inlineStr"/>
      <c r="N113" t="inlineStr"/>
      <c r="O113" t="n">
        <v>2019</v>
      </c>
      <c r="P113" t="n">
        <v>2030</v>
      </c>
      <c r="Q113" t="n">
        <v>0.3171</v>
      </c>
      <c r="R113" t="n">
        <v>401.7335</v>
      </c>
      <c r="S113" t="n">
        <v>0.00029221</v>
      </c>
      <c r="T113" t="n">
        <v>0.00017343</v>
      </c>
    </row>
    <row r="114">
      <c r="A114" t="inlineStr">
        <is>
          <t>SUP-0012</t>
        </is>
      </c>
      <c r="B114" t="inlineStr">
        <is>
          <t>Textiles Supplier 012</t>
        </is>
      </c>
      <c r="C114" t="inlineStr">
        <is>
          <t>Textiles</t>
        </is>
      </c>
      <c r="D114" t="n">
        <v>2017</v>
      </c>
      <c r="E114" t="n">
        <v>16461200.92</v>
      </c>
      <c r="F114" t="inlineStr"/>
      <c r="G114" t="inlineStr"/>
      <c r="H114" t="n">
        <v>1329.9478</v>
      </c>
      <c r="I114" t="n">
        <v>782.9113</v>
      </c>
      <c r="J114" t="n">
        <v>3278.6661</v>
      </c>
      <c r="K114" t="inlineStr"/>
      <c r="L114" t="inlineStr"/>
      <c r="M114" t="inlineStr"/>
      <c r="N114" t="inlineStr"/>
      <c r="O114" t="n">
        <v>2019</v>
      </c>
      <c r="P114" t="n">
        <v>2030</v>
      </c>
      <c r="Q114" t="n">
        <v>0.3171</v>
      </c>
      <c r="R114" t="n">
        <v>401.7335</v>
      </c>
      <c r="S114" t="n">
        <v>0.00029221</v>
      </c>
      <c r="T114" t="n">
        <v>0.00017343</v>
      </c>
    </row>
    <row r="115">
      <c r="A115" t="inlineStr">
        <is>
          <t>SUP-0012</t>
        </is>
      </c>
      <c r="B115" t="inlineStr">
        <is>
          <t>Textiles Supplier 012</t>
        </is>
      </c>
      <c r="C115" t="inlineStr">
        <is>
          <t>Textiles</t>
        </is>
      </c>
      <c r="D115" t="n">
        <v>2018</v>
      </c>
      <c r="E115" t="n">
        <v>15745411.34</v>
      </c>
      <c r="F115" t="n">
        <v>95606198.34999999</v>
      </c>
      <c r="G115" t="inlineStr"/>
      <c r="H115" t="n">
        <v>818.748</v>
      </c>
      <c r="I115" t="n">
        <v>602.0672</v>
      </c>
      <c r="J115" t="inlineStr"/>
      <c r="K115" t="inlineStr"/>
      <c r="L115" t="inlineStr"/>
      <c r="M115" t="inlineStr"/>
      <c r="N115" t="inlineStr"/>
      <c r="O115" t="n">
        <v>2019</v>
      </c>
      <c r="P115" t="n">
        <v>2030</v>
      </c>
      <c r="Q115" t="n">
        <v>0.3171</v>
      </c>
      <c r="R115" t="n">
        <v>401.7335</v>
      </c>
      <c r="S115" t="n">
        <v>0.00029221</v>
      </c>
      <c r="T115" t="n">
        <v>0.00017343</v>
      </c>
    </row>
    <row r="116">
      <c r="A116" t="inlineStr">
        <is>
          <t>SUP-0012</t>
        </is>
      </c>
      <c r="B116" t="inlineStr">
        <is>
          <t>Textiles Supplier 012</t>
        </is>
      </c>
      <c r="C116" t="inlineStr">
        <is>
          <t>Textiles</t>
        </is>
      </c>
      <c r="D116" t="n">
        <v>2019</v>
      </c>
      <c r="E116" t="n">
        <v>17676816.06</v>
      </c>
      <c r="F116" t="n">
        <v>101802937.2</v>
      </c>
      <c r="G116" t="n">
        <v>5113.7407</v>
      </c>
      <c r="H116" t="inlineStr"/>
      <c r="I116" t="n">
        <v>1037.5974</v>
      </c>
      <c r="J116" t="n">
        <v>2537.6023</v>
      </c>
      <c r="K116" t="inlineStr"/>
      <c r="L116" t="inlineStr"/>
      <c r="M116" t="inlineStr"/>
      <c r="N116" t="inlineStr"/>
      <c r="O116" t="n">
        <v>2019</v>
      </c>
      <c r="P116" t="n">
        <v>2030</v>
      </c>
      <c r="Q116" t="n">
        <v>0.3171</v>
      </c>
      <c r="R116" t="n">
        <v>401.7335</v>
      </c>
      <c r="S116" t="n">
        <v>0.00029221</v>
      </c>
      <c r="T116" t="n">
        <v>0.00017343</v>
      </c>
    </row>
    <row r="117">
      <c r="A117" t="inlineStr">
        <is>
          <t>SUP-0012</t>
        </is>
      </c>
      <c r="B117" t="inlineStr">
        <is>
          <t>Textiles Supplier 012</t>
        </is>
      </c>
      <c r="C117" t="inlineStr">
        <is>
          <t>Textiles</t>
        </is>
      </c>
      <c r="D117" t="n">
        <v>2020</v>
      </c>
      <c r="E117" t="n">
        <v>18314476.63</v>
      </c>
      <c r="F117" t="n">
        <v>107547512.87</v>
      </c>
      <c r="G117" t="n">
        <v>5688.8645</v>
      </c>
      <c r="H117" t="n">
        <v>871.9072</v>
      </c>
      <c r="I117" t="n">
        <v>585.1143</v>
      </c>
      <c r="J117" t="n">
        <v>4509.7481</v>
      </c>
      <c r="K117" t="inlineStr"/>
      <c r="L117" t="inlineStr"/>
      <c r="M117" t="inlineStr"/>
      <c r="N117" t="inlineStr"/>
      <c r="O117" t="n">
        <v>2019</v>
      </c>
      <c r="P117" t="n">
        <v>2030</v>
      </c>
      <c r="Q117" t="n">
        <v>0.3171</v>
      </c>
      <c r="R117" t="n">
        <v>401.7335</v>
      </c>
      <c r="S117" t="n">
        <v>0.00029221</v>
      </c>
      <c r="T117" t="n">
        <v>0.00017343</v>
      </c>
    </row>
    <row r="118">
      <c r="A118" t="inlineStr">
        <is>
          <t>SUP-0012</t>
        </is>
      </c>
      <c r="B118" t="inlineStr">
        <is>
          <t>Textiles Supplier 012</t>
        </is>
      </c>
      <c r="C118" t="inlineStr">
        <is>
          <t>Textiles</t>
        </is>
      </c>
      <c r="D118" t="n">
        <v>2021</v>
      </c>
      <c r="E118" t="n">
        <v>21259121.5</v>
      </c>
      <c r="F118" t="n">
        <v>112600574.26</v>
      </c>
      <c r="G118" t="n">
        <v>6175.6183</v>
      </c>
      <c r="H118" t="n">
        <v>1090.1274</v>
      </c>
      <c r="I118" t="inlineStr"/>
      <c r="J118" t="inlineStr"/>
      <c r="K118" t="inlineStr"/>
      <c r="L118" t="inlineStr"/>
      <c r="M118" t="inlineStr"/>
      <c r="N118" t="inlineStr"/>
      <c r="O118" t="n">
        <v>2019</v>
      </c>
      <c r="P118" t="n">
        <v>2030</v>
      </c>
      <c r="Q118" t="n">
        <v>0.3171</v>
      </c>
      <c r="R118" t="n">
        <v>401.7335</v>
      </c>
      <c r="S118" t="n">
        <v>0.00029221</v>
      </c>
      <c r="T118" t="n">
        <v>0.00017343</v>
      </c>
    </row>
    <row r="119">
      <c r="A119" t="inlineStr">
        <is>
          <t>SUP-0012</t>
        </is>
      </c>
      <c r="B119" t="inlineStr">
        <is>
          <t>Textiles Supplier 012</t>
        </is>
      </c>
      <c r="C119" t="inlineStr">
        <is>
          <t>Textiles</t>
        </is>
      </c>
      <c r="D119" t="n">
        <v>2022</v>
      </c>
      <c r="E119" t="n">
        <v>19310565.95</v>
      </c>
      <c r="F119" t="n">
        <v>120678385.15</v>
      </c>
      <c r="G119" t="inlineStr"/>
      <c r="H119" t="n">
        <v>1133.4453</v>
      </c>
      <c r="I119" t="inlineStr"/>
      <c r="J119" t="n">
        <v>3908.0454</v>
      </c>
      <c r="K119" t="inlineStr"/>
      <c r="L119" t="inlineStr"/>
      <c r="M119" t="inlineStr"/>
      <c r="N119" t="inlineStr"/>
      <c r="O119" t="n">
        <v>2019</v>
      </c>
      <c r="P119" t="n">
        <v>2030</v>
      </c>
      <c r="Q119" t="n">
        <v>0.3171</v>
      </c>
      <c r="R119" t="n">
        <v>401.7335</v>
      </c>
      <c r="S119" t="n">
        <v>0.00029221</v>
      </c>
      <c r="T119" t="n">
        <v>0.00017343</v>
      </c>
    </row>
    <row r="120">
      <c r="A120" t="inlineStr">
        <is>
          <t>SUP-0012</t>
        </is>
      </c>
      <c r="B120" t="inlineStr">
        <is>
          <t>Textiles Supplier 012</t>
        </is>
      </c>
      <c r="C120" t="inlineStr">
        <is>
          <t>Textiles</t>
        </is>
      </c>
      <c r="D120" t="n">
        <v>2023</v>
      </c>
      <c r="E120" t="n">
        <v>22133374.76</v>
      </c>
      <c r="F120" t="n">
        <v>149565312.35</v>
      </c>
      <c r="G120" t="n">
        <v>5896.3152</v>
      </c>
      <c r="H120" t="n">
        <v>1179.8604</v>
      </c>
      <c r="I120" t="n">
        <v>447.9093</v>
      </c>
      <c r="J120" t="n">
        <v>3884.8524</v>
      </c>
      <c r="K120" t="inlineStr"/>
      <c r="L120" t="inlineStr"/>
      <c r="M120" t="inlineStr"/>
      <c r="N120" t="inlineStr"/>
      <c r="O120" t="n">
        <v>2019</v>
      </c>
      <c r="P120" t="n">
        <v>2030</v>
      </c>
      <c r="Q120" t="n">
        <v>0.3171</v>
      </c>
      <c r="R120" t="n">
        <v>401.7335</v>
      </c>
      <c r="S120" t="n">
        <v>0.00029221</v>
      </c>
      <c r="T120" t="n">
        <v>0.00017343</v>
      </c>
    </row>
    <row r="121">
      <c r="A121" t="inlineStr">
        <is>
          <t>SUP-0012</t>
        </is>
      </c>
      <c r="B121" t="inlineStr">
        <is>
          <t>Textiles Supplier 012</t>
        </is>
      </c>
      <c r="C121" t="inlineStr">
        <is>
          <t>Textiles</t>
        </is>
      </c>
      <c r="D121" t="n">
        <v>2024</v>
      </c>
      <c r="E121" t="n">
        <v>21655788.06</v>
      </c>
      <c r="F121" t="n">
        <v>146539952.95</v>
      </c>
      <c r="G121" t="inlineStr"/>
      <c r="H121" t="n">
        <v>892.7094</v>
      </c>
      <c r="I121" t="inlineStr"/>
      <c r="J121" t="n">
        <v>2640.714</v>
      </c>
      <c r="K121" t="inlineStr"/>
      <c r="L121" t="inlineStr"/>
      <c r="M121" t="inlineStr"/>
      <c r="N121" t="inlineStr"/>
      <c r="O121" t="n">
        <v>2019</v>
      </c>
      <c r="P121" t="n">
        <v>2030</v>
      </c>
      <c r="Q121" t="n">
        <v>0.3171</v>
      </c>
      <c r="R121" t="n">
        <v>401.7335</v>
      </c>
      <c r="S121" t="n">
        <v>0.00029221</v>
      </c>
      <c r="T121" t="n">
        <v>0.00017343</v>
      </c>
    </row>
    <row r="122">
      <c r="A122" t="inlineStr">
        <is>
          <t>SUP-0013</t>
        </is>
      </c>
      <c r="B122" t="inlineStr">
        <is>
          <t>Electronics Supplier 013</t>
        </is>
      </c>
      <c r="C122" t="inlineStr">
        <is>
          <t>Electronics</t>
        </is>
      </c>
      <c r="D122" t="n">
        <v>2015</v>
      </c>
      <c r="E122" t="n">
        <v>22727279.79</v>
      </c>
      <c r="F122" t="n">
        <v>138917336.37</v>
      </c>
      <c r="G122" t="n">
        <v>17475.0503</v>
      </c>
      <c r="H122" t="n">
        <v>2305.3172</v>
      </c>
      <c r="I122" t="n">
        <v>1266.6728</v>
      </c>
      <c r="J122" t="n">
        <v>13714.8623</v>
      </c>
      <c r="K122" t="inlineStr"/>
      <c r="L122" t="inlineStr"/>
      <c r="M122" t="inlineStr"/>
      <c r="N122" t="inlineStr"/>
      <c r="O122" t="n">
        <v>2018</v>
      </c>
      <c r="P122" t="n">
        <v>2040</v>
      </c>
      <c r="Q122" t="n">
        <v>0.3424</v>
      </c>
      <c r="R122" t="n">
        <v>635.1588</v>
      </c>
      <c r="S122" t="n">
        <v>0.00086105</v>
      </c>
      <c r="T122" t="n">
        <v>0.00013947</v>
      </c>
    </row>
    <row r="123">
      <c r="A123" t="inlineStr">
        <is>
          <t>SUP-0013</t>
        </is>
      </c>
      <c r="B123" t="inlineStr">
        <is>
          <t>Electronics Supplier 013</t>
        </is>
      </c>
      <c r="C123" t="inlineStr">
        <is>
          <t>Electronics</t>
        </is>
      </c>
      <c r="D123" t="n">
        <v>2016</v>
      </c>
      <c r="E123" t="n">
        <v>24397343.52</v>
      </c>
      <c r="F123" t="n">
        <v>192541453.76</v>
      </c>
      <c r="G123" t="n">
        <v>20692.9304</v>
      </c>
      <c r="H123" t="n">
        <v>4927.8185</v>
      </c>
      <c r="I123" t="n">
        <v>3428.9517</v>
      </c>
      <c r="J123" t="n">
        <v>10529.797</v>
      </c>
      <c r="K123" t="inlineStr"/>
      <c r="L123" t="inlineStr"/>
      <c r="M123" t="inlineStr"/>
      <c r="N123" t="inlineStr"/>
      <c r="O123" t="n">
        <v>2018</v>
      </c>
      <c r="P123" t="n">
        <v>2040</v>
      </c>
      <c r="Q123" t="n">
        <v>0.3424</v>
      </c>
      <c r="R123" t="n">
        <v>635.1588</v>
      </c>
      <c r="S123" t="n">
        <v>0.00086105</v>
      </c>
      <c r="T123" t="n">
        <v>0.00013947</v>
      </c>
    </row>
    <row r="124">
      <c r="A124" t="inlineStr">
        <is>
          <t>SUP-0013</t>
        </is>
      </c>
      <c r="B124" t="inlineStr">
        <is>
          <t>Electronics Supplier 013</t>
        </is>
      </c>
      <c r="C124" t="inlineStr">
        <is>
          <t>Electronics</t>
        </is>
      </c>
      <c r="D124" t="n">
        <v>2017</v>
      </c>
      <c r="E124" t="n">
        <v>27829305.82</v>
      </c>
      <c r="F124" t="n">
        <v>177626319.91</v>
      </c>
      <c r="G124" t="inlineStr"/>
      <c r="H124" t="n">
        <v>3642.5105</v>
      </c>
      <c r="I124" t="n">
        <v>2644.2438</v>
      </c>
      <c r="J124" t="n">
        <v>15375.6436</v>
      </c>
      <c r="K124" t="inlineStr"/>
      <c r="L124" t="inlineStr"/>
      <c r="M124" t="inlineStr"/>
      <c r="N124" t="inlineStr"/>
      <c r="O124" t="n">
        <v>2018</v>
      </c>
      <c r="P124" t="n">
        <v>2040</v>
      </c>
      <c r="Q124" t="n">
        <v>0.3424</v>
      </c>
      <c r="R124" t="n">
        <v>635.1588</v>
      </c>
      <c r="S124" t="n">
        <v>0.00086105</v>
      </c>
      <c r="T124" t="n">
        <v>0.00013947</v>
      </c>
    </row>
    <row r="125">
      <c r="A125" t="inlineStr">
        <is>
          <t>SUP-0013</t>
        </is>
      </c>
      <c r="B125" t="inlineStr">
        <is>
          <t>Electronics Supplier 013</t>
        </is>
      </c>
      <c r="C125" t="inlineStr">
        <is>
          <t>Electronics</t>
        </is>
      </c>
      <c r="D125" t="n">
        <v>2018</v>
      </c>
      <c r="E125" t="n">
        <v>26287428.87</v>
      </c>
      <c r="F125" t="n">
        <v>198106564.7</v>
      </c>
      <c r="G125" t="n">
        <v>19455.3513</v>
      </c>
      <c r="H125" t="n">
        <v>4602.4367</v>
      </c>
      <c r="I125" t="n">
        <v>3388.2695</v>
      </c>
      <c r="J125" t="n">
        <v>11647.5877</v>
      </c>
      <c r="K125" t="inlineStr"/>
      <c r="L125" t="inlineStr"/>
      <c r="M125" t="inlineStr"/>
      <c r="N125" t="inlineStr"/>
      <c r="O125" t="n">
        <v>2018</v>
      </c>
      <c r="P125" t="n">
        <v>2040</v>
      </c>
      <c r="Q125" t="n">
        <v>0.3424</v>
      </c>
      <c r="R125" t="n">
        <v>635.1588</v>
      </c>
      <c r="S125" t="n">
        <v>0.00086105</v>
      </c>
      <c r="T125" t="n">
        <v>0.00013947</v>
      </c>
    </row>
    <row r="126">
      <c r="A126" t="inlineStr">
        <is>
          <t>SUP-0013</t>
        </is>
      </c>
      <c r="B126" t="inlineStr">
        <is>
          <t>Electronics Supplier 013</t>
        </is>
      </c>
      <c r="C126" t="inlineStr">
        <is>
          <t>Electronics</t>
        </is>
      </c>
      <c r="D126" t="n">
        <v>2019</v>
      </c>
      <c r="E126" t="n">
        <v>27699049.87</v>
      </c>
      <c r="F126" t="n">
        <v>236727032.3</v>
      </c>
      <c r="G126" t="n">
        <v>17649.4627</v>
      </c>
      <c r="H126" t="n">
        <v>5039.8998</v>
      </c>
      <c r="I126" t="n">
        <v>3688.8885</v>
      </c>
      <c r="J126" t="n">
        <v>9211.962100000001</v>
      </c>
      <c r="K126" t="inlineStr"/>
      <c r="L126" t="inlineStr"/>
      <c r="M126" t="inlineStr"/>
      <c r="N126" t="inlineStr"/>
      <c r="O126" t="n">
        <v>2018</v>
      </c>
      <c r="P126" t="n">
        <v>2040</v>
      </c>
      <c r="Q126" t="n">
        <v>0.3424</v>
      </c>
      <c r="R126" t="n">
        <v>635.1588</v>
      </c>
      <c r="S126" t="n">
        <v>0.00086105</v>
      </c>
      <c r="T126" t="n">
        <v>0.00013947</v>
      </c>
    </row>
    <row r="127">
      <c r="A127" t="inlineStr">
        <is>
          <t>SUP-0013</t>
        </is>
      </c>
      <c r="B127" t="inlineStr">
        <is>
          <t>Electronics Supplier 013</t>
        </is>
      </c>
      <c r="C127" t="inlineStr">
        <is>
          <t>Electronics</t>
        </is>
      </c>
      <c r="D127" t="n">
        <v>2020</v>
      </c>
      <c r="E127" t="n">
        <v>32125016.43</v>
      </c>
      <c r="F127" t="n">
        <v>337002204.35</v>
      </c>
      <c r="G127" t="n">
        <v>18213.1839</v>
      </c>
      <c r="H127" t="n">
        <v>3803.8618</v>
      </c>
      <c r="I127" t="inlineStr"/>
      <c r="J127" t="n">
        <v>11266.8246</v>
      </c>
      <c r="K127" t="inlineStr"/>
      <c r="L127" t="inlineStr"/>
      <c r="M127" t="inlineStr"/>
      <c r="N127" t="inlineStr"/>
      <c r="O127" t="n">
        <v>2018</v>
      </c>
      <c r="P127" t="n">
        <v>2040</v>
      </c>
      <c r="Q127" t="n">
        <v>0.3424</v>
      </c>
      <c r="R127" t="n">
        <v>635.1588</v>
      </c>
      <c r="S127" t="n">
        <v>0.00086105</v>
      </c>
      <c r="T127" t="n">
        <v>0.00013947</v>
      </c>
    </row>
    <row r="128">
      <c r="A128" t="inlineStr">
        <is>
          <t>SUP-0013</t>
        </is>
      </c>
      <c r="B128" t="inlineStr">
        <is>
          <t>Electronics Supplier 013</t>
        </is>
      </c>
      <c r="C128" t="inlineStr">
        <is>
          <t>Electronics</t>
        </is>
      </c>
      <c r="D128" t="n">
        <v>2021</v>
      </c>
      <c r="E128" t="n">
        <v>33222763.87</v>
      </c>
      <c r="F128" t="n">
        <v>243869479.68</v>
      </c>
      <c r="G128" t="n">
        <v>16294.4446</v>
      </c>
      <c r="H128" t="n">
        <v>3917.3069</v>
      </c>
      <c r="I128" t="n">
        <v>1358.7424</v>
      </c>
      <c r="J128" t="n">
        <v>11391.8242</v>
      </c>
      <c r="K128" t="inlineStr"/>
      <c r="L128" t="inlineStr"/>
      <c r="M128" t="inlineStr"/>
      <c r="N128" t="inlineStr"/>
      <c r="O128" t="n">
        <v>2018</v>
      </c>
      <c r="P128" t="n">
        <v>2040</v>
      </c>
      <c r="Q128" t="n">
        <v>0.3424</v>
      </c>
      <c r="R128" t="n">
        <v>635.1588</v>
      </c>
      <c r="S128" t="n">
        <v>0.00086105</v>
      </c>
      <c r="T128" t="n">
        <v>0.00013947</v>
      </c>
    </row>
    <row r="129">
      <c r="A129" t="inlineStr">
        <is>
          <t>SUP-0013</t>
        </is>
      </c>
      <c r="B129" t="inlineStr">
        <is>
          <t>Electronics Supplier 013</t>
        </is>
      </c>
      <c r="C129" t="inlineStr">
        <is>
          <t>Electronics</t>
        </is>
      </c>
      <c r="D129" t="n">
        <v>2022</v>
      </c>
      <c r="E129" t="n">
        <v>39622690.59</v>
      </c>
      <c r="F129" t="n">
        <v>298953714.55</v>
      </c>
      <c r="G129" t="n">
        <v>24849.3803</v>
      </c>
      <c r="H129" t="inlineStr"/>
      <c r="I129" t="n">
        <v>4413.0366</v>
      </c>
      <c r="J129" t="n">
        <v>16588.2356</v>
      </c>
      <c r="K129" t="inlineStr"/>
      <c r="L129" t="inlineStr"/>
      <c r="M129" t="inlineStr"/>
      <c r="N129" t="inlineStr"/>
      <c r="O129" t="n">
        <v>2018</v>
      </c>
      <c r="P129" t="n">
        <v>2040</v>
      </c>
      <c r="Q129" t="n">
        <v>0.3424</v>
      </c>
      <c r="R129" t="n">
        <v>635.1588</v>
      </c>
      <c r="S129" t="n">
        <v>0.00086105</v>
      </c>
      <c r="T129" t="n">
        <v>0.00013947</v>
      </c>
    </row>
    <row r="130">
      <c r="A130" t="inlineStr">
        <is>
          <t>SUP-0013</t>
        </is>
      </c>
      <c r="B130" t="inlineStr">
        <is>
          <t>Electronics Supplier 013</t>
        </is>
      </c>
      <c r="C130" t="inlineStr">
        <is>
          <t>Electronics</t>
        </is>
      </c>
      <c r="D130" t="n">
        <v>2023</v>
      </c>
      <c r="E130" t="n">
        <v>39983436.04</v>
      </c>
      <c r="F130" t="n">
        <v>373195319.42</v>
      </c>
      <c r="G130" t="inlineStr"/>
      <c r="H130" t="n">
        <v>5573.1601</v>
      </c>
      <c r="I130" t="n">
        <v>3597.0055</v>
      </c>
      <c r="J130" t="n">
        <v>16861.7229</v>
      </c>
      <c r="K130" t="inlineStr"/>
      <c r="L130" t="inlineStr"/>
      <c r="M130" t="inlineStr"/>
      <c r="N130" t="inlineStr"/>
      <c r="O130" t="n">
        <v>2018</v>
      </c>
      <c r="P130" t="n">
        <v>2040</v>
      </c>
      <c r="Q130" t="n">
        <v>0.3424</v>
      </c>
      <c r="R130" t="n">
        <v>635.1588</v>
      </c>
      <c r="S130" t="n">
        <v>0.00086105</v>
      </c>
      <c r="T130" t="n">
        <v>0.00013947</v>
      </c>
    </row>
    <row r="131">
      <c r="A131" t="inlineStr">
        <is>
          <t>SUP-0013</t>
        </is>
      </c>
      <c r="B131" t="inlineStr">
        <is>
          <t>Electronics Supplier 013</t>
        </is>
      </c>
      <c r="C131" t="inlineStr">
        <is>
          <t>Electronics</t>
        </is>
      </c>
      <c r="D131" t="n">
        <v>2024</v>
      </c>
      <c r="E131" t="n">
        <v>44154429.98</v>
      </c>
      <c r="F131" t="n">
        <v>373405405.33</v>
      </c>
      <c r="G131" t="inlineStr"/>
      <c r="H131" t="inlineStr"/>
      <c r="I131" t="n">
        <v>3136.7134</v>
      </c>
      <c r="J131" t="n">
        <v>17552.63</v>
      </c>
      <c r="K131" t="inlineStr"/>
      <c r="L131" t="inlineStr"/>
      <c r="M131" t="inlineStr"/>
      <c r="N131" t="inlineStr"/>
      <c r="O131" t="n">
        <v>2018</v>
      </c>
      <c r="P131" t="n">
        <v>2040</v>
      </c>
      <c r="Q131" t="n">
        <v>0.3424</v>
      </c>
      <c r="R131" t="n">
        <v>635.1588</v>
      </c>
      <c r="S131" t="n">
        <v>0.00086105</v>
      </c>
      <c r="T131" t="n">
        <v>0.00013947</v>
      </c>
    </row>
    <row r="132">
      <c r="A132" t="inlineStr">
        <is>
          <t>SUP-0014</t>
        </is>
      </c>
      <c r="B132" t="inlineStr">
        <is>
          <t>Textiles Supplier 014</t>
        </is>
      </c>
      <c r="C132" t="inlineStr">
        <is>
          <t>Textiles</t>
        </is>
      </c>
      <c r="D132" t="n">
        <v>2015</v>
      </c>
      <c r="E132" t="n">
        <v>15607124.3</v>
      </c>
      <c r="F132" t="n">
        <v>72880870.98</v>
      </c>
      <c r="G132" t="n">
        <v>8453.938200000001</v>
      </c>
      <c r="H132" t="inlineStr"/>
      <c r="I132" t="n">
        <v>1198.7544</v>
      </c>
      <c r="J132" t="inlineStr"/>
      <c r="K132" t="inlineStr"/>
      <c r="L132" t="inlineStr"/>
      <c r="M132" t="inlineStr"/>
      <c r="N132" t="inlineStr"/>
      <c r="O132" t="n">
        <v>2019</v>
      </c>
      <c r="P132" t="n">
        <v>2030</v>
      </c>
      <c r="Q132" t="n">
        <v>0.3171</v>
      </c>
      <c r="R132" t="n">
        <v>401.7335</v>
      </c>
      <c r="S132" t="n">
        <v>0.00029221</v>
      </c>
      <c r="T132" t="n">
        <v>0.00017343</v>
      </c>
    </row>
    <row r="133">
      <c r="A133" t="inlineStr">
        <is>
          <t>SUP-0014</t>
        </is>
      </c>
      <c r="B133" t="inlineStr">
        <is>
          <t>Textiles Supplier 014</t>
        </is>
      </c>
      <c r="C133" t="inlineStr">
        <is>
          <t>Textiles</t>
        </is>
      </c>
      <c r="D133" t="n">
        <v>2016</v>
      </c>
      <c r="E133" t="n">
        <v>18962308.62</v>
      </c>
      <c r="F133" t="inlineStr"/>
      <c r="G133" t="n">
        <v>7287.5983</v>
      </c>
      <c r="H133" t="n">
        <v>1869.0545</v>
      </c>
      <c r="I133" t="n">
        <v>1225.5986</v>
      </c>
      <c r="J133" t="n">
        <v>3964.5536</v>
      </c>
      <c r="K133" t="inlineStr"/>
      <c r="L133" t="inlineStr"/>
      <c r="M133" t="inlineStr"/>
      <c r="N133" t="inlineStr"/>
      <c r="O133" t="n">
        <v>2019</v>
      </c>
      <c r="P133" t="n">
        <v>2030</v>
      </c>
      <c r="Q133" t="n">
        <v>0.3171</v>
      </c>
      <c r="R133" t="n">
        <v>401.7335</v>
      </c>
      <c r="S133" t="n">
        <v>0.00029221</v>
      </c>
      <c r="T133" t="n">
        <v>0.00017343</v>
      </c>
    </row>
    <row r="134">
      <c r="A134" t="inlineStr">
        <is>
          <t>SUP-0014</t>
        </is>
      </c>
      <c r="B134" t="inlineStr">
        <is>
          <t>Textiles Supplier 014</t>
        </is>
      </c>
      <c r="C134" t="inlineStr">
        <is>
          <t>Textiles</t>
        </is>
      </c>
      <c r="D134" t="n">
        <v>2017</v>
      </c>
      <c r="E134" t="n">
        <v>15482074.3</v>
      </c>
      <c r="F134" t="n">
        <v>80713457.01000001</v>
      </c>
      <c r="G134" t="n">
        <v>6589.2584</v>
      </c>
      <c r="H134" t="n">
        <v>749.3383</v>
      </c>
      <c r="I134" t="n">
        <v>1278.4341</v>
      </c>
      <c r="J134" t="n">
        <v>4493.8045</v>
      </c>
      <c r="K134" t="inlineStr"/>
      <c r="L134" t="inlineStr"/>
      <c r="M134" t="inlineStr"/>
      <c r="N134" t="inlineStr"/>
      <c r="O134" t="n">
        <v>2019</v>
      </c>
      <c r="P134" t="n">
        <v>2030</v>
      </c>
      <c r="Q134" t="n">
        <v>0.3171</v>
      </c>
      <c r="R134" t="n">
        <v>401.7335</v>
      </c>
      <c r="S134" t="n">
        <v>0.00029221</v>
      </c>
      <c r="T134" t="n">
        <v>0.00017343</v>
      </c>
    </row>
    <row r="135">
      <c r="A135" t="inlineStr">
        <is>
          <t>SUP-0014</t>
        </is>
      </c>
      <c r="B135" t="inlineStr">
        <is>
          <t>Textiles Supplier 014</t>
        </is>
      </c>
      <c r="C135" t="inlineStr">
        <is>
          <t>Textiles</t>
        </is>
      </c>
      <c r="D135" t="n">
        <v>2018</v>
      </c>
      <c r="E135" t="n">
        <v>17400779.8</v>
      </c>
      <c r="F135" t="n">
        <v>96172377.88</v>
      </c>
      <c r="G135" t="n">
        <v>5472.1674</v>
      </c>
      <c r="H135" t="n">
        <v>714.2181</v>
      </c>
      <c r="I135" t="n">
        <v>526.0691</v>
      </c>
      <c r="J135" t="n">
        <v>4287.0807</v>
      </c>
      <c r="K135" t="inlineStr"/>
      <c r="L135" t="inlineStr"/>
      <c r="M135" t="inlineStr"/>
      <c r="N135" t="inlineStr"/>
      <c r="O135" t="n">
        <v>2019</v>
      </c>
      <c r="P135" t="n">
        <v>2030</v>
      </c>
      <c r="Q135" t="n">
        <v>0.3171</v>
      </c>
      <c r="R135" t="n">
        <v>401.7335</v>
      </c>
      <c r="S135" t="n">
        <v>0.00029221</v>
      </c>
      <c r="T135" t="n">
        <v>0.00017343</v>
      </c>
    </row>
    <row r="136">
      <c r="A136" t="inlineStr">
        <is>
          <t>SUP-0014</t>
        </is>
      </c>
      <c r="B136" t="inlineStr">
        <is>
          <t>Textiles Supplier 014</t>
        </is>
      </c>
      <c r="C136" t="inlineStr">
        <is>
          <t>Textiles</t>
        </is>
      </c>
      <c r="D136" t="n">
        <v>2019</v>
      </c>
      <c r="E136" t="n">
        <v>17606408.77</v>
      </c>
      <c r="F136" t="n">
        <v>95681510.05</v>
      </c>
      <c r="G136" t="n">
        <v>6737.1463</v>
      </c>
      <c r="H136" t="n">
        <v>1074.574</v>
      </c>
      <c r="I136" t="n">
        <v>916.1774</v>
      </c>
      <c r="J136" t="inlineStr"/>
      <c r="K136" t="inlineStr"/>
      <c r="L136" t="inlineStr"/>
      <c r="M136" t="inlineStr"/>
      <c r="N136" t="inlineStr"/>
      <c r="O136" t="n">
        <v>2019</v>
      </c>
      <c r="P136" t="n">
        <v>2030</v>
      </c>
      <c r="Q136" t="n">
        <v>0.3171</v>
      </c>
      <c r="R136" t="n">
        <v>401.7335</v>
      </c>
      <c r="S136" t="n">
        <v>0.00029221</v>
      </c>
      <c r="T136" t="n">
        <v>0.00017343</v>
      </c>
    </row>
    <row r="137">
      <c r="A137" t="inlineStr">
        <is>
          <t>SUP-0014</t>
        </is>
      </c>
      <c r="B137" t="inlineStr">
        <is>
          <t>Textiles Supplier 014</t>
        </is>
      </c>
      <c r="C137" t="inlineStr">
        <is>
          <t>Textiles</t>
        </is>
      </c>
      <c r="D137" t="n">
        <v>2020</v>
      </c>
      <c r="E137" t="n">
        <v>16608847.12</v>
      </c>
      <c r="F137" t="n">
        <v>89333852.98999999</v>
      </c>
      <c r="G137" t="n">
        <v>5333.2155</v>
      </c>
      <c r="H137" t="n">
        <v>829.0312</v>
      </c>
      <c r="I137" t="n">
        <v>736.0807</v>
      </c>
      <c r="J137" t="inlineStr"/>
      <c r="K137" t="inlineStr"/>
      <c r="L137" t="inlineStr"/>
      <c r="M137" t="inlineStr"/>
      <c r="N137" t="inlineStr"/>
      <c r="O137" t="n">
        <v>2019</v>
      </c>
      <c r="P137" t="n">
        <v>2030</v>
      </c>
      <c r="Q137" t="n">
        <v>0.3171</v>
      </c>
      <c r="R137" t="n">
        <v>401.7335</v>
      </c>
      <c r="S137" t="n">
        <v>0.00029221</v>
      </c>
      <c r="T137" t="n">
        <v>0.00017343</v>
      </c>
    </row>
    <row r="138">
      <c r="A138" t="inlineStr">
        <is>
          <t>SUP-0014</t>
        </is>
      </c>
      <c r="B138" t="inlineStr">
        <is>
          <t>Textiles Supplier 014</t>
        </is>
      </c>
      <c r="C138" t="inlineStr">
        <is>
          <t>Textiles</t>
        </is>
      </c>
      <c r="D138" t="n">
        <v>2021</v>
      </c>
      <c r="E138" t="n">
        <v>18790235.58</v>
      </c>
      <c r="F138" t="n">
        <v>112676775.71</v>
      </c>
      <c r="G138" t="n">
        <v>6911.219</v>
      </c>
      <c r="H138" t="n">
        <v>1414.4591</v>
      </c>
      <c r="I138" t="n">
        <v>1614.3547</v>
      </c>
      <c r="J138" t="inlineStr"/>
      <c r="K138" t="inlineStr"/>
      <c r="L138" t="inlineStr"/>
      <c r="M138" t="inlineStr"/>
      <c r="N138" t="inlineStr"/>
      <c r="O138" t="n">
        <v>2019</v>
      </c>
      <c r="P138" t="n">
        <v>2030</v>
      </c>
      <c r="Q138" t="n">
        <v>0.3171</v>
      </c>
      <c r="R138" t="n">
        <v>401.7335</v>
      </c>
      <c r="S138" t="n">
        <v>0.00029221</v>
      </c>
      <c r="T138" t="n">
        <v>0.00017343</v>
      </c>
    </row>
    <row r="139">
      <c r="A139" t="inlineStr">
        <is>
          <t>SUP-0014</t>
        </is>
      </c>
      <c r="B139" t="inlineStr">
        <is>
          <t>Textiles Supplier 014</t>
        </is>
      </c>
      <c r="C139" t="inlineStr">
        <is>
          <t>Textiles</t>
        </is>
      </c>
      <c r="D139" t="n">
        <v>2022</v>
      </c>
      <c r="E139" t="n">
        <v>20964971.39</v>
      </c>
      <c r="F139" t="n">
        <v>100602315.56</v>
      </c>
      <c r="G139" t="inlineStr"/>
      <c r="H139" t="n">
        <v>1290.4898</v>
      </c>
      <c r="I139" t="n">
        <v>1149.5572</v>
      </c>
      <c r="J139" t="inlineStr"/>
      <c r="K139" t="inlineStr"/>
      <c r="L139" t="inlineStr"/>
      <c r="M139" t="inlineStr"/>
      <c r="N139" t="inlineStr"/>
      <c r="O139" t="n">
        <v>2019</v>
      </c>
      <c r="P139" t="n">
        <v>2030</v>
      </c>
      <c r="Q139" t="n">
        <v>0.3171</v>
      </c>
      <c r="R139" t="n">
        <v>401.7335</v>
      </c>
      <c r="S139" t="n">
        <v>0.00029221</v>
      </c>
      <c r="T139" t="n">
        <v>0.00017343</v>
      </c>
    </row>
    <row r="140">
      <c r="A140" t="inlineStr">
        <is>
          <t>SUP-0014</t>
        </is>
      </c>
      <c r="B140" t="inlineStr">
        <is>
          <t>Textiles Supplier 014</t>
        </is>
      </c>
      <c r="C140" t="inlineStr">
        <is>
          <t>Textiles</t>
        </is>
      </c>
      <c r="D140" t="n">
        <v>2023</v>
      </c>
      <c r="E140" t="n">
        <v>19785770.5</v>
      </c>
      <c r="F140" t="n">
        <v>94951710.11</v>
      </c>
      <c r="G140" t="inlineStr"/>
      <c r="H140" t="n">
        <v>970.9787</v>
      </c>
      <c r="I140" t="n">
        <v>929.2206</v>
      </c>
      <c r="J140" t="n">
        <v>3074.0431</v>
      </c>
      <c r="K140" t="inlineStr"/>
      <c r="L140" t="inlineStr"/>
      <c r="M140" t="inlineStr"/>
      <c r="N140" t="inlineStr"/>
      <c r="O140" t="n">
        <v>2019</v>
      </c>
      <c r="P140" t="n">
        <v>2030</v>
      </c>
      <c r="Q140" t="n">
        <v>0.3171</v>
      </c>
      <c r="R140" t="n">
        <v>401.7335</v>
      </c>
      <c r="S140" t="n">
        <v>0.00029221</v>
      </c>
      <c r="T140" t="n">
        <v>0.00017343</v>
      </c>
    </row>
    <row r="141">
      <c r="A141" t="inlineStr">
        <is>
          <t>SUP-0014</t>
        </is>
      </c>
      <c r="B141" t="inlineStr">
        <is>
          <t>Textiles Supplier 014</t>
        </is>
      </c>
      <c r="C141" t="inlineStr">
        <is>
          <t>Textiles</t>
        </is>
      </c>
      <c r="D141" t="n">
        <v>2024</v>
      </c>
      <c r="E141" t="n">
        <v>16888486.43</v>
      </c>
      <c r="F141" t="n">
        <v>86249629.91</v>
      </c>
      <c r="G141" t="n">
        <v>3472.4816</v>
      </c>
      <c r="H141" t="n">
        <v>406.9801</v>
      </c>
      <c r="I141" t="n">
        <v>645.8626</v>
      </c>
      <c r="J141" t="inlineStr"/>
      <c r="K141" t="inlineStr"/>
      <c r="L141" t="inlineStr"/>
      <c r="M141" t="inlineStr"/>
      <c r="N141" t="inlineStr"/>
      <c r="O141" t="n">
        <v>2019</v>
      </c>
      <c r="P141" t="n">
        <v>2030</v>
      </c>
      <c r="Q141" t="n">
        <v>0.3171</v>
      </c>
      <c r="R141" t="n">
        <v>401.7335</v>
      </c>
      <c r="S141" t="n">
        <v>0.00029221</v>
      </c>
      <c r="T141" t="n">
        <v>0.00017343</v>
      </c>
    </row>
    <row r="142">
      <c r="A142" t="inlineStr">
        <is>
          <t>SUP-0015</t>
        </is>
      </c>
      <c r="B142" t="inlineStr">
        <is>
          <t>Packaging Supplier 015</t>
        </is>
      </c>
      <c r="C142" t="inlineStr">
        <is>
          <t>Packaging</t>
        </is>
      </c>
      <c r="D142" t="n">
        <v>2015</v>
      </c>
      <c r="E142" t="n">
        <v>21637068.33</v>
      </c>
      <c r="F142" t="n">
        <v>94818936.43000001</v>
      </c>
      <c r="G142" t="n">
        <v>24987.7933</v>
      </c>
      <c r="H142" t="n">
        <v>3231.7945</v>
      </c>
      <c r="I142" t="inlineStr"/>
      <c r="J142" t="n">
        <v>16594.8585</v>
      </c>
      <c r="K142" t="n">
        <v>2019</v>
      </c>
      <c r="L142" t="n">
        <v>2040</v>
      </c>
      <c r="M142" t="n">
        <v>0.2525</v>
      </c>
      <c r="N142" t="n">
        <v>0.1186</v>
      </c>
      <c r="O142" t="n">
        <v>2018</v>
      </c>
      <c r="P142" t="n">
        <v>2040</v>
      </c>
      <c r="Q142" t="n">
        <v>0.3112</v>
      </c>
      <c r="R142" t="n">
        <v>702.4188</v>
      </c>
      <c r="S142" t="n">
        <v>0.0010803</v>
      </c>
      <c r="T142" t="n">
        <v>0.00078946</v>
      </c>
    </row>
    <row r="143">
      <c r="A143" t="inlineStr">
        <is>
          <t>SUP-0015</t>
        </is>
      </c>
      <c r="B143" t="inlineStr">
        <is>
          <t>Packaging Supplier 015</t>
        </is>
      </c>
      <c r="C143" t="inlineStr">
        <is>
          <t>Packaging</t>
        </is>
      </c>
      <c r="D143" t="n">
        <v>2016</v>
      </c>
      <c r="E143" t="n">
        <v>21716037.3</v>
      </c>
      <c r="F143" t="n">
        <v>128708369.94</v>
      </c>
      <c r="G143" t="inlineStr"/>
      <c r="H143" t="n">
        <v>4668.1644</v>
      </c>
      <c r="I143" t="inlineStr"/>
      <c r="J143" t="n">
        <v>15901.253</v>
      </c>
      <c r="K143" t="n">
        <v>2019</v>
      </c>
      <c r="L143" t="n">
        <v>2040</v>
      </c>
      <c r="M143" t="n">
        <v>0.2525</v>
      </c>
      <c r="N143" t="n">
        <v>0.1186</v>
      </c>
      <c r="O143" t="n">
        <v>2018</v>
      </c>
      <c r="P143" t="n">
        <v>2040</v>
      </c>
      <c r="Q143" t="n">
        <v>0.3112</v>
      </c>
      <c r="R143" t="n">
        <v>702.4188</v>
      </c>
      <c r="S143" t="n">
        <v>0.0010803</v>
      </c>
      <c r="T143" t="n">
        <v>0.00078946</v>
      </c>
    </row>
    <row r="144">
      <c r="A144" t="inlineStr">
        <is>
          <t>SUP-0015</t>
        </is>
      </c>
      <c r="B144" t="inlineStr">
        <is>
          <t>Packaging Supplier 015</t>
        </is>
      </c>
      <c r="C144" t="inlineStr">
        <is>
          <t>Packaging</t>
        </is>
      </c>
      <c r="D144" t="n">
        <v>2017</v>
      </c>
      <c r="E144" t="n">
        <v>23771627.95</v>
      </c>
      <c r="F144" t="n">
        <v>113094649.24</v>
      </c>
      <c r="G144" t="inlineStr"/>
      <c r="H144" t="n">
        <v>4361.9779</v>
      </c>
      <c r="I144" t="inlineStr"/>
      <c r="J144" t="n">
        <v>14452.0744</v>
      </c>
      <c r="K144" t="n">
        <v>2019</v>
      </c>
      <c r="L144" t="n">
        <v>2040</v>
      </c>
      <c r="M144" t="n">
        <v>0.2525</v>
      </c>
      <c r="N144" t="n">
        <v>0.1186</v>
      </c>
      <c r="O144" t="n">
        <v>2018</v>
      </c>
      <c r="P144" t="n">
        <v>2040</v>
      </c>
      <c r="Q144" t="n">
        <v>0.3112</v>
      </c>
      <c r="R144" t="n">
        <v>702.4188</v>
      </c>
      <c r="S144" t="n">
        <v>0.0010803</v>
      </c>
      <c r="T144" t="n">
        <v>0.00078946</v>
      </c>
    </row>
    <row r="145">
      <c r="A145" t="inlineStr">
        <is>
          <t>SUP-0015</t>
        </is>
      </c>
      <c r="B145" t="inlineStr">
        <is>
          <t>Packaging Supplier 015</t>
        </is>
      </c>
      <c r="C145" t="inlineStr">
        <is>
          <t>Packaging</t>
        </is>
      </c>
      <c r="D145" t="n">
        <v>2018</v>
      </c>
      <c r="E145" t="n">
        <v>22134503.81</v>
      </c>
      <c r="F145" t="n">
        <v>110017974.02</v>
      </c>
      <c r="G145" t="n">
        <v>21193.5197</v>
      </c>
      <c r="H145" t="n">
        <v>5232.9458</v>
      </c>
      <c r="I145" t="n">
        <v>3900.9251</v>
      </c>
      <c r="J145" t="n">
        <v>13713.2819</v>
      </c>
      <c r="K145" t="n">
        <v>2019</v>
      </c>
      <c r="L145" t="n">
        <v>2040</v>
      </c>
      <c r="M145" t="n">
        <v>0.2525</v>
      </c>
      <c r="N145" t="n">
        <v>0.1186</v>
      </c>
      <c r="O145" t="n">
        <v>2018</v>
      </c>
      <c r="P145" t="n">
        <v>2040</v>
      </c>
      <c r="Q145" t="n">
        <v>0.3112</v>
      </c>
      <c r="R145" t="n">
        <v>702.4188</v>
      </c>
      <c r="S145" t="n">
        <v>0.0010803</v>
      </c>
      <c r="T145" t="n">
        <v>0.00078946</v>
      </c>
    </row>
    <row r="146">
      <c r="A146" t="inlineStr">
        <is>
          <t>SUP-0015</t>
        </is>
      </c>
      <c r="B146" t="inlineStr">
        <is>
          <t>Packaging Supplier 015</t>
        </is>
      </c>
      <c r="C146" t="inlineStr">
        <is>
          <t>Packaging</t>
        </is>
      </c>
      <c r="D146" t="n">
        <v>2019</v>
      </c>
      <c r="E146" t="n">
        <v>22043698.75</v>
      </c>
      <c r="F146" t="n">
        <v>111369202.98</v>
      </c>
      <c r="G146" t="n">
        <v>26229.5269</v>
      </c>
      <c r="H146" t="n">
        <v>5669.4445</v>
      </c>
      <c r="I146" t="n">
        <v>3301.5797</v>
      </c>
      <c r="J146" t="inlineStr"/>
      <c r="K146" t="n">
        <v>2019</v>
      </c>
      <c r="L146" t="n">
        <v>2040</v>
      </c>
      <c r="M146" t="n">
        <v>0.2525</v>
      </c>
      <c r="N146" t="n">
        <v>0.1186</v>
      </c>
      <c r="O146" t="n">
        <v>2018</v>
      </c>
      <c r="P146" t="n">
        <v>2040</v>
      </c>
      <c r="Q146" t="n">
        <v>0.3112</v>
      </c>
      <c r="R146" t="n">
        <v>702.4188</v>
      </c>
      <c r="S146" t="n">
        <v>0.0010803</v>
      </c>
      <c r="T146" t="n">
        <v>0.00078946</v>
      </c>
    </row>
    <row r="147">
      <c r="A147" t="inlineStr">
        <is>
          <t>SUP-0015</t>
        </is>
      </c>
      <c r="B147" t="inlineStr">
        <is>
          <t>Packaging Supplier 015</t>
        </is>
      </c>
      <c r="C147" t="inlineStr">
        <is>
          <t>Packaging</t>
        </is>
      </c>
      <c r="D147" t="n">
        <v>2020</v>
      </c>
      <c r="E147" t="n">
        <v>20591848.61</v>
      </c>
      <c r="F147" t="n">
        <v>105547613.03</v>
      </c>
      <c r="G147" t="n">
        <v>24268.4614</v>
      </c>
      <c r="H147" t="inlineStr"/>
      <c r="I147" t="n">
        <v>4783.8384</v>
      </c>
      <c r="J147" t="n">
        <v>12087.5288</v>
      </c>
      <c r="K147" t="n">
        <v>2019</v>
      </c>
      <c r="L147" t="n">
        <v>2040</v>
      </c>
      <c r="M147" t="n">
        <v>0.2525</v>
      </c>
      <c r="N147" t="n">
        <v>0.1186</v>
      </c>
      <c r="O147" t="n">
        <v>2018</v>
      </c>
      <c r="P147" t="n">
        <v>2040</v>
      </c>
      <c r="Q147" t="n">
        <v>0.3112</v>
      </c>
      <c r="R147" t="n">
        <v>702.4188</v>
      </c>
      <c r="S147" t="n">
        <v>0.0010803</v>
      </c>
      <c r="T147" t="n">
        <v>0.00078946</v>
      </c>
    </row>
    <row r="148">
      <c r="A148" t="inlineStr">
        <is>
          <t>SUP-0015</t>
        </is>
      </c>
      <c r="B148" t="inlineStr">
        <is>
          <t>Packaging Supplier 015</t>
        </is>
      </c>
      <c r="C148" t="inlineStr">
        <is>
          <t>Packaging</t>
        </is>
      </c>
      <c r="D148" t="n">
        <v>2021</v>
      </c>
      <c r="E148" t="inlineStr"/>
      <c r="F148" t="n">
        <v>140294489.77</v>
      </c>
      <c r="G148" t="n">
        <v>22941.1853</v>
      </c>
      <c r="H148" t="n">
        <v>4896.63</v>
      </c>
      <c r="I148" t="n">
        <v>3052.4636</v>
      </c>
      <c r="J148" t="n">
        <v>16792.414</v>
      </c>
      <c r="K148" t="n">
        <v>2019</v>
      </c>
      <c r="L148" t="n">
        <v>2040</v>
      </c>
      <c r="M148" t="n">
        <v>0.2525</v>
      </c>
      <c r="N148" t="n">
        <v>0.1186</v>
      </c>
      <c r="O148" t="n">
        <v>2018</v>
      </c>
      <c r="P148" t="n">
        <v>2040</v>
      </c>
      <c r="Q148" t="n">
        <v>0.3112</v>
      </c>
      <c r="R148" t="n">
        <v>702.4188</v>
      </c>
      <c r="S148" t="n">
        <v>0.0010803</v>
      </c>
      <c r="T148" t="n">
        <v>0.00078946</v>
      </c>
    </row>
    <row r="149">
      <c r="A149" t="inlineStr">
        <is>
          <t>SUP-0015</t>
        </is>
      </c>
      <c r="B149" t="inlineStr">
        <is>
          <t>Packaging Supplier 015</t>
        </is>
      </c>
      <c r="C149" t="inlineStr">
        <is>
          <t>Packaging</t>
        </is>
      </c>
      <c r="D149" t="n">
        <v>2022</v>
      </c>
      <c r="E149" t="n">
        <v>24444037.34</v>
      </c>
      <c r="F149" t="n">
        <v>95224607.09999999</v>
      </c>
      <c r="G149" t="n">
        <v>27424.5089</v>
      </c>
      <c r="H149" t="n">
        <v>3813.7481</v>
      </c>
      <c r="I149" t="n">
        <v>3921.0987</v>
      </c>
      <c r="J149" t="n">
        <v>17796.1188</v>
      </c>
      <c r="K149" t="n">
        <v>2019</v>
      </c>
      <c r="L149" t="n">
        <v>2040</v>
      </c>
      <c r="M149" t="n">
        <v>0.2525</v>
      </c>
      <c r="N149" t="n">
        <v>0.1186</v>
      </c>
      <c r="O149" t="n">
        <v>2018</v>
      </c>
      <c r="P149" t="n">
        <v>2040</v>
      </c>
      <c r="Q149" t="n">
        <v>0.3112</v>
      </c>
      <c r="R149" t="n">
        <v>702.4188</v>
      </c>
      <c r="S149" t="n">
        <v>0.0010803</v>
      </c>
      <c r="T149" t="n">
        <v>0.00078946</v>
      </c>
    </row>
    <row r="150">
      <c r="A150" t="inlineStr">
        <is>
          <t>SUP-0015</t>
        </is>
      </c>
      <c r="B150" t="inlineStr">
        <is>
          <t>Packaging Supplier 015</t>
        </is>
      </c>
      <c r="C150" t="inlineStr">
        <is>
          <t>Packaging</t>
        </is>
      </c>
      <c r="D150" t="n">
        <v>2023</v>
      </c>
      <c r="E150" t="n">
        <v>21518797.62</v>
      </c>
      <c r="F150" t="n">
        <v>95064649.04000001</v>
      </c>
      <c r="G150" t="inlineStr"/>
      <c r="H150" t="n">
        <v>3317.6708</v>
      </c>
      <c r="I150" t="n">
        <v>1319.0935</v>
      </c>
      <c r="J150" t="n">
        <v>14899.452</v>
      </c>
      <c r="K150" t="n">
        <v>2019</v>
      </c>
      <c r="L150" t="n">
        <v>2040</v>
      </c>
      <c r="M150" t="n">
        <v>0.2525</v>
      </c>
      <c r="N150" t="n">
        <v>0.1186</v>
      </c>
      <c r="O150" t="n">
        <v>2018</v>
      </c>
      <c r="P150" t="n">
        <v>2040</v>
      </c>
      <c r="Q150" t="n">
        <v>0.3112</v>
      </c>
      <c r="R150" t="n">
        <v>702.4188</v>
      </c>
      <c r="S150" t="n">
        <v>0.0010803</v>
      </c>
      <c r="T150" t="n">
        <v>0.00078946</v>
      </c>
    </row>
    <row r="151">
      <c r="A151" t="inlineStr">
        <is>
          <t>SUP-0015</t>
        </is>
      </c>
      <c r="B151" t="inlineStr">
        <is>
          <t>Packaging Supplier 015</t>
        </is>
      </c>
      <c r="C151" t="inlineStr">
        <is>
          <t>Packaging</t>
        </is>
      </c>
      <c r="D151" t="n">
        <v>2024</v>
      </c>
      <c r="E151" t="n">
        <v>22456674.89</v>
      </c>
      <c r="F151" t="n">
        <v>113404484.34</v>
      </c>
      <c r="G151" t="n">
        <v>23747.9613</v>
      </c>
      <c r="H151" t="n">
        <v>3219.745</v>
      </c>
      <c r="I151" t="n">
        <v>4441.0993</v>
      </c>
      <c r="J151" t="inlineStr"/>
      <c r="K151" t="n">
        <v>2019</v>
      </c>
      <c r="L151" t="n">
        <v>2040</v>
      </c>
      <c r="M151" t="n">
        <v>0.2525</v>
      </c>
      <c r="N151" t="n">
        <v>0.1186</v>
      </c>
      <c r="O151" t="n">
        <v>2018</v>
      </c>
      <c r="P151" t="n">
        <v>2040</v>
      </c>
      <c r="Q151" t="n">
        <v>0.3112</v>
      </c>
      <c r="R151" t="n">
        <v>702.4188</v>
      </c>
      <c r="S151" t="n">
        <v>0.0010803</v>
      </c>
      <c r="T151" t="n">
        <v>0.00078946</v>
      </c>
    </row>
    <row r="152">
      <c r="A152" t="inlineStr">
        <is>
          <t>SUP-0016</t>
        </is>
      </c>
      <c r="B152" t="inlineStr">
        <is>
          <t>Metals Supplier 016</t>
        </is>
      </c>
      <c r="C152" t="inlineStr">
        <is>
          <t>Metals</t>
        </is>
      </c>
      <c r="D152" t="n">
        <v>2015</v>
      </c>
      <c r="E152" t="n">
        <v>10394884.35</v>
      </c>
      <c r="F152" t="inlineStr"/>
      <c r="G152" t="n">
        <v>7994.5398</v>
      </c>
      <c r="H152" t="n">
        <v>819.3425</v>
      </c>
      <c r="I152" t="n">
        <v>534.1729</v>
      </c>
      <c r="J152" t="inlineStr"/>
      <c r="K152" t="n">
        <v>2018</v>
      </c>
      <c r="L152" t="n">
        <v>2040</v>
      </c>
      <c r="M152" t="n">
        <v>0.2599</v>
      </c>
      <c r="N152" t="n">
        <v>0.1001</v>
      </c>
      <c r="O152" t="n">
        <v>2019</v>
      </c>
      <c r="P152" t="n">
        <v>2030</v>
      </c>
      <c r="Q152" t="n">
        <v>0.3852</v>
      </c>
      <c r="R152" t="n">
        <v>158.2904</v>
      </c>
      <c r="S152" t="n">
        <v>0.00100695</v>
      </c>
      <c r="T152" t="n">
        <v>0.00065008</v>
      </c>
    </row>
    <row r="153">
      <c r="A153" t="inlineStr">
        <is>
          <t>SUP-0016</t>
        </is>
      </c>
      <c r="B153" t="inlineStr">
        <is>
          <t>Metals Supplier 016</t>
        </is>
      </c>
      <c r="C153" t="inlineStr">
        <is>
          <t>Metals</t>
        </is>
      </c>
      <c r="D153" t="n">
        <v>2016</v>
      </c>
      <c r="E153" t="n">
        <v>12033446.16</v>
      </c>
      <c r="F153" t="n">
        <v>25383399.65</v>
      </c>
      <c r="G153" t="inlineStr"/>
      <c r="H153" t="n">
        <v>2683.7171</v>
      </c>
      <c r="I153" t="inlineStr"/>
      <c r="J153" t="inlineStr"/>
      <c r="K153" t="n">
        <v>2018</v>
      </c>
      <c r="L153" t="n">
        <v>2040</v>
      </c>
      <c r="M153" t="n">
        <v>0.2599</v>
      </c>
      <c r="N153" t="n">
        <v>0.1001</v>
      </c>
      <c r="O153" t="n">
        <v>2019</v>
      </c>
      <c r="P153" t="n">
        <v>2030</v>
      </c>
      <c r="Q153" t="n">
        <v>0.3852</v>
      </c>
      <c r="R153" t="n">
        <v>158.2904</v>
      </c>
      <c r="S153" t="n">
        <v>0.00100695</v>
      </c>
      <c r="T153" t="n">
        <v>0.00065008</v>
      </c>
    </row>
    <row r="154">
      <c r="A154" t="inlineStr">
        <is>
          <t>SUP-0016</t>
        </is>
      </c>
      <c r="B154" t="inlineStr">
        <is>
          <t>Metals Supplier 016</t>
        </is>
      </c>
      <c r="C154" t="inlineStr">
        <is>
          <t>Metals</t>
        </is>
      </c>
      <c r="D154" t="n">
        <v>2017</v>
      </c>
      <c r="E154" t="n">
        <v>11363768.57</v>
      </c>
      <c r="F154" t="inlineStr"/>
      <c r="G154" t="n">
        <v>9841.249100000001</v>
      </c>
      <c r="H154" t="n">
        <v>2121.4373</v>
      </c>
      <c r="I154" t="n">
        <v>1716.3318</v>
      </c>
      <c r="J154" t="n">
        <v>6843.1038</v>
      </c>
      <c r="K154" t="n">
        <v>2018</v>
      </c>
      <c r="L154" t="n">
        <v>2040</v>
      </c>
      <c r="M154" t="n">
        <v>0.2599</v>
      </c>
      <c r="N154" t="n">
        <v>0.1001</v>
      </c>
      <c r="O154" t="n">
        <v>2019</v>
      </c>
      <c r="P154" t="n">
        <v>2030</v>
      </c>
      <c r="Q154" t="n">
        <v>0.3852</v>
      </c>
      <c r="R154" t="n">
        <v>158.2904</v>
      </c>
      <c r="S154" t="n">
        <v>0.00100695</v>
      </c>
      <c r="T154" t="n">
        <v>0.00065008</v>
      </c>
    </row>
    <row r="155">
      <c r="A155" t="inlineStr">
        <is>
          <t>SUP-0016</t>
        </is>
      </c>
      <c r="B155" t="inlineStr">
        <is>
          <t>Metals Supplier 016</t>
        </is>
      </c>
      <c r="C155" t="inlineStr">
        <is>
          <t>Metals</t>
        </is>
      </c>
      <c r="D155" t="n">
        <v>2018</v>
      </c>
      <c r="E155" t="n">
        <v>13747803.66</v>
      </c>
      <c r="F155" t="inlineStr"/>
      <c r="G155" t="n">
        <v>11796.9131</v>
      </c>
      <c r="H155" t="n">
        <v>2891.5336</v>
      </c>
      <c r="I155" t="inlineStr"/>
      <c r="J155" t="n">
        <v>7153.5937</v>
      </c>
      <c r="K155" t="n">
        <v>2018</v>
      </c>
      <c r="L155" t="n">
        <v>2040</v>
      </c>
      <c r="M155" t="n">
        <v>0.2599</v>
      </c>
      <c r="N155" t="n">
        <v>0.1001</v>
      </c>
      <c r="O155" t="n">
        <v>2019</v>
      </c>
      <c r="P155" t="n">
        <v>2030</v>
      </c>
      <c r="Q155" t="n">
        <v>0.3852</v>
      </c>
      <c r="R155" t="n">
        <v>158.2904</v>
      </c>
      <c r="S155" t="n">
        <v>0.00100695</v>
      </c>
      <c r="T155" t="n">
        <v>0.00065008</v>
      </c>
    </row>
    <row r="156">
      <c r="A156" t="inlineStr">
        <is>
          <t>SUP-0016</t>
        </is>
      </c>
      <c r="B156" t="inlineStr">
        <is>
          <t>Metals Supplier 016</t>
        </is>
      </c>
      <c r="C156" t="inlineStr">
        <is>
          <t>Metals</t>
        </is>
      </c>
      <c r="D156" t="n">
        <v>2019</v>
      </c>
      <c r="E156" t="inlineStr"/>
      <c r="F156" t="inlineStr"/>
      <c r="G156" t="n">
        <v>10007.6187</v>
      </c>
      <c r="H156" t="n">
        <v>1894.1075</v>
      </c>
      <c r="I156" t="n">
        <v>751.2658</v>
      </c>
      <c r="J156" t="n">
        <v>7216.4231</v>
      </c>
      <c r="K156" t="n">
        <v>2018</v>
      </c>
      <c r="L156" t="n">
        <v>2040</v>
      </c>
      <c r="M156" t="n">
        <v>0.2599</v>
      </c>
      <c r="N156" t="n">
        <v>0.1001</v>
      </c>
      <c r="O156" t="n">
        <v>2019</v>
      </c>
      <c r="P156" t="n">
        <v>2030</v>
      </c>
      <c r="Q156" t="n">
        <v>0.3852</v>
      </c>
      <c r="R156" t="n">
        <v>158.2904</v>
      </c>
      <c r="S156" t="n">
        <v>0.00100695</v>
      </c>
      <c r="T156" t="n">
        <v>0.00065008</v>
      </c>
    </row>
    <row r="157">
      <c r="A157" t="inlineStr">
        <is>
          <t>SUP-0016</t>
        </is>
      </c>
      <c r="B157" t="inlineStr">
        <is>
          <t>Metals Supplier 016</t>
        </is>
      </c>
      <c r="C157" t="inlineStr">
        <is>
          <t>Metals</t>
        </is>
      </c>
      <c r="D157" t="n">
        <v>2020</v>
      </c>
      <c r="E157" t="n">
        <v>12360934.94</v>
      </c>
      <c r="F157" t="n">
        <v>37359385.15</v>
      </c>
      <c r="G157" t="n">
        <v>11500.8611</v>
      </c>
      <c r="H157" t="n">
        <v>2695.6324</v>
      </c>
      <c r="I157" t="n">
        <v>1918.0898</v>
      </c>
      <c r="J157" t="n">
        <v>6868.2433</v>
      </c>
      <c r="K157" t="n">
        <v>2018</v>
      </c>
      <c r="L157" t="n">
        <v>2040</v>
      </c>
      <c r="M157" t="n">
        <v>0.2599</v>
      </c>
      <c r="N157" t="n">
        <v>0.1001</v>
      </c>
      <c r="O157" t="n">
        <v>2019</v>
      </c>
      <c r="P157" t="n">
        <v>2030</v>
      </c>
      <c r="Q157" t="n">
        <v>0.3852</v>
      </c>
      <c r="R157" t="n">
        <v>158.2904</v>
      </c>
      <c r="S157" t="n">
        <v>0.00100695</v>
      </c>
      <c r="T157" t="n">
        <v>0.00065008</v>
      </c>
    </row>
    <row r="158">
      <c r="A158" t="inlineStr">
        <is>
          <t>SUP-0016</t>
        </is>
      </c>
      <c r="B158" t="inlineStr">
        <is>
          <t>Metals Supplier 016</t>
        </is>
      </c>
      <c r="C158" t="inlineStr">
        <is>
          <t>Metals</t>
        </is>
      </c>
      <c r="D158" t="n">
        <v>2021</v>
      </c>
      <c r="E158" t="n">
        <v>13036535.17</v>
      </c>
      <c r="F158" t="n">
        <v>38683820.78</v>
      </c>
      <c r="G158" t="inlineStr"/>
      <c r="H158" t="n">
        <v>2002.428</v>
      </c>
      <c r="I158" t="n">
        <v>1356.1698</v>
      </c>
      <c r="J158" t="n">
        <v>6952.7</v>
      </c>
      <c r="K158" t="n">
        <v>2018</v>
      </c>
      <c r="L158" t="n">
        <v>2040</v>
      </c>
      <c r="M158" t="n">
        <v>0.2599</v>
      </c>
      <c r="N158" t="n">
        <v>0.1001</v>
      </c>
      <c r="O158" t="n">
        <v>2019</v>
      </c>
      <c r="P158" t="n">
        <v>2030</v>
      </c>
      <c r="Q158" t="n">
        <v>0.3852</v>
      </c>
      <c r="R158" t="n">
        <v>158.2904</v>
      </c>
      <c r="S158" t="n">
        <v>0.00100695</v>
      </c>
      <c r="T158" t="n">
        <v>0.00065008</v>
      </c>
    </row>
    <row r="159">
      <c r="A159" t="inlineStr">
        <is>
          <t>SUP-0016</t>
        </is>
      </c>
      <c r="B159" t="inlineStr">
        <is>
          <t>Metals Supplier 016</t>
        </is>
      </c>
      <c r="C159" t="inlineStr">
        <is>
          <t>Metals</t>
        </is>
      </c>
      <c r="D159" t="n">
        <v>2022</v>
      </c>
      <c r="E159" t="n">
        <v>13829760.23</v>
      </c>
      <c r="F159" t="n">
        <v>30643509.81</v>
      </c>
      <c r="G159" t="n">
        <v>9029.8372</v>
      </c>
      <c r="H159" t="n">
        <v>1912.2161</v>
      </c>
      <c r="I159" t="n">
        <v>1121.2335</v>
      </c>
      <c r="J159" t="inlineStr"/>
      <c r="K159" t="n">
        <v>2018</v>
      </c>
      <c r="L159" t="n">
        <v>2040</v>
      </c>
      <c r="M159" t="n">
        <v>0.2599</v>
      </c>
      <c r="N159" t="n">
        <v>0.1001</v>
      </c>
      <c r="O159" t="n">
        <v>2019</v>
      </c>
      <c r="P159" t="n">
        <v>2030</v>
      </c>
      <c r="Q159" t="n">
        <v>0.3852</v>
      </c>
      <c r="R159" t="n">
        <v>158.2904</v>
      </c>
      <c r="S159" t="n">
        <v>0.00100695</v>
      </c>
      <c r="T159" t="n">
        <v>0.00065008</v>
      </c>
    </row>
    <row r="160">
      <c r="A160" t="inlineStr">
        <is>
          <t>SUP-0016</t>
        </is>
      </c>
      <c r="B160" t="inlineStr">
        <is>
          <t>Metals Supplier 016</t>
        </is>
      </c>
      <c r="C160" t="inlineStr">
        <is>
          <t>Metals</t>
        </is>
      </c>
      <c r="D160" t="n">
        <v>2023</v>
      </c>
      <c r="E160" t="n">
        <v>15741125.94</v>
      </c>
      <c r="F160" t="n">
        <v>37802937.7</v>
      </c>
      <c r="G160" t="n">
        <v>10441.5095</v>
      </c>
      <c r="H160" t="n">
        <v>2341.4572</v>
      </c>
      <c r="I160" t="inlineStr"/>
      <c r="J160" t="n">
        <v>7331.1275</v>
      </c>
      <c r="K160" t="n">
        <v>2018</v>
      </c>
      <c r="L160" t="n">
        <v>2040</v>
      </c>
      <c r="M160" t="n">
        <v>0.2599</v>
      </c>
      <c r="N160" t="n">
        <v>0.1001</v>
      </c>
      <c r="O160" t="n">
        <v>2019</v>
      </c>
      <c r="P160" t="n">
        <v>2030</v>
      </c>
      <c r="Q160" t="n">
        <v>0.3852</v>
      </c>
      <c r="R160" t="n">
        <v>158.2904</v>
      </c>
      <c r="S160" t="n">
        <v>0.00100695</v>
      </c>
      <c r="T160" t="n">
        <v>0.00065008</v>
      </c>
    </row>
    <row r="161">
      <c r="A161" t="inlineStr">
        <is>
          <t>SUP-0016</t>
        </is>
      </c>
      <c r="B161" t="inlineStr">
        <is>
          <t>Metals Supplier 016</t>
        </is>
      </c>
      <c r="C161" t="inlineStr">
        <is>
          <t>Metals</t>
        </is>
      </c>
      <c r="D161" t="n">
        <v>2024</v>
      </c>
      <c r="E161" t="n">
        <v>15066149.88</v>
      </c>
      <c r="F161" t="n">
        <v>44846003.77</v>
      </c>
      <c r="G161" t="inlineStr"/>
      <c r="H161" t="n">
        <v>2668.1832</v>
      </c>
      <c r="I161" t="n">
        <v>1561.6493</v>
      </c>
      <c r="J161" t="n">
        <v>10042.1493</v>
      </c>
      <c r="K161" t="n">
        <v>2018</v>
      </c>
      <c r="L161" t="n">
        <v>2040</v>
      </c>
      <c r="M161" t="n">
        <v>0.2599</v>
      </c>
      <c r="N161" t="n">
        <v>0.1001</v>
      </c>
      <c r="O161" t="n">
        <v>2019</v>
      </c>
      <c r="P161" t="n">
        <v>2030</v>
      </c>
      <c r="Q161" t="n">
        <v>0.3852</v>
      </c>
      <c r="R161" t="n">
        <v>158.2904</v>
      </c>
      <c r="S161" t="n">
        <v>0.00100695</v>
      </c>
      <c r="T161" t="n">
        <v>0.00065008</v>
      </c>
    </row>
    <row r="162">
      <c r="A162" t="inlineStr">
        <is>
          <t>SUP-0017</t>
        </is>
      </c>
      <c r="B162" t="inlineStr">
        <is>
          <t>Electronics Supplier 017</t>
        </is>
      </c>
      <c r="C162" t="inlineStr">
        <is>
          <t>Electronics</t>
        </is>
      </c>
      <c r="D162" t="n">
        <v>2015</v>
      </c>
      <c r="E162" t="n">
        <v>12165880.58</v>
      </c>
      <c r="F162" t="n">
        <v>39630521.96</v>
      </c>
      <c r="G162" t="inlineStr"/>
      <c r="H162" t="inlineStr"/>
      <c r="I162" t="n">
        <v>642.5681</v>
      </c>
      <c r="J162" t="inlineStr"/>
      <c r="K162" t="n">
        <v>2020</v>
      </c>
      <c r="L162" t="n">
        <v>2035</v>
      </c>
      <c r="M162" t="n">
        <v>0.5999</v>
      </c>
      <c r="N162" t="n">
        <v>0.2666</v>
      </c>
      <c r="O162" t="n">
        <v>2018</v>
      </c>
      <c r="P162" t="n">
        <v>2040</v>
      </c>
      <c r="Q162" t="n">
        <v>0.3424</v>
      </c>
      <c r="R162" t="n">
        <v>635.1588</v>
      </c>
      <c r="S162" t="n">
        <v>0.00086105</v>
      </c>
      <c r="T162" t="n">
        <v>0.00013947</v>
      </c>
    </row>
    <row r="163">
      <c r="A163" t="inlineStr">
        <is>
          <t>SUP-0017</t>
        </is>
      </c>
      <c r="B163" t="inlineStr">
        <is>
          <t>Electronics Supplier 017</t>
        </is>
      </c>
      <c r="C163" t="inlineStr">
        <is>
          <t>Electronics</t>
        </is>
      </c>
      <c r="D163" t="n">
        <v>2016</v>
      </c>
      <c r="E163" t="n">
        <v>12346887.14</v>
      </c>
      <c r="F163" t="n">
        <v>44500131.5</v>
      </c>
      <c r="G163" t="n">
        <v>14417.2948</v>
      </c>
      <c r="H163" t="n">
        <v>3135.0841</v>
      </c>
      <c r="I163" t="n">
        <v>1087.2989</v>
      </c>
      <c r="J163" t="n">
        <v>9922.853499999999</v>
      </c>
      <c r="K163" t="n">
        <v>2020</v>
      </c>
      <c r="L163" t="n">
        <v>2035</v>
      </c>
      <c r="M163" t="n">
        <v>0.5999</v>
      </c>
      <c r="N163" t="n">
        <v>0.2666</v>
      </c>
      <c r="O163" t="n">
        <v>2018</v>
      </c>
      <c r="P163" t="n">
        <v>2040</v>
      </c>
      <c r="Q163" t="n">
        <v>0.3424</v>
      </c>
      <c r="R163" t="n">
        <v>635.1588</v>
      </c>
      <c r="S163" t="n">
        <v>0.00086105</v>
      </c>
      <c r="T163" t="n">
        <v>0.00013947</v>
      </c>
    </row>
    <row r="164">
      <c r="A164" t="inlineStr">
        <is>
          <t>SUP-0017</t>
        </is>
      </c>
      <c r="B164" t="inlineStr">
        <is>
          <t>Electronics Supplier 017</t>
        </is>
      </c>
      <c r="C164" t="inlineStr">
        <is>
          <t>Electronics</t>
        </is>
      </c>
      <c r="D164" t="n">
        <v>2017</v>
      </c>
      <c r="E164" t="n">
        <v>10472304.58</v>
      </c>
      <c r="F164" t="n">
        <v>46937973.18</v>
      </c>
      <c r="G164" t="n">
        <v>10151.5007</v>
      </c>
      <c r="H164" t="n">
        <v>904.1164</v>
      </c>
      <c r="I164" t="n">
        <v>972.688</v>
      </c>
      <c r="J164" t="n">
        <v>8163.9971</v>
      </c>
      <c r="K164" t="n">
        <v>2020</v>
      </c>
      <c r="L164" t="n">
        <v>2035</v>
      </c>
      <c r="M164" t="n">
        <v>0.5999</v>
      </c>
      <c r="N164" t="n">
        <v>0.2666</v>
      </c>
      <c r="O164" t="n">
        <v>2018</v>
      </c>
      <c r="P164" t="n">
        <v>2040</v>
      </c>
      <c r="Q164" t="n">
        <v>0.3424</v>
      </c>
      <c r="R164" t="n">
        <v>635.1588</v>
      </c>
      <c r="S164" t="n">
        <v>0.00086105</v>
      </c>
      <c r="T164" t="n">
        <v>0.00013947</v>
      </c>
    </row>
    <row r="165">
      <c r="A165" t="inlineStr">
        <is>
          <t>SUP-0017</t>
        </is>
      </c>
      <c r="B165" t="inlineStr">
        <is>
          <t>Electronics Supplier 017</t>
        </is>
      </c>
      <c r="C165" t="inlineStr">
        <is>
          <t>Electronics</t>
        </is>
      </c>
      <c r="D165" t="n">
        <v>2018</v>
      </c>
      <c r="E165" t="n">
        <v>11957328.71</v>
      </c>
      <c r="F165" t="n">
        <v>41028122.36</v>
      </c>
      <c r="G165" t="n">
        <v>13859.2104</v>
      </c>
      <c r="H165" t="n">
        <v>3097.8161</v>
      </c>
      <c r="I165" t="n">
        <v>1545.0837</v>
      </c>
      <c r="J165" t="n">
        <v>8282.3567</v>
      </c>
      <c r="K165" t="n">
        <v>2020</v>
      </c>
      <c r="L165" t="n">
        <v>2035</v>
      </c>
      <c r="M165" t="n">
        <v>0.5999</v>
      </c>
      <c r="N165" t="n">
        <v>0.2666</v>
      </c>
      <c r="O165" t="n">
        <v>2018</v>
      </c>
      <c r="P165" t="n">
        <v>2040</v>
      </c>
      <c r="Q165" t="n">
        <v>0.3424</v>
      </c>
      <c r="R165" t="n">
        <v>635.1588</v>
      </c>
      <c r="S165" t="n">
        <v>0.00086105</v>
      </c>
      <c r="T165" t="n">
        <v>0.00013947</v>
      </c>
    </row>
    <row r="166">
      <c r="A166" t="inlineStr">
        <is>
          <t>SUP-0017</t>
        </is>
      </c>
      <c r="B166" t="inlineStr">
        <is>
          <t>Electronics Supplier 017</t>
        </is>
      </c>
      <c r="C166" t="inlineStr">
        <is>
          <t>Electronics</t>
        </is>
      </c>
      <c r="D166" t="n">
        <v>2019</v>
      </c>
      <c r="E166" t="n">
        <v>11993463.23</v>
      </c>
      <c r="F166" t="n">
        <v>56275177.58</v>
      </c>
      <c r="G166" t="n">
        <v>9507.0411</v>
      </c>
      <c r="H166" t="inlineStr"/>
      <c r="I166" t="n">
        <v>1087.4085</v>
      </c>
      <c r="J166" t="inlineStr"/>
      <c r="K166" t="n">
        <v>2020</v>
      </c>
      <c r="L166" t="n">
        <v>2035</v>
      </c>
      <c r="M166" t="n">
        <v>0.5999</v>
      </c>
      <c r="N166" t="n">
        <v>0.2666</v>
      </c>
      <c r="O166" t="n">
        <v>2018</v>
      </c>
      <c r="P166" t="n">
        <v>2040</v>
      </c>
      <c r="Q166" t="n">
        <v>0.3424</v>
      </c>
      <c r="R166" t="n">
        <v>635.1588</v>
      </c>
      <c r="S166" t="n">
        <v>0.00086105</v>
      </c>
      <c r="T166" t="n">
        <v>0.00013947</v>
      </c>
    </row>
    <row r="167">
      <c r="A167" t="inlineStr">
        <is>
          <t>SUP-0017</t>
        </is>
      </c>
      <c r="B167" t="inlineStr">
        <is>
          <t>Electronics Supplier 017</t>
        </is>
      </c>
      <c r="C167" t="inlineStr">
        <is>
          <t>Electronics</t>
        </is>
      </c>
      <c r="D167" t="n">
        <v>2020</v>
      </c>
      <c r="E167" t="n">
        <v>13835433.25</v>
      </c>
      <c r="F167" t="n">
        <v>59692644.04</v>
      </c>
      <c r="G167" t="n">
        <v>13961.8183</v>
      </c>
      <c r="H167" t="n">
        <v>2029.2178</v>
      </c>
      <c r="I167" t="n">
        <v>2931.5018</v>
      </c>
      <c r="J167" t="n">
        <v>9865.2678</v>
      </c>
      <c r="K167" t="n">
        <v>2020</v>
      </c>
      <c r="L167" t="n">
        <v>2035</v>
      </c>
      <c r="M167" t="n">
        <v>0.5999</v>
      </c>
      <c r="N167" t="n">
        <v>0.2666</v>
      </c>
      <c r="O167" t="n">
        <v>2018</v>
      </c>
      <c r="P167" t="n">
        <v>2040</v>
      </c>
      <c r="Q167" t="n">
        <v>0.3424</v>
      </c>
      <c r="R167" t="n">
        <v>635.1588</v>
      </c>
      <c r="S167" t="n">
        <v>0.00086105</v>
      </c>
      <c r="T167" t="n">
        <v>0.00013947</v>
      </c>
    </row>
    <row r="168">
      <c r="A168" t="inlineStr">
        <is>
          <t>SUP-0017</t>
        </is>
      </c>
      <c r="B168" t="inlineStr">
        <is>
          <t>Electronics Supplier 017</t>
        </is>
      </c>
      <c r="C168" t="inlineStr">
        <is>
          <t>Electronics</t>
        </is>
      </c>
      <c r="D168" t="n">
        <v>2021</v>
      </c>
      <c r="E168" t="n">
        <v>13597086.66</v>
      </c>
      <c r="F168" t="n">
        <v>52012040.88</v>
      </c>
      <c r="G168" t="n">
        <v>14799.7001</v>
      </c>
      <c r="H168" t="n">
        <v>1343.2236</v>
      </c>
      <c r="I168" t="n">
        <v>1114.0095</v>
      </c>
      <c r="J168" t="n">
        <v>12091.453</v>
      </c>
      <c r="K168" t="n">
        <v>2020</v>
      </c>
      <c r="L168" t="n">
        <v>2035</v>
      </c>
      <c r="M168" t="n">
        <v>0.5999</v>
      </c>
      <c r="N168" t="n">
        <v>0.2666</v>
      </c>
      <c r="O168" t="n">
        <v>2018</v>
      </c>
      <c r="P168" t="n">
        <v>2040</v>
      </c>
      <c r="Q168" t="n">
        <v>0.3424</v>
      </c>
      <c r="R168" t="n">
        <v>635.1588</v>
      </c>
      <c r="S168" t="n">
        <v>0.00086105</v>
      </c>
      <c r="T168" t="n">
        <v>0.00013947</v>
      </c>
    </row>
    <row r="169">
      <c r="A169" t="inlineStr">
        <is>
          <t>SUP-0017</t>
        </is>
      </c>
      <c r="B169" t="inlineStr">
        <is>
          <t>Electronics Supplier 017</t>
        </is>
      </c>
      <c r="C169" t="inlineStr">
        <is>
          <t>Electronics</t>
        </is>
      </c>
      <c r="D169" t="n">
        <v>2022</v>
      </c>
      <c r="E169" t="n">
        <v>12159208.61</v>
      </c>
      <c r="F169" t="n">
        <v>50958395.95</v>
      </c>
      <c r="G169" t="inlineStr"/>
      <c r="H169" t="n">
        <v>2046.1533</v>
      </c>
      <c r="I169" t="n">
        <v>735.6464999999999</v>
      </c>
      <c r="J169" t="n">
        <v>7884.3805</v>
      </c>
      <c r="K169" t="n">
        <v>2020</v>
      </c>
      <c r="L169" t="n">
        <v>2035</v>
      </c>
      <c r="M169" t="n">
        <v>0.5999</v>
      </c>
      <c r="N169" t="n">
        <v>0.2666</v>
      </c>
      <c r="O169" t="n">
        <v>2018</v>
      </c>
      <c r="P169" t="n">
        <v>2040</v>
      </c>
      <c r="Q169" t="n">
        <v>0.3424</v>
      </c>
      <c r="R169" t="n">
        <v>635.1588</v>
      </c>
      <c r="S169" t="n">
        <v>0.00086105</v>
      </c>
      <c r="T169" t="n">
        <v>0.00013947</v>
      </c>
    </row>
    <row r="170">
      <c r="A170" t="inlineStr">
        <is>
          <t>SUP-0017</t>
        </is>
      </c>
      <c r="B170" t="inlineStr">
        <is>
          <t>Electronics Supplier 017</t>
        </is>
      </c>
      <c r="C170" t="inlineStr">
        <is>
          <t>Electronics</t>
        </is>
      </c>
      <c r="D170" t="n">
        <v>2023</v>
      </c>
      <c r="E170" t="n">
        <v>15526753.27</v>
      </c>
      <c r="F170" t="n">
        <v>51807608.43</v>
      </c>
      <c r="G170" t="n">
        <v>13491.207</v>
      </c>
      <c r="H170" t="n">
        <v>3575.7706</v>
      </c>
      <c r="I170" t="n">
        <v>2621.4192</v>
      </c>
      <c r="J170" t="inlineStr"/>
      <c r="K170" t="n">
        <v>2020</v>
      </c>
      <c r="L170" t="n">
        <v>2035</v>
      </c>
      <c r="M170" t="n">
        <v>0.5999</v>
      </c>
      <c r="N170" t="n">
        <v>0.2666</v>
      </c>
      <c r="O170" t="n">
        <v>2018</v>
      </c>
      <c r="P170" t="n">
        <v>2040</v>
      </c>
      <c r="Q170" t="n">
        <v>0.3424</v>
      </c>
      <c r="R170" t="n">
        <v>635.1588</v>
      </c>
      <c r="S170" t="n">
        <v>0.00086105</v>
      </c>
      <c r="T170" t="n">
        <v>0.00013947</v>
      </c>
    </row>
    <row r="171">
      <c r="A171" t="inlineStr">
        <is>
          <t>SUP-0017</t>
        </is>
      </c>
      <c r="B171" t="inlineStr">
        <is>
          <t>Electronics Supplier 017</t>
        </is>
      </c>
      <c r="C171" t="inlineStr">
        <is>
          <t>Electronics</t>
        </is>
      </c>
      <c r="D171" t="n">
        <v>2024</v>
      </c>
      <c r="E171" t="n">
        <v>16073434.72</v>
      </c>
      <c r="F171" t="n">
        <v>43836752.72</v>
      </c>
      <c r="G171" t="n">
        <v>13125.3202</v>
      </c>
      <c r="H171" t="inlineStr"/>
      <c r="I171" t="inlineStr"/>
      <c r="J171" t="n">
        <v>9101.945900000001</v>
      </c>
      <c r="K171" t="n">
        <v>2020</v>
      </c>
      <c r="L171" t="n">
        <v>2035</v>
      </c>
      <c r="M171" t="n">
        <v>0.5999</v>
      </c>
      <c r="N171" t="n">
        <v>0.2666</v>
      </c>
      <c r="O171" t="n">
        <v>2018</v>
      </c>
      <c r="P171" t="n">
        <v>2040</v>
      </c>
      <c r="Q171" t="n">
        <v>0.3424</v>
      </c>
      <c r="R171" t="n">
        <v>635.1588</v>
      </c>
      <c r="S171" t="n">
        <v>0.00086105</v>
      </c>
      <c r="T171" t="n">
        <v>0.00013947</v>
      </c>
    </row>
    <row r="172">
      <c r="A172" t="inlineStr">
        <is>
          <t>SUP-0018</t>
        </is>
      </c>
      <c r="B172" t="inlineStr">
        <is>
          <t>Professional Supplier 018</t>
        </is>
      </c>
      <c r="C172" t="inlineStr">
        <is>
          <t>Professional Services</t>
        </is>
      </c>
      <c r="D172" t="n">
        <v>2015</v>
      </c>
      <c r="E172" t="n">
        <v>23341720.22</v>
      </c>
      <c r="F172" t="n">
        <v>30153704.77</v>
      </c>
      <c r="G172" t="n">
        <v>3481.9675</v>
      </c>
      <c r="H172" t="n">
        <v>717.2916</v>
      </c>
      <c r="I172" t="n">
        <v>372.8537</v>
      </c>
      <c r="J172" t="n">
        <v>2440.1221</v>
      </c>
      <c r="K172" t="inlineStr"/>
      <c r="L172" t="inlineStr"/>
      <c r="M172" t="inlineStr"/>
      <c r="N172" t="inlineStr"/>
      <c r="O172" t="n">
        <v>2020</v>
      </c>
      <c r="P172" t="inlineStr"/>
      <c r="Q172" t="inlineStr"/>
      <c r="R172" t="n">
        <v>400.0326</v>
      </c>
      <c r="S172" t="n">
        <v>0.00012906</v>
      </c>
      <c r="T172" t="n">
        <v>0.00019658</v>
      </c>
    </row>
    <row r="173">
      <c r="A173" t="inlineStr">
        <is>
          <t>SUP-0018</t>
        </is>
      </c>
      <c r="B173" t="inlineStr">
        <is>
          <t>Professional Supplier 018</t>
        </is>
      </c>
      <c r="C173" t="inlineStr">
        <is>
          <t>Professional Services</t>
        </is>
      </c>
      <c r="D173" t="n">
        <v>2016</v>
      </c>
      <c r="E173" t="n">
        <v>24642683.58</v>
      </c>
      <c r="F173" t="n">
        <v>29088805.7</v>
      </c>
      <c r="G173" t="n">
        <v>4400.1144</v>
      </c>
      <c r="H173" t="n">
        <v>1114.7526</v>
      </c>
      <c r="I173" t="inlineStr"/>
      <c r="J173" t="n">
        <v>2693.5792</v>
      </c>
      <c r="K173" t="inlineStr"/>
      <c r="L173" t="inlineStr"/>
      <c r="M173" t="inlineStr"/>
      <c r="N173" t="inlineStr"/>
      <c r="O173" t="n">
        <v>2020</v>
      </c>
      <c r="P173" t="inlineStr"/>
      <c r="Q173" t="inlineStr"/>
      <c r="R173" t="n">
        <v>400.0326</v>
      </c>
      <c r="S173" t="n">
        <v>0.00012906</v>
      </c>
      <c r="T173" t="n">
        <v>0.00019658</v>
      </c>
    </row>
    <row r="174">
      <c r="A174" t="inlineStr">
        <is>
          <t>SUP-0018</t>
        </is>
      </c>
      <c r="B174" t="inlineStr">
        <is>
          <t>Professional Supplier 018</t>
        </is>
      </c>
      <c r="C174" t="inlineStr">
        <is>
          <t>Professional Services</t>
        </is>
      </c>
      <c r="D174" t="n">
        <v>2017</v>
      </c>
      <c r="E174" t="n">
        <v>25463787.96</v>
      </c>
      <c r="F174" t="n">
        <v>32579591.42</v>
      </c>
      <c r="G174" t="n">
        <v>4514.7872</v>
      </c>
      <c r="H174" t="n">
        <v>367.7931</v>
      </c>
      <c r="I174" t="n">
        <v>704.5214</v>
      </c>
      <c r="J174" t="n">
        <v>3649.9656</v>
      </c>
      <c r="K174" t="inlineStr"/>
      <c r="L174" t="inlineStr"/>
      <c r="M174" t="inlineStr"/>
      <c r="N174" t="inlineStr"/>
      <c r="O174" t="n">
        <v>2020</v>
      </c>
      <c r="P174" t="inlineStr"/>
      <c r="Q174" t="inlineStr"/>
      <c r="R174" t="n">
        <v>400.0326</v>
      </c>
      <c r="S174" t="n">
        <v>0.00012906</v>
      </c>
      <c r="T174" t="n">
        <v>0.00019658</v>
      </c>
    </row>
    <row r="175">
      <c r="A175" t="inlineStr">
        <is>
          <t>SUP-0018</t>
        </is>
      </c>
      <c r="B175" t="inlineStr">
        <is>
          <t>Professional Supplier 018</t>
        </is>
      </c>
      <c r="C175" t="inlineStr">
        <is>
          <t>Professional Services</t>
        </is>
      </c>
      <c r="D175" t="n">
        <v>2018</v>
      </c>
      <c r="E175" t="n">
        <v>24454367.26</v>
      </c>
      <c r="F175" t="n">
        <v>28218984.32</v>
      </c>
      <c r="G175" t="n">
        <v>3801.5016</v>
      </c>
      <c r="H175" t="n">
        <v>709.7969000000001</v>
      </c>
      <c r="I175" t="inlineStr"/>
      <c r="J175" t="inlineStr"/>
      <c r="K175" t="inlineStr"/>
      <c r="L175" t="inlineStr"/>
      <c r="M175" t="inlineStr"/>
      <c r="N175" t="inlineStr"/>
      <c r="O175" t="n">
        <v>2020</v>
      </c>
      <c r="P175" t="inlineStr"/>
      <c r="Q175" t="inlineStr"/>
      <c r="R175" t="n">
        <v>400.0326</v>
      </c>
      <c r="S175" t="n">
        <v>0.00012906</v>
      </c>
      <c r="T175" t="n">
        <v>0.00019658</v>
      </c>
    </row>
    <row r="176">
      <c r="A176" t="inlineStr">
        <is>
          <t>SUP-0018</t>
        </is>
      </c>
      <c r="B176" t="inlineStr">
        <is>
          <t>Professional Supplier 018</t>
        </is>
      </c>
      <c r="C176" t="inlineStr">
        <is>
          <t>Professional Services</t>
        </is>
      </c>
      <c r="D176" t="n">
        <v>2019</v>
      </c>
      <c r="E176" t="n">
        <v>24756764.38</v>
      </c>
      <c r="F176" t="n">
        <v>27482996.85</v>
      </c>
      <c r="G176" t="n">
        <v>3614.8937</v>
      </c>
      <c r="H176" t="n">
        <v>866.7193</v>
      </c>
      <c r="I176" t="n">
        <v>685.5779</v>
      </c>
      <c r="J176" t="n">
        <v>2238.6367</v>
      </c>
      <c r="K176" t="inlineStr"/>
      <c r="L176" t="inlineStr"/>
      <c r="M176" t="inlineStr"/>
      <c r="N176" t="inlineStr"/>
      <c r="O176" t="n">
        <v>2020</v>
      </c>
      <c r="P176" t="inlineStr"/>
      <c r="Q176" t="inlineStr"/>
      <c r="R176" t="n">
        <v>400.0326</v>
      </c>
      <c r="S176" t="n">
        <v>0.00012906</v>
      </c>
      <c r="T176" t="n">
        <v>0.00019658</v>
      </c>
    </row>
    <row r="177">
      <c r="A177" t="inlineStr">
        <is>
          <t>SUP-0018</t>
        </is>
      </c>
      <c r="B177" t="inlineStr">
        <is>
          <t>Professional Supplier 018</t>
        </is>
      </c>
      <c r="C177" t="inlineStr">
        <is>
          <t>Professional Services</t>
        </is>
      </c>
      <c r="D177" t="n">
        <v>2020</v>
      </c>
      <c r="E177" t="n">
        <v>29630118.54</v>
      </c>
      <c r="F177" t="n">
        <v>41379377.41</v>
      </c>
      <c r="G177" t="n">
        <v>3137.8007</v>
      </c>
      <c r="H177" t="n">
        <v>739.9797</v>
      </c>
      <c r="I177" t="n">
        <v>451.8139</v>
      </c>
      <c r="J177" t="n">
        <v>1898.7062</v>
      </c>
      <c r="K177" t="inlineStr"/>
      <c r="L177" t="inlineStr"/>
      <c r="M177" t="inlineStr"/>
      <c r="N177" t="inlineStr"/>
      <c r="O177" t="n">
        <v>2020</v>
      </c>
      <c r="P177" t="inlineStr"/>
      <c r="Q177" t="inlineStr"/>
      <c r="R177" t="n">
        <v>400.0326</v>
      </c>
      <c r="S177" t="n">
        <v>0.00012906</v>
      </c>
      <c r="T177" t="n">
        <v>0.00019658</v>
      </c>
    </row>
    <row r="178">
      <c r="A178" t="inlineStr">
        <is>
          <t>SUP-0018</t>
        </is>
      </c>
      <c r="B178" t="inlineStr">
        <is>
          <t>Professional Supplier 018</t>
        </is>
      </c>
      <c r="C178" t="inlineStr">
        <is>
          <t>Professional Services</t>
        </is>
      </c>
      <c r="D178" t="n">
        <v>2021</v>
      </c>
      <c r="E178" t="n">
        <v>27898027.65</v>
      </c>
      <c r="F178" t="n">
        <v>37389953.2</v>
      </c>
      <c r="G178" t="n">
        <v>4112.0743</v>
      </c>
      <c r="H178" t="n">
        <v>1069.796</v>
      </c>
      <c r="I178" t="n">
        <v>574.3924</v>
      </c>
      <c r="J178" t="n">
        <v>2541.6469</v>
      </c>
      <c r="K178" t="inlineStr"/>
      <c r="L178" t="inlineStr"/>
      <c r="M178" t="inlineStr"/>
      <c r="N178" t="inlineStr"/>
      <c r="O178" t="n">
        <v>2020</v>
      </c>
      <c r="P178" t="inlineStr"/>
      <c r="Q178" t="inlineStr"/>
      <c r="R178" t="n">
        <v>400.0326</v>
      </c>
      <c r="S178" t="n">
        <v>0.00012906</v>
      </c>
      <c r="T178" t="n">
        <v>0.00019658</v>
      </c>
    </row>
    <row r="179">
      <c r="A179" t="inlineStr">
        <is>
          <t>SUP-0018</t>
        </is>
      </c>
      <c r="B179" t="inlineStr">
        <is>
          <t>Professional Supplier 018</t>
        </is>
      </c>
      <c r="C179" t="inlineStr">
        <is>
          <t>Professional Services</t>
        </is>
      </c>
      <c r="D179" t="n">
        <v>2022</v>
      </c>
      <c r="E179" t="n">
        <v>28976790.15</v>
      </c>
      <c r="F179" t="n">
        <v>40775282.66</v>
      </c>
      <c r="G179" t="n">
        <v>4079.4811</v>
      </c>
      <c r="H179" t="n">
        <v>625.3541</v>
      </c>
      <c r="I179" t="n">
        <v>648.0371</v>
      </c>
      <c r="J179" t="n">
        <v>2553.8047</v>
      </c>
      <c r="K179" t="inlineStr"/>
      <c r="L179" t="inlineStr"/>
      <c r="M179" t="inlineStr"/>
      <c r="N179" t="inlineStr"/>
      <c r="O179" t="n">
        <v>2020</v>
      </c>
      <c r="P179" t="inlineStr"/>
      <c r="Q179" t="inlineStr"/>
      <c r="R179" t="n">
        <v>400.0326</v>
      </c>
      <c r="S179" t="n">
        <v>0.00012906</v>
      </c>
      <c r="T179" t="n">
        <v>0.00019658</v>
      </c>
    </row>
    <row r="180">
      <c r="A180" t="inlineStr">
        <is>
          <t>SUP-0018</t>
        </is>
      </c>
      <c r="B180" t="inlineStr">
        <is>
          <t>Professional Supplier 018</t>
        </is>
      </c>
      <c r="C180" t="inlineStr">
        <is>
          <t>Professional Services</t>
        </is>
      </c>
      <c r="D180" t="n">
        <v>2023</v>
      </c>
      <c r="E180" t="n">
        <v>29668365.65</v>
      </c>
      <c r="F180" t="n">
        <v>36069717.59</v>
      </c>
      <c r="G180" t="inlineStr"/>
      <c r="H180" t="n">
        <v>464.2371</v>
      </c>
      <c r="I180" t="inlineStr"/>
      <c r="J180" t="n">
        <v>2583.588</v>
      </c>
      <c r="K180" t="inlineStr"/>
      <c r="L180" t="inlineStr"/>
      <c r="M180" t="inlineStr"/>
      <c r="N180" t="inlineStr"/>
      <c r="O180" t="n">
        <v>2020</v>
      </c>
      <c r="P180" t="inlineStr"/>
      <c r="Q180" t="inlineStr"/>
      <c r="R180" t="n">
        <v>400.0326</v>
      </c>
      <c r="S180" t="n">
        <v>0.00012906</v>
      </c>
      <c r="T180" t="n">
        <v>0.00019658</v>
      </c>
    </row>
    <row r="181">
      <c r="A181" t="inlineStr">
        <is>
          <t>SUP-0018</t>
        </is>
      </c>
      <c r="B181" t="inlineStr">
        <is>
          <t>Professional Supplier 018</t>
        </is>
      </c>
      <c r="C181" t="inlineStr">
        <is>
          <t>Professional Services</t>
        </is>
      </c>
      <c r="D181" t="n">
        <v>2024</v>
      </c>
      <c r="E181" t="n">
        <v>27725818.17</v>
      </c>
      <c r="F181" t="n">
        <v>35389398.07</v>
      </c>
      <c r="G181" t="n">
        <v>3029.8477</v>
      </c>
      <c r="H181" t="n">
        <v>476.8177</v>
      </c>
      <c r="I181" t="n">
        <v>252.2195</v>
      </c>
      <c r="J181" t="n">
        <v>2403.8315</v>
      </c>
      <c r="K181" t="inlineStr"/>
      <c r="L181" t="inlineStr"/>
      <c r="M181" t="inlineStr"/>
      <c r="N181" t="inlineStr"/>
      <c r="O181" t="n">
        <v>2020</v>
      </c>
      <c r="P181" t="inlineStr"/>
      <c r="Q181" t="inlineStr"/>
      <c r="R181" t="n">
        <v>400.0326</v>
      </c>
      <c r="S181" t="n">
        <v>0.00012906</v>
      </c>
      <c r="T181" t="n">
        <v>0.00019658</v>
      </c>
    </row>
    <row r="182">
      <c r="A182" t="inlineStr">
        <is>
          <t>SUP-0019</t>
        </is>
      </c>
      <c r="B182" t="inlineStr">
        <is>
          <t>Metals Supplier 019</t>
        </is>
      </c>
      <c r="C182" t="inlineStr">
        <is>
          <t>Metals</t>
        </is>
      </c>
      <c r="D182" t="n">
        <v>2015</v>
      </c>
      <c r="E182" t="n">
        <v>15163966.2</v>
      </c>
      <c r="F182" t="n">
        <v>35393659.61</v>
      </c>
      <c r="G182" t="inlineStr"/>
      <c r="H182" t="inlineStr"/>
      <c r="I182" t="n">
        <v>2366.0933</v>
      </c>
      <c r="J182" t="n">
        <v>8786.599200000001</v>
      </c>
      <c r="K182" t="n">
        <v>2021</v>
      </c>
      <c r="L182" t="n">
        <v>2035</v>
      </c>
      <c r="M182" t="n">
        <v>0.5173</v>
      </c>
      <c r="N182" t="n">
        <v>0.245</v>
      </c>
      <c r="O182" t="n">
        <v>2019</v>
      </c>
      <c r="P182" t="n">
        <v>2030</v>
      </c>
      <c r="Q182" t="n">
        <v>0.3852</v>
      </c>
      <c r="R182" t="n">
        <v>158.2904</v>
      </c>
      <c r="S182" t="n">
        <v>0.00100695</v>
      </c>
      <c r="T182" t="n">
        <v>0.00065008</v>
      </c>
    </row>
    <row r="183">
      <c r="A183" t="inlineStr">
        <is>
          <t>SUP-0019</t>
        </is>
      </c>
      <c r="B183" t="inlineStr">
        <is>
          <t>Metals Supplier 019</t>
        </is>
      </c>
      <c r="C183" t="inlineStr">
        <is>
          <t>Metals</t>
        </is>
      </c>
      <c r="D183" t="n">
        <v>2016</v>
      </c>
      <c r="E183" t="n">
        <v>18509957.65</v>
      </c>
      <c r="F183" t="n">
        <v>39650672.93</v>
      </c>
      <c r="G183" t="inlineStr"/>
      <c r="H183" t="n">
        <v>1739.5061</v>
      </c>
      <c r="I183" t="n">
        <v>1578.3628</v>
      </c>
      <c r="J183" t="n">
        <v>10804.0706</v>
      </c>
      <c r="K183" t="n">
        <v>2021</v>
      </c>
      <c r="L183" t="n">
        <v>2035</v>
      </c>
      <c r="M183" t="n">
        <v>0.5173</v>
      </c>
      <c r="N183" t="n">
        <v>0.245</v>
      </c>
      <c r="O183" t="n">
        <v>2019</v>
      </c>
      <c r="P183" t="n">
        <v>2030</v>
      </c>
      <c r="Q183" t="n">
        <v>0.3852</v>
      </c>
      <c r="R183" t="n">
        <v>158.2904</v>
      </c>
      <c r="S183" t="n">
        <v>0.00100695</v>
      </c>
      <c r="T183" t="n">
        <v>0.00065008</v>
      </c>
    </row>
    <row r="184">
      <c r="A184" t="inlineStr">
        <is>
          <t>SUP-0019</t>
        </is>
      </c>
      <c r="B184" t="inlineStr">
        <is>
          <t>Metals Supplier 019</t>
        </is>
      </c>
      <c r="C184" t="inlineStr">
        <is>
          <t>Metals</t>
        </is>
      </c>
      <c r="D184" t="n">
        <v>2017</v>
      </c>
      <c r="E184" t="n">
        <v>19126912.72</v>
      </c>
      <c r="F184" t="n">
        <v>50753329.91</v>
      </c>
      <c r="G184" t="n">
        <v>13818.4891</v>
      </c>
      <c r="H184" t="n">
        <v>2117.2274</v>
      </c>
      <c r="I184" t="n">
        <v>2131.5567</v>
      </c>
      <c r="J184" t="inlineStr"/>
      <c r="K184" t="n">
        <v>2021</v>
      </c>
      <c r="L184" t="n">
        <v>2035</v>
      </c>
      <c r="M184" t="n">
        <v>0.5173</v>
      </c>
      <c r="N184" t="n">
        <v>0.245</v>
      </c>
      <c r="O184" t="n">
        <v>2019</v>
      </c>
      <c r="P184" t="n">
        <v>2030</v>
      </c>
      <c r="Q184" t="n">
        <v>0.3852</v>
      </c>
      <c r="R184" t="n">
        <v>158.2904</v>
      </c>
      <c r="S184" t="n">
        <v>0.00100695</v>
      </c>
      <c r="T184" t="n">
        <v>0.00065008</v>
      </c>
    </row>
    <row r="185">
      <c r="A185" t="inlineStr">
        <is>
          <t>SUP-0019</t>
        </is>
      </c>
      <c r="B185" t="inlineStr">
        <is>
          <t>Metals Supplier 019</t>
        </is>
      </c>
      <c r="C185" t="inlineStr">
        <is>
          <t>Metals</t>
        </is>
      </c>
      <c r="D185" t="n">
        <v>2018</v>
      </c>
      <c r="E185" t="n">
        <v>17708183.33</v>
      </c>
      <c r="F185" t="inlineStr"/>
      <c r="G185" t="inlineStr"/>
      <c r="H185" t="n">
        <v>2092.0092</v>
      </c>
      <c r="I185" t="n">
        <v>2851.1973</v>
      </c>
      <c r="J185" t="n">
        <v>8754.8714</v>
      </c>
      <c r="K185" t="n">
        <v>2021</v>
      </c>
      <c r="L185" t="n">
        <v>2035</v>
      </c>
      <c r="M185" t="n">
        <v>0.5173</v>
      </c>
      <c r="N185" t="n">
        <v>0.245</v>
      </c>
      <c r="O185" t="n">
        <v>2019</v>
      </c>
      <c r="P185" t="n">
        <v>2030</v>
      </c>
      <c r="Q185" t="n">
        <v>0.3852</v>
      </c>
      <c r="R185" t="n">
        <v>158.2904</v>
      </c>
      <c r="S185" t="n">
        <v>0.00100695</v>
      </c>
      <c r="T185" t="n">
        <v>0.00065008</v>
      </c>
    </row>
    <row r="186">
      <c r="A186" t="inlineStr">
        <is>
          <t>SUP-0019</t>
        </is>
      </c>
      <c r="B186" t="inlineStr">
        <is>
          <t>Metals Supplier 019</t>
        </is>
      </c>
      <c r="C186" t="inlineStr">
        <is>
          <t>Metals</t>
        </is>
      </c>
      <c r="D186" t="n">
        <v>2019</v>
      </c>
      <c r="E186" t="n">
        <v>19088395.09</v>
      </c>
      <c r="F186" t="n">
        <v>59876904.58</v>
      </c>
      <c r="G186" t="n">
        <v>13853.4647</v>
      </c>
      <c r="H186" t="n">
        <v>1313.0458</v>
      </c>
      <c r="I186" t="n">
        <v>1225.3929</v>
      </c>
      <c r="J186" t="n">
        <v>11601.2925</v>
      </c>
      <c r="K186" t="n">
        <v>2021</v>
      </c>
      <c r="L186" t="n">
        <v>2035</v>
      </c>
      <c r="M186" t="n">
        <v>0.5173</v>
      </c>
      <c r="N186" t="n">
        <v>0.245</v>
      </c>
      <c r="O186" t="n">
        <v>2019</v>
      </c>
      <c r="P186" t="n">
        <v>2030</v>
      </c>
      <c r="Q186" t="n">
        <v>0.3852</v>
      </c>
      <c r="R186" t="n">
        <v>158.2904</v>
      </c>
      <c r="S186" t="n">
        <v>0.00100695</v>
      </c>
      <c r="T186" t="n">
        <v>0.00065008</v>
      </c>
    </row>
    <row r="187">
      <c r="A187" t="inlineStr">
        <is>
          <t>SUP-0019</t>
        </is>
      </c>
      <c r="B187" t="inlineStr">
        <is>
          <t>Metals Supplier 019</t>
        </is>
      </c>
      <c r="C187" t="inlineStr">
        <is>
          <t>Metals</t>
        </is>
      </c>
      <c r="D187" t="n">
        <v>2020</v>
      </c>
      <c r="E187" t="n">
        <v>25748082.89</v>
      </c>
      <c r="F187" t="n">
        <v>73078027.23</v>
      </c>
      <c r="G187" t="n">
        <v>15312.4315</v>
      </c>
      <c r="H187" t="n">
        <v>3027.8675</v>
      </c>
      <c r="I187" t="n">
        <v>2142.7587</v>
      </c>
      <c r="J187" t="n">
        <v>10254.0059</v>
      </c>
      <c r="K187" t="n">
        <v>2021</v>
      </c>
      <c r="L187" t="n">
        <v>2035</v>
      </c>
      <c r="M187" t="n">
        <v>0.5173</v>
      </c>
      <c r="N187" t="n">
        <v>0.245</v>
      </c>
      <c r="O187" t="n">
        <v>2019</v>
      </c>
      <c r="P187" t="n">
        <v>2030</v>
      </c>
      <c r="Q187" t="n">
        <v>0.3852</v>
      </c>
      <c r="R187" t="n">
        <v>158.2904</v>
      </c>
      <c r="S187" t="n">
        <v>0.00100695</v>
      </c>
      <c r="T187" t="n">
        <v>0.00065008</v>
      </c>
    </row>
    <row r="188">
      <c r="A188" t="inlineStr">
        <is>
          <t>SUP-0019</t>
        </is>
      </c>
      <c r="B188" t="inlineStr">
        <is>
          <t>Metals Supplier 019</t>
        </is>
      </c>
      <c r="C188" t="inlineStr">
        <is>
          <t>Metals</t>
        </is>
      </c>
      <c r="D188" t="n">
        <v>2021</v>
      </c>
      <c r="E188" t="n">
        <v>29429316.05</v>
      </c>
      <c r="F188" t="n">
        <v>56037017.82</v>
      </c>
      <c r="G188" t="n">
        <v>21793.9654</v>
      </c>
      <c r="H188" t="n">
        <v>2807.0868</v>
      </c>
      <c r="I188" t="inlineStr"/>
      <c r="J188" t="n">
        <v>15054.5635</v>
      </c>
      <c r="K188" t="n">
        <v>2021</v>
      </c>
      <c r="L188" t="n">
        <v>2035</v>
      </c>
      <c r="M188" t="n">
        <v>0.5173</v>
      </c>
      <c r="N188" t="n">
        <v>0.245</v>
      </c>
      <c r="O188" t="n">
        <v>2019</v>
      </c>
      <c r="P188" t="n">
        <v>2030</v>
      </c>
      <c r="Q188" t="n">
        <v>0.3852</v>
      </c>
      <c r="R188" t="n">
        <v>158.2904</v>
      </c>
      <c r="S188" t="n">
        <v>0.00100695</v>
      </c>
      <c r="T188" t="n">
        <v>0.00065008</v>
      </c>
    </row>
    <row r="189">
      <c r="A189" t="inlineStr">
        <is>
          <t>SUP-0019</t>
        </is>
      </c>
      <c r="B189" t="inlineStr">
        <is>
          <t>Metals Supplier 019</t>
        </is>
      </c>
      <c r="C189" t="inlineStr">
        <is>
          <t>Metals</t>
        </is>
      </c>
      <c r="D189" t="n">
        <v>2022</v>
      </c>
      <c r="E189" t="n">
        <v>27703030.55</v>
      </c>
      <c r="F189" t="n">
        <v>79713412.51000001</v>
      </c>
      <c r="G189" t="n">
        <v>16678.5816</v>
      </c>
      <c r="H189" t="inlineStr"/>
      <c r="I189" t="n">
        <v>2794.7179</v>
      </c>
      <c r="J189" t="n">
        <v>10671.3523</v>
      </c>
      <c r="K189" t="n">
        <v>2021</v>
      </c>
      <c r="L189" t="n">
        <v>2035</v>
      </c>
      <c r="M189" t="n">
        <v>0.5173</v>
      </c>
      <c r="N189" t="n">
        <v>0.245</v>
      </c>
      <c r="O189" t="n">
        <v>2019</v>
      </c>
      <c r="P189" t="n">
        <v>2030</v>
      </c>
      <c r="Q189" t="n">
        <v>0.3852</v>
      </c>
      <c r="R189" t="n">
        <v>158.2904</v>
      </c>
      <c r="S189" t="n">
        <v>0.00100695</v>
      </c>
      <c r="T189" t="n">
        <v>0.00065008</v>
      </c>
    </row>
    <row r="190">
      <c r="A190" t="inlineStr">
        <is>
          <t>SUP-0019</t>
        </is>
      </c>
      <c r="B190" t="inlineStr">
        <is>
          <t>Metals Supplier 019</t>
        </is>
      </c>
      <c r="C190" t="inlineStr">
        <is>
          <t>Metals</t>
        </is>
      </c>
      <c r="D190" t="n">
        <v>2023</v>
      </c>
      <c r="E190" t="n">
        <v>29438806.03</v>
      </c>
      <c r="F190" t="n">
        <v>87901166.84</v>
      </c>
      <c r="G190" t="n">
        <v>15148.9163</v>
      </c>
      <c r="H190" t="n">
        <v>3336.3472</v>
      </c>
      <c r="I190" t="n">
        <v>2481.0723</v>
      </c>
      <c r="J190" t="inlineStr"/>
      <c r="K190" t="n">
        <v>2021</v>
      </c>
      <c r="L190" t="n">
        <v>2035</v>
      </c>
      <c r="M190" t="n">
        <v>0.5173</v>
      </c>
      <c r="N190" t="n">
        <v>0.245</v>
      </c>
      <c r="O190" t="n">
        <v>2019</v>
      </c>
      <c r="P190" t="n">
        <v>2030</v>
      </c>
      <c r="Q190" t="n">
        <v>0.3852</v>
      </c>
      <c r="R190" t="n">
        <v>158.2904</v>
      </c>
      <c r="S190" t="n">
        <v>0.00100695</v>
      </c>
      <c r="T190" t="n">
        <v>0.00065008</v>
      </c>
    </row>
    <row r="191">
      <c r="A191" t="inlineStr">
        <is>
          <t>SUP-0019</t>
        </is>
      </c>
      <c r="B191" t="inlineStr">
        <is>
          <t>Metals Supplier 019</t>
        </is>
      </c>
      <c r="C191" t="inlineStr">
        <is>
          <t>Metals</t>
        </is>
      </c>
      <c r="D191" t="n">
        <v>2024</v>
      </c>
      <c r="E191" t="n">
        <v>37295083.38</v>
      </c>
      <c r="F191" t="n">
        <v>66297440.8</v>
      </c>
      <c r="G191" t="inlineStr"/>
      <c r="H191" t="n">
        <v>3459.5557</v>
      </c>
      <c r="I191" t="inlineStr"/>
      <c r="J191" t="inlineStr"/>
      <c r="K191" t="n">
        <v>2021</v>
      </c>
      <c r="L191" t="n">
        <v>2035</v>
      </c>
      <c r="M191" t="n">
        <v>0.5173</v>
      </c>
      <c r="N191" t="n">
        <v>0.245</v>
      </c>
      <c r="O191" t="n">
        <v>2019</v>
      </c>
      <c r="P191" t="n">
        <v>2030</v>
      </c>
      <c r="Q191" t="n">
        <v>0.3852</v>
      </c>
      <c r="R191" t="n">
        <v>158.2904</v>
      </c>
      <c r="S191" t="n">
        <v>0.00100695</v>
      </c>
      <c r="T191" t="n">
        <v>0.00065008</v>
      </c>
    </row>
    <row r="192">
      <c r="A192" t="inlineStr">
        <is>
          <t>SUP-0020</t>
        </is>
      </c>
      <c r="B192" t="inlineStr">
        <is>
          <t>Logistics Supplier 020</t>
        </is>
      </c>
      <c r="C192" t="inlineStr">
        <is>
          <t>Logistics</t>
        </is>
      </c>
      <c r="D192" t="n">
        <v>2015</v>
      </c>
      <c r="E192" t="n">
        <v>15154818.08</v>
      </c>
      <c r="F192" t="n">
        <v>113802033.12</v>
      </c>
      <c r="G192" t="inlineStr"/>
      <c r="H192" t="n">
        <v>391.2424</v>
      </c>
      <c r="I192" t="inlineStr"/>
      <c r="J192" t="n">
        <v>2600.9006</v>
      </c>
      <c r="K192" t="n">
        <v>2020</v>
      </c>
      <c r="L192" t="n">
        <v>2035</v>
      </c>
      <c r="M192" t="n">
        <v>0.668</v>
      </c>
      <c r="N192" t="n">
        <v>0.2613</v>
      </c>
      <c r="O192" t="n">
        <v>2019</v>
      </c>
      <c r="P192" t="n">
        <v>2040</v>
      </c>
      <c r="Q192" t="n">
        <v>0.4616</v>
      </c>
      <c r="R192" t="n">
        <v>591.6386</v>
      </c>
      <c r="S192" t="n">
        <v>0.00022349</v>
      </c>
      <c r="T192" t="n">
        <v>0.00047787</v>
      </c>
    </row>
    <row r="193">
      <c r="A193" t="inlineStr">
        <is>
          <t>SUP-0020</t>
        </is>
      </c>
      <c r="B193" t="inlineStr">
        <is>
          <t>Logistics Supplier 020</t>
        </is>
      </c>
      <c r="C193" t="inlineStr">
        <is>
          <t>Logistics</t>
        </is>
      </c>
      <c r="D193" t="n">
        <v>2016</v>
      </c>
      <c r="E193" t="n">
        <v>17237096.37</v>
      </c>
      <c r="F193" t="n">
        <v>135005185.22</v>
      </c>
      <c r="G193" t="n">
        <v>3576.9986</v>
      </c>
      <c r="H193" t="n">
        <v>738.4932</v>
      </c>
      <c r="I193" t="n">
        <v>557.5173</v>
      </c>
      <c r="J193" t="n">
        <v>2316.1219</v>
      </c>
      <c r="K193" t="n">
        <v>2020</v>
      </c>
      <c r="L193" t="n">
        <v>2035</v>
      </c>
      <c r="M193" t="n">
        <v>0.668</v>
      </c>
      <c r="N193" t="n">
        <v>0.2613</v>
      </c>
      <c r="O193" t="n">
        <v>2019</v>
      </c>
      <c r="P193" t="n">
        <v>2040</v>
      </c>
      <c r="Q193" t="n">
        <v>0.4616</v>
      </c>
      <c r="R193" t="n">
        <v>591.6386</v>
      </c>
      <c r="S193" t="n">
        <v>0.00022349</v>
      </c>
      <c r="T193" t="n">
        <v>0.00047787</v>
      </c>
    </row>
    <row r="194">
      <c r="A194" t="inlineStr">
        <is>
          <t>SUP-0020</t>
        </is>
      </c>
      <c r="B194" t="inlineStr">
        <is>
          <t>Logistics Supplier 020</t>
        </is>
      </c>
      <c r="C194" t="inlineStr">
        <is>
          <t>Logistics</t>
        </is>
      </c>
      <c r="D194" t="n">
        <v>2017</v>
      </c>
      <c r="E194" t="n">
        <v>17545794.1</v>
      </c>
      <c r="F194" t="n">
        <v>93693152.69</v>
      </c>
      <c r="G194" t="n">
        <v>4442.4858</v>
      </c>
      <c r="H194" t="n">
        <v>396.682</v>
      </c>
      <c r="I194" t="n">
        <v>867.8013999999999</v>
      </c>
      <c r="J194" t="n">
        <v>3262.806</v>
      </c>
      <c r="K194" t="n">
        <v>2020</v>
      </c>
      <c r="L194" t="n">
        <v>2035</v>
      </c>
      <c r="M194" t="n">
        <v>0.668</v>
      </c>
      <c r="N194" t="n">
        <v>0.2613</v>
      </c>
      <c r="O194" t="n">
        <v>2019</v>
      </c>
      <c r="P194" t="n">
        <v>2040</v>
      </c>
      <c r="Q194" t="n">
        <v>0.4616</v>
      </c>
      <c r="R194" t="n">
        <v>591.6386</v>
      </c>
      <c r="S194" t="n">
        <v>0.00022349</v>
      </c>
      <c r="T194" t="n">
        <v>0.00047787</v>
      </c>
    </row>
    <row r="195">
      <c r="A195" t="inlineStr">
        <is>
          <t>SUP-0020</t>
        </is>
      </c>
      <c r="B195" t="inlineStr">
        <is>
          <t>Logistics Supplier 020</t>
        </is>
      </c>
      <c r="C195" t="inlineStr">
        <is>
          <t>Logistics</t>
        </is>
      </c>
      <c r="D195" t="n">
        <v>2018</v>
      </c>
      <c r="E195" t="n">
        <v>17410615.85</v>
      </c>
      <c r="F195" t="n">
        <v>108819321.78</v>
      </c>
      <c r="G195" t="inlineStr"/>
      <c r="H195" t="n">
        <v>683.491</v>
      </c>
      <c r="I195" t="inlineStr"/>
      <c r="J195" t="n">
        <v>2960.7024</v>
      </c>
      <c r="K195" t="n">
        <v>2020</v>
      </c>
      <c r="L195" t="n">
        <v>2035</v>
      </c>
      <c r="M195" t="n">
        <v>0.668</v>
      </c>
      <c r="N195" t="n">
        <v>0.2613</v>
      </c>
      <c r="O195" t="n">
        <v>2019</v>
      </c>
      <c r="P195" t="n">
        <v>2040</v>
      </c>
      <c r="Q195" t="n">
        <v>0.4616</v>
      </c>
      <c r="R195" t="n">
        <v>591.6386</v>
      </c>
      <c r="S195" t="n">
        <v>0.00022349</v>
      </c>
      <c r="T195" t="n">
        <v>0.00047787</v>
      </c>
    </row>
    <row r="196">
      <c r="A196" t="inlineStr">
        <is>
          <t>SUP-0020</t>
        </is>
      </c>
      <c r="B196" t="inlineStr">
        <is>
          <t>Logistics Supplier 020</t>
        </is>
      </c>
      <c r="C196" t="inlineStr">
        <is>
          <t>Logistics</t>
        </is>
      </c>
      <c r="D196" t="n">
        <v>2019</v>
      </c>
      <c r="E196" t="n">
        <v>17065338.59</v>
      </c>
      <c r="F196" t="n">
        <v>101401237.41</v>
      </c>
      <c r="G196" t="n">
        <v>2857.9548</v>
      </c>
      <c r="H196" t="inlineStr"/>
      <c r="I196" t="n">
        <v>372.9148</v>
      </c>
      <c r="J196" t="inlineStr"/>
      <c r="K196" t="n">
        <v>2020</v>
      </c>
      <c r="L196" t="n">
        <v>2035</v>
      </c>
      <c r="M196" t="n">
        <v>0.668</v>
      </c>
      <c r="N196" t="n">
        <v>0.2613</v>
      </c>
      <c r="O196" t="n">
        <v>2019</v>
      </c>
      <c r="P196" t="n">
        <v>2040</v>
      </c>
      <c r="Q196" t="n">
        <v>0.4616</v>
      </c>
      <c r="R196" t="n">
        <v>591.6386</v>
      </c>
      <c r="S196" t="n">
        <v>0.00022349</v>
      </c>
      <c r="T196" t="n">
        <v>0.00047787</v>
      </c>
    </row>
    <row r="197">
      <c r="A197" t="inlineStr">
        <is>
          <t>SUP-0020</t>
        </is>
      </c>
      <c r="B197" t="inlineStr">
        <is>
          <t>Logistics Supplier 020</t>
        </is>
      </c>
      <c r="C197" t="inlineStr">
        <is>
          <t>Logistics</t>
        </is>
      </c>
      <c r="D197" t="n">
        <v>2020</v>
      </c>
      <c r="E197" t="n">
        <v>17459810.77</v>
      </c>
      <c r="F197" t="n">
        <v>90548643.44</v>
      </c>
      <c r="G197" t="n">
        <v>3808.153</v>
      </c>
      <c r="H197" t="n">
        <v>1116.327</v>
      </c>
      <c r="I197" t="n">
        <v>767.9092000000001</v>
      </c>
      <c r="J197" t="n">
        <v>2047.9605</v>
      </c>
      <c r="K197" t="n">
        <v>2020</v>
      </c>
      <c r="L197" t="n">
        <v>2035</v>
      </c>
      <c r="M197" t="n">
        <v>0.668</v>
      </c>
      <c r="N197" t="n">
        <v>0.2613</v>
      </c>
      <c r="O197" t="n">
        <v>2019</v>
      </c>
      <c r="P197" t="n">
        <v>2040</v>
      </c>
      <c r="Q197" t="n">
        <v>0.4616</v>
      </c>
      <c r="R197" t="n">
        <v>591.6386</v>
      </c>
      <c r="S197" t="n">
        <v>0.00022349</v>
      </c>
      <c r="T197" t="n">
        <v>0.00047787</v>
      </c>
    </row>
    <row r="198">
      <c r="A198" t="inlineStr">
        <is>
          <t>SUP-0020</t>
        </is>
      </c>
      <c r="B198" t="inlineStr">
        <is>
          <t>Logistics Supplier 020</t>
        </is>
      </c>
      <c r="C198" t="inlineStr">
        <is>
          <t>Logistics</t>
        </is>
      </c>
      <c r="D198" t="n">
        <v>2021</v>
      </c>
      <c r="E198" t="n">
        <v>17086834.76</v>
      </c>
      <c r="F198" t="n">
        <v>112492849.67</v>
      </c>
      <c r="G198" t="n">
        <v>3840.891</v>
      </c>
      <c r="H198" t="n">
        <v>871.5972</v>
      </c>
      <c r="I198" t="n">
        <v>540.1934</v>
      </c>
      <c r="J198" t="n">
        <v>2413.489</v>
      </c>
      <c r="K198" t="n">
        <v>2020</v>
      </c>
      <c r="L198" t="n">
        <v>2035</v>
      </c>
      <c r="M198" t="n">
        <v>0.668</v>
      </c>
      <c r="N198" t="n">
        <v>0.2613</v>
      </c>
      <c r="O198" t="n">
        <v>2019</v>
      </c>
      <c r="P198" t="n">
        <v>2040</v>
      </c>
      <c r="Q198" t="n">
        <v>0.4616</v>
      </c>
      <c r="R198" t="n">
        <v>591.6386</v>
      </c>
      <c r="S198" t="n">
        <v>0.00022349</v>
      </c>
      <c r="T198" t="n">
        <v>0.00047787</v>
      </c>
    </row>
    <row r="199">
      <c r="A199" t="inlineStr">
        <is>
          <t>SUP-0020</t>
        </is>
      </c>
      <c r="B199" t="inlineStr">
        <is>
          <t>Logistics Supplier 020</t>
        </is>
      </c>
      <c r="C199" t="inlineStr">
        <is>
          <t>Logistics</t>
        </is>
      </c>
      <c r="D199" t="n">
        <v>2022</v>
      </c>
      <c r="E199" t="n">
        <v>16259618.72</v>
      </c>
      <c r="F199" t="n">
        <v>116232175.35</v>
      </c>
      <c r="G199" t="n">
        <v>3784.2728</v>
      </c>
      <c r="H199" t="n">
        <v>629.8449000000001</v>
      </c>
      <c r="I199" t="n">
        <v>394.2535</v>
      </c>
      <c r="J199" t="inlineStr"/>
      <c r="K199" t="n">
        <v>2020</v>
      </c>
      <c r="L199" t="n">
        <v>2035</v>
      </c>
      <c r="M199" t="n">
        <v>0.668</v>
      </c>
      <c r="N199" t="n">
        <v>0.2613</v>
      </c>
      <c r="O199" t="n">
        <v>2019</v>
      </c>
      <c r="P199" t="n">
        <v>2040</v>
      </c>
      <c r="Q199" t="n">
        <v>0.4616</v>
      </c>
      <c r="R199" t="n">
        <v>591.6386</v>
      </c>
      <c r="S199" t="n">
        <v>0.00022349</v>
      </c>
      <c r="T199" t="n">
        <v>0.00047787</v>
      </c>
    </row>
    <row r="200">
      <c r="A200" t="inlineStr">
        <is>
          <t>SUP-0020</t>
        </is>
      </c>
      <c r="B200" t="inlineStr">
        <is>
          <t>Logistics Supplier 020</t>
        </is>
      </c>
      <c r="C200" t="inlineStr">
        <is>
          <t>Logistics</t>
        </is>
      </c>
      <c r="D200" t="n">
        <v>2023</v>
      </c>
      <c r="E200" t="n">
        <v>16529037.85</v>
      </c>
      <c r="F200" t="n">
        <v>94802093.92</v>
      </c>
      <c r="G200" t="inlineStr"/>
      <c r="H200" t="n">
        <v>630.3334</v>
      </c>
      <c r="I200" t="n">
        <v>591.9029</v>
      </c>
      <c r="J200" t="inlineStr"/>
      <c r="K200" t="n">
        <v>2020</v>
      </c>
      <c r="L200" t="n">
        <v>2035</v>
      </c>
      <c r="M200" t="n">
        <v>0.668</v>
      </c>
      <c r="N200" t="n">
        <v>0.2613</v>
      </c>
      <c r="O200" t="n">
        <v>2019</v>
      </c>
      <c r="P200" t="n">
        <v>2040</v>
      </c>
      <c r="Q200" t="n">
        <v>0.4616</v>
      </c>
      <c r="R200" t="n">
        <v>591.6386</v>
      </c>
      <c r="S200" t="n">
        <v>0.00022349</v>
      </c>
      <c r="T200" t="n">
        <v>0.00047787</v>
      </c>
    </row>
    <row r="201">
      <c r="A201" t="inlineStr">
        <is>
          <t>SUP-0020</t>
        </is>
      </c>
      <c r="B201" t="inlineStr">
        <is>
          <t>Logistics Supplier 020</t>
        </is>
      </c>
      <c r="C201" t="inlineStr">
        <is>
          <t>Logistics</t>
        </is>
      </c>
      <c r="D201" t="n">
        <v>2024</v>
      </c>
      <c r="E201" t="n">
        <v>16706856.05</v>
      </c>
      <c r="F201" t="n">
        <v>90210085.53</v>
      </c>
      <c r="G201" t="n">
        <v>3981.359</v>
      </c>
      <c r="H201" t="inlineStr"/>
      <c r="I201" t="n">
        <v>922.1822</v>
      </c>
      <c r="J201" t="n">
        <v>2042.0147</v>
      </c>
      <c r="K201" t="n">
        <v>2020</v>
      </c>
      <c r="L201" t="n">
        <v>2035</v>
      </c>
      <c r="M201" t="n">
        <v>0.668</v>
      </c>
      <c r="N201" t="n">
        <v>0.2613</v>
      </c>
      <c r="O201" t="n">
        <v>2019</v>
      </c>
      <c r="P201" t="n">
        <v>2040</v>
      </c>
      <c r="Q201" t="n">
        <v>0.4616</v>
      </c>
      <c r="R201" t="n">
        <v>591.6386</v>
      </c>
      <c r="S201" t="n">
        <v>0.00022349</v>
      </c>
      <c r="T201" t="n">
        <v>0.00047787</v>
      </c>
    </row>
    <row r="202">
      <c r="A202" t="inlineStr">
        <is>
          <t>SUP-0021</t>
        </is>
      </c>
      <c r="B202" t="inlineStr">
        <is>
          <t>Textiles Supplier 021</t>
        </is>
      </c>
      <c r="C202" t="inlineStr">
        <is>
          <t>Textiles</t>
        </is>
      </c>
      <c r="D202" t="n">
        <v>2015</v>
      </c>
      <c r="E202" t="n">
        <v>7132935.07</v>
      </c>
      <c r="F202" t="n">
        <v>21446704.86</v>
      </c>
      <c r="G202" t="n">
        <v>1562.5186</v>
      </c>
      <c r="H202" t="n">
        <v>290.2392</v>
      </c>
      <c r="I202" t="inlineStr"/>
      <c r="J202" t="n">
        <v>1103.3022</v>
      </c>
      <c r="K202" t="n">
        <v>2018</v>
      </c>
      <c r="L202" t="n">
        <v>2030</v>
      </c>
      <c r="M202" t="n">
        <v>0.4825</v>
      </c>
      <c r="N202" t="n">
        <v>0.2517</v>
      </c>
      <c r="O202" t="n">
        <v>2019</v>
      </c>
      <c r="P202" t="n">
        <v>2030</v>
      </c>
      <c r="Q202" t="n">
        <v>0.3171</v>
      </c>
      <c r="R202" t="n">
        <v>401.7335</v>
      </c>
      <c r="S202" t="n">
        <v>0.00029221</v>
      </c>
      <c r="T202" t="n">
        <v>0.00017343</v>
      </c>
    </row>
    <row r="203">
      <c r="A203" t="inlineStr">
        <is>
          <t>SUP-0021</t>
        </is>
      </c>
      <c r="B203" t="inlineStr">
        <is>
          <t>Textiles Supplier 021</t>
        </is>
      </c>
      <c r="C203" t="inlineStr">
        <is>
          <t>Textiles</t>
        </is>
      </c>
      <c r="D203" t="n">
        <v>2016</v>
      </c>
      <c r="E203" t="n">
        <v>6556837.67</v>
      </c>
      <c r="F203" t="n">
        <v>26010891.55</v>
      </c>
      <c r="G203" t="inlineStr"/>
      <c r="H203" t="inlineStr"/>
      <c r="I203" t="inlineStr"/>
      <c r="J203" t="n">
        <v>572.6886</v>
      </c>
      <c r="K203" t="n">
        <v>2018</v>
      </c>
      <c r="L203" t="n">
        <v>2030</v>
      </c>
      <c r="M203" t="n">
        <v>0.4825</v>
      </c>
      <c r="N203" t="n">
        <v>0.2517</v>
      </c>
      <c r="O203" t="n">
        <v>2019</v>
      </c>
      <c r="P203" t="n">
        <v>2030</v>
      </c>
      <c r="Q203" t="n">
        <v>0.3171</v>
      </c>
      <c r="R203" t="n">
        <v>401.7335</v>
      </c>
      <c r="S203" t="n">
        <v>0.00029221</v>
      </c>
      <c r="T203" t="n">
        <v>0.00017343</v>
      </c>
    </row>
    <row r="204">
      <c r="A204" t="inlineStr">
        <is>
          <t>SUP-0021</t>
        </is>
      </c>
      <c r="B204" t="inlineStr">
        <is>
          <t>Textiles Supplier 021</t>
        </is>
      </c>
      <c r="C204" t="inlineStr">
        <is>
          <t>Textiles</t>
        </is>
      </c>
      <c r="D204" t="n">
        <v>2017</v>
      </c>
      <c r="E204" t="n">
        <v>6492151.13</v>
      </c>
      <c r="F204" t="n">
        <v>28895915.77</v>
      </c>
      <c r="G204" t="inlineStr"/>
      <c r="H204" t="inlineStr"/>
      <c r="I204" t="n">
        <v>156.9714</v>
      </c>
      <c r="J204" t="inlineStr"/>
      <c r="K204" t="n">
        <v>2018</v>
      </c>
      <c r="L204" t="n">
        <v>2030</v>
      </c>
      <c r="M204" t="n">
        <v>0.4825</v>
      </c>
      <c r="N204" t="n">
        <v>0.2517</v>
      </c>
      <c r="O204" t="n">
        <v>2019</v>
      </c>
      <c r="P204" t="n">
        <v>2030</v>
      </c>
      <c r="Q204" t="n">
        <v>0.3171</v>
      </c>
      <c r="R204" t="n">
        <v>401.7335</v>
      </c>
      <c r="S204" t="n">
        <v>0.00029221</v>
      </c>
      <c r="T204" t="n">
        <v>0.00017343</v>
      </c>
    </row>
    <row r="205">
      <c r="A205" t="inlineStr">
        <is>
          <t>SUP-0021</t>
        </is>
      </c>
      <c r="B205" t="inlineStr">
        <is>
          <t>Textiles Supplier 021</t>
        </is>
      </c>
      <c r="C205" t="inlineStr">
        <is>
          <t>Textiles</t>
        </is>
      </c>
      <c r="D205" t="n">
        <v>2018</v>
      </c>
      <c r="E205" t="n">
        <v>8134404.87</v>
      </c>
      <c r="F205" t="n">
        <v>29495406.47</v>
      </c>
      <c r="G205" t="n">
        <v>1485.2844</v>
      </c>
      <c r="H205" t="n">
        <v>171.2959</v>
      </c>
      <c r="I205" t="n">
        <v>132.317</v>
      </c>
      <c r="J205" t="n">
        <v>1128.2102</v>
      </c>
      <c r="K205" t="n">
        <v>2018</v>
      </c>
      <c r="L205" t="n">
        <v>2030</v>
      </c>
      <c r="M205" t="n">
        <v>0.4825</v>
      </c>
      <c r="N205" t="n">
        <v>0.2517</v>
      </c>
      <c r="O205" t="n">
        <v>2019</v>
      </c>
      <c r="P205" t="n">
        <v>2030</v>
      </c>
      <c r="Q205" t="n">
        <v>0.3171</v>
      </c>
      <c r="R205" t="n">
        <v>401.7335</v>
      </c>
      <c r="S205" t="n">
        <v>0.00029221</v>
      </c>
      <c r="T205" t="n">
        <v>0.00017343</v>
      </c>
    </row>
    <row r="206">
      <c r="A206" t="inlineStr">
        <is>
          <t>SUP-0021</t>
        </is>
      </c>
      <c r="B206" t="inlineStr">
        <is>
          <t>Textiles Supplier 021</t>
        </is>
      </c>
      <c r="C206" t="inlineStr">
        <is>
          <t>Textiles</t>
        </is>
      </c>
      <c r="D206" t="n">
        <v>2019</v>
      </c>
      <c r="E206" t="n">
        <v>7630239.09</v>
      </c>
      <c r="F206" t="n">
        <v>26107190.53</v>
      </c>
      <c r="G206" t="n">
        <v>1741.5368</v>
      </c>
      <c r="H206" t="n">
        <v>452.0465</v>
      </c>
      <c r="I206" t="n">
        <v>197.9583</v>
      </c>
      <c r="J206" t="n">
        <v>1097.1346</v>
      </c>
      <c r="K206" t="n">
        <v>2018</v>
      </c>
      <c r="L206" t="n">
        <v>2030</v>
      </c>
      <c r="M206" t="n">
        <v>0.4825</v>
      </c>
      <c r="N206" t="n">
        <v>0.2517</v>
      </c>
      <c r="O206" t="n">
        <v>2019</v>
      </c>
      <c r="P206" t="n">
        <v>2030</v>
      </c>
      <c r="Q206" t="n">
        <v>0.3171</v>
      </c>
      <c r="R206" t="n">
        <v>401.7335</v>
      </c>
      <c r="S206" t="n">
        <v>0.00029221</v>
      </c>
      <c r="T206" t="n">
        <v>0.00017343</v>
      </c>
    </row>
    <row r="207">
      <c r="A207" t="inlineStr">
        <is>
          <t>SUP-0021</t>
        </is>
      </c>
      <c r="B207" t="inlineStr">
        <is>
          <t>Textiles Supplier 021</t>
        </is>
      </c>
      <c r="C207" t="inlineStr">
        <is>
          <t>Textiles</t>
        </is>
      </c>
      <c r="D207" t="n">
        <v>2020</v>
      </c>
      <c r="E207" t="n">
        <v>7563803.17</v>
      </c>
      <c r="F207" t="n">
        <v>26906048.14</v>
      </c>
      <c r="G207" t="n">
        <v>1459.7362</v>
      </c>
      <c r="H207" t="n">
        <v>260.1995</v>
      </c>
      <c r="I207" t="n">
        <v>288.1339</v>
      </c>
      <c r="J207" t="inlineStr"/>
      <c r="K207" t="n">
        <v>2018</v>
      </c>
      <c r="L207" t="n">
        <v>2030</v>
      </c>
      <c r="M207" t="n">
        <v>0.4825</v>
      </c>
      <c r="N207" t="n">
        <v>0.2517</v>
      </c>
      <c r="O207" t="n">
        <v>2019</v>
      </c>
      <c r="P207" t="n">
        <v>2030</v>
      </c>
      <c r="Q207" t="n">
        <v>0.3171</v>
      </c>
      <c r="R207" t="n">
        <v>401.7335</v>
      </c>
      <c r="S207" t="n">
        <v>0.00029221</v>
      </c>
      <c r="T207" t="n">
        <v>0.00017343</v>
      </c>
    </row>
    <row r="208">
      <c r="A208" t="inlineStr">
        <is>
          <t>SUP-0021</t>
        </is>
      </c>
      <c r="B208" t="inlineStr">
        <is>
          <t>Textiles Supplier 021</t>
        </is>
      </c>
      <c r="C208" t="inlineStr">
        <is>
          <t>Textiles</t>
        </is>
      </c>
      <c r="D208" t="n">
        <v>2021</v>
      </c>
      <c r="E208" t="n">
        <v>8448639.310000001</v>
      </c>
      <c r="F208" t="n">
        <v>36232794.69</v>
      </c>
      <c r="G208" t="n">
        <v>1658.8363</v>
      </c>
      <c r="H208" t="n">
        <v>188.8193</v>
      </c>
      <c r="I208" t="n">
        <v>205.6575</v>
      </c>
      <c r="J208" t="inlineStr"/>
      <c r="K208" t="n">
        <v>2018</v>
      </c>
      <c r="L208" t="n">
        <v>2030</v>
      </c>
      <c r="M208" t="n">
        <v>0.4825</v>
      </c>
      <c r="N208" t="n">
        <v>0.2517</v>
      </c>
      <c r="O208" t="n">
        <v>2019</v>
      </c>
      <c r="P208" t="n">
        <v>2030</v>
      </c>
      <c r="Q208" t="n">
        <v>0.3171</v>
      </c>
      <c r="R208" t="n">
        <v>401.7335</v>
      </c>
      <c r="S208" t="n">
        <v>0.00029221</v>
      </c>
      <c r="T208" t="n">
        <v>0.00017343</v>
      </c>
    </row>
    <row r="209">
      <c r="A209" t="inlineStr">
        <is>
          <t>SUP-0021</t>
        </is>
      </c>
      <c r="B209" t="inlineStr">
        <is>
          <t>Textiles Supplier 021</t>
        </is>
      </c>
      <c r="C209" t="inlineStr">
        <is>
          <t>Textiles</t>
        </is>
      </c>
      <c r="D209" t="n">
        <v>2022</v>
      </c>
      <c r="E209" t="n">
        <v>9357280.42</v>
      </c>
      <c r="F209" t="n">
        <v>30035213.88</v>
      </c>
      <c r="G209" t="n">
        <v>2120.5793</v>
      </c>
      <c r="H209" t="n">
        <v>528.2032</v>
      </c>
      <c r="I209" t="inlineStr"/>
      <c r="J209" t="inlineStr"/>
      <c r="K209" t="n">
        <v>2018</v>
      </c>
      <c r="L209" t="n">
        <v>2030</v>
      </c>
      <c r="M209" t="n">
        <v>0.4825</v>
      </c>
      <c r="N209" t="n">
        <v>0.2517</v>
      </c>
      <c r="O209" t="n">
        <v>2019</v>
      </c>
      <c r="P209" t="n">
        <v>2030</v>
      </c>
      <c r="Q209" t="n">
        <v>0.3171</v>
      </c>
      <c r="R209" t="n">
        <v>401.7335</v>
      </c>
      <c r="S209" t="n">
        <v>0.00029221</v>
      </c>
      <c r="T209" t="n">
        <v>0.00017343</v>
      </c>
    </row>
    <row r="210">
      <c r="A210" t="inlineStr">
        <is>
          <t>SUP-0021</t>
        </is>
      </c>
      <c r="B210" t="inlineStr">
        <is>
          <t>Textiles Supplier 021</t>
        </is>
      </c>
      <c r="C210" t="inlineStr">
        <is>
          <t>Textiles</t>
        </is>
      </c>
      <c r="D210" t="n">
        <v>2023</v>
      </c>
      <c r="E210" t="n">
        <v>9799746.789999999</v>
      </c>
      <c r="F210" t="n">
        <v>42639549.12</v>
      </c>
      <c r="G210" t="n">
        <v>2039.4713</v>
      </c>
      <c r="H210" t="n">
        <v>435.0185</v>
      </c>
      <c r="I210" t="n">
        <v>300.0777</v>
      </c>
      <c r="J210" t="n">
        <v>1277.5133</v>
      </c>
      <c r="K210" t="n">
        <v>2018</v>
      </c>
      <c r="L210" t="n">
        <v>2030</v>
      </c>
      <c r="M210" t="n">
        <v>0.4825</v>
      </c>
      <c r="N210" t="n">
        <v>0.2517</v>
      </c>
      <c r="O210" t="n">
        <v>2019</v>
      </c>
      <c r="P210" t="n">
        <v>2030</v>
      </c>
      <c r="Q210" t="n">
        <v>0.3171</v>
      </c>
      <c r="R210" t="n">
        <v>401.7335</v>
      </c>
      <c r="S210" t="n">
        <v>0.00029221</v>
      </c>
      <c r="T210" t="n">
        <v>0.00017343</v>
      </c>
    </row>
    <row r="211">
      <c r="A211" t="inlineStr">
        <is>
          <t>SUP-0021</t>
        </is>
      </c>
      <c r="B211" t="inlineStr">
        <is>
          <t>Textiles Supplier 021</t>
        </is>
      </c>
      <c r="C211" t="inlineStr">
        <is>
          <t>Textiles</t>
        </is>
      </c>
      <c r="D211" t="n">
        <v>2024</v>
      </c>
      <c r="E211" t="n">
        <v>9197090.859999999</v>
      </c>
      <c r="F211" t="n">
        <v>34774642.83</v>
      </c>
      <c r="G211" t="n">
        <v>1610.0749</v>
      </c>
      <c r="H211" t="n">
        <v>398.3082</v>
      </c>
      <c r="I211" t="inlineStr"/>
      <c r="J211" t="n">
        <v>1050.747</v>
      </c>
      <c r="K211" t="n">
        <v>2018</v>
      </c>
      <c r="L211" t="n">
        <v>2030</v>
      </c>
      <c r="M211" t="n">
        <v>0.4825</v>
      </c>
      <c r="N211" t="n">
        <v>0.2517</v>
      </c>
      <c r="O211" t="n">
        <v>2019</v>
      </c>
      <c r="P211" t="n">
        <v>2030</v>
      </c>
      <c r="Q211" t="n">
        <v>0.3171</v>
      </c>
      <c r="R211" t="n">
        <v>401.7335</v>
      </c>
      <c r="S211" t="n">
        <v>0.00029221</v>
      </c>
      <c r="T211" t="n">
        <v>0.00017343</v>
      </c>
    </row>
    <row r="212">
      <c r="A212" t="inlineStr">
        <is>
          <t>SUP-0022</t>
        </is>
      </c>
      <c r="B212" t="inlineStr">
        <is>
          <t>Chemicals Supplier 022</t>
        </is>
      </c>
      <c r="C212" t="inlineStr">
        <is>
          <t>Chemicals</t>
        </is>
      </c>
      <c r="D212" t="n">
        <v>2015</v>
      </c>
      <c r="E212" t="n">
        <v>22454277.32</v>
      </c>
      <c r="F212" t="n">
        <v>139838751.51</v>
      </c>
      <c r="G212" t="n">
        <v>21460.6994</v>
      </c>
      <c r="H212" t="n">
        <v>4726.0189</v>
      </c>
      <c r="I212" t="inlineStr"/>
      <c r="J212" t="n">
        <v>12581.6232</v>
      </c>
      <c r="K212" t="inlineStr"/>
      <c r="L212" t="inlineStr"/>
      <c r="M212" t="inlineStr"/>
      <c r="N212" t="inlineStr"/>
      <c r="O212" t="n">
        <v>2019</v>
      </c>
      <c r="P212" t="n">
        <v>2035</v>
      </c>
      <c r="Q212" t="n">
        <v>0.5229</v>
      </c>
      <c r="R212" t="n">
        <v>506.3191</v>
      </c>
      <c r="S212" t="n">
        <v>0.00100149</v>
      </c>
      <c r="T212" t="n">
        <v>0.00047124</v>
      </c>
    </row>
    <row r="213">
      <c r="A213" t="inlineStr">
        <is>
          <t>SUP-0022</t>
        </is>
      </c>
      <c r="B213" t="inlineStr">
        <is>
          <t>Chemicals Supplier 022</t>
        </is>
      </c>
      <c r="C213" t="inlineStr">
        <is>
          <t>Chemicals</t>
        </is>
      </c>
      <c r="D213" t="n">
        <v>2016</v>
      </c>
      <c r="E213" t="inlineStr"/>
      <c r="F213" t="n">
        <v>154757469.83</v>
      </c>
      <c r="G213" t="n">
        <v>27768.0954</v>
      </c>
      <c r="H213" t="n">
        <v>7004.03</v>
      </c>
      <c r="I213" t="n">
        <v>1912.7824</v>
      </c>
      <c r="J213" t="n">
        <v>18320.2336</v>
      </c>
      <c r="K213" t="inlineStr"/>
      <c r="L213" t="inlineStr"/>
      <c r="M213" t="inlineStr"/>
      <c r="N213" t="inlineStr"/>
      <c r="O213" t="n">
        <v>2019</v>
      </c>
      <c r="P213" t="n">
        <v>2035</v>
      </c>
      <c r="Q213" t="n">
        <v>0.5229</v>
      </c>
      <c r="R213" t="n">
        <v>506.3191</v>
      </c>
      <c r="S213" t="n">
        <v>0.00100149</v>
      </c>
      <c r="T213" t="n">
        <v>0.00047124</v>
      </c>
    </row>
    <row r="214">
      <c r="A214" t="inlineStr">
        <is>
          <t>SUP-0022</t>
        </is>
      </c>
      <c r="B214" t="inlineStr">
        <is>
          <t>Chemicals Supplier 022</t>
        </is>
      </c>
      <c r="C214" t="inlineStr">
        <is>
          <t>Chemicals</t>
        </is>
      </c>
      <c r="D214" t="n">
        <v>2017</v>
      </c>
      <c r="E214" t="n">
        <v>26392734.88</v>
      </c>
      <c r="F214" t="n">
        <v>129059449.03</v>
      </c>
      <c r="G214" t="n">
        <v>27068.2172</v>
      </c>
      <c r="H214" t="n">
        <v>7217.5174</v>
      </c>
      <c r="I214" t="n">
        <v>2762.4775</v>
      </c>
      <c r="J214" t="inlineStr"/>
      <c r="K214" t="inlineStr"/>
      <c r="L214" t="inlineStr"/>
      <c r="M214" t="inlineStr"/>
      <c r="N214" t="inlineStr"/>
      <c r="O214" t="n">
        <v>2019</v>
      </c>
      <c r="P214" t="n">
        <v>2035</v>
      </c>
      <c r="Q214" t="n">
        <v>0.5229</v>
      </c>
      <c r="R214" t="n">
        <v>506.3191</v>
      </c>
      <c r="S214" t="n">
        <v>0.00100149</v>
      </c>
      <c r="T214" t="n">
        <v>0.00047124</v>
      </c>
    </row>
    <row r="215">
      <c r="A215" t="inlineStr">
        <is>
          <t>SUP-0022</t>
        </is>
      </c>
      <c r="B215" t="inlineStr">
        <is>
          <t>Chemicals Supplier 022</t>
        </is>
      </c>
      <c r="C215" t="inlineStr">
        <is>
          <t>Chemicals</t>
        </is>
      </c>
      <c r="D215" t="n">
        <v>2018</v>
      </c>
      <c r="E215" t="n">
        <v>25673815.99</v>
      </c>
      <c r="F215" t="n">
        <v>181867783.38</v>
      </c>
      <c r="G215" t="inlineStr"/>
      <c r="H215" t="n">
        <v>2654.2289</v>
      </c>
      <c r="I215" t="inlineStr"/>
      <c r="J215" t="n">
        <v>21678.7705</v>
      </c>
      <c r="K215" t="inlineStr"/>
      <c r="L215" t="inlineStr"/>
      <c r="M215" t="inlineStr"/>
      <c r="N215" t="inlineStr"/>
      <c r="O215" t="n">
        <v>2019</v>
      </c>
      <c r="P215" t="n">
        <v>2035</v>
      </c>
      <c r="Q215" t="n">
        <v>0.5229</v>
      </c>
      <c r="R215" t="n">
        <v>506.3191</v>
      </c>
      <c r="S215" t="n">
        <v>0.00100149</v>
      </c>
      <c r="T215" t="n">
        <v>0.00047124</v>
      </c>
    </row>
    <row r="216">
      <c r="A216" t="inlineStr">
        <is>
          <t>SUP-0022</t>
        </is>
      </c>
      <c r="B216" t="inlineStr">
        <is>
          <t>Chemicals Supplier 022</t>
        </is>
      </c>
      <c r="C216" t="inlineStr">
        <is>
          <t>Chemicals</t>
        </is>
      </c>
      <c r="D216" t="n">
        <v>2019</v>
      </c>
      <c r="E216" t="n">
        <v>26262207.5</v>
      </c>
      <c r="F216" t="n">
        <v>115099839.58</v>
      </c>
      <c r="G216" t="n">
        <v>32493.4384</v>
      </c>
      <c r="H216" t="n">
        <v>7411.341</v>
      </c>
      <c r="I216" t="n">
        <v>5825.053</v>
      </c>
      <c r="J216" t="inlineStr"/>
      <c r="K216" t="inlineStr"/>
      <c r="L216" t="inlineStr"/>
      <c r="M216" t="inlineStr"/>
      <c r="N216" t="inlineStr"/>
      <c r="O216" t="n">
        <v>2019</v>
      </c>
      <c r="P216" t="n">
        <v>2035</v>
      </c>
      <c r="Q216" t="n">
        <v>0.5229</v>
      </c>
      <c r="R216" t="n">
        <v>506.3191</v>
      </c>
      <c r="S216" t="n">
        <v>0.00100149</v>
      </c>
      <c r="T216" t="n">
        <v>0.00047124</v>
      </c>
    </row>
    <row r="217">
      <c r="A217" t="inlineStr">
        <is>
          <t>SUP-0022</t>
        </is>
      </c>
      <c r="B217" t="inlineStr">
        <is>
          <t>Chemicals Supplier 022</t>
        </is>
      </c>
      <c r="C217" t="inlineStr">
        <is>
          <t>Chemicals</t>
        </is>
      </c>
      <c r="D217" t="n">
        <v>2020</v>
      </c>
      <c r="E217" t="n">
        <v>26734267.52</v>
      </c>
      <c r="F217" t="inlineStr"/>
      <c r="G217" t="n">
        <v>27475.1158</v>
      </c>
      <c r="H217" t="inlineStr"/>
      <c r="I217" t="n">
        <v>1763.7985</v>
      </c>
      <c r="J217" t="n">
        <v>23335.4201</v>
      </c>
      <c r="K217" t="inlineStr"/>
      <c r="L217" t="inlineStr"/>
      <c r="M217" t="inlineStr"/>
      <c r="N217" t="inlineStr"/>
      <c r="O217" t="n">
        <v>2019</v>
      </c>
      <c r="P217" t="n">
        <v>2035</v>
      </c>
      <c r="Q217" t="n">
        <v>0.5229</v>
      </c>
      <c r="R217" t="n">
        <v>506.3191</v>
      </c>
      <c r="S217" t="n">
        <v>0.00100149</v>
      </c>
      <c r="T217" t="n">
        <v>0.00047124</v>
      </c>
    </row>
    <row r="218">
      <c r="A218" t="inlineStr">
        <is>
          <t>SUP-0022</t>
        </is>
      </c>
      <c r="B218" t="inlineStr">
        <is>
          <t>Chemicals Supplier 022</t>
        </is>
      </c>
      <c r="C218" t="inlineStr">
        <is>
          <t>Chemicals</t>
        </is>
      </c>
      <c r="D218" t="n">
        <v>2021</v>
      </c>
      <c r="E218" t="n">
        <v>26207881.97</v>
      </c>
      <c r="F218" t="inlineStr"/>
      <c r="G218" t="n">
        <v>28764.4781</v>
      </c>
      <c r="H218" t="n">
        <v>4242.4806</v>
      </c>
      <c r="I218" t="n">
        <v>5460.1864</v>
      </c>
      <c r="J218" t="n">
        <v>17334.8137</v>
      </c>
      <c r="K218" t="inlineStr"/>
      <c r="L218" t="inlineStr"/>
      <c r="M218" t="inlineStr"/>
      <c r="N218" t="inlineStr"/>
      <c r="O218" t="n">
        <v>2019</v>
      </c>
      <c r="P218" t="n">
        <v>2035</v>
      </c>
      <c r="Q218" t="n">
        <v>0.5229</v>
      </c>
      <c r="R218" t="n">
        <v>506.3191</v>
      </c>
      <c r="S218" t="n">
        <v>0.00100149</v>
      </c>
      <c r="T218" t="n">
        <v>0.00047124</v>
      </c>
    </row>
    <row r="219">
      <c r="A219" t="inlineStr">
        <is>
          <t>SUP-0022</t>
        </is>
      </c>
      <c r="B219" t="inlineStr">
        <is>
          <t>Chemicals Supplier 022</t>
        </is>
      </c>
      <c r="C219" t="inlineStr">
        <is>
          <t>Chemicals</t>
        </is>
      </c>
      <c r="D219" t="n">
        <v>2022</v>
      </c>
      <c r="E219" t="n">
        <v>27133421.35</v>
      </c>
      <c r="F219" t="n">
        <v>183830405.16</v>
      </c>
      <c r="G219" t="n">
        <v>23072.1975</v>
      </c>
      <c r="H219" t="n">
        <v>2974.6903</v>
      </c>
      <c r="I219" t="n">
        <v>3643.2764</v>
      </c>
      <c r="J219" t="n">
        <v>18224.6084</v>
      </c>
      <c r="K219" t="inlineStr"/>
      <c r="L219" t="inlineStr"/>
      <c r="M219" t="inlineStr"/>
      <c r="N219" t="inlineStr"/>
      <c r="O219" t="n">
        <v>2019</v>
      </c>
      <c r="P219" t="n">
        <v>2035</v>
      </c>
      <c r="Q219" t="n">
        <v>0.5229</v>
      </c>
      <c r="R219" t="n">
        <v>506.3191</v>
      </c>
      <c r="S219" t="n">
        <v>0.00100149</v>
      </c>
      <c r="T219" t="n">
        <v>0.00047124</v>
      </c>
    </row>
    <row r="220">
      <c r="A220" t="inlineStr">
        <is>
          <t>SUP-0022</t>
        </is>
      </c>
      <c r="B220" t="inlineStr">
        <is>
          <t>Chemicals Supplier 022</t>
        </is>
      </c>
      <c r="C220" t="inlineStr">
        <is>
          <t>Chemicals</t>
        </is>
      </c>
      <c r="D220" t="n">
        <v>2023</v>
      </c>
      <c r="E220" t="inlineStr"/>
      <c r="F220" t="n">
        <v>156861126.84</v>
      </c>
      <c r="G220" t="n">
        <v>29246.4917</v>
      </c>
      <c r="H220" t="n">
        <v>6712.3881</v>
      </c>
      <c r="I220" t="n">
        <v>5043.9467</v>
      </c>
      <c r="J220" t="n">
        <v>16441.29</v>
      </c>
      <c r="K220" t="inlineStr"/>
      <c r="L220" t="inlineStr"/>
      <c r="M220" t="inlineStr"/>
      <c r="N220" t="inlineStr"/>
      <c r="O220" t="n">
        <v>2019</v>
      </c>
      <c r="P220" t="n">
        <v>2035</v>
      </c>
      <c r="Q220" t="n">
        <v>0.5229</v>
      </c>
      <c r="R220" t="n">
        <v>506.3191</v>
      </c>
      <c r="S220" t="n">
        <v>0.00100149</v>
      </c>
      <c r="T220" t="n">
        <v>0.00047124</v>
      </c>
    </row>
    <row r="221">
      <c r="A221" t="inlineStr">
        <is>
          <t>SUP-0022</t>
        </is>
      </c>
      <c r="B221" t="inlineStr">
        <is>
          <t>Chemicals Supplier 022</t>
        </is>
      </c>
      <c r="C221" t="inlineStr">
        <is>
          <t>Chemicals</t>
        </is>
      </c>
      <c r="D221" t="n">
        <v>2024</v>
      </c>
      <c r="E221" t="n">
        <v>27410943.79</v>
      </c>
      <c r="F221" t="n">
        <v>264885835.43</v>
      </c>
      <c r="G221" t="inlineStr"/>
      <c r="H221" t="n">
        <v>7473.9866</v>
      </c>
      <c r="I221" t="n">
        <v>2614.5193</v>
      </c>
      <c r="J221" t="n">
        <v>17684.5289</v>
      </c>
      <c r="K221" t="inlineStr"/>
      <c r="L221" t="inlineStr"/>
      <c r="M221" t="inlineStr"/>
      <c r="N221" t="inlineStr"/>
      <c r="O221" t="n">
        <v>2019</v>
      </c>
      <c r="P221" t="n">
        <v>2035</v>
      </c>
      <c r="Q221" t="n">
        <v>0.5229</v>
      </c>
      <c r="R221" t="n">
        <v>506.3191</v>
      </c>
      <c r="S221" t="n">
        <v>0.00100149</v>
      </c>
      <c r="T221" t="n">
        <v>0.00047124</v>
      </c>
    </row>
    <row r="222">
      <c r="A222" t="inlineStr">
        <is>
          <t>SUP-0023</t>
        </is>
      </c>
      <c r="B222" t="inlineStr">
        <is>
          <t>Agriculture Supplier 023</t>
        </is>
      </c>
      <c r="C222" t="inlineStr">
        <is>
          <t>Agriculture</t>
        </is>
      </c>
      <c r="D222" t="n">
        <v>2015</v>
      </c>
      <c r="E222" t="n">
        <v>13120295.38</v>
      </c>
      <c r="F222" t="n">
        <v>78822676.31999999</v>
      </c>
      <c r="G222" t="n">
        <v>13562.7076</v>
      </c>
      <c r="H222" t="inlineStr"/>
      <c r="I222" t="n">
        <v>2894.6992</v>
      </c>
      <c r="J222" t="n">
        <v>8882.0018</v>
      </c>
      <c r="K222" t="n">
        <v>2018</v>
      </c>
      <c r="L222" t="n">
        <v>2040</v>
      </c>
      <c r="M222" t="n">
        <v>0.339</v>
      </c>
      <c r="N222" t="n">
        <v>0.1496</v>
      </c>
      <c r="O222" t="n">
        <v>2018</v>
      </c>
      <c r="P222" t="inlineStr"/>
      <c r="Q222" t="inlineStr"/>
      <c r="R222" t="n">
        <v>529.8294</v>
      </c>
      <c r="S222" t="n">
        <v>0.00091413</v>
      </c>
      <c r="T222" t="n">
        <v>0.00096913</v>
      </c>
    </row>
    <row r="223">
      <c r="A223" t="inlineStr">
        <is>
          <t>SUP-0023</t>
        </is>
      </c>
      <c r="B223" t="inlineStr">
        <is>
          <t>Agriculture Supplier 023</t>
        </is>
      </c>
      <c r="C223" t="inlineStr">
        <is>
          <t>Agriculture</t>
        </is>
      </c>
      <c r="D223" t="n">
        <v>2016</v>
      </c>
      <c r="E223" t="n">
        <v>15977859.52</v>
      </c>
      <c r="F223" t="n">
        <v>87484561.08</v>
      </c>
      <c r="G223" t="n">
        <v>19223.1195</v>
      </c>
      <c r="H223" t="inlineStr"/>
      <c r="I223" t="n">
        <v>1843.7239</v>
      </c>
      <c r="J223" t="inlineStr"/>
      <c r="K223" t="n">
        <v>2018</v>
      </c>
      <c r="L223" t="n">
        <v>2040</v>
      </c>
      <c r="M223" t="n">
        <v>0.339</v>
      </c>
      <c r="N223" t="n">
        <v>0.1496</v>
      </c>
      <c r="O223" t="n">
        <v>2018</v>
      </c>
      <c r="P223" t="inlineStr"/>
      <c r="Q223" t="inlineStr"/>
      <c r="R223" t="n">
        <v>529.8294</v>
      </c>
      <c r="S223" t="n">
        <v>0.00091413</v>
      </c>
      <c r="T223" t="n">
        <v>0.00096913</v>
      </c>
    </row>
    <row r="224">
      <c r="A224" t="inlineStr">
        <is>
          <t>SUP-0023</t>
        </is>
      </c>
      <c r="B224" t="inlineStr">
        <is>
          <t>Agriculture Supplier 023</t>
        </is>
      </c>
      <c r="C224" t="inlineStr">
        <is>
          <t>Agriculture</t>
        </is>
      </c>
      <c r="D224" t="n">
        <v>2017</v>
      </c>
      <c r="E224" t="inlineStr"/>
      <c r="F224" t="n">
        <v>92454083.61</v>
      </c>
      <c r="G224" t="n">
        <v>12722.5174</v>
      </c>
      <c r="H224" t="n">
        <v>2977.9741</v>
      </c>
      <c r="I224" t="n">
        <v>981.8440000000001</v>
      </c>
      <c r="J224" t="inlineStr"/>
      <c r="K224" t="n">
        <v>2018</v>
      </c>
      <c r="L224" t="n">
        <v>2040</v>
      </c>
      <c r="M224" t="n">
        <v>0.339</v>
      </c>
      <c r="N224" t="n">
        <v>0.1496</v>
      </c>
      <c r="O224" t="n">
        <v>2018</v>
      </c>
      <c r="P224" t="inlineStr"/>
      <c r="Q224" t="inlineStr"/>
      <c r="R224" t="n">
        <v>529.8294</v>
      </c>
      <c r="S224" t="n">
        <v>0.00091413</v>
      </c>
      <c r="T224" t="n">
        <v>0.00096913</v>
      </c>
    </row>
    <row r="225">
      <c r="A225" t="inlineStr">
        <is>
          <t>SUP-0023</t>
        </is>
      </c>
      <c r="B225" t="inlineStr">
        <is>
          <t>Agriculture Supplier 023</t>
        </is>
      </c>
      <c r="C225" t="inlineStr">
        <is>
          <t>Agriculture</t>
        </is>
      </c>
      <c r="D225" t="n">
        <v>2018</v>
      </c>
      <c r="E225" t="n">
        <v>16368082.83</v>
      </c>
      <c r="F225" t="n">
        <v>75033794.37</v>
      </c>
      <c r="G225" t="n">
        <v>11886.3235</v>
      </c>
      <c r="H225" t="n">
        <v>1733.7592</v>
      </c>
      <c r="I225" t="inlineStr"/>
      <c r="J225" t="n">
        <v>8359.1116</v>
      </c>
      <c r="K225" t="n">
        <v>2018</v>
      </c>
      <c r="L225" t="n">
        <v>2040</v>
      </c>
      <c r="M225" t="n">
        <v>0.339</v>
      </c>
      <c r="N225" t="n">
        <v>0.1496</v>
      </c>
      <c r="O225" t="n">
        <v>2018</v>
      </c>
      <c r="P225" t="inlineStr"/>
      <c r="Q225" t="inlineStr"/>
      <c r="R225" t="n">
        <v>529.8294</v>
      </c>
      <c r="S225" t="n">
        <v>0.00091413</v>
      </c>
      <c r="T225" t="n">
        <v>0.00096913</v>
      </c>
    </row>
    <row r="226">
      <c r="A226" t="inlineStr">
        <is>
          <t>SUP-0023</t>
        </is>
      </c>
      <c r="B226" t="inlineStr">
        <is>
          <t>Agriculture Supplier 023</t>
        </is>
      </c>
      <c r="C226" t="inlineStr">
        <is>
          <t>Agriculture</t>
        </is>
      </c>
      <c r="D226" t="n">
        <v>2019</v>
      </c>
      <c r="E226" t="n">
        <v>17093195.39</v>
      </c>
      <c r="F226" t="n">
        <v>105301878.89</v>
      </c>
      <c r="G226" t="inlineStr"/>
      <c r="H226" t="n">
        <v>1434.1827</v>
      </c>
      <c r="I226" t="n">
        <v>2042.6944</v>
      </c>
      <c r="J226" t="n">
        <v>9284.7302</v>
      </c>
      <c r="K226" t="n">
        <v>2018</v>
      </c>
      <c r="L226" t="n">
        <v>2040</v>
      </c>
      <c r="M226" t="n">
        <v>0.339</v>
      </c>
      <c r="N226" t="n">
        <v>0.1496</v>
      </c>
      <c r="O226" t="n">
        <v>2018</v>
      </c>
      <c r="P226" t="inlineStr"/>
      <c r="Q226" t="inlineStr"/>
      <c r="R226" t="n">
        <v>529.8294</v>
      </c>
      <c r="S226" t="n">
        <v>0.00091413</v>
      </c>
      <c r="T226" t="n">
        <v>0.00096913</v>
      </c>
    </row>
    <row r="227">
      <c r="A227" t="inlineStr">
        <is>
          <t>SUP-0023</t>
        </is>
      </c>
      <c r="B227" t="inlineStr">
        <is>
          <t>Agriculture Supplier 023</t>
        </is>
      </c>
      <c r="C227" t="inlineStr">
        <is>
          <t>Agriculture</t>
        </is>
      </c>
      <c r="D227" t="n">
        <v>2020</v>
      </c>
      <c r="E227" t="n">
        <v>16911631.37</v>
      </c>
      <c r="F227" t="n">
        <v>108433302.93</v>
      </c>
      <c r="G227" t="n">
        <v>13507.0419</v>
      </c>
      <c r="H227" t="n">
        <v>2819.9292</v>
      </c>
      <c r="I227" t="n">
        <v>1344.9709</v>
      </c>
      <c r="J227" t="inlineStr"/>
      <c r="K227" t="n">
        <v>2018</v>
      </c>
      <c r="L227" t="n">
        <v>2040</v>
      </c>
      <c r="M227" t="n">
        <v>0.339</v>
      </c>
      <c r="N227" t="n">
        <v>0.1496</v>
      </c>
      <c r="O227" t="n">
        <v>2018</v>
      </c>
      <c r="P227" t="inlineStr"/>
      <c r="Q227" t="inlineStr"/>
      <c r="R227" t="n">
        <v>529.8294</v>
      </c>
      <c r="S227" t="n">
        <v>0.00091413</v>
      </c>
      <c r="T227" t="n">
        <v>0.00096913</v>
      </c>
    </row>
    <row r="228">
      <c r="A228" t="inlineStr">
        <is>
          <t>SUP-0023</t>
        </is>
      </c>
      <c r="B228" t="inlineStr">
        <is>
          <t>Agriculture Supplier 023</t>
        </is>
      </c>
      <c r="C228" t="inlineStr">
        <is>
          <t>Agriculture</t>
        </is>
      </c>
      <c r="D228" t="n">
        <v>2021</v>
      </c>
      <c r="E228" t="n">
        <v>18261707.26</v>
      </c>
      <c r="F228" t="n">
        <v>126819186.52</v>
      </c>
      <c r="G228" t="inlineStr"/>
      <c r="H228" t="n">
        <v>2755.9205</v>
      </c>
      <c r="I228" t="inlineStr"/>
      <c r="J228" t="n">
        <v>8280.6324</v>
      </c>
      <c r="K228" t="n">
        <v>2018</v>
      </c>
      <c r="L228" t="n">
        <v>2040</v>
      </c>
      <c r="M228" t="n">
        <v>0.339</v>
      </c>
      <c r="N228" t="n">
        <v>0.1496</v>
      </c>
      <c r="O228" t="n">
        <v>2018</v>
      </c>
      <c r="P228" t="inlineStr"/>
      <c r="Q228" t="inlineStr"/>
      <c r="R228" t="n">
        <v>529.8294</v>
      </c>
      <c r="S228" t="n">
        <v>0.00091413</v>
      </c>
      <c r="T228" t="n">
        <v>0.00096913</v>
      </c>
    </row>
    <row r="229">
      <c r="A229" t="inlineStr">
        <is>
          <t>SUP-0023</t>
        </is>
      </c>
      <c r="B229" t="inlineStr">
        <is>
          <t>Agriculture Supplier 023</t>
        </is>
      </c>
      <c r="C229" t="inlineStr">
        <is>
          <t>Agriculture</t>
        </is>
      </c>
      <c r="D229" t="n">
        <v>2022</v>
      </c>
      <c r="E229" t="n">
        <v>19527985.15</v>
      </c>
      <c r="F229" t="n">
        <v>121809554.97</v>
      </c>
      <c r="G229" t="inlineStr"/>
      <c r="H229" t="n">
        <v>1679.702</v>
      </c>
      <c r="I229" t="inlineStr"/>
      <c r="J229" t="n">
        <v>9658.904500000001</v>
      </c>
      <c r="K229" t="n">
        <v>2018</v>
      </c>
      <c r="L229" t="n">
        <v>2040</v>
      </c>
      <c r="M229" t="n">
        <v>0.339</v>
      </c>
      <c r="N229" t="n">
        <v>0.1496</v>
      </c>
      <c r="O229" t="n">
        <v>2018</v>
      </c>
      <c r="P229" t="inlineStr"/>
      <c r="Q229" t="inlineStr"/>
      <c r="R229" t="n">
        <v>529.8294</v>
      </c>
      <c r="S229" t="n">
        <v>0.00091413</v>
      </c>
      <c r="T229" t="n">
        <v>0.00096913</v>
      </c>
    </row>
    <row r="230">
      <c r="A230" t="inlineStr">
        <is>
          <t>SUP-0023</t>
        </is>
      </c>
      <c r="B230" t="inlineStr">
        <is>
          <t>Agriculture Supplier 023</t>
        </is>
      </c>
      <c r="C230" t="inlineStr">
        <is>
          <t>Agriculture</t>
        </is>
      </c>
      <c r="D230" t="n">
        <v>2023</v>
      </c>
      <c r="E230" t="n">
        <v>23698752.19</v>
      </c>
      <c r="F230" t="n">
        <v>87043400.03</v>
      </c>
      <c r="G230" t="n">
        <v>16796.853</v>
      </c>
      <c r="H230" t="inlineStr"/>
      <c r="I230" t="n">
        <v>1810.4542</v>
      </c>
      <c r="J230" t="n">
        <v>12658.6527</v>
      </c>
      <c r="K230" t="n">
        <v>2018</v>
      </c>
      <c r="L230" t="n">
        <v>2040</v>
      </c>
      <c r="M230" t="n">
        <v>0.339</v>
      </c>
      <c r="N230" t="n">
        <v>0.1496</v>
      </c>
      <c r="O230" t="n">
        <v>2018</v>
      </c>
      <c r="P230" t="inlineStr"/>
      <c r="Q230" t="inlineStr"/>
      <c r="R230" t="n">
        <v>529.8294</v>
      </c>
      <c r="S230" t="n">
        <v>0.00091413</v>
      </c>
      <c r="T230" t="n">
        <v>0.00096913</v>
      </c>
    </row>
    <row r="231">
      <c r="A231" t="inlineStr">
        <is>
          <t>SUP-0023</t>
        </is>
      </c>
      <c r="B231" t="inlineStr">
        <is>
          <t>Agriculture Supplier 023</t>
        </is>
      </c>
      <c r="C231" t="inlineStr">
        <is>
          <t>Agriculture</t>
        </is>
      </c>
      <c r="D231" t="n">
        <v>2024</v>
      </c>
      <c r="E231" t="n">
        <v>20252911.75</v>
      </c>
      <c r="F231" t="n">
        <v>109441448.01</v>
      </c>
      <c r="G231" t="n">
        <v>11517.2867</v>
      </c>
      <c r="H231" t="n">
        <v>2459.652</v>
      </c>
      <c r="I231" t="n">
        <v>1739.9117</v>
      </c>
      <c r="J231" t="n">
        <v>7388.5997</v>
      </c>
      <c r="K231" t="n">
        <v>2018</v>
      </c>
      <c r="L231" t="n">
        <v>2040</v>
      </c>
      <c r="M231" t="n">
        <v>0.339</v>
      </c>
      <c r="N231" t="n">
        <v>0.1496</v>
      </c>
      <c r="O231" t="n">
        <v>2018</v>
      </c>
      <c r="P231" t="inlineStr"/>
      <c r="Q231" t="inlineStr"/>
      <c r="R231" t="n">
        <v>529.8294</v>
      </c>
      <c r="S231" t="n">
        <v>0.00091413</v>
      </c>
      <c r="T231" t="n">
        <v>0.00096913</v>
      </c>
    </row>
    <row r="232">
      <c r="A232" t="inlineStr">
        <is>
          <t>SUP-0024</t>
        </is>
      </c>
      <c r="B232" t="inlineStr">
        <is>
          <t>Agriculture Supplier 024</t>
        </is>
      </c>
      <c r="C232" t="inlineStr">
        <is>
          <t>Agriculture</t>
        </is>
      </c>
      <c r="D232" t="n">
        <v>2015</v>
      </c>
      <c r="E232" t="n">
        <v>3853956.25</v>
      </c>
      <c r="F232" t="n">
        <v>8968367.779999999</v>
      </c>
      <c r="G232" t="n">
        <v>4114.647</v>
      </c>
      <c r="H232" t="n">
        <v>780.7219</v>
      </c>
      <c r="I232" t="n">
        <v>782.8042</v>
      </c>
      <c r="J232" t="n">
        <v>3038.4054</v>
      </c>
      <c r="K232" t="inlineStr"/>
      <c r="L232" t="inlineStr"/>
      <c r="M232" t="inlineStr"/>
      <c r="N232" t="inlineStr"/>
      <c r="O232" t="n">
        <v>2018</v>
      </c>
      <c r="P232" t="inlineStr"/>
      <c r="Q232" t="inlineStr"/>
      <c r="R232" t="n">
        <v>529.8294</v>
      </c>
      <c r="S232" t="n">
        <v>0.00091413</v>
      </c>
      <c r="T232" t="n">
        <v>0.00096913</v>
      </c>
    </row>
    <row r="233">
      <c r="A233" t="inlineStr">
        <is>
          <t>SUP-0024</t>
        </is>
      </c>
      <c r="B233" t="inlineStr">
        <is>
          <t>Agriculture Supplier 024</t>
        </is>
      </c>
      <c r="C233" t="inlineStr">
        <is>
          <t>Agriculture</t>
        </is>
      </c>
      <c r="D233" t="n">
        <v>2016</v>
      </c>
      <c r="E233" t="inlineStr"/>
      <c r="F233" t="n">
        <v>10750014.88</v>
      </c>
      <c r="G233" t="n">
        <v>4318.1461</v>
      </c>
      <c r="H233" t="n">
        <v>722.7223</v>
      </c>
      <c r="I233" t="n">
        <v>843.9751</v>
      </c>
      <c r="J233" t="n">
        <v>2556.3446</v>
      </c>
      <c r="K233" t="inlineStr"/>
      <c r="L233" t="inlineStr"/>
      <c r="M233" t="inlineStr"/>
      <c r="N233" t="inlineStr"/>
      <c r="O233" t="n">
        <v>2018</v>
      </c>
      <c r="P233" t="inlineStr"/>
      <c r="Q233" t="inlineStr"/>
      <c r="R233" t="n">
        <v>529.8294</v>
      </c>
      <c r="S233" t="n">
        <v>0.00091413</v>
      </c>
      <c r="T233" t="n">
        <v>0.00096913</v>
      </c>
    </row>
    <row r="234">
      <c r="A234" t="inlineStr">
        <is>
          <t>SUP-0024</t>
        </is>
      </c>
      <c r="B234" t="inlineStr">
        <is>
          <t>Agriculture Supplier 024</t>
        </is>
      </c>
      <c r="C234" t="inlineStr">
        <is>
          <t>Agriculture</t>
        </is>
      </c>
      <c r="D234" t="n">
        <v>2017</v>
      </c>
      <c r="E234" t="n">
        <v>4167308.82</v>
      </c>
      <c r="F234" t="n">
        <v>10472391.09</v>
      </c>
      <c r="G234" t="n">
        <v>4228.7951</v>
      </c>
      <c r="H234" t="inlineStr"/>
      <c r="I234" t="inlineStr"/>
      <c r="J234" t="n">
        <v>3080.8498</v>
      </c>
      <c r="K234" t="inlineStr"/>
      <c r="L234" t="inlineStr"/>
      <c r="M234" t="inlineStr"/>
      <c r="N234" t="inlineStr"/>
      <c r="O234" t="n">
        <v>2018</v>
      </c>
      <c r="P234" t="inlineStr"/>
      <c r="Q234" t="inlineStr"/>
      <c r="R234" t="n">
        <v>529.8294</v>
      </c>
      <c r="S234" t="n">
        <v>0.00091413</v>
      </c>
      <c r="T234" t="n">
        <v>0.00096913</v>
      </c>
    </row>
    <row r="235">
      <c r="A235" t="inlineStr">
        <is>
          <t>SUP-0024</t>
        </is>
      </c>
      <c r="B235" t="inlineStr">
        <is>
          <t>Agriculture Supplier 024</t>
        </is>
      </c>
      <c r="C235" t="inlineStr">
        <is>
          <t>Agriculture</t>
        </is>
      </c>
      <c r="D235" t="n">
        <v>2018</v>
      </c>
      <c r="E235" t="n">
        <v>4699810.85</v>
      </c>
      <c r="F235" t="n">
        <v>13270039.62</v>
      </c>
      <c r="G235" t="inlineStr"/>
      <c r="H235" t="n">
        <v>1253.3716</v>
      </c>
      <c r="I235" t="n">
        <v>1035.4165</v>
      </c>
      <c r="J235" t="n">
        <v>2812.9499</v>
      </c>
      <c r="K235" t="inlineStr"/>
      <c r="L235" t="inlineStr"/>
      <c r="M235" t="inlineStr"/>
      <c r="N235" t="inlineStr"/>
      <c r="O235" t="n">
        <v>2018</v>
      </c>
      <c r="P235" t="inlineStr"/>
      <c r="Q235" t="inlineStr"/>
      <c r="R235" t="n">
        <v>529.8294</v>
      </c>
      <c r="S235" t="n">
        <v>0.00091413</v>
      </c>
      <c r="T235" t="n">
        <v>0.00096913</v>
      </c>
    </row>
    <row r="236">
      <c r="A236" t="inlineStr">
        <is>
          <t>SUP-0024</t>
        </is>
      </c>
      <c r="B236" t="inlineStr">
        <is>
          <t>Agriculture Supplier 024</t>
        </is>
      </c>
      <c r="C236" t="inlineStr">
        <is>
          <t>Agriculture</t>
        </is>
      </c>
      <c r="D236" t="n">
        <v>2019</v>
      </c>
      <c r="E236" t="n">
        <v>4771298.64</v>
      </c>
      <c r="F236" t="inlineStr"/>
      <c r="G236" t="inlineStr"/>
      <c r="H236" t="n">
        <v>794.6042</v>
      </c>
      <c r="I236" t="n">
        <v>364.798</v>
      </c>
      <c r="J236" t="n">
        <v>3920.1967</v>
      </c>
      <c r="K236" t="inlineStr"/>
      <c r="L236" t="inlineStr"/>
      <c r="M236" t="inlineStr"/>
      <c r="N236" t="inlineStr"/>
      <c r="O236" t="n">
        <v>2018</v>
      </c>
      <c r="P236" t="inlineStr"/>
      <c r="Q236" t="inlineStr"/>
      <c r="R236" t="n">
        <v>529.8294</v>
      </c>
      <c r="S236" t="n">
        <v>0.00091413</v>
      </c>
      <c r="T236" t="n">
        <v>0.00096913</v>
      </c>
    </row>
    <row r="237">
      <c r="A237" t="inlineStr">
        <is>
          <t>SUP-0024</t>
        </is>
      </c>
      <c r="B237" t="inlineStr">
        <is>
          <t>Agriculture Supplier 024</t>
        </is>
      </c>
      <c r="C237" t="inlineStr">
        <is>
          <t>Agriculture</t>
        </is>
      </c>
      <c r="D237" t="n">
        <v>2020</v>
      </c>
      <c r="E237" t="n">
        <v>5998487.82</v>
      </c>
      <c r="F237" t="n">
        <v>16822043.5</v>
      </c>
      <c r="G237" t="inlineStr"/>
      <c r="H237" t="n">
        <v>1383.3639</v>
      </c>
      <c r="I237" t="n">
        <v>1165.8678</v>
      </c>
      <c r="J237" t="inlineStr"/>
      <c r="K237" t="inlineStr"/>
      <c r="L237" t="inlineStr"/>
      <c r="M237" t="inlineStr"/>
      <c r="N237" t="inlineStr"/>
      <c r="O237" t="n">
        <v>2018</v>
      </c>
      <c r="P237" t="inlineStr"/>
      <c r="Q237" t="inlineStr"/>
      <c r="R237" t="n">
        <v>529.8294</v>
      </c>
      <c r="S237" t="n">
        <v>0.00091413</v>
      </c>
      <c r="T237" t="n">
        <v>0.00096913</v>
      </c>
    </row>
    <row r="238">
      <c r="A238" t="inlineStr">
        <is>
          <t>SUP-0024</t>
        </is>
      </c>
      <c r="B238" t="inlineStr">
        <is>
          <t>Agriculture Supplier 024</t>
        </is>
      </c>
      <c r="C238" t="inlineStr">
        <is>
          <t>Agriculture</t>
        </is>
      </c>
      <c r="D238" t="n">
        <v>2021</v>
      </c>
      <c r="E238" t="n">
        <v>6200496.29</v>
      </c>
      <c r="F238" t="n">
        <v>19049887.78</v>
      </c>
      <c r="G238" t="inlineStr"/>
      <c r="H238" t="n">
        <v>1883.6219</v>
      </c>
      <c r="I238" t="inlineStr"/>
      <c r="J238" t="n">
        <v>4571.1268</v>
      </c>
      <c r="K238" t="inlineStr"/>
      <c r="L238" t="inlineStr"/>
      <c r="M238" t="inlineStr"/>
      <c r="N238" t="inlineStr"/>
      <c r="O238" t="n">
        <v>2018</v>
      </c>
      <c r="P238" t="inlineStr"/>
      <c r="Q238" t="inlineStr"/>
      <c r="R238" t="n">
        <v>529.8294</v>
      </c>
      <c r="S238" t="n">
        <v>0.00091413</v>
      </c>
      <c r="T238" t="n">
        <v>0.00096913</v>
      </c>
    </row>
    <row r="239">
      <c r="A239" t="inlineStr">
        <is>
          <t>SUP-0024</t>
        </is>
      </c>
      <c r="B239" t="inlineStr">
        <is>
          <t>Agriculture Supplier 024</t>
        </is>
      </c>
      <c r="C239" t="inlineStr">
        <is>
          <t>Agriculture</t>
        </is>
      </c>
      <c r="D239" t="n">
        <v>2022</v>
      </c>
      <c r="E239" t="n">
        <v>7324330.64</v>
      </c>
      <c r="F239" t="n">
        <v>19004972.68</v>
      </c>
      <c r="G239" t="inlineStr"/>
      <c r="H239" t="n">
        <v>1986.5535</v>
      </c>
      <c r="I239" t="n">
        <v>1207.4843</v>
      </c>
      <c r="J239" t="n">
        <v>4559.3399</v>
      </c>
      <c r="K239" t="inlineStr"/>
      <c r="L239" t="inlineStr"/>
      <c r="M239" t="inlineStr"/>
      <c r="N239" t="inlineStr"/>
      <c r="O239" t="n">
        <v>2018</v>
      </c>
      <c r="P239" t="inlineStr"/>
      <c r="Q239" t="inlineStr"/>
      <c r="R239" t="n">
        <v>529.8294</v>
      </c>
      <c r="S239" t="n">
        <v>0.00091413</v>
      </c>
      <c r="T239" t="n">
        <v>0.00096913</v>
      </c>
    </row>
    <row r="240">
      <c r="A240" t="inlineStr">
        <is>
          <t>SUP-0024</t>
        </is>
      </c>
      <c r="B240" t="inlineStr">
        <is>
          <t>Agriculture Supplier 024</t>
        </is>
      </c>
      <c r="C240" t="inlineStr">
        <is>
          <t>Agriculture</t>
        </is>
      </c>
      <c r="D240" t="n">
        <v>2023</v>
      </c>
      <c r="E240" t="n">
        <v>6885783.45</v>
      </c>
      <c r="F240" t="n">
        <v>18538965.73</v>
      </c>
      <c r="G240" t="n">
        <v>5433.1843</v>
      </c>
      <c r="H240" t="n">
        <v>1058.0686</v>
      </c>
      <c r="I240" t="n">
        <v>935.0655</v>
      </c>
      <c r="J240" t="n">
        <v>3124.6689</v>
      </c>
      <c r="K240" t="inlineStr"/>
      <c r="L240" t="inlineStr"/>
      <c r="M240" t="inlineStr"/>
      <c r="N240" t="inlineStr"/>
      <c r="O240" t="n">
        <v>2018</v>
      </c>
      <c r="P240" t="inlineStr"/>
      <c r="Q240" t="inlineStr"/>
      <c r="R240" t="n">
        <v>529.8294</v>
      </c>
      <c r="S240" t="n">
        <v>0.00091413</v>
      </c>
      <c r="T240" t="n">
        <v>0.00096913</v>
      </c>
    </row>
    <row r="241">
      <c r="A241" t="inlineStr">
        <is>
          <t>SUP-0024</t>
        </is>
      </c>
      <c r="B241" t="inlineStr">
        <is>
          <t>Agriculture Supplier 024</t>
        </is>
      </c>
      <c r="C241" t="inlineStr">
        <is>
          <t>Agriculture</t>
        </is>
      </c>
      <c r="D241" t="n">
        <v>2024</v>
      </c>
      <c r="E241" t="n">
        <v>8310024.54</v>
      </c>
      <c r="F241" t="n">
        <v>22134447.97</v>
      </c>
      <c r="G241" t="n">
        <v>7216.6437</v>
      </c>
      <c r="H241" t="n">
        <v>1449.3491</v>
      </c>
      <c r="I241" t="n">
        <v>729.1111</v>
      </c>
      <c r="J241" t="inlineStr"/>
      <c r="K241" t="inlineStr"/>
      <c r="L241" t="inlineStr"/>
      <c r="M241" t="inlineStr"/>
      <c r="N241" t="inlineStr"/>
      <c r="O241" t="n">
        <v>2018</v>
      </c>
      <c r="P241" t="inlineStr"/>
      <c r="Q241" t="inlineStr"/>
      <c r="R241" t="n">
        <v>529.8294</v>
      </c>
      <c r="S241" t="n">
        <v>0.00091413</v>
      </c>
      <c r="T241" t="n">
        <v>0.00096913</v>
      </c>
    </row>
    <row r="242">
      <c r="A242" t="inlineStr">
        <is>
          <t>SUP-0025</t>
        </is>
      </c>
      <c r="B242" t="inlineStr">
        <is>
          <t>Metals Supplier 025</t>
        </is>
      </c>
      <c r="C242" t="inlineStr">
        <is>
          <t>Metals</t>
        </is>
      </c>
      <c r="D242" t="n">
        <v>2015</v>
      </c>
      <c r="E242" t="n">
        <v>12081559.65</v>
      </c>
      <c r="F242" t="n">
        <v>39596710.46</v>
      </c>
      <c r="G242" t="n">
        <v>12251.3573</v>
      </c>
      <c r="H242" t="n">
        <v>1556.8843</v>
      </c>
      <c r="I242" t="n">
        <v>749.8706</v>
      </c>
      <c r="J242" t="n">
        <v>10602.5681</v>
      </c>
      <c r="K242" t="n">
        <v>2020</v>
      </c>
      <c r="L242" t="n">
        <v>2030</v>
      </c>
      <c r="M242" t="n">
        <v>0.3833</v>
      </c>
      <c r="N242" t="n">
        <v>0.1962</v>
      </c>
      <c r="O242" t="n">
        <v>2019</v>
      </c>
      <c r="P242" t="n">
        <v>2030</v>
      </c>
      <c r="Q242" t="n">
        <v>0.3852</v>
      </c>
      <c r="R242" t="n">
        <v>158.2904</v>
      </c>
      <c r="S242" t="n">
        <v>0.00100695</v>
      </c>
      <c r="T242" t="n">
        <v>0.00065008</v>
      </c>
    </row>
    <row r="243">
      <c r="A243" t="inlineStr">
        <is>
          <t>SUP-0025</t>
        </is>
      </c>
      <c r="B243" t="inlineStr">
        <is>
          <t>Metals Supplier 025</t>
        </is>
      </c>
      <c r="C243" t="inlineStr">
        <is>
          <t>Metals</t>
        </is>
      </c>
      <c r="D243" t="n">
        <v>2016</v>
      </c>
      <c r="E243" t="n">
        <v>9258040.210000001</v>
      </c>
      <c r="F243" t="n">
        <v>45564422.83</v>
      </c>
      <c r="G243" t="inlineStr"/>
      <c r="H243" t="n">
        <v>822.0328</v>
      </c>
      <c r="I243" t="n">
        <v>1230.0281</v>
      </c>
      <c r="J243" t="n">
        <v>6240.3834</v>
      </c>
      <c r="K243" t="n">
        <v>2020</v>
      </c>
      <c r="L243" t="n">
        <v>2030</v>
      </c>
      <c r="M243" t="n">
        <v>0.3833</v>
      </c>
      <c r="N243" t="n">
        <v>0.1962</v>
      </c>
      <c r="O243" t="n">
        <v>2019</v>
      </c>
      <c r="P243" t="n">
        <v>2030</v>
      </c>
      <c r="Q243" t="n">
        <v>0.3852</v>
      </c>
      <c r="R243" t="n">
        <v>158.2904</v>
      </c>
      <c r="S243" t="n">
        <v>0.00100695</v>
      </c>
      <c r="T243" t="n">
        <v>0.00065008</v>
      </c>
    </row>
    <row r="244">
      <c r="A244" t="inlineStr">
        <is>
          <t>SUP-0025</t>
        </is>
      </c>
      <c r="B244" t="inlineStr">
        <is>
          <t>Metals Supplier 025</t>
        </is>
      </c>
      <c r="C244" t="inlineStr">
        <is>
          <t>Metals</t>
        </is>
      </c>
      <c r="D244" t="n">
        <v>2017</v>
      </c>
      <c r="E244" t="n">
        <v>13003104.02</v>
      </c>
      <c r="F244" t="n">
        <v>39108368.4</v>
      </c>
      <c r="G244" t="n">
        <v>12247.8444</v>
      </c>
      <c r="H244" t="n">
        <v>1632.7329</v>
      </c>
      <c r="I244" t="inlineStr"/>
      <c r="J244" t="n">
        <v>8381.2199</v>
      </c>
      <c r="K244" t="n">
        <v>2020</v>
      </c>
      <c r="L244" t="n">
        <v>2030</v>
      </c>
      <c r="M244" t="n">
        <v>0.3833</v>
      </c>
      <c r="N244" t="n">
        <v>0.1962</v>
      </c>
      <c r="O244" t="n">
        <v>2019</v>
      </c>
      <c r="P244" t="n">
        <v>2030</v>
      </c>
      <c r="Q244" t="n">
        <v>0.3852</v>
      </c>
      <c r="R244" t="n">
        <v>158.2904</v>
      </c>
      <c r="S244" t="n">
        <v>0.00100695</v>
      </c>
      <c r="T244" t="n">
        <v>0.00065008</v>
      </c>
    </row>
    <row r="245">
      <c r="A245" t="inlineStr">
        <is>
          <t>SUP-0025</t>
        </is>
      </c>
      <c r="B245" t="inlineStr">
        <is>
          <t>Metals Supplier 025</t>
        </is>
      </c>
      <c r="C245" t="inlineStr">
        <is>
          <t>Metals</t>
        </is>
      </c>
      <c r="D245" t="n">
        <v>2018</v>
      </c>
      <c r="E245" t="n">
        <v>13279984.27</v>
      </c>
      <c r="F245" t="n">
        <v>43712718.49</v>
      </c>
      <c r="G245" t="n">
        <v>13117.4603</v>
      </c>
      <c r="H245" t="n">
        <v>2783.5844</v>
      </c>
      <c r="I245" t="n">
        <v>1776.5466</v>
      </c>
      <c r="J245" t="n">
        <v>8693.800300000001</v>
      </c>
      <c r="K245" t="n">
        <v>2020</v>
      </c>
      <c r="L245" t="n">
        <v>2030</v>
      </c>
      <c r="M245" t="n">
        <v>0.3833</v>
      </c>
      <c r="N245" t="n">
        <v>0.1962</v>
      </c>
      <c r="O245" t="n">
        <v>2019</v>
      </c>
      <c r="P245" t="n">
        <v>2030</v>
      </c>
      <c r="Q245" t="n">
        <v>0.3852</v>
      </c>
      <c r="R245" t="n">
        <v>158.2904</v>
      </c>
      <c r="S245" t="n">
        <v>0.00100695</v>
      </c>
      <c r="T245" t="n">
        <v>0.00065008</v>
      </c>
    </row>
    <row r="246">
      <c r="A246" t="inlineStr">
        <is>
          <t>SUP-0025</t>
        </is>
      </c>
      <c r="B246" t="inlineStr">
        <is>
          <t>Metals Supplier 025</t>
        </is>
      </c>
      <c r="C246" t="inlineStr">
        <is>
          <t>Metals</t>
        </is>
      </c>
      <c r="D246" t="n">
        <v>2019</v>
      </c>
      <c r="E246" t="n">
        <v>11723193.87</v>
      </c>
      <c r="F246" t="n">
        <v>49924435.63</v>
      </c>
      <c r="G246" t="n">
        <v>11408.9868</v>
      </c>
      <c r="H246" t="n">
        <v>1116.287</v>
      </c>
      <c r="I246" t="n">
        <v>1520.8023</v>
      </c>
      <c r="J246" t="n">
        <v>9195.8824</v>
      </c>
      <c r="K246" t="n">
        <v>2020</v>
      </c>
      <c r="L246" t="n">
        <v>2030</v>
      </c>
      <c r="M246" t="n">
        <v>0.3833</v>
      </c>
      <c r="N246" t="n">
        <v>0.1962</v>
      </c>
      <c r="O246" t="n">
        <v>2019</v>
      </c>
      <c r="P246" t="n">
        <v>2030</v>
      </c>
      <c r="Q246" t="n">
        <v>0.3852</v>
      </c>
      <c r="R246" t="n">
        <v>158.2904</v>
      </c>
      <c r="S246" t="n">
        <v>0.00100695</v>
      </c>
      <c r="T246" t="n">
        <v>0.00065008</v>
      </c>
    </row>
    <row r="247">
      <c r="A247" t="inlineStr">
        <is>
          <t>SUP-0025</t>
        </is>
      </c>
      <c r="B247" t="inlineStr">
        <is>
          <t>Metals Supplier 025</t>
        </is>
      </c>
      <c r="C247" t="inlineStr">
        <is>
          <t>Metals</t>
        </is>
      </c>
      <c r="D247" t="n">
        <v>2020</v>
      </c>
      <c r="E247" t="n">
        <v>14094474.48</v>
      </c>
      <c r="F247" t="n">
        <v>53182197.52</v>
      </c>
      <c r="G247" t="n">
        <v>10912.0046</v>
      </c>
      <c r="H247" t="n">
        <v>1030.1943</v>
      </c>
      <c r="I247" t="n">
        <v>1267.4766</v>
      </c>
      <c r="J247" t="n">
        <v>9317.322200000001</v>
      </c>
      <c r="K247" t="n">
        <v>2020</v>
      </c>
      <c r="L247" t="n">
        <v>2030</v>
      </c>
      <c r="M247" t="n">
        <v>0.3833</v>
      </c>
      <c r="N247" t="n">
        <v>0.1962</v>
      </c>
      <c r="O247" t="n">
        <v>2019</v>
      </c>
      <c r="P247" t="n">
        <v>2030</v>
      </c>
      <c r="Q247" t="n">
        <v>0.3852</v>
      </c>
      <c r="R247" t="n">
        <v>158.2904</v>
      </c>
      <c r="S247" t="n">
        <v>0.00100695</v>
      </c>
      <c r="T247" t="n">
        <v>0.00065008</v>
      </c>
    </row>
    <row r="248">
      <c r="A248" t="inlineStr">
        <is>
          <t>SUP-0025</t>
        </is>
      </c>
      <c r="B248" t="inlineStr">
        <is>
          <t>Metals Supplier 025</t>
        </is>
      </c>
      <c r="C248" t="inlineStr">
        <is>
          <t>Metals</t>
        </is>
      </c>
      <c r="D248" t="n">
        <v>2021</v>
      </c>
      <c r="E248" t="n">
        <v>13587531.24</v>
      </c>
      <c r="F248" t="n">
        <v>55428646.76</v>
      </c>
      <c r="G248" t="n">
        <v>12089.1448</v>
      </c>
      <c r="H248" t="n">
        <v>1533.5115</v>
      </c>
      <c r="I248" t="n">
        <v>1175.819</v>
      </c>
      <c r="J248" t="inlineStr"/>
      <c r="K248" t="n">
        <v>2020</v>
      </c>
      <c r="L248" t="n">
        <v>2030</v>
      </c>
      <c r="M248" t="n">
        <v>0.3833</v>
      </c>
      <c r="N248" t="n">
        <v>0.1962</v>
      </c>
      <c r="O248" t="n">
        <v>2019</v>
      </c>
      <c r="P248" t="n">
        <v>2030</v>
      </c>
      <c r="Q248" t="n">
        <v>0.3852</v>
      </c>
      <c r="R248" t="n">
        <v>158.2904</v>
      </c>
      <c r="S248" t="n">
        <v>0.00100695</v>
      </c>
      <c r="T248" t="n">
        <v>0.00065008</v>
      </c>
    </row>
    <row r="249">
      <c r="A249" t="inlineStr">
        <is>
          <t>SUP-0025</t>
        </is>
      </c>
      <c r="B249" t="inlineStr">
        <is>
          <t>Metals Supplier 025</t>
        </is>
      </c>
      <c r="C249" t="inlineStr">
        <is>
          <t>Metals</t>
        </is>
      </c>
      <c r="D249" t="n">
        <v>2022</v>
      </c>
      <c r="E249" t="n">
        <v>11691137.41</v>
      </c>
      <c r="F249" t="n">
        <v>42741706.02</v>
      </c>
      <c r="G249" t="n">
        <v>10062.3476</v>
      </c>
      <c r="H249" t="n">
        <v>1612.941</v>
      </c>
      <c r="I249" t="n">
        <v>2258.5911</v>
      </c>
      <c r="J249" t="n">
        <v>6232.2282</v>
      </c>
      <c r="K249" t="n">
        <v>2020</v>
      </c>
      <c r="L249" t="n">
        <v>2030</v>
      </c>
      <c r="M249" t="n">
        <v>0.3833</v>
      </c>
      <c r="N249" t="n">
        <v>0.1962</v>
      </c>
      <c r="O249" t="n">
        <v>2019</v>
      </c>
      <c r="P249" t="n">
        <v>2030</v>
      </c>
      <c r="Q249" t="n">
        <v>0.3852</v>
      </c>
      <c r="R249" t="n">
        <v>158.2904</v>
      </c>
      <c r="S249" t="n">
        <v>0.00100695</v>
      </c>
      <c r="T249" t="n">
        <v>0.00065008</v>
      </c>
    </row>
    <row r="250">
      <c r="A250" t="inlineStr">
        <is>
          <t>SUP-0025</t>
        </is>
      </c>
      <c r="B250" t="inlineStr">
        <is>
          <t>Metals Supplier 025</t>
        </is>
      </c>
      <c r="C250" t="inlineStr">
        <is>
          <t>Metals</t>
        </is>
      </c>
      <c r="D250" t="n">
        <v>2023</v>
      </c>
      <c r="E250" t="n">
        <v>16925080.66</v>
      </c>
      <c r="F250" t="n">
        <v>63473540.99</v>
      </c>
      <c r="G250" t="inlineStr"/>
      <c r="H250" t="n">
        <v>1283.9167</v>
      </c>
      <c r="I250" t="n">
        <v>2043.5265</v>
      </c>
      <c r="J250" t="n">
        <v>12123.5695</v>
      </c>
      <c r="K250" t="n">
        <v>2020</v>
      </c>
      <c r="L250" t="n">
        <v>2030</v>
      </c>
      <c r="M250" t="n">
        <v>0.3833</v>
      </c>
      <c r="N250" t="n">
        <v>0.1962</v>
      </c>
      <c r="O250" t="n">
        <v>2019</v>
      </c>
      <c r="P250" t="n">
        <v>2030</v>
      </c>
      <c r="Q250" t="n">
        <v>0.3852</v>
      </c>
      <c r="R250" t="n">
        <v>158.2904</v>
      </c>
      <c r="S250" t="n">
        <v>0.00100695</v>
      </c>
      <c r="T250" t="n">
        <v>0.00065008</v>
      </c>
    </row>
    <row r="251">
      <c r="A251" t="inlineStr">
        <is>
          <t>SUP-0025</t>
        </is>
      </c>
      <c r="B251" t="inlineStr">
        <is>
          <t>Metals Supplier 025</t>
        </is>
      </c>
      <c r="C251" t="inlineStr">
        <is>
          <t>Metals</t>
        </is>
      </c>
      <c r="D251" t="n">
        <v>2024</v>
      </c>
      <c r="E251" t="n">
        <v>19690840.4</v>
      </c>
      <c r="F251" t="n">
        <v>63623341.52</v>
      </c>
      <c r="G251" t="inlineStr"/>
      <c r="H251" t="n">
        <v>2751.899</v>
      </c>
      <c r="I251" t="n">
        <v>1764.5582</v>
      </c>
      <c r="J251" t="n">
        <v>8462.419099999999</v>
      </c>
      <c r="K251" t="n">
        <v>2020</v>
      </c>
      <c r="L251" t="n">
        <v>2030</v>
      </c>
      <c r="M251" t="n">
        <v>0.3833</v>
      </c>
      <c r="N251" t="n">
        <v>0.1962</v>
      </c>
      <c r="O251" t="n">
        <v>2019</v>
      </c>
      <c r="P251" t="n">
        <v>2030</v>
      </c>
      <c r="Q251" t="n">
        <v>0.3852</v>
      </c>
      <c r="R251" t="n">
        <v>158.2904</v>
      </c>
      <c r="S251" t="n">
        <v>0.00100695</v>
      </c>
      <c r="T251" t="n">
        <v>0.00065008</v>
      </c>
    </row>
    <row r="252">
      <c r="A252" t="inlineStr">
        <is>
          <t>SUP-0026</t>
        </is>
      </c>
      <c r="B252" t="inlineStr">
        <is>
          <t>Professional Supplier 026</t>
        </is>
      </c>
      <c r="C252" t="inlineStr">
        <is>
          <t>Professional Services</t>
        </is>
      </c>
      <c r="D252" t="n">
        <v>2015</v>
      </c>
      <c r="E252" t="n">
        <v>5083713.92</v>
      </c>
      <c r="F252" t="n">
        <v>8970099.289999999</v>
      </c>
      <c r="G252" t="inlineStr"/>
      <c r="H252" t="n">
        <v>126.674</v>
      </c>
      <c r="I252" t="n">
        <v>118.3251</v>
      </c>
      <c r="J252" t="n">
        <v>458.2796</v>
      </c>
      <c r="K252" t="n">
        <v>2019</v>
      </c>
      <c r="L252" t="n">
        <v>2040</v>
      </c>
      <c r="M252" t="n">
        <v>0.4936</v>
      </c>
      <c r="N252" t="n">
        <v>0.2987</v>
      </c>
      <c r="O252" t="n">
        <v>2020</v>
      </c>
      <c r="P252" t="inlineStr"/>
      <c r="Q252" t="inlineStr"/>
      <c r="R252" t="n">
        <v>400.0326</v>
      </c>
      <c r="S252" t="n">
        <v>0.00012906</v>
      </c>
      <c r="T252" t="n">
        <v>0.00019658</v>
      </c>
    </row>
    <row r="253">
      <c r="A253" t="inlineStr">
        <is>
          <t>SUP-0026</t>
        </is>
      </c>
      <c r="B253" t="inlineStr">
        <is>
          <t>Professional Supplier 026</t>
        </is>
      </c>
      <c r="C253" t="inlineStr">
        <is>
          <t>Professional Services</t>
        </is>
      </c>
      <c r="D253" t="n">
        <v>2016</v>
      </c>
      <c r="E253" t="n">
        <v>5960850.53</v>
      </c>
      <c r="F253" t="inlineStr"/>
      <c r="G253" t="n">
        <v>698.2406999999999</v>
      </c>
      <c r="H253" t="n">
        <v>84.8775</v>
      </c>
      <c r="I253" t="n">
        <v>89.83369999999999</v>
      </c>
      <c r="J253" t="n">
        <v>566.8846</v>
      </c>
      <c r="K253" t="n">
        <v>2019</v>
      </c>
      <c r="L253" t="n">
        <v>2040</v>
      </c>
      <c r="M253" t="n">
        <v>0.4936</v>
      </c>
      <c r="N253" t="n">
        <v>0.2987</v>
      </c>
      <c r="O253" t="n">
        <v>2020</v>
      </c>
      <c r="P253" t="inlineStr"/>
      <c r="Q253" t="inlineStr"/>
      <c r="R253" t="n">
        <v>400.0326</v>
      </c>
      <c r="S253" t="n">
        <v>0.00012906</v>
      </c>
      <c r="T253" t="n">
        <v>0.00019658</v>
      </c>
    </row>
    <row r="254">
      <c r="A254" t="inlineStr">
        <is>
          <t>SUP-0026</t>
        </is>
      </c>
      <c r="B254" t="inlineStr">
        <is>
          <t>Professional Supplier 026</t>
        </is>
      </c>
      <c r="C254" t="inlineStr">
        <is>
          <t>Professional Services</t>
        </is>
      </c>
      <c r="D254" t="n">
        <v>2017</v>
      </c>
      <c r="E254" t="n">
        <v>5643512.51</v>
      </c>
      <c r="F254" t="n">
        <v>8414541.48</v>
      </c>
      <c r="G254" t="inlineStr"/>
      <c r="H254" t="n">
        <v>88.0921</v>
      </c>
      <c r="I254" t="n">
        <v>82.08620000000001</v>
      </c>
      <c r="J254" t="n">
        <v>489.959</v>
      </c>
      <c r="K254" t="n">
        <v>2019</v>
      </c>
      <c r="L254" t="n">
        <v>2040</v>
      </c>
      <c r="M254" t="n">
        <v>0.4936</v>
      </c>
      <c r="N254" t="n">
        <v>0.2987</v>
      </c>
      <c r="O254" t="n">
        <v>2020</v>
      </c>
      <c r="P254" t="inlineStr"/>
      <c r="Q254" t="inlineStr"/>
      <c r="R254" t="n">
        <v>400.0326</v>
      </c>
      <c r="S254" t="n">
        <v>0.00012906</v>
      </c>
      <c r="T254" t="n">
        <v>0.00019658</v>
      </c>
    </row>
    <row r="255">
      <c r="A255" t="inlineStr">
        <is>
          <t>SUP-0026</t>
        </is>
      </c>
      <c r="B255" t="inlineStr">
        <is>
          <t>Professional Supplier 026</t>
        </is>
      </c>
      <c r="C255" t="inlineStr">
        <is>
          <t>Professional Services</t>
        </is>
      </c>
      <c r="D255" t="n">
        <v>2018</v>
      </c>
      <c r="E255" t="n">
        <v>6964854.61</v>
      </c>
      <c r="F255" t="n">
        <v>10362985.64</v>
      </c>
      <c r="G255" t="n">
        <v>821.3225</v>
      </c>
      <c r="H255" t="inlineStr"/>
      <c r="I255" t="n">
        <v>84.8463</v>
      </c>
      <c r="J255" t="n">
        <v>655.5158</v>
      </c>
      <c r="K255" t="n">
        <v>2019</v>
      </c>
      <c r="L255" t="n">
        <v>2040</v>
      </c>
      <c r="M255" t="n">
        <v>0.4936</v>
      </c>
      <c r="N255" t="n">
        <v>0.2987</v>
      </c>
      <c r="O255" t="n">
        <v>2020</v>
      </c>
      <c r="P255" t="inlineStr"/>
      <c r="Q255" t="inlineStr"/>
      <c r="R255" t="n">
        <v>400.0326</v>
      </c>
      <c r="S255" t="n">
        <v>0.00012906</v>
      </c>
      <c r="T255" t="n">
        <v>0.00019658</v>
      </c>
    </row>
    <row r="256">
      <c r="A256" t="inlineStr">
        <is>
          <t>SUP-0026</t>
        </is>
      </c>
      <c r="B256" t="inlineStr">
        <is>
          <t>Professional Supplier 026</t>
        </is>
      </c>
      <c r="C256" t="inlineStr">
        <is>
          <t>Professional Services</t>
        </is>
      </c>
      <c r="D256" t="n">
        <v>2019</v>
      </c>
      <c r="E256" t="n">
        <v>6144112.5</v>
      </c>
      <c r="F256" t="n">
        <v>13038234.77</v>
      </c>
      <c r="G256" t="inlineStr"/>
      <c r="H256" t="n">
        <v>114.8463</v>
      </c>
      <c r="I256" t="n">
        <v>94.1524</v>
      </c>
      <c r="J256" t="n">
        <v>431.9271</v>
      </c>
      <c r="K256" t="n">
        <v>2019</v>
      </c>
      <c r="L256" t="n">
        <v>2040</v>
      </c>
      <c r="M256" t="n">
        <v>0.4936</v>
      </c>
      <c r="N256" t="n">
        <v>0.2987</v>
      </c>
      <c r="O256" t="n">
        <v>2020</v>
      </c>
      <c r="P256" t="inlineStr"/>
      <c r="Q256" t="inlineStr"/>
      <c r="R256" t="n">
        <v>400.0326</v>
      </c>
      <c r="S256" t="n">
        <v>0.00012906</v>
      </c>
      <c r="T256" t="n">
        <v>0.00019658</v>
      </c>
    </row>
    <row r="257">
      <c r="A257" t="inlineStr">
        <is>
          <t>SUP-0026</t>
        </is>
      </c>
      <c r="B257" t="inlineStr">
        <is>
          <t>Professional Supplier 026</t>
        </is>
      </c>
      <c r="C257" t="inlineStr">
        <is>
          <t>Professional Services</t>
        </is>
      </c>
      <c r="D257" t="n">
        <v>2020</v>
      </c>
      <c r="E257" t="n">
        <v>8356354.82</v>
      </c>
      <c r="F257" t="n">
        <v>10305106.53</v>
      </c>
      <c r="G257" t="n">
        <v>587.6006</v>
      </c>
      <c r="H257" t="n">
        <v>83.7834</v>
      </c>
      <c r="I257" t="n">
        <v>82.7941</v>
      </c>
      <c r="J257" t="n">
        <v>442.9581</v>
      </c>
      <c r="K257" t="n">
        <v>2019</v>
      </c>
      <c r="L257" t="n">
        <v>2040</v>
      </c>
      <c r="M257" t="n">
        <v>0.4936</v>
      </c>
      <c r="N257" t="n">
        <v>0.2987</v>
      </c>
      <c r="O257" t="n">
        <v>2020</v>
      </c>
      <c r="P257" t="inlineStr"/>
      <c r="Q257" t="inlineStr"/>
      <c r="R257" t="n">
        <v>400.0326</v>
      </c>
      <c r="S257" t="n">
        <v>0.00012906</v>
      </c>
      <c r="T257" t="n">
        <v>0.00019658</v>
      </c>
    </row>
    <row r="258">
      <c r="A258" t="inlineStr">
        <is>
          <t>SUP-0026</t>
        </is>
      </c>
      <c r="B258" t="inlineStr">
        <is>
          <t>Professional Supplier 026</t>
        </is>
      </c>
      <c r="C258" t="inlineStr">
        <is>
          <t>Professional Services</t>
        </is>
      </c>
      <c r="D258" t="n">
        <v>2021</v>
      </c>
      <c r="E258" t="n">
        <v>6924643.66</v>
      </c>
      <c r="F258" t="n">
        <v>10759192.95</v>
      </c>
      <c r="G258" t="n">
        <v>723.3943</v>
      </c>
      <c r="H258" t="n">
        <v>71.8467</v>
      </c>
      <c r="I258" t="n">
        <v>111.4044</v>
      </c>
      <c r="J258" t="n">
        <v>539.1516</v>
      </c>
      <c r="K258" t="n">
        <v>2019</v>
      </c>
      <c r="L258" t="n">
        <v>2040</v>
      </c>
      <c r="M258" t="n">
        <v>0.4936</v>
      </c>
      <c r="N258" t="n">
        <v>0.2987</v>
      </c>
      <c r="O258" t="n">
        <v>2020</v>
      </c>
      <c r="P258" t="inlineStr"/>
      <c r="Q258" t="inlineStr"/>
      <c r="R258" t="n">
        <v>400.0326</v>
      </c>
      <c r="S258" t="n">
        <v>0.00012906</v>
      </c>
      <c r="T258" t="n">
        <v>0.00019658</v>
      </c>
    </row>
    <row r="259">
      <c r="A259" t="inlineStr">
        <is>
          <t>SUP-0026</t>
        </is>
      </c>
      <c r="B259" t="inlineStr">
        <is>
          <t>Professional Supplier 026</t>
        </is>
      </c>
      <c r="C259" t="inlineStr">
        <is>
          <t>Professional Services</t>
        </is>
      </c>
      <c r="D259" t="n">
        <v>2022</v>
      </c>
      <c r="E259" t="n">
        <v>8462828.84</v>
      </c>
      <c r="F259" t="n">
        <v>13239994.71</v>
      </c>
      <c r="G259" t="n">
        <v>832.2305</v>
      </c>
      <c r="H259" t="n">
        <v>142.9888</v>
      </c>
      <c r="I259" t="n">
        <v>103.3957</v>
      </c>
      <c r="J259" t="n">
        <v>594.0881000000001</v>
      </c>
      <c r="K259" t="n">
        <v>2019</v>
      </c>
      <c r="L259" t="n">
        <v>2040</v>
      </c>
      <c r="M259" t="n">
        <v>0.4936</v>
      </c>
      <c r="N259" t="n">
        <v>0.2987</v>
      </c>
      <c r="O259" t="n">
        <v>2020</v>
      </c>
      <c r="P259" t="inlineStr"/>
      <c r="Q259" t="inlineStr"/>
      <c r="R259" t="n">
        <v>400.0326</v>
      </c>
      <c r="S259" t="n">
        <v>0.00012906</v>
      </c>
      <c r="T259" t="n">
        <v>0.00019658</v>
      </c>
    </row>
    <row r="260">
      <c r="A260" t="inlineStr">
        <is>
          <t>SUP-0026</t>
        </is>
      </c>
      <c r="B260" t="inlineStr">
        <is>
          <t>Professional Supplier 026</t>
        </is>
      </c>
      <c r="C260" t="inlineStr">
        <is>
          <t>Professional Services</t>
        </is>
      </c>
      <c r="D260" t="n">
        <v>2023</v>
      </c>
      <c r="E260" t="n">
        <v>10375117.23</v>
      </c>
      <c r="F260" t="n">
        <v>10106218.09</v>
      </c>
      <c r="G260" t="n">
        <v>1109.4697</v>
      </c>
      <c r="H260" t="n">
        <v>265.535</v>
      </c>
      <c r="I260" t="n">
        <v>77.0549</v>
      </c>
      <c r="J260" t="n">
        <v>719.1505</v>
      </c>
      <c r="K260" t="n">
        <v>2019</v>
      </c>
      <c r="L260" t="n">
        <v>2040</v>
      </c>
      <c r="M260" t="n">
        <v>0.4936</v>
      </c>
      <c r="N260" t="n">
        <v>0.2987</v>
      </c>
      <c r="O260" t="n">
        <v>2020</v>
      </c>
      <c r="P260" t="inlineStr"/>
      <c r="Q260" t="inlineStr"/>
      <c r="R260" t="n">
        <v>400.0326</v>
      </c>
      <c r="S260" t="n">
        <v>0.00012906</v>
      </c>
      <c r="T260" t="n">
        <v>0.00019658</v>
      </c>
    </row>
    <row r="261">
      <c r="A261" t="inlineStr">
        <is>
          <t>SUP-0026</t>
        </is>
      </c>
      <c r="B261" t="inlineStr">
        <is>
          <t>Professional Supplier 026</t>
        </is>
      </c>
      <c r="C261" t="inlineStr">
        <is>
          <t>Professional Services</t>
        </is>
      </c>
      <c r="D261" t="n">
        <v>2024</v>
      </c>
      <c r="E261" t="n">
        <v>8791587.92</v>
      </c>
      <c r="F261" t="n">
        <v>10355275.5</v>
      </c>
      <c r="G261" t="n">
        <v>666.9880000000001</v>
      </c>
      <c r="H261" t="n">
        <v>161.5647</v>
      </c>
      <c r="I261" t="n">
        <v>67.8168</v>
      </c>
      <c r="J261" t="inlineStr"/>
      <c r="K261" t="n">
        <v>2019</v>
      </c>
      <c r="L261" t="n">
        <v>2040</v>
      </c>
      <c r="M261" t="n">
        <v>0.4936</v>
      </c>
      <c r="N261" t="n">
        <v>0.2987</v>
      </c>
      <c r="O261" t="n">
        <v>2020</v>
      </c>
      <c r="P261" t="inlineStr"/>
      <c r="Q261" t="inlineStr"/>
      <c r="R261" t="n">
        <v>400.0326</v>
      </c>
      <c r="S261" t="n">
        <v>0.00012906</v>
      </c>
      <c r="T261" t="n">
        <v>0.00019658</v>
      </c>
    </row>
    <row r="262">
      <c r="A262" t="inlineStr">
        <is>
          <t>SUP-0027</t>
        </is>
      </c>
      <c r="B262" t="inlineStr">
        <is>
          <t>Metals Supplier 027</t>
        </is>
      </c>
      <c r="C262" t="inlineStr">
        <is>
          <t>Metals</t>
        </is>
      </c>
      <c r="D262" t="n">
        <v>2015</v>
      </c>
      <c r="E262" t="n">
        <v>793943.5600000001</v>
      </c>
      <c r="F262" t="n">
        <v>4895684.6</v>
      </c>
      <c r="G262" t="inlineStr"/>
      <c r="H262" t="n">
        <v>126.2239</v>
      </c>
      <c r="I262" t="n">
        <v>198.8678</v>
      </c>
      <c r="J262" t="n">
        <v>691.0608999999999</v>
      </c>
      <c r="K262" t="n">
        <v>2019</v>
      </c>
      <c r="L262" t="n">
        <v>2030</v>
      </c>
      <c r="M262" t="n">
        <v>0.2739</v>
      </c>
      <c r="N262" t="n">
        <v>0.1728</v>
      </c>
      <c r="O262" t="n">
        <v>2019</v>
      </c>
      <c r="P262" t="n">
        <v>2030</v>
      </c>
      <c r="Q262" t="n">
        <v>0.3852</v>
      </c>
      <c r="R262" t="n">
        <v>158.2904</v>
      </c>
      <c r="S262" t="n">
        <v>0.00100695</v>
      </c>
      <c r="T262" t="n">
        <v>0.00065008</v>
      </c>
    </row>
    <row r="263">
      <c r="A263" t="inlineStr">
        <is>
          <t>SUP-0027</t>
        </is>
      </c>
      <c r="B263" t="inlineStr">
        <is>
          <t>Metals Supplier 027</t>
        </is>
      </c>
      <c r="C263" t="inlineStr">
        <is>
          <t>Metals</t>
        </is>
      </c>
      <c r="D263" t="n">
        <v>2016</v>
      </c>
      <c r="E263" t="n">
        <v>911270.83</v>
      </c>
      <c r="F263" t="inlineStr"/>
      <c r="G263" t="n">
        <v>1092.579</v>
      </c>
      <c r="H263" t="n">
        <v>156.2868</v>
      </c>
      <c r="I263" t="n">
        <v>163.609</v>
      </c>
      <c r="J263" t="n">
        <v>761.549</v>
      </c>
      <c r="K263" t="n">
        <v>2019</v>
      </c>
      <c r="L263" t="n">
        <v>2030</v>
      </c>
      <c r="M263" t="n">
        <v>0.2739</v>
      </c>
      <c r="N263" t="n">
        <v>0.1728</v>
      </c>
      <c r="O263" t="n">
        <v>2019</v>
      </c>
      <c r="P263" t="n">
        <v>2030</v>
      </c>
      <c r="Q263" t="n">
        <v>0.3852</v>
      </c>
      <c r="R263" t="n">
        <v>158.2904</v>
      </c>
      <c r="S263" t="n">
        <v>0.00100695</v>
      </c>
      <c r="T263" t="n">
        <v>0.00065008</v>
      </c>
    </row>
    <row r="264">
      <c r="A264" t="inlineStr">
        <is>
          <t>SUP-0027</t>
        </is>
      </c>
      <c r="B264" t="inlineStr">
        <is>
          <t>Metals Supplier 027</t>
        </is>
      </c>
      <c r="C264" t="inlineStr">
        <is>
          <t>Metals</t>
        </is>
      </c>
      <c r="D264" t="n">
        <v>2017</v>
      </c>
      <c r="E264" t="n">
        <v>860210.12</v>
      </c>
      <c r="F264" t="n">
        <v>5039279.56</v>
      </c>
      <c r="G264" t="n">
        <v>1124.0286</v>
      </c>
      <c r="H264" t="n">
        <v>189.8416</v>
      </c>
      <c r="I264" t="n">
        <v>108.4842</v>
      </c>
      <c r="J264" t="n">
        <v>834.0916</v>
      </c>
      <c r="K264" t="n">
        <v>2019</v>
      </c>
      <c r="L264" t="n">
        <v>2030</v>
      </c>
      <c r="M264" t="n">
        <v>0.2739</v>
      </c>
      <c r="N264" t="n">
        <v>0.1728</v>
      </c>
      <c r="O264" t="n">
        <v>2019</v>
      </c>
      <c r="P264" t="n">
        <v>2030</v>
      </c>
      <c r="Q264" t="n">
        <v>0.3852</v>
      </c>
      <c r="R264" t="n">
        <v>158.2904</v>
      </c>
      <c r="S264" t="n">
        <v>0.00100695</v>
      </c>
      <c r="T264" t="n">
        <v>0.00065008</v>
      </c>
    </row>
    <row r="265">
      <c r="A265" t="inlineStr">
        <is>
          <t>SUP-0027</t>
        </is>
      </c>
      <c r="B265" t="inlineStr">
        <is>
          <t>Metals Supplier 027</t>
        </is>
      </c>
      <c r="C265" t="inlineStr">
        <is>
          <t>Metals</t>
        </is>
      </c>
      <c r="D265" t="n">
        <v>2018</v>
      </c>
      <c r="E265" t="n">
        <v>870761.3199999999</v>
      </c>
      <c r="F265" t="n">
        <v>4255392.34</v>
      </c>
      <c r="G265" t="n">
        <v>995.3819</v>
      </c>
      <c r="H265" t="inlineStr"/>
      <c r="I265" t="n">
        <v>125.7373</v>
      </c>
      <c r="J265" t="n">
        <v>657.7448000000001</v>
      </c>
      <c r="K265" t="n">
        <v>2019</v>
      </c>
      <c r="L265" t="n">
        <v>2030</v>
      </c>
      <c r="M265" t="n">
        <v>0.2739</v>
      </c>
      <c r="N265" t="n">
        <v>0.1728</v>
      </c>
      <c r="O265" t="n">
        <v>2019</v>
      </c>
      <c r="P265" t="n">
        <v>2030</v>
      </c>
      <c r="Q265" t="n">
        <v>0.3852</v>
      </c>
      <c r="R265" t="n">
        <v>158.2904</v>
      </c>
      <c r="S265" t="n">
        <v>0.00100695</v>
      </c>
      <c r="T265" t="n">
        <v>0.00065008</v>
      </c>
    </row>
    <row r="266">
      <c r="A266" t="inlineStr">
        <is>
          <t>SUP-0027</t>
        </is>
      </c>
      <c r="B266" t="inlineStr">
        <is>
          <t>Metals Supplier 027</t>
        </is>
      </c>
      <c r="C266" t="inlineStr">
        <is>
          <t>Metals</t>
        </is>
      </c>
      <c r="D266" t="n">
        <v>2019</v>
      </c>
      <c r="E266" t="n">
        <v>843771.92</v>
      </c>
      <c r="F266" t="n">
        <v>4240321.44</v>
      </c>
      <c r="G266" t="n">
        <v>1093.7815</v>
      </c>
      <c r="H266" t="inlineStr"/>
      <c r="I266" t="n">
        <v>111.2035</v>
      </c>
      <c r="J266" t="n">
        <v>781.0755</v>
      </c>
      <c r="K266" t="n">
        <v>2019</v>
      </c>
      <c r="L266" t="n">
        <v>2030</v>
      </c>
      <c r="M266" t="n">
        <v>0.2739</v>
      </c>
      <c r="N266" t="n">
        <v>0.1728</v>
      </c>
      <c r="O266" t="n">
        <v>2019</v>
      </c>
      <c r="P266" t="n">
        <v>2030</v>
      </c>
      <c r="Q266" t="n">
        <v>0.3852</v>
      </c>
      <c r="R266" t="n">
        <v>158.2904</v>
      </c>
      <c r="S266" t="n">
        <v>0.00100695</v>
      </c>
      <c r="T266" t="n">
        <v>0.00065008</v>
      </c>
    </row>
    <row r="267">
      <c r="A267" t="inlineStr">
        <is>
          <t>SUP-0027</t>
        </is>
      </c>
      <c r="B267" t="inlineStr">
        <is>
          <t>Metals Supplier 027</t>
        </is>
      </c>
      <c r="C267" t="inlineStr">
        <is>
          <t>Metals</t>
        </is>
      </c>
      <c r="D267" t="n">
        <v>2020</v>
      </c>
      <c r="E267" t="n">
        <v>864601.6</v>
      </c>
      <c r="F267" t="n">
        <v>5183757.86</v>
      </c>
      <c r="G267" t="inlineStr"/>
      <c r="H267" t="n">
        <v>169.4997</v>
      </c>
      <c r="I267" t="n">
        <v>132.8175</v>
      </c>
      <c r="J267" t="n">
        <v>577.7087</v>
      </c>
      <c r="K267" t="n">
        <v>2019</v>
      </c>
      <c r="L267" t="n">
        <v>2030</v>
      </c>
      <c r="M267" t="n">
        <v>0.2739</v>
      </c>
      <c r="N267" t="n">
        <v>0.1728</v>
      </c>
      <c r="O267" t="n">
        <v>2019</v>
      </c>
      <c r="P267" t="n">
        <v>2030</v>
      </c>
      <c r="Q267" t="n">
        <v>0.3852</v>
      </c>
      <c r="R267" t="n">
        <v>158.2904</v>
      </c>
      <c r="S267" t="n">
        <v>0.00100695</v>
      </c>
      <c r="T267" t="n">
        <v>0.00065008</v>
      </c>
    </row>
    <row r="268">
      <c r="A268" t="inlineStr">
        <is>
          <t>SUP-0027</t>
        </is>
      </c>
      <c r="B268" t="inlineStr">
        <is>
          <t>Metals Supplier 027</t>
        </is>
      </c>
      <c r="C268" t="inlineStr">
        <is>
          <t>Metals</t>
        </is>
      </c>
      <c r="D268" t="n">
        <v>2021</v>
      </c>
      <c r="E268" t="inlineStr"/>
      <c r="F268" t="n">
        <v>5035585.47</v>
      </c>
      <c r="G268" t="n">
        <v>775.8841</v>
      </c>
      <c r="H268" t="inlineStr"/>
      <c r="I268" t="n">
        <v>195.8484</v>
      </c>
      <c r="J268" t="n">
        <v>511.1576</v>
      </c>
      <c r="K268" t="n">
        <v>2019</v>
      </c>
      <c r="L268" t="n">
        <v>2030</v>
      </c>
      <c r="M268" t="n">
        <v>0.2739</v>
      </c>
      <c r="N268" t="n">
        <v>0.1728</v>
      </c>
      <c r="O268" t="n">
        <v>2019</v>
      </c>
      <c r="P268" t="n">
        <v>2030</v>
      </c>
      <c r="Q268" t="n">
        <v>0.3852</v>
      </c>
      <c r="R268" t="n">
        <v>158.2904</v>
      </c>
      <c r="S268" t="n">
        <v>0.00100695</v>
      </c>
      <c r="T268" t="n">
        <v>0.00065008</v>
      </c>
    </row>
    <row r="269">
      <c r="A269" t="inlineStr">
        <is>
          <t>SUP-0027</t>
        </is>
      </c>
      <c r="B269" t="inlineStr">
        <is>
          <t>Metals Supplier 027</t>
        </is>
      </c>
      <c r="C269" t="inlineStr">
        <is>
          <t>Metals</t>
        </is>
      </c>
      <c r="D269" t="n">
        <v>2022</v>
      </c>
      <c r="E269" t="n">
        <v>801751.8</v>
      </c>
      <c r="F269" t="n">
        <v>3935661.63</v>
      </c>
      <c r="G269" t="n">
        <v>665.8835</v>
      </c>
      <c r="H269" t="n">
        <v>102.716</v>
      </c>
      <c r="I269" t="n">
        <v>90.1973</v>
      </c>
      <c r="J269" t="n">
        <v>566.6781999999999</v>
      </c>
      <c r="K269" t="n">
        <v>2019</v>
      </c>
      <c r="L269" t="n">
        <v>2030</v>
      </c>
      <c r="M269" t="n">
        <v>0.2739</v>
      </c>
      <c r="N269" t="n">
        <v>0.1728</v>
      </c>
      <c r="O269" t="n">
        <v>2019</v>
      </c>
      <c r="P269" t="n">
        <v>2030</v>
      </c>
      <c r="Q269" t="n">
        <v>0.3852</v>
      </c>
      <c r="R269" t="n">
        <v>158.2904</v>
      </c>
      <c r="S269" t="n">
        <v>0.00100695</v>
      </c>
      <c r="T269" t="n">
        <v>0.00065008</v>
      </c>
    </row>
    <row r="270">
      <c r="A270" t="inlineStr">
        <is>
          <t>SUP-0027</t>
        </is>
      </c>
      <c r="B270" t="inlineStr">
        <is>
          <t>Metals Supplier 027</t>
        </is>
      </c>
      <c r="C270" t="inlineStr">
        <is>
          <t>Metals</t>
        </is>
      </c>
      <c r="D270" t="n">
        <v>2023</v>
      </c>
      <c r="E270" t="n">
        <v>788859.36</v>
      </c>
      <c r="F270" t="n">
        <v>3961707.33</v>
      </c>
      <c r="G270" t="n">
        <v>1065.4003</v>
      </c>
      <c r="H270" t="n">
        <v>177.4804</v>
      </c>
      <c r="I270" t="n">
        <v>89.7901</v>
      </c>
      <c r="J270" t="inlineStr"/>
      <c r="K270" t="n">
        <v>2019</v>
      </c>
      <c r="L270" t="n">
        <v>2030</v>
      </c>
      <c r="M270" t="n">
        <v>0.2739</v>
      </c>
      <c r="N270" t="n">
        <v>0.1728</v>
      </c>
      <c r="O270" t="n">
        <v>2019</v>
      </c>
      <c r="P270" t="n">
        <v>2030</v>
      </c>
      <c r="Q270" t="n">
        <v>0.3852</v>
      </c>
      <c r="R270" t="n">
        <v>158.2904</v>
      </c>
      <c r="S270" t="n">
        <v>0.00100695</v>
      </c>
      <c r="T270" t="n">
        <v>0.00065008</v>
      </c>
    </row>
    <row r="271">
      <c r="A271" t="inlineStr">
        <is>
          <t>SUP-0027</t>
        </is>
      </c>
      <c r="B271" t="inlineStr">
        <is>
          <t>Metals Supplier 027</t>
        </is>
      </c>
      <c r="C271" t="inlineStr">
        <is>
          <t>Metals</t>
        </is>
      </c>
      <c r="D271" t="n">
        <v>2024</v>
      </c>
      <c r="E271" t="n">
        <v>807454.96</v>
      </c>
      <c r="F271" t="n">
        <v>4098288.76</v>
      </c>
      <c r="G271" t="inlineStr"/>
      <c r="H271" t="n">
        <v>105.1004</v>
      </c>
      <c r="I271" t="n">
        <v>99.26179999999999</v>
      </c>
      <c r="J271" t="n">
        <v>557.8825000000001</v>
      </c>
      <c r="K271" t="n">
        <v>2019</v>
      </c>
      <c r="L271" t="n">
        <v>2030</v>
      </c>
      <c r="M271" t="n">
        <v>0.2739</v>
      </c>
      <c r="N271" t="n">
        <v>0.1728</v>
      </c>
      <c r="O271" t="n">
        <v>2019</v>
      </c>
      <c r="P271" t="n">
        <v>2030</v>
      </c>
      <c r="Q271" t="n">
        <v>0.3852</v>
      </c>
      <c r="R271" t="n">
        <v>158.2904</v>
      </c>
      <c r="S271" t="n">
        <v>0.00100695</v>
      </c>
      <c r="T271" t="n">
        <v>0.00065008</v>
      </c>
    </row>
    <row r="272">
      <c r="A272" t="inlineStr">
        <is>
          <t>SUP-0028</t>
        </is>
      </c>
      <c r="B272" t="inlineStr">
        <is>
          <t>Professional Supplier 028</t>
        </is>
      </c>
      <c r="C272" t="inlineStr">
        <is>
          <t>Professional Services</t>
        </is>
      </c>
      <c r="D272" t="n">
        <v>2015</v>
      </c>
      <c r="E272" t="n">
        <v>11531216.09</v>
      </c>
      <c r="F272" t="n">
        <v>75688760.25</v>
      </c>
      <c r="G272" t="n">
        <v>1546.9138</v>
      </c>
      <c r="H272" t="n">
        <v>245.5365</v>
      </c>
      <c r="I272" t="n">
        <v>349.426</v>
      </c>
      <c r="J272" t="inlineStr"/>
      <c r="K272" t="n">
        <v>2020</v>
      </c>
      <c r="L272" t="n">
        <v>2035</v>
      </c>
      <c r="M272" t="n">
        <v>0.5648</v>
      </c>
      <c r="N272" t="n">
        <v>0.2914</v>
      </c>
      <c r="O272" t="n">
        <v>2020</v>
      </c>
      <c r="P272" t="inlineStr"/>
      <c r="Q272" t="inlineStr"/>
      <c r="R272" t="n">
        <v>400.0326</v>
      </c>
      <c r="S272" t="n">
        <v>0.00012906</v>
      </c>
      <c r="T272" t="n">
        <v>0.00019658</v>
      </c>
    </row>
    <row r="273">
      <c r="A273" t="inlineStr">
        <is>
          <t>SUP-0028</t>
        </is>
      </c>
      <c r="B273" t="inlineStr">
        <is>
          <t>Professional Supplier 028</t>
        </is>
      </c>
      <c r="C273" t="inlineStr">
        <is>
          <t>Professional Services</t>
        </is>
      </c>
      <c r="D273" t="n">
        <v>2016</v>
      </c>
      <c r="E273" t="n">
        <v>11691869.21</v>
      </c>
      <c r="F273" t="n">
        <v>95025010.56999999</v>
      </c>
      <c r="G273" t="n">
        <v>1271.0385</v>
      </c>
      <c r="H273" t="n">
        <v>213.6809</v>
      </c>
      <c r="I273" t="n">
        <v>137.5249</v>
      </c>
      <c r="J273" t="n">
        <v>947.3896999999999</v>
      </c>
      <c r="K273" t="n">
        <v>2020</v>
      </c>
      <c r="L273" t="n">
        <v>2035</v>
      </c>
      <c r="M273" t="n">
        <v>0.5648</v>
      </c>
      <c r="N273" t="n">
        <v>0.2914</v>
      </c>
      <c r="O273" t="n">
        <v>2020</v>
      </c>
      <c r="P273" t="inlineStr"/>
      <c r="Q273" t="inlineStr"/>
      <c r="R273" t="n">
        <v>400.0326</v>
      </c>
      <c r="S273" t="n">
        <v>0.00012906</v>
      </c>
      <c r="T273" t="n">
        <v>0.00019658</v>
      </c>
    </row>
    <row r="274">
      <c r="A274" t="inlineStr">
        <is>
          <t>SUP-0028</t>
        </is>
      </c>
      <c r="B274" t="inlineStr">
        <is>
          <t>Professional Supplier 028</t>
        </is>
      </c>
      <c r="C274" t="inlineStr">
        <is>
          <t>Professional Services</t>
        </is>
      </c>
      <c r="D274" t="n">
        <v>2017</v>
      </c>
      <c r="E274" t="inlineStr"/>
      <c r="F274" t="n">
        <v>87756981.18000001</v>
      </c>
      <c r="G274" t="n">
        <v>1637.9734</v>
      </c>
      <c r="H274" t="n">
        <v>186.0729</v>
      </c>
      <c r="I274" t="inlineStr"/>
      <c r="J274" t="n">
        <v>1352.8616</v>
      </c>
      <c r="K274" t="n">
        <v>2020</v>
      </c>
      <c r="L274" t="n">
        <v>2035</v>
      </c>
      <c r="M274" t="n">
        <v>0.5648</v>
      </c>
      <c r="N274" t="n">
        <v>0.2914</v>
      </c>
      <c r="O274" t="n">
        <v>2020</v>
      </c>
      <c r="P274" t="inlineStr"/>
      <c r="Q274" t="inlineStr"/>
      <c r="R274" t="n">
        <v>400.0326</v>
      </c>
      <c r="S274" t="n">
        <v>0.00012906</v>
      </c>
      <c r="T274" t="n">
        <v>0.00019658</v>
      </c>
    </row>
    <row r="275">
      <c r="A275" t="inlineStr">
        <is>
          <t>SUP-0028</t>
        </is>
      </c>
      <c r="B275" t="inlineStr">
        <is>
          <t>Professional Supplier 028</t>
        </is>
      </c>
      <c r="C275" t="inlineStr">
        <is>
          <t>Professional Services</t>
        </is>
      </c>
      <c r="D275" t="n">
        <v>2018</v>
      </c>
      <c r="E275" t="n">
        <v>10934844.82</v>
      </c>
      <c r="F275" t="n">
        <v>83177508.55</v>
      </c>
      <c r="G275" t="n">
        <v>1216.2542</v>
      </c>
      <c r="H275" t="n">
        <v>236.1948</v>
      </c>
      <c r="I275" t="n">
        <v>188.2563</v>
      </c>
      <c r="J275" t="n">
        <v>709.8753</v>
      </c>
      <c r="K275" t="n">
        <v>2020</v>
      </c>
      <c r="L275" t="n">
        <v>2035</v>
      </c>
      <c r="M275" t="n">
        <v>0.5648</v>
      </c>
      <c r="N275" t="n">
        <v>0.2914</v>
      </c>
      <c r="O275" t="n">
        <v>2020</v>
      </c>
      <c r="P275" t="inlineStr"/>
      <c r="Q275" t="inlineStr"/>
      <c r="R275" t="n">
        <v>400.0326</v>
      </c>
      <c r="S275" t="n">
        <v>0.00012906</v>
      </c>
      <c r="T275" t="n">
        <v>0.00019658</v>
      </c>
    </row>
    <row r="276">
      <c r="A276" t="inlineStr">
        <is>
          <t>SUP-0028</t>
        </is>
      </c>
      <c r="B276" t="inlineStr">
        <is>
          <t>Professional Supplier 028</t>
        </is>
      </c>
      <c r="C276" t="inlineStr">
        <is>
          <t>Professional Services</t>
        </is>
      </c>
      <c r="D276" t="n">
        <v>2019</v>
      </c>
      <c r="E276" t="n">
        <v>10076791.86</v>
      </c>
      <c r="F276" t="inlineStr"/>
      <c r="G276" t="n">
        <v>1341.5474</v>
      </c>
      <c r="H276" t="n">
        <v>133.7304</v>
      </c>
      <c r="I276" t="n">
        <v>288.4627</v>
      </c>
      <c r="J276" t="n">
        <v>975.4986</v>
      </c>
      <c r="K276" t="n">
        <v>2020</v>
      </c>
      <c r="L276" t="n">
        <v>2035</v>
      </c>
      <c r="M276" t="n">
        <v>0.5648</v>
      </c>
      <c r="N276" t="n">
        <v>0.2914</v>
      </c>
      <c r="O276" t="n">
        <v>2020</v>
      </c>
      <c r="P276" t="inlineStr"/>
      <c r="Q276" t="inlineStr"/>
      <c r="R276" t="n">
        <v>400.0326</v>
      </c>
      <c r="S276" t="n">
        <v>0.00012906</v>
      </c>
      <c r="T276" t="n">
        <v>0.00019658</v>
      </c>
    </row>
    <row r="277">
      <c r="A277" t="inlineStr">
        <is>
          <t>SUP-0028</t>
        </is>
      </c>
      <c r="B277" t="inlineStr">
        <is>
          <t>Professional Supplier 028</t>
        </is>
      </c>
      <c r="C277" t="inlineStr">
        <is>
          <t>Professional Services</t>
        </is>
      </c>
      <c r="D277" t="n">
        <v>2020</v>
      </c>
      <c r="E277" t="n">
        <v>11601723.63</v>
      </c>
      <c r="F277" t="n">
        <v>94209707.64</v>
      </c>
      <c r="G277" t="inlineStr"/>
      <c r="H277" t="n">
        <v>151.1861</v>
      </c>
      <c r="I277" t="n">
        <v>114.0265</v>
      </c>
      <c r="J277" t="n">
        <v>1186.2835</v>
      </c>
      <c r="K277" t="n">
        <v>2020</v>
      </c>
      <c r="L277" t="n">
        <v>2035</v>
      </c>
      <c r="M277" t="n">
        <v>0.5648</v>
      </c>
      <c r="N277" t="n">
        <v>0.2914</v>
      </c>
      <c r="O277" t="n">
        <v>2020</v>
      </c>
      <c r="P277" t="inlineStr"/>
      <c r="Q277" t="inlineStr"/>
      <c r="R277" t="n">
        <v>400.0326</v>
      </c>
      <c r="S277" t="n">
        <v>0.00012906</v>
      </c>
      <c r="T277" t="n">
        <v>0.00019658</v>
      </c>
    </row>
    <row r="278">
      <c r="A278" t="inlineStr">
        <is>
          <t>SUP-0028</t>
        </is>
      </c>
      <c r="B278" t="inlineStr">
        <is>
          <t>Professional Supplier 028</t>
        </is>
      </c>
      <c r="C278" t="inlineStr">
        <is>
          <t>Professional Services</t>
        </is>
      </c>
      <c r="D278" t="n">
        <v>2021</v>
      </c>
      <c r="E278" t="n">
        <v>10441791.64</v>
      </c>
      <c r="F278" t="n">
        <v>80872660.67</v>
      </c>
      <c r="G278" t="n">
        <v>1783.4779</v>
      </c>
      <c r="H278" t="n">
        <v>294.9608</v>
      </c>
      <c r="I278" t="n">
        <v>260.7057</v>
      </c>
      <c r="J278" t="inlineStr"/>
      <c r="K278" t="n">
        <v>2020</v>
      </c>
      <c r="L278" t="n">
        <v>2035</v>
      </c>
      <c r="M278" t="n">
        <v>0.5648</v>
      </c>
      <c r="N278" t="n">
        <v>0.2914</v>
      </c>
      <c r="O278" t="n">
        <v>2020</v>
      </c>
      <c r="P278" t="inlineStr"/>
      <c r="Q278" t="inlineStr"/>
      <c r="R278" t="n">
        <v>400.0326</v>
      </c>
      <c r="S278" t="n">
        <v>0.00012906</v>
      </c>
      <c r="T278" t="n">
        <v>0.00019658</v>
      </c>
    </row>
    <row r="279">
      <c r="A279" t="inlineStr">
        <is>
          <t>SUP-0028</t>
        </is>
      </c>
      <c r="B279" t="inlineStr">
        <is>
          <t>Professional Supplier 028</t>
        </is>
      </c>
      <c r="C279" t="inlineStr">
        <is>
          <t>Professional Services</t>
        </is>
      </c>
      <c r="D279" t="n">
        <v>2022</v>
      </c>
      <c r="E279" t="n">
        <v>10404054.68</v>
      </c>
      <c r="F279" t="inlineStr"/>
      <c r="G279" t="n">
        <v>1339.606</v>
      </c>
      <c r="H279" t="n">
        <v>291.1017</v>
      </c>
      <c r="I279" t="inlineStr"/>
      <c r="J279" t="n">
        <v>743.2459</v>
      </c>
      <c r="K279" t="n">
        <v>2020</v>
      </c>
      <c r="L279" t="n">
        <v>2035</v>
      </c>
      <c r="M279" t="n">
        <v>0.5648</v>
      </c>
      <c r="N279" t="n">
        <v>0.2914</v>
      </c>
      <c r="O279" t="n">
        <v>2020</v>
      </c>
      <c r="P279" t="inlineStr"/>
      <c r="Q279" t="inlineStr"/>
      <c r="R279" t="n">
        <v>400.0326</v>
      </c>
      <c r="S279" t="n">
        <v>0.00012906</v>
      </c>
      <c r="T279" t="n">
        <v>0.00019658</v>
      </c>
    </row>
    <row r="280">
      <c r="A280" t="inlineStr">
        <is>
          <t>SUP-0028</t>
        </is>
      </c>
      <c r="B280" t="inlineStr">
        <is>
          <t>Professional Supplier 028</t>
        </is>
      </c>
      <c r="C280" t="inlineStr">
        <is>
          <t>Professional Services</t>
        </is>
      </c>
      <c r="D280" t="n">
        <v>2023</v>
      </c>
      <c r="E280" t="n">
        <v>8612471.6</v>
      </c>
      <c r="F280" t="n">
        <v>87631854.26000001</v>
      </c>
      <c r="G280" t="n">
        <v>1476.3951</v>
      </c>
      <c r="H280" t="n">
        <v>384.1146</v>
      </c>
      <c r="I280" t="inlineStr"/>
      <c r="J280" t="n">
        <v>777.1594</v>
      </c>
      <c r="K280" t="n">
        <v>2020</v>
      </c>
      <c r="L280" t="n">
        <v>2035</v>
      </c>
      <c r="M280" t="n">
        <v>0.5648</v>
      </c>
      <c r="N280" t="n">
        <v>0.2914</v>
      </c>
      <c r="O280" t="n">
        <v>2020</v>
      </c>
      <c r="P280" t="inlineStr"/>
      <c r="Q280" t="inlineStr"/>
      <c r="R280" t="n">
        <v>400.0326</v>
      </c>
      <c r="S280" t="n">
        <v>0.00012906</v>
      </c>
      <c r="T280" t="n">
        <v>0.00019658</v>
      </c>
    </row>
    <row r="281">
      <c r="A281" t="inlineStr">
        <is>
          <t>SUP-0028</t>
        </is>
      </c>
      <c r="B281" t="inlineStr">
        <is>
          <t>Professional Supplier 028</t>
        </is>
      </c>
      <c r="C281" t="inlineStr">
        <is>
          <t>Professional Services</t>
        </is>
      </c>
      <c r="D281" t="n">
        <v>2024</v>
      </c>
      <c r="E281" t="n">
        <v>9677584.16</v>
      </c>
      <c r="F281" t="n">
        <v>43385189.05</v>
      </c>
      <c r="G281" t="n">
        <v>1741.4047</v>
      </c>
      <c r="H281" t="n">
        <v>388.2657</v>
      </c>
      <c r="I281" t="n">
        <v>234.8407</v>
      </c>
      <c r="J281" t="n">
        <v>993.9453</v>
      </c>
      <c r="K281" t="n">
        <v>2020</v>
      </c>
      <c r="L281" t="n">
        <v>2035</v>
      </c>
      <c r="M281" t="n">
        <v>0.5648</v>
      </c>
      <c r="N281" t="n">
        <v>0.2914</v>
      </c>
      <c r="O281" t="n">
        <v>2020</v>
      </c>
      <c r="P281" t="inlineStr"/>
      <c r="Q281" t="inlineStr"/>
      <c r="R281" t="n">
        <v>400.0326</v>
      </c>
      <c r="S281" t="n">
        <v>0.00012906</v>
      </c>
      <c r="T281" t="n">
        <v>0.00019658</v>
      </c>
    </row>
    <row r="282">
      <c r="A282" t="inlineStr">
        <is>
          <t>SUP-0029</t>
        </is>
      </c>
      <c r="B282" t="inlineStr">
        <is>
          <t>Electronics Supplier 029</t>
        </is>
      </c>
      <c r="C282" t="inlineStr">
        <is>
          <t>Electronics</t>
        </is>
      </c>
      <c r="D282" t="n">
        <v>2015</v>
      </c>
      <c r="E282" t="n">
        <v>6625342.51</v>
      </c>
      <c r="F282" t="n">
        <v>12124752.85</v>
      </c>
      <c r="G282" t="n">
        <v>8124.5053</v>
      </c>
      <c r="H282" t="inlineStr"/>
      <c r="I282" t="n">
        <v>890.9392</v>
      </c>
      <c r="J282" t="n">
        <v>6619.4641</v>
      </c>
      <c r="K282" t="inlineStr"/>
      <c r="L282" t="inlineStr"/>
      <c r="M282" t="inlineStr"/>
      <c r="N282" t="inlineStr"/>
      <c r="O282" t="n">
        <v>2018</v>
      </c>
      <c r="P282" t="n">
        <v>2040</v>
      </c>
      <c r="Q282" t="n">
        <v>0.3424</v>
      </c>
      <c r="R282" t="n">
        <v>635.1588</v>
      </c>
      <c r="S282" t="n">
        <v>0.00086105</v>
      </c>
      <c r="T282" t="n">
        <v>0.00013947</v>
      </c>
    </row>
    <row r="283">
      <c r="A283" t="inlineStr">
        <is>
          <t>SUP-0029</t>
        </is>
      </c>
      <c r="B283" t="inlineStr">
        <is>
          <t>Electronics Supplier 029</t>
        </is>
      </c>
      <c r="C283" t="inlineStr">
        <is>
          <t>Electronics</t>
        </is>
      </c>
      <c r="D283" t="n">
        <v>2016</v>
      </c>
      <c r="E283" t="n">
        <v>6306366.92</v>
      </c>
      <c r="F283" t="n">
        <v>12038438.69</v>
      </c>
      <c r="G283" t="n">
        <v>5512.5767</v>
      </c>
      <c r="H283" t="n">
        <v>591.0472</v>
      </c>
      <c r="I283" t="inlineStr"/>
      <c r="J283" t="n">
        <v>3884.1795</v>
      </c>
      <c r="K283" t="inlineStr"/>
      <c r="L283" t="inlineStr"/>
      <c r="M283" t="inlineStr"/>
      <c r="N283" t="inlineStr"/>
      <c r="O283" t="n">
        <v>2018</v>
      </c>
      <c r="P283" t="n">
        <v>2040</v>
      </c>
      <c r="Q283" t="n">
        <v>0.3424</v>
      </c>
      <c r="R283" t="n">
        <v>635.1588</v>
      </c>
      <c r="S283" t="n">
        <v>0.00086105</v>
      </c>
      <c r="T283" t="n">
        <v>0.00013947</v>
      </c>
    </row>
    <row r="284">
      <c r="A284" t="inlineStr">
        <is>
          <t>SUP-0029</t>
        </is>
      </c>
      <c r="B284" t="inlineStr">
        <is>
          <t>Electronics Supplier 029</t>
        </is>
      </c>
      <c r="C284" t="inlineStr">
        <is>
          <t>Electronics</t>
        </is>
      </c>
      <c r="D284" t="n">
        <v>2017</v>
      </c>
      <c r="E284" t="n">
        <v>7008199.23</v>
      </c>
      <c r="F284" t="n">
        <v>13868401.97</v>
      </c>
      <c r="G284" t="n">
        <v>5149.1935</v>
      </c>
      <c r="H284" t="n">
        <v>507.7829</v>
      </c>
      <c r="I284" t="n">
        <v>1132.7701</v>
      </c>
      <c r="J284" t="n">
        <v>4094.7093</v>
      </c>
      <c r="K284" t="inlineStr"/>
      <c r="L284" t="inlineStr"/>
      <c r="M284" t="inlineStr"/>
      <c r="N284" t="inlineStr"/>
      <c r="O284" t="n">
        <v>2018</v>
      </c>
      <c r="P284" t="n">
        <v>2040</v>
      </c>
      <c r="Q284" t="n">
        <v>0.3424</v>
      </c>
      <c r="R284" t="n">
        <v>635.1588</v>
      </c>
      <c r="S284" t="n">
        <v>0.00086105</v>
      </c>
      <c r="T284" t="n">
        <v>0.00013947</v>
      </c>
    </row>
    <row r="285">
      <c r="A285" t="inlineStr">
        <is>
          <t>SUP-0029</t>
        </is>
      </c>
      <c r="B285" t="inlineStr">
        <is>
          <t>Electronics Supplier 029</t>
        </is>
      </c>
      <c r="C285" t="inlineStr">
        <is>
          <t>Electronics</t>
        </is>
      </c>
      <c r="D285" t="n">
        <v>2018</v>
      </c>
      <c r="E285" t="n">
        <v>7389735.38</v>
      </c>
      <c r="F285" t="n">
        <v>15576279.16</v>
      </c>
      <c r="G285" t="n">
        <v>5094.1022</v>
      </c>
      <c r="H285" t="n">
        <v>805.5896</v>
      </c>
      <c r="I285" t="n">
        <v>589.8741</v>
      </c>
      <c r="J285" t="n">
        <v>3515.8159</v>
      </c>
      <c r="K285" t="inlineStr"/>
      <c r="L285" t="inlineStr"/>
      <c r="M285" t="inlineStr"/>
      <c r="N285" t="inlineStr"/>
      <c r="O285" t="n">
        <v>2018</v>
      </c>
      <c r="P285" t="n">
        <v>2040</v>
      </c>
      <c r="Q285" t="n">
        <v>0.3424</v>
      </c>
      <c r="R285" t="n">
        <v>635.1588</v>
      </c>
      <c r="S285" t="n">
        <v>0.00086105</v>
      </c>
      <c r="T285" t="n">
        <v>0.00013947</v>
      </c>
    </row>
    <row r="286">
      <c r="A286" t="inlineStr">
        <is>
          <t>SUP-0029</t>
        </is>
      </c>
      <c r="B286" t="inlineStr">
        <is>
          <t>Electronics Supplier 029</t>
        </is>
      </c>
      <c r="C286" t="inlineStr">
        <is>
          <t>Electronics</t>
        </is>
      </c>
      <c r="D286" t="n">
        <v>2019</v>
      </c>
      <c r="E286" t="n">
        <v>7998130.47</v>
      </c>
      <c r="F286" t="n">
        <v>20982212.65</v>
      </c>
      <c r="G286" t="inlineStr"/>
      <c r="H286" t="n">
        <v>1526.4353</v>
      </c>
      <c r="I286" t="n">
        <v>1285.1177</v>
      </c>
      <c r="J286" t="inlineStr"/>
      <c r="K286" t="inlineStr"/>
      <c r="L286" t="inlineStr"/>
      <c r="M286" t="inlineStr"/>
      <c r="N286" t="inlineStr"/>
      <c r="O286" t="n">
        <v>2018</v>
      </c>
      <c r="P286" t="n">
        <v>2040</v>
      </c>
      <c r="Q286" t="n">
        <v>0.3424</v>
      </c>
      <c r="R286" t="n">
        <v>635.1588</v>
      </c>
      <c r="S286" t="n">
        <v>0.00086105</v>
      </c>
      <c r="T286" t="n">
        <v>0.00013947</v>
      </c>
    </row>
    <row r="287">
      <c r="A287" t="inlineStr">
        <is>
          <t>SUP-0029</t>
        </is>
      </c>
      <c r="B287" t="inlineStr">
        <is>
          <t>Electronics Supplier 029</t>
        </is>
      </c>
      <c r="C287" t="inlineStr">
        <is>
          <t>Electronics</t>
        </is>
      </c>
      <c r="D287" t="n">
        <v>2020</v>
      </c>
      <c r="E287" t="n">
        <v>8850594.09</v>
      </c>
      <c r="F287" t="n">
        <v>16976255.18</v>
      </c>
      <c r="G287" t="n">
        <v>7111.9226</v>
      </c>
      <c r="H287" t="n">
        <v>1346.8754</v>
      </c>
      <c r="I287" t="n">
        <v>841.0339</v>
      </c>
      <c r="J287" t="inlineStr"/>
      <c r="K287" t="inlineStr"/>
      <c r="L287" t="inlineStr"/>
      <c r="M287" t="inlineStr"/>
      <c r="N287" t="inlineStr"/>
      <c r="O287" t="n">
        <v>2018</v>
      </c>
      <c r="P287" t="n">
        <v>2040</v>
      </c>
      <c r="Q287" t="n">
        <v>0.3424</v>
      </c>
      <c r="R287" t="n">
        <v>635.1588</v>
      </c>
      <c r="S287" t="n">
        <v>0.00086105</v>
      </c>
      <c r="T287" t="n">
        <v>0.00013947</v>
      </c>
    </row>
    <row r="288">
      <c r="A288" t="inlineStr">
        <is>
          <t>SUP-0029</t>
        </is>
      </c>
      <c r="B288" t="inlineStr">
        <is>
          <t>Electronics Supplier 029</t>
        </is>
      </c>
      <c r="C288" t="inlineStr">
        <is>
          <t>Electronics</t>
        </is>
      </c>
      <c r="D288" t="n">
        <v>2021</v>
      </c>
      <c r="E288" t="inlineStr"/>
      <c r="F288" t="n">
        <v>15701122.77</v>
      </c>
      <c r="G288" t="n">
        <v>7806.1462</v>
      </c>
      <c r="H288" t="n">
        <v>1125.9434</v>
      </c>
      <c r="I288" t="n">
        <v>680.4715</v>
      </c>
      <c r="J288" t="n">
        <v>5918.9881</v>
      </c>
      <c r="K288" t="inlineStr"/>
      <c r="L288" t="inlineStr"/>
      <c r="M288" t="inlineStr"/>
      <c r="N288" t="inlineStr"/>
      <c r="O288" t="n">
        <v>2018</v>
      </c>
      <c r="P288" t="n">
        <v>2040</v>
      </c>
      <c r="Q288" t="n">
        <v>0.3424</v>
      </c>
      <c r="R288" t="n">
        <v>635.1588</v>
      </c>
      <c r="S288" t="n">
        <v>0.00086105</v>
      </c>
      <c r="T288" t="n">
        <v>0.00013947</v>
      </c>
    </row>
    <row r="289">
      <c r="A289" t="inlineStr">
        <is>
          <t>SUP-0029</t>
        </is>
      </c>
      <c r="B289" t="inlineStr">
        <is>
          <t>Electronics Supplier 029</t>
        </is>
      </c>
      <c r="C289" t="inlineStr">
        <is>
          <t>Electronics</t>
        </is>
      </c>
      <c r="D289" t="n">
        <v>2022</v>
      </c>
      <c r="E289" t="n">
        <v>10735324.62</v>
      </c>
      <c r="F289" t="n">
        <v>17891219.27</v>
      </c>
      <c r="G289" t="n">
        <v>8815.345499999999</v>
      </c>
      <c r="H289" t="n">
        <v>2200.1079</v>
      </c>
      <c r="I289" t="n">
        <v>562.1197</v>
      </c>
      <c r="J289" t="n">
        <v>6247.8568</v>
      </c>
      <c r="K289" t="inlineStr"/>
      <c r="L289" t="inlineStr"/>
      <c r="M289" t="inlineStr"/>
      <c r="N289" t="inlineStr"/>
      <c r="O289" t="n">
        <v>2018</v>
      </c>
      <c r="P289" t="n">
        <v>2040</v>
      </c>
      <c r="Q289" t="n">
        <v>0.3424</v>
      </c>
      <c r="R289" t="n">
        <v>635.1588</v>
      </c>
      <c r="S289" t="n">
        <v>0.00086105</v>
      </c>
      <c r="T289" t="n">
        <v>0.00013947</v>
      </c>
    </row>
    <row r="290">
      <c r="A290" t="inlineStr">
        <is>
          <t>SUP-0029</t>
        </is>
      </c>
      <c r="B290" t="inlineStr">
        <is>
          <t>Electronics Supplier 029</t>
        </is>
      </c>
      <c r="C290" t="inlineStr">
        <is>
          <t>Electronics</t>
        </is>
      </c>
      <c r="D290" t="n">
        <v>2023</v>
      </c>
      <c r="E290" t="n">
        <v>9916718.630000001</v>
      </c>
      <c r="F290" t="n">
        <v>19316584.35</v>
      </c>
      <c r="G290" t="n">
        <v>6359.6148</v>
      </c>
      <c r="H290" t="n">
        <v>1621.7724</v>
      </c>
      <c r="I290" t="n">
        <v>529.0767</v>
      </c>
      <c r="J290" t="n">
        <v>3991.6295</v>
      </c>
      <c r="K290" t="inlineStr"/>
      <c r="L290" t="inlineStr"/>
      <c r="M290" t="inlineStr"/>
      <c r="N290" t="inlineStr"/>
      <c r="O290" t="n">
        <v>2018</v>
      </c>
      <c r="P290" t="n">
        <v>2040</v>
      </c>
      <c r="Q290" t="n">
        <v>0.3424</v>
      </c>
      <c r="R290" t="n">
        <v>635.1588</v>
      </c>
      <c r="S290" t="n">
        <v>0.00086105</v>
      </c>
      <c r="T290" t="n">
        <v>0.00013947</v>
      </c>
    </row>
    <row r="291">
      <c r="A291" t="inlineStr">
        <is>
          <t>SUP-0029</t>
        </is>
      </c>
      <c r="B291" t="inlineStr">
        <is>
          <t>Electronics Supplier 029</t>
        </is>
      </c>
      <c r="C291" t="inlineStr">
        <is>
          <t>Electronics</t>
        </is>
      </c>
      <c r="D291" t="n">
        <v>2024</v>
      </c>
      <c r="E291" t="inlineStr"/>
      <c r="F291" t="n">
        <v>22555584.41</v>
      </c>
      <c r="G291" t="n">
        <v>7133.4316</v>
      </c>
      <c r="H291" t="inlineStr"/>
      <c r="I291" t="inlineStr"/>
      <c r="J291" t="n">
        <v>3970.456</v>
      </c>
      <c r="K291" t="inlineStr"/>
      <c r="L291" t="inlineStr"/>
      <c r="M291" t="inlineStr"/>
      <c r="N291" t="inlineStr"/>
      <c r="O291" t="n">
        <v>2018</v>
      </c>
      <c r="P291" t="n">
        <v>2040</v>
      </c>
      <c r="Q291" t="n">
        <v>0.3424</v>
      </c>
      <c r="R291" t="n">
        <v>635.1588</v>
      </c>
      <c r="S291" t="n">
        <v>0.00086105</v>
      </c>
      <c r="T291" t="n">
        <v>0.00013947</v>
      </c>
    </row>
    <row r="292">
      <c r="A292" t="inlineStr">
        <is>
          <t>SUP-0030</t>
        </is>
      </c>
      <c r="B292" t="inlineStr">
        <is>
          <t>Agriculture Supplier 030</t>
        </is>
      </c>
      <c r="C292" t="inlineStr">
        <is>
          <t>Agriculture</t>
        </is>
      </c>
      <c r="D292" t="n">
        <v>2015</v>
      </c>
      <c r="E292" t="n">
        <v>18042216.18</v>
      </c>
      <c r="F292" t="n">
        <v>49266314.91</v>
      </c>
      <c r="G292" t="n">
        <v>18618.9736</v>
      </c>
      <c r="H292" t="n">
        <v>1985.1114</v>
      </c>
      <c r="I292" t="n">
        <v>1793.6787</v>
      </c>
      <c r="J292" t="n">
        <v>14543.0933</v>
      </c>
      <c r="K292" t="inlineStr"/>
      <c r="L292" t="inlineStr"/>
      <c r="M292" t="inlineStr"/>
      <c r="N292" t="inlineStr"/>
      <c r="O292" t="n">
        <v>2018</v>
      </c>
      <c r="P292" t="inlineStr"/>
      <c r="Q292" t="inlineStr"/>
      <c r="R292" t="n">
        <v>529.8294</v>
      </c>
      <c r="S292" t="n">
        <v>0.00091413</v>
      </c>
      <c r="T292" t="n">
        <v>0.00096913</v>
      </c>
    </row>
    <row r="293">
      <c r="A293" t="inlineStr">
        <is>
          <t>SUP-0030</t>
        </is>
      </c>
      <c r="B293" t="inlineStr">
        <is>
          <t>Agriculture Supplier 030</t>
        </is>
      </c>
      <c r="C293" t="inlineStr">
        <is>
          <t>Agriculture</t>
        </is>
      </c>
      <c r="D293" t="n">
        <v>2016</v>
      </c>
      <c r="E293" t="n">
        <v>22578638.85</v>
      </c>
      <c r="F293" t="n">
        <v>41236194.13</v>
      </c>
      <c r="G293" t="inlineStr"/>
      <c r="H293" t="n">
        <v>2960.9936</v>
      </c>
      <c r="I293" t="inlineStr"/>
      <c r="J293" t="n">
        <v>17662.4052</v>
      </c>
      <c r="K293" t="inlineStr"/>
      <c r="L293" t="inlineStr"/>
      <c r="M293" t="inlineStr"/>
      <c r="N293" t="inlineStr"/>
      <c r="O293" t="n">
        <v>2018</v>
      </c>
      <c r="P293" t="inlineStr"/>
      <c r="Q293" t="inlineStr"/>
      <c r="R293" t="n">
        <v>529.8294</v>
      </c>
      <c r="S293" t="n">
        <v>0.00091413</v>
      </c>
      <c r="T293" t="n">
        <v>0.00096913</v>
      </c>
    </row>
    <row r="294">
      <c r="A294" t="inlineStr">
        <is>
          <t>SUP-0030</t>
        </is>
      </c>
      <c r="B294" t="inlineStr">
        <is>
          <t>Agriculture Supplier 030</t>
        </is>
      </c>
      <c r="C294" t="inlineStr">
        <is>
          <t>Agriculture</t>
        </is>
      </c>
      <c r="D294" t="n">
        <v>2017</v>
      </c>
      <c r="E294" t="n">
        <v>18821922.29</v>
      </c>
      <c r="F294" t="n">
        <v>45571417.69</v>
      </c>
      <c r="G294" t="inlineStr"/>
      <c r="H294" t="n">
        <v>1999.4976</v>
      </c>
      <c r="I294" t="inlineStr"/>
      <c r="J294" t="n">
        <v>15380.2292</v>
      </c>
      <c r="K294" t="inlineStr"/>
      <c r="L294" t="inlineStr"/>
      <c r="M294" t="inlineStr"/>
      <c r="N294" t="inlineStr"/>
      <c r="O294" t="n">
        <v>2018</v>
      </c>
      <c r="P294" t="inlineStr"/>
      <c r="Q294" t="inlineStr"/>
      <c r="R294" t="n">
        <v>529.8294</v>
      </c>
      <c r="S294" t="n">
        <v>0.00091413</v>
      </c>
      <c r="T294" t="n">
        <v>0.00096913</v>
      </c>
    </row>
    <row r="295">
      <c r="A295" t="inlineStr">
        <is>
          <t>SUP-0030</t>
        </is>
      </c>
      <c r="B295" t="inlineStr">
        <is>
          <t>Agriculture Supplier 030</t>
        </is>
      </c>
      <c r="C295" t="inlineStr">
        <is>
          <t>Agriculture</t>
        </is>
      </c>
      <c r="D295" t="n">
        <v>2018</v>
      </c>
      <c r="E295" t="n">
        <v>17604052.46</v>
      </c>
      <c r="F295" t="n">
        <v>41094897.79</v>
      </c>
      <c r="G295" t="n">
        <v>17540.1807</v>
      </c>
      <c r="H295" t="n">
        <v>2406.9579</v>
      </c>
      <c r="I295" t="n">
        <v>1589.7554</v>
      </c>
      <c r="J295" t="n">
        <v>12163.9124</v>
      </c>
      <c r="K295" t="inlineStr"/>
      <c r="L295" t="inlineStr"/>
      <c r="M295" t="inlineStr"/>
      <c r="N295" t="inlineStr"/>
      <c r="O295" t="n">
        <v>2018</v>
      </c>
      <c r="P295" t="inlineStr"/>
      <c r="Q295" t="inlineStr"/>
      <c r="R295" t="n">
        <v>529.8294</v>
      </c>
      <c r="S295" t="n">
        <v>0.00091413</v>
      </c>
      <c r="T295" t="n">
        <v>0.00096913</v>
      </c>
    </row>
    <row r="296">
      <c r="A296" t="inlineStr">
        <is>
          <t>SUP-0030</t>
        </is>
      </c>
      <c r="B296" t="inlineStr">
        <is>
          <t>Agriculture Supplier 030</t>
        </is>
      </c>
      <c r="C296" t="inlineStr">
        <is>
          <t>Agriculture</t>
        </is>
      </c>
      <c r="D296" t="n">
        <v>2019</v>
      </c>
      <c r="E296" t="n">
        <v>18552289.48</v>
      </c>
      <c r="F296" t="n">
        <v>32361808.01</v>
      </c>
      <c r="G296" t="n">
        <v>15767.6924</v>
      </c>
      <c r="H296" t="n">
        <v>3316.0194</v>
      </c>
      <c r="I296" t="n">
        <v>2705.7497</v>
      </c>
      <c r="J296" t="inlineStr"/>
      <c r="K296" t="inlineStr"/>
      <c r="L296" t="inlineStr"/>
      <c r="M296" t="inlineStr"/>
      <c r="N296" t="inlineStr"/>
      <c r="O296" t="n">
        <v>2018</v>
      </c>
      <c r="P296" t="inlineStr"/>
      <c r="Q296" t="inlineStr"/>
      <c r="R296" t="n">
        <v>529.8294</v>
      </c>
      <c r="S296" t="n">
        <v>0.00091413</v>
      </c>
      <c r="T296" t="n">
        <v>0.00096913</v>
      </c>
    </row>
    <row r="297">
      <c r="A297" t="inlineStr">
        <is>
          <t>SUP-0030</t>
        </is>
      </c>
      <c r="B297" t="inlineStr">
        <is>
          <t>Agriculture Supplier 030</t>
        </is>
      </c>
      <c r="C297" t="inlineStr">
        <is>
          <t>Agriculture</t>
        </is>
      </c>
      <c r="D297" t="n">
        <v>2020</v>
      </c>
      <c r="E297" t="n">
        <v>18107831.32</v>
      </c>
      <c r="F297" t="n">
        <v>42460244.17</v>
      </c>
      <c r="G297" t="n">
        <v>14091.3784</v>
      </c>
      <c r="H297" t="n">
        <v>3068.9473</v>
      </c>
      <c r="I297" t="n">
        <v>1247.4139</v>
      </c>
      <c r="J297" t="inlineStr"/>
      <c r="K297" t="inlineStr"/>
      <c r="L297" t="inlineStr"/>
      <c r="M297" t="inlineStr"/>
      <c r="N297" t="inlineStr"/>
      <c r="O297" t="n">
        <v>2018</v>
      </c>
      <c r="P297" t="inlineStr"/>
      <c r="Q297" t="inlineStr"/>
      <c r="R297" t="n">
        <v>529.8294</v>
      </c>
      <c r="S297" t="n">
        <v>0.00091413</v>
      </c>
      <c r="T297" t="n">
        <v>0.00096913</v>
      </c>
    </row>
    <row r="298">
      <c r="A298" t="inlineStr">
        <is>
          <t>SUP-0030</t>
        </is>
      </c>
      <c r="B298" t="inlineStr">
        <is>
          <t>Agriculture Supplier 030</t>
        </is>
      </c>
      <c r="C298" t="inlineStr">
        <is>
          <t>Agriculture</t>
        </is>
      </c>
      <c r="D298" t="n">
        <v>2021</v>
      </c>
      <c r="E298" t="n">
        <v>18521817.66</v>
      </c>
      <c r="F298" t="n">
        <v>41139054.04</v>
      </c>
      <c r="G298" t="n">
        <v>12515.5413</v>
      </c>
      <c r="H298" t="n">
        <v>1883.1315</v>
      </c>
      <c r="I298" t="n">
        <v>987.5268</v>
      </c>
      <c r="J298" t="n">
        <v>9237.4876</v>
      </c>
      <c r="K298" t="inlineStr"/>
      <c r="L298" t="inlineStr"/>
      <c r="M298" t="inlineStr"/>
      <c r="N298" t="inlineStr"/>
      <c r="O298" t="n">
        <v>2018</v>
      </c>
      <c r="P298" t="inlineStr"/>
      <c r="Q298" t="inlineStr"/>
      <c r="R298" t="n">
        <v>529.8294</v>
      </c>
      <c r="S298" t="n">
        <v>0.00091413</v>
      </c>
      <c r="T298" t="n">
        <v>0.00096913</v>
      </c>
    </row>
    <row r="299">
      <c r="A299" t="inlineStr">
        <is>
          <t>SUP-0030</t>
        </is>
      </c>
      <c r="B299" t="inlineStr">
        <is>
          <t>Agriculture Supplier 030</t>
        </is>
      </c>
      <c r="C299" t="inlineStr">
        <is>
          <t>Agriculture</t>
        </is>
      </c>
      <c r="D299" t="n">
        <v>2022</v>
      </c>
      <c r="E299" t="n">
        <v>18301815.5</v>
      </c>
      <c r="F299" t="inlineStr"/>
      <c r="G299" t="n">
        <v>16368.1946</v>
      </c>
      <c r="H299" t="n">
        <v>2767.2346</v>
      </c>
      <c r="I299" t="n">
        <v>3056.3617</v>
      </c>
      <c r="J299" t="n">
        <v>10327.3154</v>
      </c>
      <c r="K299" t="inlineStr"/>
      <c r="L299" t="inlineStr"/>
      <c r="M299" t="inlineStr"/>
      <c r="N299" t="inlineStr"/>
      <c r="O299" t="n">
        <v>2018</v>
      </c>
      <c r="P299" t="inlineStr"/>
      <c r="Q299" t="inlineStr"/>
      <c r="R299" t="n">
        <v>529.8294</v>
      </c>
      <c r="S299" t="n">
        <v>0.00091413</v>
      </c>
      <c r="T299" t="n">
        <v>0.00096913</v>
      </c>
    </row>
    <row r="300">
      <c r="A300" t="inlineStr">
        <is>
          <t>SUP-0030</t>
        </is>
      </c>
      <c r="B300" t="inlineStr">
        <is>
          <t>Agriculture Supplier 030</t>
        </is>
      </c>
      <c r="C300" t="inlineStr">
        <is>
          <t>Agriculture</t>
        </is>
      </c>
      <c r="D300" t="n">
        <v>2023</v>
      </c>
      <c r="E300" t="n">
        <v>16524050.92</v>
      </c>
      <c r="F300" t="n">
        <v>38785997.23</v>
      </c>
      <c r="G300" t="n">
        <v>11440.1404</v>
      </c>
      <c r="H300" t="n">
        <v>1061.0448</v>
      </c>
      <c r="I300" t="n">
        <v>1889.3486</v>
      </c>
      <c r="J300" t="n">
        <v>9204.3145</v>
      </c>
      <c r="K300" t="inlineStr"/>
      <c r="L300" t="inlineStr"/>
      <c r="M300" t="inlineStr"/>
      <c r="N300" t="inlineStr"/>
      <c r="O300" t="n">
        <v>2018</v>
      </c>
      <c r="P300" t="inlineStr"/>
      <c r="Q300" t="inlineStr"/>
      <c r="R300" t="n">
        <v>529.8294</v>
      </c>
      <c r="S300" t="n">
        <v>0.00091413</v>
      </c>
      <c r="T300" t="n">
        <v>0.00096913</v>
      </c>
    </row>
    <row r="301">
      <c r="A301" t="inlineStr">
        <is>
          <t>SUP-0030</t>
        </is>
      </c>
      <c r="B301" t="inlineStr">
        <is>
          <t>Agriculture Supplier 030</t>
        </is>
      </c>
      <c r="C301" t="inlineStr">
        <is>
          <t>Agriculture</t>
        </is>
      </c>
      <c r="D301" t="n">
        <v>2024</v>
      </c>
      <c r="E301" t="n">
        <v>15915540.15</v>
      </c>
      <c r="F301" t="inlineStr"/>
      <c r="G301" t="inlineStr"/>
      <c r="H301" t="n">
        <v>2203.8091</v>
      </c>
      <c r="I301" t="n">
        <v>1657.8494</v>
      </c>
      <c r="J301" t="inlineStr"/>
      <c r="K301" t="inlineStr"/>
      <c r="L301" t="inlineStr"/>
      <c r="M301" t="inlineStr"/>
      <c r="N301" t="inlineStr"/>
      <c r="O301" t="n">
        <v>2018</v>
      </c>
      <c r="P301" t="inlineStr"/>
      <c r="Q301" t="inlineStr"/>
      <c r="R301" t="n">
        <v>529.8294</v>
      </c>
      <c r="S301" t="n">
        <v>0.00091413</v>
      </c>
      <c r="T301" t="n">
        <v>0.00096913</v>
      </c>
    </row>
    <row r="302">
      <c r="A302" t="inlineStr">
        <is>
          <t>SUP-0031</t>
        </is>
      </c>
      <c r="B302" t="inlineStr">
        <is>
          <t>Professional Supplier 031</t>
        </is>
      </c>
      <c r="C302" t="inlineStr">
        <is>
          <t>Professional Services</t>
        </is>
      </c>
      <c r="D302" t="n">
        <v>2015</v>
      </c>
      <c r="E302" t="n">
        <v>3004016.47</v>
      </c>
      <c r="F302" t="n">
        <v>17756360.63</v>
      </c>
      <c r="G302" t="inlineStr"/>
      <c r="H302" t="n">
        <v>56.34</v>
      </c>
      <c r="I302" t="n">
        <v>53.2193</v>
      </c>
      <c r="J302" t="n">
        <v>235.0708</v>
      </c>
      <c r="K302" t="n">
        <v>2020</v>
      </c>
      <c r="L302" t="n">
        <v>2040</v>
      </c>
      <c r="M302" t="n">
        <v>0.6432</v>
      </c>
      <c r="N302" t="n">
        <v>0.4028</v>
      </c>
      <c r="O302" t="n">
        <v>2020</v>
      </c>
      <c r="P302" t="inlineStr"/>
      <c r="Q302" t="inlineStr"/>
      <c r="R302" t="n">
        <v>400.0326</v>
      </c>
      <c r="S302" t="n">
        <v>0.00012906</v>
      </c>
      <c r="T302" t="n">
        <v>0.00019658</v>
      </c>
    </row>
    <row r="303">
      <c r="A303" t="inlineStr">
        <is>
          <t>SUP-0031</t>
        </is>
      </c>
      <c r="B303" t="inlineStr">
        <is>
          <t>Professional Supplier 031</t>
        </is>
      </c>
      <c r="C303" t="inlineStr">
        <is>
          <t>Professional Services</t>
        </is>
      </c>
      <c r="D303" t="n">
        <v>2016</v>
      </c>
      <c r="E303" t="n">
        <v>2925851.7</v>
      </c>
      <c r="F303" t="n">
        <v>19805434.09</v>
      </c>
      <c r="G303" t="n">
        <v>311.4812</v>
      </c>
      <c r="H303" t="n">
        <v>74.03100000000001</v>
      </c>
      <c r="I303" t="n">
        <v>40.4403</v>
      </c>
      <c r="J303" t="n">
        <v>206.2032</v>
      </c>
      <c r="K303" t="n">
        <v>2020</v>
      </c>
      <c r="L303" t="n">
        <v>2040</v>
      </c>
      <c r="M303" t="n">
        <v>0.6432</v>
      </c>
      <c r="N303" t="n">
        <v>0.4028</v>
      </c>
      <c r="O303" t="n">
        <v>2020</v>
      </c>
      <c r="P303" t="inlineStr"/>
      <c r="Q303" t="inlineStr"/>
      <c r="R303" t="n">
        <v>400.0326</v>
      </c>
      <c r="S303" t="n">
        <v>0.00012906</v>
      </c>
      <c r="T303" t="n">
        <v>0.00019658</v>
      </c>
    </row>
    <row r="304">
      <c r="A304" t="inlineStr">
        <is>
          <t>SUP-0031</t>
        </is>
      </c>
      <c r="B304" t="inlineStr">
        <is>
          <t>Professional Supplier 031</t>
        </is>
      </c>
      <c r="C304" t="inlineStr">
        <is>
          <t>Professional Services</t>
        </is>
      </c>
      <c r="D304" t="n">
        <v>2017</v>
      </c>
      <c r="E304" t="inlineStr"/>
      <c r="F304" t="inlineStr"/>
      <c r="G304" t="n">
        <v>421.4287</v>
      </c>
      <c r="H304" t="inlineStr"/>
      <c r="I304" t="n">
        <v>34.0029</v>
      </c>
      <c r="J304" t="n">
        <v>270.3779</v>
      </c>
      <c r="K304" t="n">
        <v>2020</v>
      </c>
      <c r="L304" t="n">
        <v>2040</v>
      </c>
      <c r="M304" t="n">
        <v>0.6432</v>
      </c>
      <c r="N304" t="n">
        <v>0.4028</v>
      </c>
      <c r="O304" t="n">
        <v>2020</v>
      </c>
      <c r="P304" t="inlineStr"/>
      <c r="Q304" t="inlineStr"/>
      <c r="R304" t="n">
        <v>400.0326</v>
      </c>
      <c r="S304" t="n">
        <v>0.00012906</v>
      </c>
      <c r="T304" t="n">
        <v>0.00019658</v>
      </c>
    </row>
    <row r="305">
      <c r="A305" t="inlineStr">
        <is>
          <t>SUP-0031</t>
        </is>
      </c>
      <c r="B305" t="inlineStr">
        <is>
          <t>Professional Supplier 031</t>
        </is>
      </c>
      <c r="C305" t="inlineStr">
        <is>
          <t>Professional Services</t>
        </is>
      </c>
      <c r="D305" t="n">
        <v>2018</v>
      </c>
      <c r="E305" t="inlineStr"/>
      <c r="F305" t="n">
        <v>19981018.46</v>
      </c>
      <c r="G305" t="n">
        <v>407.9021</v>
      </c>
      <c r="H305" t="inlineStr"/>
      <c r="I305" t="n">
        <v>61.1513</v>
      </c>
      <c r="J305" t="inlineStr"/>
      <c r="K305" t="n">
        <v>2020</v>
      </c>
      <c r="L305" t="n">
        <v>2040</v>
      </c>
      <c r="M305" t="n">
        <v>0.6432</v>
      </c>
      <c r="N305" t="n">
        <v>0.4028</v>
      </c>
      <c r="O305" t="n">
        <v>2020</v>
      </c>
      <c r="P305" t="inlineStr"/>
      <c r="Q305" t="inlineStr"/>
      <c r="R305" t="n">
        <v>400.0326</v>
      </c>
      <c r="S305" t="n">
        <v>0.00012906</v>
      </c>
      <c r="T305" t="n">
        <v>0.00019658</v>
      </c>
    </row>
    <row r="306">
      <c r="A306" t="inlineStr">
        <is>
          <t>SUP-0031</t>
        </is>
      </c>
      <c r="B306" t="inlineStr">
        <is>
          <t>Professional Supplier 031</t>
        </is>
      </c>
      <c r="C306" t="inlineStr">
        <is>
          <t>Professional Services</t>
        </is>
      </c>
      <c r="D306" t="n">
        <v>2019</v>
      </c>
      <c r="E306" t="n">
        <v>3930606.99</v>
      </c>
      <c r="F306" t="n">
        <v>21069740</v>
      </c>
      <c r="G306" t="inlineStr"/>
      <c r="H306" t="n">
        <v>33.2566</v>
      </c>
      <c r="I306" t="n">
        <v>58.4651</v>
      </c>
      <c r="J306" t="n">
        <v>269.274</v>
      </c>
      <c r="K306" t="n">
        <v>2020</v>
      </c>
      <c r="L306" t="n">
        <v>2040</v>
      </c>
      <c r="M306" t="n">
        <v>0.6432</v>
      </c>
      <c r="N306" t="n">
        <v>0.4028</v>
      </c>
      <c r="O306" t="n">
        <v>2020</v>
      </c>
      <c r="P306" t="inlineStr"/>
      <c r="Q306" t="inlineStr"/>
      <c r="R306" t="n">
        <v>400.0326</v>
      </c>
      <c r="S306" t="n">
        <v>0.00012906</v>
      </c>
      <c r="T306" t="n">
        <v>0.00019658</v>
      </c>
    </row>
    <row r="307">
      <c r="A307" t="inlineStr">
        <is>
          <t>SUP-0031</t>
        </is>
      </c>
      <c r="B307" t="inlineStr">
        <is>
          <t>Professional Supplier 031</t>
        </is>
      </c>
      <c r="C307" t="inlineStr">
        <is>
          <t>Professional Services</t>
        </is>
      </c>
      <c r="D307" t="n">
        <v>2020</v>
      </c>
      <c r="E307" t="n">
        <v>3704725.04</v>
      </c>
      <c r="F307" t="n">
        <v>24951207.08</v>
      </c>
      <c r="G307" t="inlineStr"/>
      <c r="H307" t="n">
        <v>100.3826</v>
      </c>
      <c r="I307" t="n">
        <v>85.9776</v>
      </c>
      <c r="J307" t="n">
        <v>235.2155</v>
      </c>
      <c r="K307" t="n">
        <v>2020</v>
      </c>
      <c r="L307" t="n">
        <v>2040</v>
      </c>
      <c r="M307" t="n">
        <v>0.6432</v>
      </c>
      <c r="N307" t="n">
        <v>0.4028</v>
      </c>
      <c r="O307" t="n">
        <v>2020</v>
      </c>
      <c r="P307" t="inlineStr"/>
      <c r="Q307" t="inlineStr"/>
      <c r="R307" t="n">
        <v>400.0326</v>
      </c>
      <c r="S307" t="n">
        <v>0.00012906</v>
      </c>
      <c r="T307" t="n">
        <v>0.00019658</v>
      </c>
    </row>
    <row r="308">
      <c r="A308" t="inlineStr">
        <is>
          <t>SUP-0031</t>
        </is>
      </c>
      <c r="B308" t="inlineStr">
        <is>
          <t>Professional Supplier 031</t>
        </is>
      </c>
      <c r="C308" t="inlineStr">
        <is>
          <t>Professional Services</t>
        </is>
      </c>
      <c r="D308" t="n">
        <v>2021</v>
      </c>
      <c r="E308" t="inlineStr"/>
      <c r="F308" t="n">
        <v>28762451.83</v>
      </c>
      <c r="G308" t="inlineStr"/>
      <c r="H308" t="n">
        <v>110.5688</v>
      </c>
      <c r="I308" t="n">
        <v>80.527</v>
      </c>
      <c r="J308" t="n">
        <v>306.346</v>
      </c>
      <c r="K308" t="n">
        <v>2020</v>
      </c>
      <c r="L308" t="n">
        <v>2040</v>
      </c>
      <c r="M308" t="n">
        <v>0.6432</v>
      </c>
      <c r="N308" t="n">
        <v>0.4028</v>
      </c>
      <c r="O308" t="n">
        <v>2020</v>
      </c>
      <c r="P308" t="inlineStr"/>
      <c r="Q308" t="inlineStr"/>
      <c r="R308" t="n">
        <v>400.0326</v>
      </c>
      <c r="S308" t="n">
        <v>0.00012906</v>
      </c>
      <c r="T308" t="n">
        <v>0.00019658</v>
      </c>
    </row>
    <row r="309">
      <c r="A309" t="inlineStr">
        <is>
          <t>SUP-0031</t>
        </is>
      </c>
      <c r="B309" t="inlineStr">
        <is>
          <t>Professional Supplier 031</t>
        </is>
      </c>
      <c r="C309" t="inlineStr">
        <is>
          <t>Professional Services</t>
        </is>
      </c>
      <c r="D309" t="n">
        <v>2022</v>
      </c>
      <c r="E309" t="n">
        <v>4332340.83</v>
      </c>
      <c r="F309" t="n">
        <v>26558230.44</v>
      </c>
      <c r="G309" t="n">
        <v>668.5623000000001</v>
      </c>
      <c r="H309" t="n">
        <v>67.8244</v>
      </c>
      <c r="I309" t="n">
        <v>90.0718</v>
      </c>
      <c r="J309" t="n">
        <v>513.3864</v>
      </c>
      <c r="K309" t="n">
        <v>2020</v>
      </c>
      <c r="L309" t="n">
        <v>2040</v>
      </c>
      <c r="M309" t="n">
        <v>0.6432</v>
      </c>
      <c r="N309" t="n">
        <v>0.4028</v>
      </c>
      <c r="O309" t="n">
        <v>2020</v>
      </c>
      <c r="P309" t="inlineStr"/>
      <c r="Q309" t="inlineStr"/>
      <c r="R309" t="n">
        <v>400.0326</v>
      </c>
      <c r="S309" t="n">
        <v>0.00012906</v>
      </c>
      <c r="T309" t="n">
        <v>0.00019658</v>
      </c>
    </row>
    <row r="310">
      <c r="A310" t="inlineStr">
        <is>
          <t>SUP-0031</t>
        </is>
      </c>
      <c r="B310" t="inlineStr">
        <is>
          <t>Professional Supplier 031</t>
        </is>
      </c>
      <c r="C310" t="inlineStr">
        <is>
          <t>Professional Services</t>
        </is>
      </c>
      <c r="D310" t="n">
        <v>2023</v>
      </c>
      <c r="E310" t="n">
        <v>3549332.96</v>
      </c>
      <c r="F310" t="n">
        <v>36501902.74</v>
      </c>
      <c r="G310" t="n">
        <v>408.8853</v>
      </c>
      <c r="H310" t="inlineStr"/>
      <c r="I310" t="n">
        <v>60.6548</v>
      </c>
      <c r="J310" t="n">
        <v>307.5884</v>
      </c>
      <c r="K310" t="n">
        <v>2020</v>
      </c>
      <c r="L310" t="n">
        <v>2040</v>
      </c>
      <c r="M310" t="n">
        <v>0.6432</v>
      </c>
      <c r="N310" t="n">
        <v>0.4028</v>
      </c>
      <c r="O310" t="n">
        <v>2020</v>
      </c>
      <c r="P310" t="inlineStr"/>
      <c r="Q310" t="inlineStr"/>
      <c r="R310" t="n">
        <v>400.0326</v>
      </c>
      <c r="S310" t="n">
        <v>0.00012906</v>
      </c>
      <c r="T310" t="n">
        <v>0.00019658</v>
      </c>
    </row>
    <row r="311">
      <c r="A311" t="inlineStr">
        <is>
          <t>SUP-0031</t>
        </is>
      </c>
      <c r="B311" t="inlineStr">
        <is>
          <t>Professional Supplier 031</t>
        </is>
      </c>
      <c r="C311" t="inlineStr">
        <is>
          <t>Professional Services</t>
        </is>
      </c>
      <c r="D311" t="n">
        <v>2024</v>
      </c>
      <c r="E311" t="n">
        <v>4199829.89</v>
      </c>
      <c r="F311" t="n">
        <v>25452946.39</v>
      </c>
      <c r="G311" t="n">
        <v>478.731</v>
      </c>
      <c r="H311" t="n">
        <v>128.1063</v>
      </c>
      <c r="I311" t="n">
        <v>68.4752</v>
      </c>
      <c r="J311" t="n">
        <v>322.0936</v>
      </c>
      <c r="K311" t="n">
        <v>2020</v>
      </c>
      <c r="L311" t="n">
        <v>2040</v>
      </c>
      <c r="M311" t="n">
        <v>0.6432</v>
      </c>
      <c r="N311" t="n">
        <v>0.4028</v>
      </c>
      <c r="O311" t="n">
        <v>2020</v>
      </c>
      <c r="P311" t="inlineStr"/>
      <c r="Q311" t="inlineStr"/>
      <c r="R311" t="n">
        <v>400.0326</v>
      </c>
      <c r="S311" t="n">
        <v>0.00012906</v>
      </c>
      <c r="T311" t="n">
        <v>0.00019658</v>
      </c>
    </row>
    <row r="312">
      <c r="A312" t="inlineStr">
        <is>
          <t>SUP-0032</t>
        </is>
      </c>
      <c r="B312" t="inlineStr">
        <is>
          <t>Agriculture Supplier 032</t>
        </is>
      </c>
      <c r="C312" t="inlineStr">
        <is>
          <t>Agriculture</t>
        </is>
      </c>
      <c r="D312" t="n">
        <v>2015</v>
      </c>
      <c r="E312" t="n">
        <v>10872755.8</v>
      </c>
      <c r="F312" t="n">
        <v>52395202.39</v>
      </c>
      <c r="G312" t="n">
        <v>13285.48</v>
      </c>
      <c r="H312" t="n">
        <v>2992.7717</v>
      </c>
      <c r="I312" t="n">
        <v>1832.3549</v>
      </c>
      <c r="J312" t="n">
        <v>7796.869</v>
      </c>
      <c r="K312" t="n">
        <v>2018</v>
      </c>
      <c r="L312" t="n">
        <v>2035</v>
      </c>
      <c r="M312" t="n">
        <v>0.4241</v>
      </c>
      <c r="N312" t="n">
        <v>0.1876</v>
      </c>
      <c r="O312" t="n">
        <v>2018</v>
      </c>
      <c r="P312" t="inlineStr"/>
      <c r="Q312" t="inlineStr"/>
      <c r="R312" t="n">
        <v>529.8294</v>
      </c>
      <c r="S312" t="n">
        <v>0.00091413</v>
      </c>
      <c r="T312" t="n">
        <v>0.00096913</v>
      </c>
    </row>
    <row r="313">
      <c r="A313" t="inlineStr">
        <is>
          <t>SUP-0032</t>
        </is>
      </c>
      <c r="B313" t="inlineStr">
        <is>
          <t>Agriculture Supplier 032</t>
        </is>
      </c>
      <c r="C313" t="inlineStr">
        <is>
          <t>Agriculture</t>
        </is>
      </c>
      <c r="D313" t="n">
        <v>2016</v>
      </c>
      <c r="E313" t="n">
        <v>9327629.82</v>
      </c>
      <c r="F313" t="n">
        <v>65566595</v>
      </c>
      <c r="G313" t="n">
        <v>12907.0205</v>
      </c>
      <c r="H313" t="n">
        <v>1437.1944</v>
      </c>
      <c r="I313" t="n">
        <v>2051.5138</v>
      </c>
      <c r="J313" t="n">
        <v>8698.0442</v>
      </c>
      <c r="K313" t="n">
        <v>2018</v>
      </c>
      <c r="L313" t="n">
        <v>2035</v>
      </c>
      <c r="M313" t="n">
        <v>0.4241</v>
      </c>
      <c r="N313" t="n">
        <v>0.1876</v>
      </c>
      <c r="O313" t="n">
        <v>2018</v>
      </c>
      <c r="P313" t="inlineStr"/>
      <c r="Q313" t="inlineStr"/>
      <c r="R313" t="n">
        <v>529.8294</v>
      </c>
      <c r="S313" t="n">
        <v>0.00091413</v>
      </c>
      <c r="T313" t="n">
        <v>0.00096913</v>
      </c>
    </row>
    <row r="314">
      <c r="A314" t="inlineStr">
        <is>
          <t>SUP-0032</t>
        </is>
      </c>
      <c r="B314" t="inlineStr">
        <is>
          <t>Agriculture Supplier 032</t>
        </is>
      </c>
      <c r="C314" t="inlineStr">
        <is>
          <t>Agriculture</t>
        </is>
      </c>
      <c r="D314" t="n">
        <v>2017</v>
      </c>
      <c r="E314" t="n">
        <v>12267486.34</v>
      </c>
      <c r="F314" t="inlineStr"/>
      <c r="G314" t="inlineStr"/>
      <c r="H314" t="inlineStr"/>
      <c r="I314" t="n">
        <v>1412.7172</v>
      </c>
      <c r="J314" t="n">
        <v>10176.5553</v>
      </c>
      <c r="K314" t="n">
        <v>2018</v>
      </c>
      <c r="L314" t="n">
        <v>2035</v>
      </c>
      <c r="M314" t="n">
        <v>0.4241</v>
      </c>
      <c r="N314" t="n">
        <v>0.1876</v>
      </c>
      <c r="O314" t="n">
        <v>2018</v>
      </c>
      <c r="P314" t="inlineStr"/>
      <c r="Q314" t="inlineStr"/>
      <c r="R314" t="n">
        <v>529.8294</v>
      </c>
      <c r="S314" t="n">
        <v>0.00091413</v>
      </c>
      <c r="T314" t="n">
        <v>0.00096913</v>
      </c>
    </row>
    <row r="315">
      <c r="A315" t="inlineStr">
        <is>
          <t>SUP-0032</t>
        </is>
      </c>
      <c r="B315" t="inlineStr">
        <is>
          <t>Agriculture Supplier 032</t>
        </is>
      </c>
      <c r="C315" t="inlineStr">
        <is>
          <t>Agriculture</t>
        </is>
      </c>
      <c r="D315" t="n">
        <v>2018</v>
      </c>
      <c r="E315" t="n">
        <v>11230768.86</v>
      </c>
      <c r="F315" t="n">
        <v>69383233.51000001</v>
      </c>
      <c r="G315" t="n">
        <v>12826.0723</v>
      </c>
      <c r="H315" t="n">
        <v>2326.8859</v>
      </c>
      <c r="I315" t="n">
        <v>2073.1539</v>
      </c>
      <c r="J315" t="n">
        <v>8546.968000000001</v>
      </c>
      <c r="K315" t="n">
        <v>2018</v>
      </c>
      <c r="L315" t="n">
        <v>2035</v>
      </c>
      <c r="M315" t="n">
        <v>0.4241</v>
      </c>
      <c r="N315" t="n">
        <v>0.1876</v>
      </c>
      <c r="O315" t="n">
        <v>2018</v>
      </c>
      <c r="P315" t="inlineStr"/>
      <c r="Q315" t="inlineStr"/>
      <c r="R315" t="n">
        <v>529.8294</v>
      </c>
      <c r="S315" t="n">
        <v>0.00091413</v>
      </c>
      <c r="T315" t="n">
        <v>0.00096913</v>
      </c>
    </row>
    <row r="316">
      <c r="A316" t="inlineStr">
        <is>
          <t>SUP-0032</t>
        </is>
      </c>
      <c r="B316" t="inlineStr">
        <is>
          <t>Agriculture Supplier 032</t>
        </is>
      </c>
      <c r="C316" t="inlineStr">
        <is>
          <t>Agriculture</t>
        </is>
      </c>
      <c r="D316" t="n">
        <v>2019</v>
      </c>
      <c r="E316" t="n">
        <v>12143317.88</v>
      </c>
      <c r="F316" t="n">
        <v>69591023.87</v>
      </c>
      <c r="G316" t="n">
        <v>10332.4968</v>
      </c>
      <c r="H316" t="n">
        <v>1038.5054</v>
      </c>
      <c r="I316" t="n">
        <v>884.1233999999999</v>
      </c>
      <c r="J316" t="n">
        <v>8114.8356</v>
      </c>
      <c r="K316" t="n">
        <v>2018</v>
      </c>
      <c r="L316" t="n">
        <v>2035</v>
      </c>
      <c r="M316" t="n">
        <v>0.4241</v>
      </c>
      <c r="N316" t="n">
        <v>0.1876</v>
      </c>
      <c r="O316" t="n">
        <v>2018</v>
      </c>
      <c r="P316" t="inlineStr"/>
      <c r="Q316" t="inlineStr"/>
      <c r="R316" t="n">
        <v>529.8294</v>
      </c>
      <c r="S316" t="n">
        <v>0.00091413</v>
      </c>
      <c r="T316" t="n">
        <v>0.00096913</v>
      </c>
    </row>
    <row r="317">
      <c r="A317" t="inlineStr">
        <is>
          <t>SUP-0032</t>
        </is>
      </c>
      <c r="B317" t="inlineStr">
        <is>
          <t>Agriculture Supplier 032</t>
        </is>
      </c>
      <c r="C317" t="inlineStr">
        <is>
          <t>Agriculture</t>
        </is>
      </c>
      <c r="D317" t="n">
        <v>2020</v>
      </c>
      <c r="E317" t="inlineStr"/>
      <c r="F317" t="n">
        <v>66636943</v>
      </c>
      <c r="G317" t="n">
        <v>13116.4</v>
      </c>
      <c r="H317" t="inlineStr"/>
      <c r="I317" t="n">
        <v>2856.916</v>
      </c>
      <c r="J317" t="n">
        <v>8866.3423</v>
      </c>
      <c r="K317" t="n">
        <v>2018</v>
      </c>
      <c r="L317" t="n">
        <v>2035</v>
      </c>
      <c r="M317" t="n">
        <v>0.4241</v>
      </c>
      <c r="N317" t="n">
        <v>0.1876</v>
      </c>
      <c r="O317" t="n">
        <v>2018</v>
      </c>
      <c r="P317" t="inlineStr"/>
      <c r="Q317" t="inlineStr"/>
      <c r="R317" t="n">
        <v>529.8294</v>
      </c>
      <c r="S317" t="n">
        <v>0.00091413</v>
      </c>
      <c r="T317" t="n">
        <v>0.00096913</v>
      </c>
    </row>
    <row r="318">
      <c r="A318" t="inlineStr">
        <is>
          <t>SUP-0032</t>
        </is>
      </c>
      <c r="B318" t="inlineStr">
        <is>
          <t>Agriculture Supplier 032</t>
        </is>
      </c>
      <c r="C318" t="inlineStr">
        <is>
          <t>Agriculture</t>
        </is>
      </c>
      <c r="D318" t="n">
        <v>2021</v>
      </c>
      <c r="E318" t="n">
        <v>13170726.16</v>
      </c>
      <c r="F318" t="n">
        <v>65425815.79</v>
      </c>
      <c r="G318" t="inlineStr"/>
      <c r="H318" t="n">
        <v>4190.0397</v>
      </c>
      <c r="I318" t="n">
        <v>2595.8726</v>
      </c>
      <c r="J318" t="n">
        <v>9169.6808</v>
      </c>
      <c r="K318" t="n">
        <v>2018</v>
      </c>
      <c r="L318" t="n">
        <v>2035</v>
      </c>
      <c r="M318" t="n">
        <v>0.4241</v>
      </c>
      <c r="N318" t="n">
        <v>0.1876</v>
      </c>
      <c r="O318" t="n">
        <v>2018</v>
      </c>
      <c r="P318" t="inlineStr"/>
      <c r="Q318" t="inlineStr"/>
      <c r="R318" t="n">
        <v>529.8294</v>
      </c>
      <c r="S318" t="n">
        <v>0.00091413</v>
      </c>
      <c r="T318" t="n">
        <v>0.00096913</v>
      </c>
    </row>
    <row r="319">
      <c r="A319" t="inlineStr">
        <is>
          <t>SUP-0032</t>
        </is>
      </c>
      <c r="B319" t="inlineStr">
        <is>
          <t>Agriculture Supplier 032</t>
        </is>
      </c>
      <c r="C319" t="inlineStr">
        <is>
          <t>Agriculture</t>
        </is>
      </c>
      <c r="D319" t="n">
        <v>2022</v>
      </c>
      <c r="E319" t="n">
        <v>11860767.79</v>
      </c>
      <c r="F319" t="n">
        <v>63374990.44</v>
      </c>
      <c r="G319" t="n">
        <v>11463.3467</v>
      </c>
      <c r="H319" t="n">
        <v>903.8561999999999</v>
      </c>
      <c r="I319" t="inlineStr"/>
      <c r="J319" t="n">
        <v>7850.6146</v>
      </c>
      <c r="K319" t="n">
        <v>2018</v>
      </c>
      <c r="L319" t="n">
        <v>2035</v>
      </c>
      <c r="M319" t="n">
        <v>0.4241</v>
      </c>
      <c r="N319" t="n">
        <v>0.1876</v>
      </c>
      <c r="O319" t="n">
        <v>2018</v>
      </c>
      <c r="P319" t="inlineStr"/>
      <c r="Q319" t="inlineStr"/>
      <c r="R319" t="n">
        <v>529.8294</v>
      </c>
      <c r="S319" t="n">
        <v>0.00091413</v>
      </c>
      <c r="T319" t="n">
        <v>0.00096913</v>
      </c>
    </row>
    <row r="320">
      <c r="A320" t="inlineStr">
        <is>
          <t>SUP-0032</t>
        </is>
      </c>
      <c r="B320" t="inlineStr">
        <is>
          <t>Agriculture Supplier 032</t>
        </is>
      </c>
      <c r="C320" t="inlineStr">
        <is>
          <t>Agriculture</t>
        </is>
      </c>
      <c r="D320" t="n">
        <v>2023</v>
      </c>
      <c r="E320" t="n">
        <v>14264907.33</v>
      </c>
      <c r="F320" t="n">
        <v>97294125.38</v>
      </c>
      <c r="G320" t="inlineStr"/>
      <c r="H320" t="n">
        <v>3078.8655</v>
      </c>
      <c r="I320" t="inlineStr"/>
      <c r="J320" t="n">
        <v>8420.7435</v>
      </c>
      <c r="K320" t="n">
        <v>2018</v>
      </c>
      <c r="L320" t="n">
        <v>2035</v>
      </c>
      <c r="M320" t="n">
        <v>0.4241</v>
      </c>
      <c r="N320" t="n">
        <v>0.1876</v>
      </c>
      <c r="O320" t="n">
        <v>2018</v>
      </c>
      <c r="P320" t="inlineStr"/>
      <c r="Q320" t="inlineStr"/>
      <c r="R320" t="n">
        <v>529.8294</v>
      </c>
      <c r="S320" t="n">
        <v>0.00091413</v>
      </c>
      <c r="T320" t="n">
        <v>0.00096913</v>
      </c>
    </row>
    <row r="321">
      <c r="A321" t="inlineStr">
        <is>
          <t>SUP-0032</t>
        </is>
      </c>
      <c r="B321" t="inlineStr">
        <is>
          <t>Agriculture Supplier 032</t>
        </is>
      </c>
      <c r="C321" t="inlineStr">
        <is>
          <t>Agriculture</t>
        </is>
      </c>
      <c r="D321" t="n">
        <v>2024</v>
      </c>
      <c r="E321" t="n">
        <v>15593002.96</v>
      </c>
      <c r="F321" t="n">
        <v>95127801.88</v>
      </c>
      <c r="G321" t="inlineStr"/>
      <c r="H321" t="inlineStr"/>
      <c r="I321" t="n">
        <v>2269.1156</v>
      </c>
      <c r="J321" t="n">
        <v>9169.444799999999</v>
      </c>
      <c r="K321" t="n">
        <v>2018</v>
      </c>
      <c r="L321" t="n">
        <v>2035</v>
      </c>
      <c r="M321" t="n">
        <v>0.4241</v>
      </c>
      <c r="N321" t="n">
        <v>0.1876</v>
      </c>
      <c r="O321" t="n">
        <v>2018</v>
      </c>
      <c r="P321" t="inlineStr"/>
      <c r="Q321" t="inlineStr"/>
      <c r="R321" t="n">
        <v>529.8294</v>
      </c>
      <c r="S321" t="n">
        <v>0.00091413</v>
      </c>
      <c r="T321" t="n">
        <v>0.00096913</v>
      </c>
    </row>
    <row r="322">
      <c r="A322" t="inlineStr">
        <is>
          <t>SUP-0033</t>
        </is>
      </c>
      <c r="B322" t="inlineStr">
        <is>
          <t>Metals Supplier 033</t>
        </is>
      </c>
      <c r="C322" t="inlineStr">
        <is>
          <t>Metals</t>
        </is>
      </c>
      <c r="D322" t="n">
        <v>2015</v>
      </c>
      <c r="E322" t="n">
        <v>19083137.56</v>
      </c>
      <c r="F322" t="inlineStr"/>
      <c r="G322" t="n">
        <v>24472.9615</v>
      </c>
      <c r="H322" t="n">
        <v>2910.8656</v>
      </c>
      <c r="I322" t="n">
        <v>4352.0542</v>
      </c>
      <c r="J322" t="n">
        <v>16870.851</v>
      </c>
      <c r="K322" t="n">
        <v>2021</v>
      </c>
      <c r="L322" t="n">
        <v>2030</v>
      </c>
      <c r="M322" t="n">
        <v>0.3204</v>
      </c>
      <c r="N322" t="n">
        <v>0.1259</v>
      </c>
      <c r="O322" t="n">
        <v>2019</v>
      </c>
      <c r="P322" t="n">
        <v>2030</v>
      </c>
      <c r="Q322" t="n">
        <v>0.3852</v>
      </c>
      <c r="R322" t="n">
        <v>158.2904</v>
      </c>
      <c r="S322" t="n">
        <v>0.00100695</v>
      </c>
      <c r="T322" t="n">
        <v>0.00065008</v>
      </c>
    </row>
    <row r="323">
      <c r="A323" t="inlineStr">
        <is>
          <t>SUP-0033</t>
        </is>
      </c>
      <c r="B323" t="inlineStr">
        <is>
          <t>Metals Supplier 033</t>
        </is>
      </c>
      <c r="C323" t="inlineStr">
        <is>
          <t>Metals</t>
        </is>
      </c>
      <c r="D323" t="n">
        <v>2016</v>
      </c>
      <c r="E323" t="n">
        <v>22294928.02</v>
      </c>
      <c r="F323" t="n">
        <v>72203836.09</v>
      </c>
      <c r="G323" t="n">
        <v>28571.4715</v>
      </c>
      <c r="H323" t="n">
        <v>5896.7532</v>
      </c>
      <c r="I323" t="n">
        <v>5989.0627</v>
      </c>
      <c r="J323" t="n">
        <v>15520.792</v>
      </c>
      <c r="K323" t="n">
        <v>2021</v>
      </c>
      <c r="L323" t="n">
        <v>2030</v>
      </c>
      <c r="M323" t="n">
        <v>0.3204</v>
      </c>
      <c r="N323" t="n">
        <v>0.1259</v>
      </c>
      <c r="O323" t="n">
        <v>2019</v>
      </c>
      <c r="P323" t="n">
        <v>2030</v>
      </c>
      <c r="Q323" t="n">
        <v>0.3852</v>
      </c>
      <c r="R323" t="n">
        <v>158.2904</v>
      </c>
      <c r="S323" t="n">
        <v>0.00100695</v>
      </c>
      <c r="T323" t="n">
        <v>0.00065008</v>
      </c>
    </row>
    <row r="324">
      <c r="A324" t="inlineStr">
        <is>
          <t>SUP-0033</t>
        </is>
      </c>
      <c r="B324" t="inlineStr">
        <is>
          <t>Metals Supplier 033</t>
        </is>
      </c>
      <c r="C324" t="inlineStr">
        <is>
          <t>Metals</t>
        </is>
      </c>
      <c r="D324" t="n">
        <v>2017</v>
      </c>
      <c r="E324" t="n">
        <v>20920413.66</v>
      </c>
      <c r="F324" t="n">
        <v>59301650.88</v>
      </c>
      <c r="G324" t="n">
        <v>22786.0949</v>
      </c>
      <c r="H324" t="inlineStr"/>
      <c r="I324" t="inlineStr"/>
      <c r="J324" t="inlineStr"/>
      <c r="K324" t="n">
        <v>2021</v>
      </c>
      <c r="L324" t="n">
        <v>2030</v>
      </c>
      <c r="M324" t="n">
        <v>0.3204</v>
      </c>
      <c r="N324" t="n">
        <v>0.1259</v>
      </c>
      <c r="O324" t="n">
        <v>2019</v>
      </c>
      <c r="P324" t="n">
        <v>2030</v>
      </c>
      <c r="Q324" t="n">
        <v>0.3852</v>
      </c>
      <c r="R324" t="n">
        <v>158.2904</v>
      </c>
      <c r="S324" t="n">
        <v>0.00100695</v>
      </c>
      <c r="T324" t="n">
        <v>0.00065008</v>
      </c>
    </row>
    <row r="325">
      <c r="A325" t="inlineStr">
        <is>
          <t>SUP-0033</t>
        </is>
      </c>
      <c r="B325" t="inlineStr">
        <is>
          <t>Metals Supplier 033</t>
        </is>
      </c>
      <c r="C325" t="inlineStr">
        <is>
          <t>Metals</t>
        </is>
      </c>
      <c r="D325" t="n">
        <v>2018</v>
      </c>
      <c r="E325" t="inlineStr"/>
      <c r="F325" t="n">
        <v>76412420.56</v>
      </c>
      <c r="G325" t="inlineStr"/>
      <c r="H325" t="n">
        <v>7500.1526</v>
      </c>
      <c r="I325" t="n">
        <v>5502.6851</v>
      </c>
      <c r="J325" t="inlineStr"/>
      <c r="K325" t="n">
        <v>2021</v>
      </c>
      <c r="L325" t="n">
        <v>2030</v>
      </c>
      <c r="M325" t="n">
        <v>0.3204</v>
      </c>
      <c r="N325" t="n">
        <v>0.1259</v>
      </c>
      <c r="O325" t="n">
        <v>2019</v>
      </c>
      <c r="P325" t="n">
        <v>2030</v>
      </c>
      <c r="Q325" t="n">
        <v>0.3852</v>
      </c>
      <c r="R325" t="n">
        <v>158.2904</v>
      </c>
      <c r="S325" t="n">
        <v>0.00100695</v>
      </c>
      <c r="T325" t="n">
        <v>0.00065008</v>
      </c>
    </row>
    <row r="326">
      <c r="A326" t="inlineStr">
        <is>
          <t>SUP-0033</t>
        </is>
      </c>
      <c r="B326" t="inlineStr">
        <is>
          <t>Metals Supplier 033</t>
        </is>
      </c>
      <c r="C326" t="inlineStr">
        <is>
          <t>Metals</t>
        </is>
      </c>
      <c r="D326" t="n">
        <v>2019</v>
      </c>
      <c r="E326" t="n">
        <v>24549986.14</v>
      </c>
      <c r="F326" t="n">
        <v>84896630.59999999</v>
      </c>
      <c r="G326" t="inlineStr"/>
      <c r="H326" t="n">
        <v>5299.6861</v>
      </c>
      <c r="I326" t="n">
        <v>4204.0294</v>
      </c>
      <c r="J326" t="n">
        <v>22389.4534</v>
      </c>
      <c r="K326" t="n">
        <v>2021</v>
      </c>
      <c r="L326" t="n">
        <v>2030</v>
      </c>
      <c r="M326" t="n">
        <v>0.3204</v>
      </c>
      <c r="N326" t="n">
        <v>0.1259</v>
      </c>
      <c r="O326" t="n">
        <v>2019</v>
      </c>
      <c r="P326" t="n">
        <v>2030</v>
      </c>
      <c r="Q326" t="n">
        <v>0.3852</v>
      </c>
      <c r="R326" t="n">
        <v>158.2904</v>
      </c>
      <c r="S326" t="n">
        <v>0.00100695</v>
      </c>
      <c r="T326" t="n">
        <v>0.00065008</v>
      </c>
    </row>
    <row r="327">
      <c r="A327" t="inlineStr">
        <is>
          <t>SUP-0033</t>
        </is>
      </c>
      <c r="B327" t="inlineStr">
        <is>
          <t>Metals Supplier 033</t>
        </is>
      </c>
      <c r="C327" t="inlineStr">
        <is>
          <t>Metals</t>
        </is>
      </c>
      <c r="D327" t="n">
        <v>2020</v>
      </c>
      <c r="E327" t="n">
        <v>27062854.78</v>
      </c>
      <c r="F327" t="n">
        <v>103828985.54</v>
      </c>
      <c r="G327" t="n">
        <v>28096.8108</v>
      </c>
      <c r="H327" t="n">
        <v>5528.0715</v>
      </c>
      <c r="I327" t="n">
        <v>5404.5672</v>
      </c>
      <c r="J327" t="n">
        <v>17768.2607</v>
      </c>
      <c r="K327" t="n">
        <v>2021</v>
      </c>
      <c r="L327" t="n">
        <v>2030</v>
      </c>
      <c r="M327" t="n">
        <v>0.3204</v>
      </c>
      <c r="N327" t="n">
        <v>0.1259</v>
      </c>
      <c r="O327" t="n">
        <v>2019</v>
      </c>
      <c r="P327" t="n">
        <v>2030</v>
      </c>
      <c r="Q327" t="n">
        <v>0.3852</v>
      </c>
      <c r="R327" t="n">
        <v>158.2904</v>
      </c>
      <c r="S327" t="n">
        <v>0.00100695</v>
      </c>
      <c r="T327" t="n">
        <v>0.00065008</v>
      </c>
    </row>
    <row r="328">
      <c r="A328" t="inlineStr">
        <is>
          <t>SUP-0033</t>
        </is>
      </c>
      <c r="B328" t="inlineStr">
        <is>
          <t>Metals Supplier 033</t>
        </is>
      </c>
      <c r="C328" t="inlineStr">
        <is>
          <t>Metals</t>
        </is>
      </c>
      <c r="D328" t="n">
        <v>2021</v>
      </c>
      <c r="E328" t="n">
        <v>30418777.94</v>
      </c>
      <c r="F328" t="n">
        <v>96324971.34</v>
      </c>
      <c r="G328" t="n">
        <v>31208.1641</v>
      </c>
      <c r="H328" t="n">
        <v>3788.1208</v>
      </c>
      <c r="I328" t="inlineStr"/>
      <c r="J328" t="n">
        <v>21623.5447</v>
      </c>
      <c r="K328" t="n">
        <v>2021</v>
      </c>
      <c r="L328" t="n">
        <v>2030</v>
      </c>
      <c r="M328" t="n">
        <v>0.3204</v>
      </c>
      <c r="N328" t="n">
        <v>0.1259</v>
      </c>
      <c r="O328" t="n">
        <v>2019</v>
      </c>
      <c r="P328" t="n">
        <v>2030</v>
      </c>
      <c r="Q328" t="n">
        <v>0.3852</v>
      </c>
      <c r="R328" t="n">
        <v>158.2904</v>
      </c>
      <c r="S328" t="n">
        <v>0.00100695</v>
      </c>
      <c r="T328" t="n">
        <v>0.00065008</v>
      </c>
    </row>
    <row r="329">
      <c r="A329" t="inlineStr">
        <is>
          <t>SUP-0033</t>
        </is>
      </c>
      <c r="B329" t="inlineStr">
        <is>
          <t>Metals Supplier 033</t>
        </is>
      </c>
      <c r="C329" t="inlineStr">
        <is>
          <t>Metals</t>
        </is>
      </c>
      <c r="D329" t="n">
        <v>2022</v>
      </c>
      <c r="E329" t="n">
        <v>23529805.34</v>
      </c>
      <c r="F329" t="n">
        <v>119383452.84</v>
      </c>
      <c r="G329" t="n">
        <v>19616.2422</v>
      </c>
      <c r="H329" t="inlineStr"/>
      <c r="I329" t="n">
        <v>1477.4595</v>
      </c>
      <c r="J329" t="n">
        <v>12511.5613</v>
      </c>
      <c r="K329" t="n">
        <v>2021</v>
      </c>
      <c r="L329" t="n">
        <v>2030</v>
      </c>
      <c r="M329" t="n">
        <v>0.3204</v>
      </c>
      <c r="N329" t="n">
        <v>0.1259</v>
      </c>
      <c r="O329" t="n">
        <v>2019</v>
      </c>
      <c r="P329" t="n">
        <v>2030</v>
      </c>
      <c r="Q329" t="n">
        <v>0.3852</v>
      </c>
      <c r="R329" t="n">
        <v>158.2904</v>
      </c>
      <c r="S329" t="n">
        <v>0.00100695</v>
      </c>
      <c r="T329" t="n">
        <v>0.00065008</v>
      </c>
    </row>
    <row r="330">
      <c r="A330" t="inlineStr">
        <is>
          <t>SUP-0033</t>
        </is>
      </c>
      <c r="B330" t="inlineStr">
        <is>
          <t>Metals Supplier 033</t>
        </is>
      </c>
      <c r="C330" t="inlineStr">
        <is>
          <t>Metals</t>
        </is>
      </c>
      <c r="D330" t="n">
        <v>2023</v>
      </c>
      <c r="E330" t="n">
        <v>28512699.68</v>
      </c>
      <c r="F330" t="n">
        <v>131503386.24</v>
      </c>
      <c r="G330" t="n">
        <v>26841.4322</v>
      </c>
      <c r="H330" t="n">
        <v>7563.7242</v>
      </c>
      <c r="I330" t="n">
        <v>6354.0839</v>
      </c>
      <c r="J330" t="n">
        <v>14655.4683</v>
      </c>
      <c r="K330" t="n">
        <v>2021</v>
      </c>
      <c r="L330" t="n">
        <v>2030</v>
      </c>
      <c r="M330" t="n">
        <v>0.3204</v>
      </c>
      <c r="N330" t="n">
        <v>0.1259</v>
      </c>
      <c r="O330" t="n">
        <v>2019</v>
      </c>
      <c r="P330" t="n">
        <v>2030</v>
      </c>
      <c r="Q330" t="n">
        <v>0.3852</v>
      </c>
      <c r="R330" t="n">
        <v>158.2904</v>
      </c>
      <c r="S330" t="n">
        <v>0.00100695</v>
      </c>
      <c r="T330" t="n">
        <v>0.00065008</v>
      </c>
    </row>
    <row r="331">
      <c r="A331" t="inlineStr">
        <is>
          <t>SUP-0033</t>
        </is>
      </c>
      <c r="B331" t="inlineStr">
        <is>
          <t>Metals Supplier 033</t>
        </is>
      </c>
      <c r="C331" t="inlineStr">
        <is>
          <t>Metals</t>
        </is>
      </c>
      <c r="D331" t="n">
        <v>2024</v>
      </c>
      <c r="E331" t="n">
        <v>37962429.31</v>
      </c>
      <c r="F331" t="n">
        <v>112049870.81</v>
      </c>
      <c r="G331" t="n">
        <v>36124.2244</v>
      </c>
      <c r="H331" t="inlineStr"/>
      <c r="I331" t="n">
        <v>6049.4667</v>
      </c>
      <c r="J331" t="n">
        <v>25776.7657</v>
      </c>
      <c r="K331" t="n">
        <v>2021</v>
      </c>
      <c r="L331" t="n">
        <v>2030</v>
      </c>
      <c r="M331" t="n">
        <v>0.3204</v>
      </c>
      <c r="N331" t="n">
        <v>0.1259</v>
      </c>
      <c r="O331" t="n">
        <v>2019</v>
      </c>
      <c r="P331" t="n">
        <v>2030</v>
      </c>
      <c r="Q331" t="n">
        <v>0.3852</v>
      </c>
      <c r="R331" t="n">
        <v>158.2904</v>
      </c>
      <c r="S331" t="n">
        <v>0.00100695</v>
      </c>
      <c r="T331" t="n">
        <v>0.00065008</v>
      </c>
    </row>
    <row r="332">
      <c r="A332" t="inlineStr">
        <is>
          <t>SUP-0034</t>
        </is>
      </c>
      <c r="B332" t="inlineStr">
        <is>
          <t>Logistics Supplier 034</t>
        </is>
      </c>
      <c r="C332" t="inlineStr">
        <is>
          <t>Logistics</t>
        </is>
      </c>
      <c r="D332" t="n">
        <v>2015</v>
      </c>
      <c r="E332" t="n">
        <v>7350895.27</v>
      </c>
      <c r="F332" t="n">
        <v>24520226.74</v>
      </c>
      <c r="G332" t="n">
        <v>2843.0809</v>
      </c>
      <c r="H332" t="n">
        <v>581.3438</v>
      </c>
      <c r="I332" t="n">
        <v>437.6761</v>
      </c>
      <c r="J332" t="n">
        <v>1805.5133</v>
      </c>
      <c r="K332" t="n">
        <v>2020</v>
      </c>
      <c r="L332" t="n">
        <v>2035</v>
      </c>
      <c r="M332" t="n">
        <v>0.5058</v>
      </c>
      <c r="N332" t="n">
        <v>0.1853</v>
      </c>
      <c r="O332" t="n">
        <v>2019</v>
      </c>
      <c r="P332" t="n">
        <v>2040</v>
      </c>
      <c r="Q332" t="n">
        <v>0.4616</v>
      </c>
      <c r="R332" t="n">
        <v>591.6386</v>
      </c>
      <c r="S332" t="n">
        <v>0.00022349</v>
      </c>
      <c r="T332" t="n">
        <v>0.00047787</v>
      </c>
    </row>
    <row r="333">
      <c r="A333" t="inlineStr">
        <is>
          <t>SUP-0034</t>
        </is>
      </c>
      <c r="B333" t="inlineStr">
        <is>
          <t>Logistics Supplier 034</t>
        </is>
      </c>
      <c r="C333" t="inlineStr">
        <is>
          <t>Logistics</t>
        </is>
      </c>
      <c r="D333" t="n">
        <v>2016</v>
      </c>
      <c r="E333" t="n">
        <v>8737207.23</v>
      </c>
      <c r="F333" t="n">
        <v>24996443.11</v>
      </c>
      <c r="G333" t="n">
        <v>2755.9862</v>
      </c>
      <c r="H333" t="n">
        <v>761.5393</v>
      </c>
      <c r="I333" t="n">
        <v>451.0303</v>
      </c>
      <c r="J333" t="n">
        <v>1612.984</v>
      </c>
      <c r="K333" t="n">
        <v>2020</v>
      </c>
      <c r="L333" t="n">
        <v>2035</v>
      </c>
      <c r="M333" t="n">
        <v>0.5058</v>
      </c>
      <c r="N333" t="n">
        <v>0.1853</v>
      </c>
      <c r="O333" t="n">
        <v>2019</v>
      </c>
      <c r="P333" t="n">
        <v>2040</v>
      </c>
      <c r="Q333" t="n">
        <v>0.4616</v>
      </c>
      <c r="R333" t="n">
        <v>591.6386</v>
      </c>
      <c r="S333" t="n">
        <v>0.00022349</v>
      </c>
      <c r="T333" t="n">
        <v>0.00047787</v>
      </c>
    </row>
    <row r="334">
      <c r="A334" t="inlineStr">
        <is>
          <t>SUP-0034</t>
        </is>
      </c>
      <c r="B334" t="inlineStr">
        <is>
          <t>Logistics Supplier 034</t>
        </is>
      </c>
      <c r="C334" t="inlineStr">
        <is>
          <t>Logistics</t>
        </is>
      </c>
      <c r="D334" t="n">
        <v>2017</v>
      </c>
      <c r="E334" t="n">
        <v>8270444.82</v>
      </c>
      <c r="F334" t="n">
        <v>22747244.25</v>
      </c>
      <c r="G334" t="n">
        <v>2839.0455</v>
      </c>
      <c r="H334" t="n">
        <v>838.0844</v>
      </c>
      <c r="I334" t="n">
        <v>518.8837</v>
      </c>
      <c r="J334" t="inlineStr"/>
      <c r="K334" t="n">
        <v>2020</v>
      </c>
      <c r="L334" t="n">
        <v>2035</v>
      </c>
      <c r="M334" t="n">
        <v>0.5058</v>
      </c>
      <c r="N334" t="n">
        <v>0.1853</v>
      </c>
      <c r="O334" t="n">
        <v>2019</v>
      </c>
      <c r="P334" t="n">
        <v>2040</v>
      </c>
      <c r="Q334" t="n">
        <v>0.4616</v>
      </c>
      <c r="R334" t="n">
        <v>591.6386</v>
      </c>
      <c r="S334" t="n">
        <v>0.00022349</v>
      </c>
      <c r="T334" t="n">
        <v>0.00047787</v>
      </c>
    </row>
    <row r="335">
      <c r="A335" t="inlineStr">
        <is>
          <t>SUP-0034</t>
        </is>
      </c>
      <c r="B335" t="inlineStr">
        <is>
          <t>Logistics Supplier 034</t>
        </is>
      </c>
      <c r="C335" t="inlineStr">
        <is>
          <t>Logistics</t>
        </is>
      </c>
      <c r="D335" t="n">
        <v>2018</v>
      </c>
      <c r="E335" t="n">
        <v>7276447.46</v>
      </c>
      <c r="F335" t="n">
        <v>20556293.54</v>
      </c>
      <c r="G335" t="inlineStr"/>
      <c r="H335" t="n">
        <v>263.9632</v>
      </c>
      <c r="I335" t="n">
        <v>233.8084</v>
      </c>
      <c r="J335" t="n">
        <v>1996.1602</v>
      </c>
      <c r="K335" t="n">
        <v>2020</v>
      </c>
      <c r="L335" t="n">
        <v>2035</v>
      </c>
      <c r="M335" t="n">
        <v>0.5058</v>
      </c>
      <c r="N335" t="n">
        <v>0.1853</v>
      </c>
      <c r="O335" t="n">
        <v>2019</v>
      </c>
      <c r="P335" t="n">
        <v>2040</v>
      </c>
      <c r="Q335" t="n">
        <v>0.4616</v>
      </c>
      <c r="R335" t="n">
        <v>591.6386</v>
      </c>
      <c r="S335" t="n">
        <v>0.00022349</v>
      </c>
      <c r="T335" t="n">
        <v>0.00047787</v>
      </c>
    </row>
    <row r="336">
      <c r="A336" t="inlineStr">
        <is>
          <t>SUP-0034</t>
        </is>
      </c>
      <c r="B336" t="inlineStr">
        <is>
          <t>Logistics Supplier 034</t>
        </is>
      </c>
      <c r="C336" t="inlineStr">
        <is>
          <t>Logistics</t>
        </is>
      </c>
      <c r="D336" t="n">
        <v>2019</v>
      </c>
      <c r="E336" t="n">
        <v>7747474.68</v>
      </c>
      <c r="F336" t="n">
        <v>22284370.32</v>
      </c>
      <c r="G336" t="inlineStr"/>
      <c r="H336" t="n">
        <v>317.6731</v>
      </c>
      <c r="I336" t="n">
        <v>154.4324</v>
      </c>
      <c r="J336" t="inlineStr"/>
      <c r="K336" t="n">
        <v>2020</v>
      </c>
      <c r="L336" t="n">
        <v>2035</v>
      </c>
      <c r="M336" t="n">
        <v>0.5058</v>
      </c>
      <c r="N336" t="n">
        <v>0.1853</v>
      </c>
      <c r="O336" t="n">
        <v>2019</v>
      </c>
      <c r="P336" t="n">
        <v>2040</v>
      </c>
      <c r="Q336" t="n">
        <v>0.4616</v>
      </c>
      <c r="R336" t="n">
        <v>591.6386</v>
      </c>
      <c r="S336" t="n">
        <v>0.00022349</v>
      </c>
      <c r="T336" t="n">
        <v>0.00047787</v>
      </c>
    </row>
    <row r="337">
      <c r="A337" t="inlineStr">
        <is>
          <t>SUP-0034</t>
        </is>
      </c>
      <c r="B337" t="inlineStr">
        <is>
          <t>Logistics Supplier 034</t>
        </is>
      </c>
      <c r="C337" t="inlineStr">
        <is>
          <t>Logistics</t>
        </is>
      </c>
      <c r="D337" t="n">
        <v>2020</v>
      </c>
      <c r="E337" t="n">
        <v>8548850.560000001</v>
      </c>
      <c r="F337" t="n">
        <v>21620277.81</v>
      </c>
      <c r="G337" t="n">
        <v>2616.4397</v>
      </c>
      <c r="H337" t="n">
        <v>270.2465</v>
      </c>
      <c r="I337" t="n">
        <v>395.2688</v>
      </c>
      <c r="J337" t="n">
        <v>1964.9596</v>
      </c>
      <c r="K337" t="n">
        <v>2020</v>
      </c>
      <c r="L337" t="n">
        <v>2035</v>
      </c>
      <c r="M337" t="n">
        <v>0.5058</v>
      </c>
      <c r="N337" t="n">
        <v>0.1853</v>
      </c>
      <c r="O337" t="n">
        <v>2019</v>
      </c>
      <c r="P337" t="n">
        <v>2040</v>
      </c>
      <c r="Q337" t="n">
        <v>0.4616</v>
      </c>
      <c r="R337" t="n">
        <v>591.6386</v>
      </c>
      <c r="S337" t="n">
        <v>0.00022349</v>
      </c>
      <c r="T337" t="n">
        <v>0.00047787</v>
      </c>
    </row>
    <row r="338">
      <c r="A338" t="inlineStr">
        <is>
          <t>SUP-0034</t>
        </is>
      </c>
      <c r="B338" t="inlineStr">
        <is>
          <t>Logistics Supplier 034</t>
        </is>
      </c>
      <c r="C338" t="inlineStr">
        <is>
          <t>Logistics</t>
        </is>
      </c>
      <c r="D338" t="n">
        <v>2021</v>
      </c>
      <c r="E338" t="n">
        <v>9136813.65</v>
      </c>
      <c r="F338" t="n">
        <v>23807349.15</v>
      </c>
      <c r="G338" t="n">
        <v>3048.8328</v>
      </c>
      <c r="H338" t="n">
        <v>333.306</v>
      </c>
      <c r="I338" t="n">
        <v>196.1071</v>
      </c>
      <c r="J338" t="n">
        <v>2473.8328</v>
      </c>
      <c r="K338" t="n">
        <v>2020</v>
      </c>
      <c r="L338" t="n">
        <v>2035</v>
      </c>
      <c r="M338" t="n">
        <v>0.5058</v>
      </c>
      <c r="N338" t="n">
        <v>0.1853</v>
      </c>
      <c r="O338" t="n">
        <v>2019</v>
      </c>
      <c r="P338" t="n">
        <v>2040</v>
      </c>
      <c r="Q338" t="n">
        <v>0.4616</v>
      </c>
      <c r="R338" t="n">
        <v>591.6386</v>
      </c>
      <c r="S338" t="n">
        <v>0.00022349</v>
      </c>
      <c r="T338" t="n">
        <v>0.00047787</v>
      </c>
    </row>
    <row r="339">
      <c r="A339" t="inlineStr">
        <is>
          <t>SUP-0034</t>
        </is>
      </c>
      <c r="B339" t="inlineStr">
        <is>
          <t>Logistics Supplier 034</t>
        </is>
      </c>
      <c r="C339" t="inlineStr">
        <is>
          <t>Logistics</t>
        </is>
      </c>
      <c r="D339" t="n">
        <v>2022</v>
      </c>
      <c r="E339" t="n">
        <v>8117901.92</v>
      </c>
      <c r="F339" t="inlineStr"/>
      <c r="G339" t="n">
        <v>2468.6124</v>
      </c>
      <c r="H339" t="n">
        <v>245.2779</v>
      </c>
      <c r="I339" t="n">
        <v>333.8452</v>
      </c>
      <c r="J339" t="inlineStr"/>
      <c r="K339" t="n">
        <v>2020</v>
      </c>
      <c r="L339" t="n">
        <v>2035</v>
      </c>
      <c r="M339" t="n">
        <v>0.5058</v>
      </c>
      <c r="N339" t="n">
        <v>0.1853</v>
      </c>
      <c r="O339" t="n">
        <v>2019</v>
      </c>
      <c r="P339" t="n">
        <v>2040</v>
      </c>
      <c r="Q339" t="n">
        <v>0.4616</v>
      </c>
      <c r="R339" t="n">
        <v>591.6386</v>
      </c>
      <c r="S339" t="n">
        <v>0.00022349</v>
      </c>
      <c r="T339" t="n">
        <v>0.00047787</v>
      </c>
    </row>
    <row r="340">
      <c r="A340" t="inlineStr">
        <is>
          <t>SUP-0034</t>
        </is>
      </c>
      <c r="B340" t="inlineStr">
        <is>
          <t>Logistics Supplier 034</t>
        </is>
      </c>
      <c r="C340" t="inlineStr">
        <is>
          <t>Logistics</t>
        </is>
      </c>
      <c r="D340" t="n">
        <v>2023</v>
      </c>
      <c r="E340" t="n">
        <v>9124174.060000001</v>
      </c>
      <c r="F340" t="n">
        <v>24347259.42</v>
      </c>
      <c r="G340" t="n">
        <v>3327.6512</v>
      </c>
      <c r="H340" t="n">
        <v>257.7912</v>
      </c>
      <c r="I340" t="n">
        <v>212.6852</v>
      </c>
      <c r="J340" t="inlineStr"/>
      <c r="K340" t="n">
        <v>2020</v>
      </c>
      <c r="L340" t="n">
        <v>2035</v>
      </c>
      <c r="M340" t="n">
        <v>0.5058</v>
      </c>
      <c r="N340" t="n">
        <v>0.1853</v>
      </c>
      <c r="O340" t="n">
        <v>2019</v>
      </c>
      <c r="P340" t="n">
        <v>2040</v>
      </c>
      <c r="Q340" t="n">
        <v>0.4616</v>
      </c>
      <c r="R340" t="n">
        <v>591.6386</v>
      </c>
      <c r="S340" t="n">
        <v>0.00022349</v>
      </c>
      <c r="T340" t="n">
        <v>0.00047787</v>
      </c>
    </row>
    <row r="341">
      <c r="A341" t="inlineStr">
        <is>
          <t>SUP-0034</t>
        </is>
      </c>
      <c r="B341" t="inlineStr">
        <is>
          <t>Logistics Supplier 034</t>
        </is>
      </c>
      <c r="C341" t="inlineStr">
        <is>
          <t>Logistics</t>
        </is>
      </c>
      <c r="D341" t="n">
        <v>2024</v>
      </c>
      <c r="E341" t="n">
        <v>7148885.07</v>
      </c>
      <c r="F341" t="n">
        <v>18559711.1</v>
      </c>
      <c r="G341" t="n">
        <v>2270.0275</v>
      </c>
      <c r="H341" t="n">
        <v>494.8927</v>
      </c>
      <c r="I341" t="n">
        <v>482.9003</v>
      </c>
      <c r="J341" t="n">
        <v>1239.3185</v>
      </c>
      <c r="K341" t="n">
        <v>2020</v>
      </c>
      <c r="L341" t="n">
        <v>2035</v>
      </c>
      <c r="M341" t="n">
        <v>0.5058</v>
      </c>
      <c r="N341" t="n">
        <v>0.1853</v>
      </c>
      <c r="O341" t="n">
        <v>2019</v>
      </c>
      <c r="P341" t="n">
        <v>2040</v>
      </c>
      <c r="Q341" t="n">
        <v>0.4616</v>
      </c>
      <c r="R341" t="n">
        <v>591.6386</v>
      </c>
      <c r="S341" t="n">
        <v>0.00022349</v>
      </c>
      <c r="T341" t="n">
        <v>0.00047787</v>
      </c>
    </row>
    <row r="342">
      <c r="A342" t="inlineStr">
        <is>
          <t>SUP-0035</t>
        </is>
      </c>
      <c r="B342" t="inlineStr">
        <is>
          <t>Electronics Supplier 035</t>
        </is>
      </c>
      <c r="C342" t="inlineStr">
        <is>
          <t>Electronics</t>
        </is>
      </c>
      <c r="D342" t="n">
        <v>2015</v>
      </c>
      <c r="E342" t="n">
        <v>15304734.93</v>
      </c>
      <c r="F342" t="n">
        <v>25147788.31</v>
      </c>
      <c r="G342" t="n">
        <v>15198.8368</v>
      </c>
      <c r="H342" t="n">
        <v>3894.3274</v>
      </c>
      <c r="I342" t="n">
        <v>3227.093</v>
      </c>
      <c r="J342" t="n">
        <v>8361.8506</v>
      </c>
      <c r="K342" t="inlineStr"/>
      <c r="L342" t="inlineStr"/>
      <c r="M342" t="inlineStr"/>
      <c r="N342" t="inlineStr"/>
      <c r="O342" t="n">
        <v>2018</v>
      </c>
      <c r="P342" t="n">
        <v>2040</v>
      </c>
      <c r="Q342" t="n">
        <v>0.3424</v>
      </c>
      <c r="R342" t="n">
        <v>635.1588</v>
      </c>
      <c r="S342" t="n">
        <v>0.00086105</v>
      </c>
      <c r="T342" t="n">
        <v>0.00013947</v>
      </c>
    </row>
    <row r="343">
      <c r="A343" t="inlineStr">
        <is>
          <t>SUP-0035</t>
        </is>
      </c>
      <c r="B343" t="inlineStr">
        <is>
          <t>Electronics Supplier 035</t>
        </is>
      </c>
      <c r="C343" t="inlineStr">
        <is>
          <t>Electronics</t>
        </is>
      </c>
      <c r="D343" t="n">
        <v>2016</v>
      </c>
      <c r="E343" t="n">
        <v>10955862.81</v>
      </c>
      <c r="F343" t="n">
        <v>29489690.32</v>
      </c>
      <c r="G343" t="n">
        <v>9151.620500000001</v>
      </c>
      <c r="H343" t="n">
        <v>1830.116</v>
      </c>
      <c r="I343" t="n">
        <v>1192.171</v>
      </c>
      <c r="J343" t="inlineStr"/>
      <c r="K343" t="inlineStr"/>
      <c r="L343" t="inlineStr"/>
      <c r="M343" t="inlineStr"/>
      <c r="N343" t="inlineStr"/>
      <c r="O343" t="n">
        <v>2018</v>
      </c>
      <c r="P343" t="n">
        <v>2040</v>
      </c>
      <c r="Q343" t="n">
        <v>0.3424</v>
      </c>
      <c r="R343" t="n">
        <v>635.1588</v>
      </c>
      <c r="S343" t="n">
        <v>0.00086105</v>
      </c>
      <c r="T343" t="n">
        <v>0.00013947</v>
      </c>
    </row>
    <row r="344">
      <c r="A344" t="inlineStr">
        <is>
          <t>SUP-0035</t>
        </is>
      </c>
      <c r="B344" t="inlineStr">
        <is>
          <t>Electronics Supplier 035</t>
        </is>
      </c>
      <c r="C344" t="inlineStr">
        <is>
          <t>Electronics</t>
        </is>
      </c>
      <c r="D344" t="n">
        <v>2017</v>
      </c>
      <c r="E344" t="n">
        <v>12673446.74</v>
      </c>
      <c r="F344" t="n">
        <v>34608578.58</v>
      </c>
      <c r="G344" t="n">
        <v>12065.7914</v>
      </c>
      <c r="H344" t="n">
        <v>2418.4502</v>
      </c>
      <c r="I344" t="n">
        <v>2564.2686</v>
      </c>
      <c r="J344" t="n">
        <v>6937.0103</v>
      </c>
      <c r="K344" t="inlineStr"/>
      <c r="L344" t="inlineStr"/>
      <c r="M344" t="inlineStr"/>
      <c r="N344" t="inlineStr"/>
      <c r="O344" t="n">
        <v>2018</v>
      </c>
      <c r="P344" t="n">
        <v>2040</v>
      </c>
      <c r="Q344" t="n">
        <v>0.3424</v>
      </c>
      <c r="R344" t="n">
        <v>635.1588</v>
      </c>
      <c r="S344" t="n">
        <v>0.00086105</v>
      </c>
      <c r="T344" t="n">
        <v>0.00013947</v>
      </c>
    </row>
    <row r="345">
      <c r="A345" t="inlineStr">
        <is>
          <t>SUP-0035</t>
        </is>
      </c>
      <c r="B345" t="inlineStr">
        <is>
          <t>Electronics Supplier 035</t>
        </is>
      </c>
      <c r="C345" t="inlineStr">
        <is>
          <t>Electronics</t>
        </is>
      </c>
      <c r="D345" t="n">
        <v>2018</v>
      </c>
      <c r="E345" t="n">
        <v>11540878.21</v>
      </c>
      <c r="F345" t="n">
        <v>31755056.7</v>
      </c>
      <c r="G345" t="n">
        <v>10444.0847</v>
      </c>
      <c r="H345" t="n">
        <v>1181.216</v>
      </c>
      <c r="I345" t="inlineStr"/>
      <c r="J345" t="n">
        <v>7674.0742</v>
      </c>
      <c r="K345" t="inlineStr"/>
      <c r="L345" t="inlineStr"/>
      <c r="M345" t="inlineStr"/>
      <c r="N345" t="inlineStr"/>
      <c r="O345" t="n">
        <v>2018</v>
      </c>
      <c r="P345" t="n">
        <v>2040</v>
      </c>
      <c r="Q345" t="n">
        <v>0.3424</v>
      </c>
      <c r="R345" t="n">
        <v>635.1588</v>
      </c>
      <c r="S345" t="n">
        <v>0.00086105</v>
      </c>
      <c r="T345" t="n">
        <v>0.00013947</v>
      </c>
    </row>
    <row r="346">
      <c r="A346" t="inlineStr">
        <is>
          <t>SUP-0035</t>
        </is>
      </c>
      <c r="B346" t="inlineStr">
        <is>
          <t>Electronics Supplier 035</t>
        </is>
      </c>
      <c r="C346" t="inlineStr">
        <is>
          <t>Electronics</t>
        </is>
      </c>
      <c r="D346" t="n">
        <v>2019</v>
      </c>
      <c r="E346" t="n">
        <v>11844213.43</v>
      </c>
      <c r="F346" t="n">
        <v>30054636.28</v>
      </c>
      <c r="G346" t="n">
        <v>10299.4892</v>
      </c>
      <c r="H346" t="n">
        <v>1801.8276</v>
      </c>
      <c r="I346" t="inlineStr"/>
      <c r="J346" t="n">
        <v>6546.66</v>
      </c>
      <c r="K346" t="inlineStr"/>
      <c r="L346" t="inlineStr"/>
      <c r="M346" t="inlineStr"/>
      <c r="N346" t="inlineStr"/>
      <c r="O346" t="n">
        <v>2018</v>
      </c>
      <c r="P346" t="n">
        <v>2040</v>
      </c>
      <c r="Q346" t="n">
        <v>0.3424</v>
      </c>
      <c r="R346" t="n">
        <v>635.1588</v>
      </c>
      <c r="S346" t="n">
        <v>0.00086105</v>
      </c>
      <c r="T346" t="n">
        <v>0.00013947</v>
      </c>
    </row>
    <row r="347">
      <c r="A347" t="inlineStr">
        <is>
          <t>SUP-0035</t>
        </is>
      </c>
      <c r="B347" t="inlineStr">
        <is>
          <t>Electronics Supplier 035</t>
        </is>
      </c>
      <c r="C347" t="inlineStr">
        <is>
          <t>Electronics</t>
        </is>
      </c>
      <c r="D347" t="n">
        <v>2020</v>
      </c>
      <c r="E347" t="n">
        <v>12712027.72</v>
      </c>
      <c r="F347" t="n">
        <v>27801828.14</v>
      </c>
      <c r="G347" t="inlineStr"/>
      <c r="H347" t="inlineStr"/>
      <c r="I347" t="n">
        <v>2456.9376</v>
      </c>
      <c r="J347" t="inlineStr"/>
      <c r="K347" t="inlineStr"/>
      <c r="L347" t="inlineStr"/>
      <c r="M347" t="inlineStr"/>
      <c r="N347" t="inlineStr"/>
      <c r="O347" t="n">
        <v>2018</v>
      </c>
      <c r="P347" t="n">
        <v>2040</v>
      </c>
      <c r="Q347" t="n">
        <v>0.3424</v>
      </c>
      <c r="R347" t="n">
        <v>635.1588</v>
      </c>
      <c r="S347" t="n">
        <v>0.00086105</v>
      </c>
      <c r="T347" t="n">
        <v>0.00013947</v>
      </c>
    </row>
    <row r="348">
      <c r="A348" t="inlineStr">
        <is>
          <t>SUP-0035</t>
        </is>
      </c>
      <c r="B348" t="inlineStr">
        <is>
          <t>Electronics Supplier 035</t>
        </is>
      </c>
      <c r="C348" t="inlineStr">
        <is>
          <t>Electronics</t>
        </is>
      </c>
      <c r="D348" t="n">
        <v>2021</v>
      </c>
      <c r="E348" t="n">
        <v>11197801.81</v>
      </c>
      <c r="F348" t="n">
        <v>29732060.41</v>
      </c>
      <c r="G348" t="inlineStr"/>
      <c r="H348" t="n">
        <v>2347.7803</v>
      </c>
      <c r="I348" t="n">
        <v>1251.246</v>
      </c>
      <c r="J348" t="n">
        <v>6324.5416</v>
      </c>
      <c r="K348" t="inlineStr"/>
      <c r="L348" t="inlineStr"/>
      <c r="M348" t="inlineStr"/>
      <c r="N348" t="inlineStr"/>
      <c r="O348" t="n">
        <v>2018</v>
      </c>
      <c r="P348" t="n">
        <v>2040</v>
      </c>
      <c r="Q348" t="n">
        <v>0.3424</v>
      </c>
      <c r="R348" t="n">
        <v>635.1588</v>
      </c>
      <c r="S348" t="n">
        <v>0.00086105</v>
      </c>
      <c r="T348" t="n">
        <v>0.00013947</v>
      </c>
    </row>
    <row r="349">
      <c r="A349" t="inlineStr">
        <is>
          <t>SUP-0035</t>
        </is>
      </c>
      <c r="B349" t="inlineStr">
        <is>
          <t>Electronics Supplier 035</t>
        </is>
      </c>
      <c r="C349" t="inlineStr">
        <is>
          <t>Electronics</t>
        </is>
      </c>
      <c r="D349" t="n">
        <v>2022</v>
      </c>
      <c r="E349" t="n">
        <v>10841170.8</v>
      </c>
      <c r="F349" t="n">
        <v>26289605.53</v>
      </c>
      <c r="G349" t="n">
        <v>7075.8931</v>
      </c>
      <c r="H349" t="n">
        <v>1221.4995</v>
      </c>
      <c r="I349" t="n">
        <v>1030.7746</v>
      </c>
      <c r="J349" t="n">
        <v>5500.1686</v>
      </c>
      <c r="K349" t="inlineStr"/>
      <c r="L349" t="inlineStr"/>
      <c r="M349" t="inlineStr"/>
      <c r="N349" t="inlineStr"/>
      <c r="O349" t="n">
        <v>2018</v>
      </c>
      <c r="P349" t="n">
        <v>2040</v>
      </c>
      <c r="Q349" t="n">
        <v>0.3424</v>
      </c>
      <c r="R349" t="n">
        <v>635.1588</v>
      </c>
      <c r="S349" t="n">
        <v>0.00086105</v>
      </c>
      <c r="T349" t="n">
        <v>0.00013947</v>
      </c>
    </row>
    <row r="350">
      <c r="A350" t="inlineStr">
        <is>
          <t>SUP-0035</t>
        </is>
      </c>
      <c r="B350" t="inlineStr">
        <is>
          <t>Electronics Supplier 035</t>
        </is>
      </c>
      <c r="C350" t="inlineStr">
        <is>
          <t>Electronics</t>
        </is>
      </c>
      <c r="D350" t="n">
        <v>2023</v>
      </c>
      <c r="E350" t="n">
        <v>9279512.08</v>
      </c>
      <c r="F350" t="n">
        <v>32683566.55</v>
      </c>
      <c r="G350" t="n">
        <v>9282.8189</v>
      </c>
      <c r="H350" t="n">
        <v>2360.9532</v>
      </c>
      <c r="I350" t="n">
        <v>891.8836</v>
      </c>
      <c r="J350" t="n">
        <v>6619.2586</v>
      </c>
      <c r="K350" t="inlineStr"/>
      <c r="L350" t="inlineStr"/>
      <c r="M350" t="inlineStr"/>
      <c r="N350" t="inlineStr"/>
      <c r="O350" t="n">
        <v>2018</v>
      </c>
      <c r="P350" t="n">
        <v>2040</v>
      </c>
      <c r="Q350" t="n">
        <v>0.3424</v>
      </c>
      <c r="R350" t="n">
        <v>635.1588</v>
      </c>
      <c r="S350" t="n">
        <v>0.00086105</v>
      </c>
      <c r="T350" t="n">
        <v>0.00013947</v>
      </c>
    </row>
    <row r="351">
      <c r="A351" t="inlineStr">
        <is>
          <t>SUP-0035</t>
        </is>
      </c>
      <c r="B351" t="inlineStr">
        <is>
          <t>Electronics Supplier 035</t>
        </is>
      </c>
      <c r="C351" t="inlineStr">
        <is>
          <t>Electronics</t>
        </is>
      </c>
      <c r="D351" t="n">
        <v>2024</v>
      </c>
      <c r="E351" t="n">
        <v>9349838.890000001</v>
      </c>
      <c r="F351" t="n">
        <v>19154531.46</v>
      </c>
      <c r="G351" t="n">
        <v>6953.4706</v>
      </c>
      <c r="H351" t="n">
        <v>1693.7246</v>
      </c>
      <c r="I351" t="n">
        <v>682.607</v>
      </c>
      <c r="J351" t="n">
        <v>4916.7978</v>
      </c>
      <c r="K351" t="inlineStr"/>
      <c r="L351" t="inlineStr"/>
      <c r="M351" t="inlineStr"/>
      <c r="N351" t="inlineStr"/>
      <c r="O351" t="n">
        <v>2018</v>
      </c>
      <c r="P351" t="n">
        <v>2040</v>
      </c>
      <c r="Q351" t="n">
        <v>0.3424</v>
      </c>
      <c r="R351" t="n">
        <v>635.1588</v>
      </c>
      <c r="S351" t="n">
        <v>0.00086105</v>
      </c>
      <c r="T351" t="n">
        <v>0.00013947</v>
      </c>
    </row>
    <row r="352">
      <c r="A352" t="inlineStr">
        <is>
          <t>SUP-0036</t>
        </is>
      </c>
      <c r="B352" t="inlineStr">
        <is>
          <t>Metals Supplier 036</t>
        </is>
      </c>
      <c r="C352" t="inlineStr">
        <is>
          <t>Metals</t>
        </is>
      </c>
      <c r="D352" t="n">
        <v>2015</v>
      </c>
      <c r="E352" t="n">
        <v>15909953.82</v>
      </c>
      <c r="F352" t="n">
        <v>142377566.09</v>
      </c>
      <c r="G352" t="inlineStr"/>
      <c r="H352" t="n">
        <v>4915.1641</v>
      </c>
      <c r="I352" t="inlineStr"/>
      <c r="J352" t="n">
        <v>13276.5968</v>
      </c>
      <c r="K352" t="inlineStr"/>
      <c r="L352" t="inlineStr"/>
      <c r="M352" t="inlineStr"/>
      <c r="N352" t="inlineStr"/>
      <c r="O352" t="n">
        <v>2019</v>
      </c>
      <c r="P352" t="n">
        <v>2030</v>
      </c>
      <c r="Q352" t="n">
        <v>0.3852</v>
      </c>
      <c r="R352" t="n">
        <v>158.2904</v>
      </c>
      <c r="S352" t="n">
        <v>0.00100695</v>
      </c>
      <c r="T352" t="n">
        <v>0.00065008</v>
      </c>
    </row>
    <row r="353">
      <c r="A353" t="inlineStr">
        <is>
          <t>SUP-0036</t>
        </is>
      </c>
      <c r="B353" t="inlineStr">
        <is>
          <t>Metals Supplier 036</t>
        </is>
      </c>
      <c r="C353" t="inlineStr">
        <is>
          <t>Metals</t>
        </is>
      </c>
      <c r="D353" t="n">
        <v>2016</v>
      </c>
      <c r="E353" t="n">
        <v>15279641.6</v>
      </c>
      <c r="F353" t="inlineStr"/>
      <c r="G353" t="n">
        <v>16504.409</v>
      </c>
      <c r="H353" t="n">
        <v>2796.6036</v>
      </c>
      <c r="I353" t="n">
        <v>2235.4024</v>
      </c>
      <c r="J353" t="inlineStr"/>
      <c r="K353" t="inlineStr"/>
      <c r="L353" t="inlineStr"/>
      <c r="M353" t="inlineStr"/>
      <c r="N353" t="inlineStr"/>
      <c r="O353" t="n">
        <v>2019</v>
      </c>
      <c r="P353" t="n">
        <v>2030</v>
      </c>
      <c r="Q353" t="n">
        <v>0.3852</v>
      </c>
      <c r="R353" t="n">
        <v>158.2904</v>
      </c>
      <c r="S353" t="n">
        <v>0.00100695</v>
      </c>
      <c r="T353" t="n">
        <v>0.00065008</v>
      </c>
    </row>
    <row r="354">
      <c r="A354" t="inlineStr">
        <is>
          <t>SUP-0036</t>
        </is>
      </c>
      <c r="B354" t="inlineStr">
        <is>
          <t>Metals Supplier 036</t>
        </is>
      </c>
      <c r="C354" t="inlineStr">
        <is>
          <t>Metals</t>
        </is>
      </c>
      <c r="D354" t="n">
        <v>2017</v>
      </c>
      <c r="E354" t="inlineStr"/>
      <c r="F354" t="n">
        <v>118204248.08</v>
      </c>
      <c r="G354" t="inlineStr"/>
      <c r="H354" t="n">
        <v>2075.4746</v>
      </c>
      <c r="I354" t="n">
        <v>3115.1525</v>
      </c>
      <c r="J354" t="n">
        <v>13236.7699</v>
      </c>
      <c r="K354" t="inlineStr"/>
      <c r="L354" t="inlineStr"/>
      <c r="M354" t="inlineStr"/>
      <c r="N354" t="inlineStr"/>
      <c r="O354" t="n">
        <v>2019</v>
      </c>
      <c r="P354" t="n">
        <v>2030</v>
      </c>
      <c r="Q354" t="n">
        <v>0.3852</v>
      </c>
      <c r="R354" t="n">
        <v>158.2904</v>
      </c>
      <c r="S354" t="n">
        <v>0.00100695</v>
      </c>
      <c r="T354" t="n">
        <v>0.00065008</v>
      </c>
    </row>
    <row r="355">
      <c r="A355" t="inlineStr">
        <is>
          <t>SUP-0036</t>
        </is>
      </c>
      <c r="B355" t="inlineStr">
        <is>
          <t>Metals Supplier 036</t>
        </is>
      </c>
      <c r="C355" t="inlineStr">
        <is>
          <t>Metals</t>
        </is>
      </c>
      <c r="D355" t="n">
        <v>2018</v>
      </c>
      <c r="E355" t="n">
        <v>16654002.89</v>
      </c>
      <c r="F355" t="n">
        <v>120840544.99</v>
      </c>
      <c r="G355" t="inlineStr"/>
      <c r="H355" t="inlineStr"/>
      <c r="I355" t="n">
        <v>1913.6807</v>
      </c>
      <c r="J355" t="n">
        <v>14759.5327</v>
      </c>
      <c r="K355" t="inlineStr"/>
      <c r="L355" t="inlineStr"/>
      <c r="M355" t="inlineStr"/>
      <c r="N355" t="inlineStr"/>
      <c r="O355" t="n">
        <v>2019</v>
      </c>
      <c r="P355" t="n">
        <v>2030</v>
      </c>
      <c r="Q355" t="n">
        <v>0.3852</v>
      </c>
      <c r="R355" t="n">
        <v>158.2904</v>
      </c>
      <c r="S355" t="n">
        <v>0.00100695</v>
      </c>
      <c r="T355" t="n">
        <v>0.00065008</v>
      </c>
    </row>
    <row r="356">
      <c r="A356" t="inlineStr">
        <is>
          <t>SUP-0036</t>
        </is>
      </c>
      <c r="B356" t="inlineStr">
        <is>
          <t>Metals Supplier 036</t>
        </is>
      </c>
      <c r="C356" t="inlineStr">
        <is>
          <t>Metals</t>
        </is>
      </c>
      <c r="D356" t="n">
        <v>2019</v>
      </c>
      <c r="E356" t="n">
        <v>15057796.09</v>
      </c>
      <c r="F356" t="n">
        <v>104770198.87</v>
      </c>
      <c r="G356" t="inlineStr"/>
      <c r="H356" t="n">
        <v>4355.8709</v>
      </c>
      <c r="I356" t="inlineStr"/>
      <c r="J356" t="inlineStr"/>
      <c r="K356" t="inlineStr"/>
      <c r="L356" t="inlineStr"/>
      <c r="M356" t="inlineStr"/>
      <c r="N356" t="inlineStr"/>
      <c r="O356" t="n">
        <v>2019</v>
      </c>
      <c r="P356" t="n">
        <v>2030</v>
      </c>
      <c r="Q356" t="n">
        <v>0.3852</v>
      </c>
      <c r="R356" t="n">
        <v>158.2904</v>
      </c>
      <c r="S356" t="n">
        <v>0.00100695</v>
      </c>
      <c r="T356" t="n">
        <v>0.00065008</v>
      </c>
    </row>
    <row r="357">
      <c r="A357" t="inlineStr">
        <is>
          <t>SUP-0036</t>
        </is>
      </c>
      <c r="B357" t="inlineStr">
        <is>
          <t>Metals Supplier 036</t>
        </is>
      </c>
      <c r="C357" t="inlineStr">
        <is>
          <t>Metals</t>
        </is>
      </c>
      <c r="D357" t="n">
        <v>2020</v>
      </c>
      <c r="E357" t="n">
        <v>14033076.92</v>
      </c>
      <c r="F357" t="n">
        <v>141188057.3</v>
      </c>
      <c r="G357" t="n">
        <v>15076.9426</v>
      </c>
      <c r="H357" t="n">
        <v>2287.3828</v>
      </c>
      <c r="I357" t="n">
        <v>1263.723</v>
      </c>
      <c r="J357" t="n">
        <v>12472.9527</v>
      </c>
      <c r="K357" t="inlineStr"/>
      <c r="L357" t="inlineStr"/>
      <c r="M357" t="inlineStr"/>
      <c r="N357" t="inlineStr"/>
      <c r="O357" t="n">
        <v>2019</v>
      </c>
      <c r="P357" t="n">
        <v>2030</v>
      </c>
      <c r="Q357" t="n">
        <v>0.3852</v>
      </c>
      <c r="R357" t="n">
        <v>158.2904</v>
      </c>
      <c r="S357" t="n">
        <v>0.00100695</v>
      </c>
      <c r="T357" t="n">
        <v>0.00065008</v>
      </c>
    </row>
    <row r="358">
      <c r="A358" t="inlineStr">
        <is>
          <t>SUP-0036</t>
        </is>
      </c>
      <c r="B358" t="inlineStr">
        <is>
          <t>Metals Supplier 036</t>
        </is>
      </c>
      <c r="C358" t="inlineStr">
        <is>
          <t>Metals</t>
        </is>
      </c>
      <c r="D358" t="n">
        <v>2021</v>
      </c>
      <c r="E358" t="n">
        <v>13100197.53</v>
      </c>
      <c r="F358" t="n">
        <v>117448485.35</v>
      </c>
      <c r="G358" t="n">
        <v>15245.7886</v>
      </c>
      <c r="H358" t="n">
        <v>3996.7776</v>
      </c>
      <c r="I358" t="inlineStr"/>
      <c r="J358" t="n">
        <v>8181.169</v>
      </c>
      <c r="K358" t="inlineStr"/>
      <c r="L358" t="inlineStr"/>
      <c r="M358" t="inlineStr"/>
      <c r="N358" t="inlineStr"/>
      <c r="O358" t="n">
        <v>2019</v>
      </c>
      <c r="P358" t="n">
        <v>2030</v>
      </c>
      <c r="Q358" t="n">
        <v>0.3852</v>
      </c>
      <c r="R358" t="n">
        <v>158.2904</v>
      </c>
      <c r="S358" t="n">
        <v>0.00100695</v>
      </c>
      <c r="T358" t="n">
        <v>0.00065008</v>
      </c>
    </row>
    <row r="359">
      <c r="A359" t="inlineStr">
        <is>
          <t>SUP-0036</t>
        </is>
      </c>
      <c r="B359" t="inlineStr">
        <is>
          <t>Metals Supplier 036</t>
        </is>
      </c>
      <c r="C359" t="inlineStr">
        <is>
          <t>Metals</t>
        </is>
      </c>
      <c r="D359" t="n">
        <v>2022</v>
      </c>
      <c r="E359" t="n">
        <v>15209059.09</v>
      </c>
      <c r="F359" t="n">
        <v>121914142.01</v>
      </c>
      <c r="G359" t="inlineStr"/>
      <c r="H359" t="inlineStr"/>
      <c r="I359" t="n">
        <v>1764.7837</v>
      </c>
      <c r="J359" t="inlineStr"/>
      <c r="K359" t="inlineStr"/>
      <c r="L359" t="inlineStr"/>
      <c r="M359" t="inlineStr"/>
      <c r="N359" t="inlineStr"/>
      <c r="O359" t="n">
        <v>2019</v>
      </c>
      <c r="P359" t="n">
        <v>2030</v>
      </c>
      <c r="Q359" t="n">
        <v>0.3852</v>
      </c>
      <c r="R359" t="n">
        <v>158.2904</v>
      </c>
      <c r="S359" t="n">
        <v>0.00100695</v>
      </c>
      <c r="T359" t="n">
        <v>0.00065008</v>
      </c>
    </row>
    <row r="360">
      <c r="A360" t="inlineStr">
        <is>
          <t>SUP-0036</t>
        </is>
      </c>
      <c r="B360" t="inlineStr">
        <is>
          <t>Metals Supplier 036</t>
        </is>
      </c>
      <c r="C360" t="inlineStr">
        <is>
          <t>Metals</t>
        </is>
      </c>
      <c r="D360" t="n">
        <v>2023</v>
      </c>
      <c r="E360" t="n">
        <v>14891498.14</v>
      </c>
      <c r="F360" t="n">
        <v>131447351.18</v>
      </c>
      <c r="G360" t="n">
        <v>17869.6743</v>
      </c>
      <c r="H360" t="n">
        <v>3990.9505</v>
      </c>
      <c r="I360" t="n">
        <v>1899.7761</v>
      </c>
      <c r="J360" t="n">
        <v>12669.9558</v>
      </c>
      <c r="K360" t="inlineStr"/>
      <c r="L360" t="inlineStr"/>
      <c r="M360" t="inlineStr"/>
      <c r="N360" t="inlineStr"/>
      <c r="O360" t="n">
        <v>2019</v>
      </c>
      <c r="P360" t="n">
        <v>2030</v>
      </c>
      <c r="Q360" t="n">
        <v>0.3852</v>
      </c>
      <c r="R360" t="n">
        <v>158.2904</v>
      </c>
      <c r="S360" t="n">
        <v>0.00100695</v>
      </c>
      <c r="T360" t="n">
        <v>0.00065008</v>
      </c>
    </row>
    <row r="361">
      <c r="A361" t="inlineStr">
        <is>
          <t>SUP-0036</t>
        </is>
      </c>
      <c r="B361" t="inlineStr">
        <is>
          <t>Metals Supplier 036</t>
        </is>
      </c>
      <c r="C361" t="inlineStr">
        <is>
          <t>Metals</t>
        </is>
      </c>
      <c r="D361" t="n">
        <v>2024</v>
      </c>
      <c r="E361" t="n">
        <v>12457093.49</v>
      </c>
      <c r="F361" t="n">
        <v>110411320.56</v>
      </c>
      <c r="G361" t="n">
        <v>15692.3728</v>
      </c>
      <c r="H361" t="n">
        <v>3296.4657</v>
      </c>
      <c r="I361" t="n">
        <v>2402.7106</v>
      </c>
      <c r="J361" t="n">
        <v>9642.759599999999</v>
      </c>
      <c r="K361" t="inlineStr"/>
      <c r="L361" t="inlineStr"/>
      <c r="M361" t="inlineStr"/>
      <c r="N361" t="inlineStr"/>
      <c r="O361" t="n">
        <v>2019</v>
      </c>
      <c r="P361" t="n">
        <v>2030</v>
      </c>
      <c r="Q361" t="n">
        <v>0.3852</v>
      </c>
      <c r="R361" t="n">
        <v>158.2904</v>
      </c>
      <c r="S361" t="n">
        <v>0.00100695</v>
      </c>
      <c r="T361" t="n">
        <v>0.00065008</v>
      </c>
    </row>
    <row r="362">
      <c r="A362" t="inlineStr">
        <is>
          <t>SUP-0037</t>
        </is>
      </c>
      <c r="B362" t="inlineStr">
        <is>
          <t>Agriculture Supplier 037</t>
        </is>
      </c>
      <c r="C362" t="inlineStr">
        <is>
          <t>Agriculture</t>
        </is>
      </c>
      <c r="D362" t="n">
        <v>2015</v>
      </c>
      <c r="E362" t="n">
        <v>19802103.3</v>
      </c>
      <c r="F362" t="n">
        <v>60024623.31</v>
      </c>
      <c r="G362" t="n">
        <v>11618.0159</v>
      </c>
      <c r="H362" t="n">
        <v>944.5137999999999</v>
      </c>
      <c r="I362" t="n">
        <v>2315.0904</v>
      </c>
      <c r="J362" t="n">
        <v>8430.082700000001</v>
      </c>
      <c r="K362" t="n">
        <v>2019</v>
      </c>
      <c r="L362" t="n">
        <v>2035</v>
      </c>
      <c r="M362" t="n">
        <v>0.5499000000000001</v>
      </c>
      <c r="N362" t="n">
        <v>0.2996</v>
      </c>
      <c r="O362" t="n">
        <v>2018</v>
      </c>
      <c r="P362" t="inlineStr"/>
      <c r="Q362" t="inlineStr"/>
      <c r="R362" t="n">
        <v>529.8294</v>
      </c>
      <c r="S362" t="n">
        <v>0.00091413</v>
      </c>
      <c r="T362" t="n">
        <v>0.00096913</v>
      </c>
    </row>
    <row r="363">
      <c r="A363" t="inlineStr">
        <is>
          <t>SUP-0037</t>
        </is>
      </c>
      <c r="B363" t="inlineStr">
        <is>
          <t>Agriculture Supplier 037</t>
        </is>
      </c>
      <c r="C363" t="inlineStr">
        <is>
          <t>Agriculture</t>
        </is>
      </c>
      <c r="D363" t="n">
        <v>2016</v>
      </c>
      <c r="E363" t="n">
        <v>19373937.54</v>
      </c>
      <c r="F363" t="n">
        <v>80674740.62</v>
      </c>
      <c r="G363" t="n">
        <v>12573.5875</v>
      </c>
      <c r="H363" t="n">
        <v>3070.5168</v>
      </c>
      <c r="I363" t="n">
        <v>1223.5016</v>
      </c>
      <c r="J363" t="n">
        <v>8294.659299999999</v>
      </c>
      <c r="K363" t="n">
        <v>2019</v>
      </c>
      <c r="L363" t="n">
        <v>2035</v>
      </c>
      <c r="M363" t="n">
        <v>0.5499000000000001</v>
      </c>
      <c r="N363" t="n">
        <v>0.2996</v>
      </c>
      <c r="O363" t="n">
        <v>2018</v>
      </c>
      <c r="P363" t="inlineStr"/>
      <c r="Q363" t="inlineStr"/>
      <c r="R363" t="n">
        <v>529.8294</v>
      </c>
      <c r="S363" t="n">
        <v>0.00091413</v>
      </c>
      <c r="T363" t="n">
        <v>0.00096913</v>
      </c>
    </row>
    <row r="364">
      <c r="A364" t="inlineStr">
        <is>
          <t>SUP-0037</t>
        </is>
      </c>
      <c r="B364" t="inlineStr">
        <is>
          <t>Agriculture Supplier 037</t>
        </is>
      </c>
      <c r="C364" t="inlineStr">
        <is>
          <t>Agriculture</t>
        </is>
      </c>
      <c r="D364" t="n">
        <v>2017</v>
      </c>
      <c r="E364" t="n">
        <v>21506085.67</v>
      </c>
      <c r="F364" t="n">
        <v>91385473.02</v>
      </c>
      <c r="G364" t="n">
        <v>11487.6654</v>
      </c>
      <c r="H364" t="n">
        <v>2055.9755</v>
      </c>
      <c r="I364" t="n">
        <v>1879.5263</v>
      </c>
      <c r="J364" t="n">
        <v>7632.316</v>
      </c>
      <c r="K364" t="n">
        <v>2019</v>
      </c>
      <c r="L364" t="n">
        <v>2035</v>
      </c>
      <c r="M364" t="n">
        <v>0.5499000000000001</v>
      </c>
      <c r="N364" t="n">
        <v>0.2996</v>
      </c>
      <c r="O364" t="n">
        <v>2018</v>
      </c>
      <c r="P364" t="inlineStr"/>
      <c r="Q364" t="inlineStr"/>
      <c r="R364" t="n">
        <v>529.8294</v>
      </c>
      <c r="S364" t="n">
        <v>0.00091413</v>
      </c>
      <c r="T364" t="n">
        <v>0.00096913</v>
      </c>
    </row>
    <row r="365">
      <c r="A365" t="inlineStr">
        <is>
          <t>SUP-0037</t>
        </is>
      </c>
      <c r="B365" t="inlineStr">
        <is>
          <t>Agriculture Supplier 037</t>
        </is>
      </c>
      <c r="C365" t="inlineStr">
        <is>
          <t>Agriculture</t>
        </is>
      </c>
      <c r="D365" t="n">
        <v>2018</v>
      </c>
      <c r="E365" t="n">
        <v>24634459.94</v>
      </c>
      <c r="F365" t="n">
        <v>107538168.22</v>
      </c>
      <c r="G365" t="n">
        <v>17319.8058</v>
      </c>
      <c r="H365" t="n">
        <v>2091.4924</v>
      </c>
      <c r="I365" t="inlineStr"/>
      <c r="J365" t="n">
        <v>12291.0217</v>
      </c>
      <c r="K365" t="n">
        <v>2019</v>
      </c>
      <c r="L365" t="n">
        <v>2035</v>
      </c>
      <c r="M365" t="n">
        <v>0.5499000000000001</v>
      </c>
      <c r="N365" t="n">
        <v>0.2996</v>
      </c>
      <c r="O365" t="n">
        <v>2018</v>
      </c>
      <c r="P365" t="inlineStr"/>
      <c r="Q365" t="inlineStr"/>
      <c r="R365" t="n">
        <v>529.8294</v>
      </c>
      <c r="S365" t="n">
        <v>0.00091413</v>
      </c>
      <c r="T365" t="n">
        <v>0.00096913</v>
      </c>
    </row>
    <row r="366">
      <c r="A366" t="inlineStr">
        <is>
          <t>SUP-0037</t>
        </is>
      </c>
      <c r="B366" t="inlineStr">
        <is>
          <t>Agriculture Supplier 037</t>
        </is>
      </c>
      <c r="C366" t="inlineStr">
        <is>
          <t>Agriculture</t>
        </is>
      </c>
      <c r="D366" t="n">
        <v>2019</v>
      </c>
      <c r="E366" t="n">
        <v>22653604.05</v>
      </c>
      <c r="F366" t="n">
        <v>105138686.98</v>
      </c>
      <c r="G366" t="n">
        <v>13104.249</v>
      </c>
      <c r="H366" t="n">
        <v>3709.3156</v>
      </c>
      <c r="I366" t="n">
        <v>1621.6694</v>
      </c>
      <c r="J366" t="n">
        <v>9921.1495</v>
      </c>
      <c r="K366" t="n">
        <v>2019</v>
      </c>
      <c r="L366" t="n">
        <v>2035</v>
      </c>
      <c r="M366" t="n">
        <v>0.5499000000000001</v>
      </c>
      <c r="N366" t="n">
        <v>0.2996</v>
      </c>
      <c r="O366" t="n">
        <v>2018</v>
      </c>
      <c r="P366" t="inlineStr"/>
      <c r="Q366" t="inlineStr"/>
      <c r="R366" t="n">
        <v>529.8294</v>
      </c>
      <c r="S366" t="n">
        <v>0.00091413</v>
      </c>
      <c r="T366" t="n">
        <v>0.00096913</v>
      </c>
    </row>
    <row r="367">
      <c r="A367" t="inlineStr">
        <is>
          <t>SUP-0037</t>
        </is>
      </c>
      <c r="B367" t="inlineStr">
        <is>
          <t>Agriculture Supplier 037</t>
        </is>
      </c>
      <c r="C367" t="inlineStr">
        <is>
          <t>Agriculture</t>
        </is>
      </c>
      <c r="D367" t="n">
        <v>2020</v>
      </c>
      <c r="E367" t="n">
        <v>29034166.84</v>
      </c>
      <c r="F367" t="n">
        <v>106256058.51</v>
      </c>
      <c r="G367" t="n">
        <v>17338.9013</v>
      </c>
      <c r="H367" t="inlineStr"/>
      <c r="I367" t="n">
        <v>3017.3228</v>
      </c>
      <c r="J367" t="inlineStr"/>
      <c r="K367" t="n">
        <v>2019</v>
      </c>
      <c r="L367" t="n">
        <v>2035</v>
      </c>
      <c r="M367" t="n">
        <v>0.5499000000000001</v>
      </c>
      <c r="N367" t="n">
        <v>0.2996</v>
      </c>
      <c r="O367" t="n">
        <v>2018</v>
      </c>
      <c r="P367" t="inlineStr"/>
      <c r="Q367" t="inlineStr"/>
      <c r="R367" t="n">
        <v>529.8294</v>
      </c>
      <c r="S367" t="n">
        <v>0.00091413</v>
      </c>
      <c r="T367" t="n">
        <v>0.00096913</v>
      </c>
    </row>
    <row r="368">
      <c r="A368" t="inlineStr">
        <is>
          <t>SUP-0037</t>
        </is>
      </c>
      <c r="B368" t="inlineStr">
        <is>
          <t>Agriculture Supplier 037</t>
        </is>
      </c>
      <c r="C368" t="inlineStr">
        <is>
          <t>Agriculture</t>
        </is>
      </c>
      <c r="D368" t="n">
        <v>2021</v>
      </c>
      <c r="E368" t="n">
        <v>33044133.87</v>
      </c>
      <c r="F368" t="n">
        <v>116482130.01</v>
      </c>
      <c r="G368" t="n">
        <v>17251.1428</v>
      </c>
      <c r="H368" t="inlineStr"/>
      <c r="I368" t="n">
        <v>1338.9213</v>
      </c>
      <c r="J368" t="n">
        <v>16006.4905</v>
      </c>
      <c r="K368" t="n">
        <v>2019</v>
      </c>
      <c r="L368" t="n">
        <v>2035</v>
      </c>
      <c r="M368" t="n">
        <v>0.5499000000000001</v>
      </c>
      <c r="N368" t="n">
        <v>0.2996</v>
      </c>
      <c r="O368" t="n">
        <v>2018</v>
      </c>
      <c r="P368" t="inlineStr"/>
      <c r="Q368" t="inlineStr"/>
      <c r="R368" t="n">
        <v>529.8294</v>
      </c>
      <c r="S368" t="n">
        <v>0.00091413</v>
      </c>
      <c r="T368" t="n">
        <v>0.00096913</v>
      </c>
    </row>
    <row r="369">
      <c r="A369" t="inlineStr">
        <is>
          <t>SUP-0037</t>
        </is>
      </c>
      <c r="B369" t="inlineStr">
        <is>
          <t>Agriculture Supplier 037</t>
        </is>
      </c>
      <c r="C369" t="inlineStr">
        <is>
          <t>Agriculture</t>
        </is>
      </c>
      <c r="D369" t="n">
        <v>2022</v>
      </c>
      <c r="E369" t="n">
        <v>29911000.88</v>
      </c>
      <c r="F369" t="n">
        <v>129386096.63</v>
      </c>
      <c r="G369" t="n">
        <v>18505.8172</v>
      </c>
      <c r="H369" t="n">
        <v>2491.3815</v>
      </c>
      <c r="I369" t="n">
        <v>1229.3965</v>
      </c>
      <c r="J369" t="n">
        <v>14789.2925</v>
      </c>
      <c r="K369" t="n">
        <v>2019</v>
      </c>
      <c r="L369" t="n">
        <v>2035</v>
      </c>
      <c r="M369" t="n">
        <v>0.5499000000000001</v>
      </c>
      <c r="N369" t="n">
        <v>0.2996</v>
      </c>
      <c r="O369" t="n">
        <v>2018</v>
      </c>
      <c r="P369" t="inlineStr"/>
      <c r="Q369" t="inlineStr"/>
      <c r="R369" t="n">
        <v>529.8294</v>
      </c>
      <c r="S369" t="n">
        <v>0.00091413</v>
      </c>
      <c r="T369" t="n">
        <v>0.00096913</v>
      </c>
    </row>
    <row r="370">
      <c r="A370" t="inlineStr">
        <is>
          <t>SUP-0037</t>
        </is>
      </c>
      <c r="B370" t="inlineStr">
        <is>
          <t>Agriculture Supplier 037</t>
        </is>
      </c>
      <c r="C370" t="inlineStr">
        <is>
          <t>Agriculture</t>
        </is>
      </c>
      <c r="D370" t="n">
        <v>2023</v>
      </c>
      <c r="E370" t="n">
        <v>35635083.33</v>
      </c>
      <c r="F370" t="n">
        <v>119313112.75</v>
      </c>
      <c r="G370" t="n">
        <v>20784.6354</v>
      </c>
      <c r="H370" t="n">
        <v>3210.2072</v>
      </c>
      <c r="I370" t="inlineStr"/>
      <c r="J370" t="n">
        <v>14510.2432</v>
      </c>
      <c r="K370" t="n">
        <v>2019</v>
      </c>
      <c r="L370" t="n">
        <v>2035</v>
      </c>
      <c r="M370" t="n">
        <v>0.5499000000000001</v>
      </c>
      <c r="N370" t="n">
        <v>0.2996</v>
      </c>
      <c r="O370" t="n">
        <v>2018</v>
      </c>
      <c r="P370" t="inlineStr"/>
      <c r="Q370" t="inlineStr"/>
      <c r="R370" t="n">
        <v>529.8294</v>
      </c>
      <c r="S370" t="n">
        <v>0.00091413</v>
      </c>
      <c r="T370" t="n">
        <v>0.00096913</v>
      </c>
    </row>
    <row r="371">
      <c r="A371" t="inlineStr">
        <is>
          <t>SUP-0037</t>
        </is>
      </c>
      <c r="B371" t="inlineStr">
        <is>
          <t>Agriculture Supplier 037</t>
        </is>
      </c>
      <c r="C371" t="inlineStr">
        <is>
          <t>Agriculture</t>
        </is>
      </c>
      <c r="D371" t="n">
        <v>2024</v>
      </c>
      <c r="E371" t="n">
        <v>35588458.58</v>
      </c>
      <c r="F371" t="n">
        <v>116985827.89</v>
      </c>
      <c r="G371" t="n">
        <v>24172.2297</v>
      </c>
      <c r="H371" t="inlineStr"/>
      <c r="I371" t="n">
        <v>3839.1525</v>
      </c>
      <c r="J371" t="n">
        <v>15298.1023</v>
      </c>
      <c r="K371" t="n">
        <v>2019</v>
      </c>
      <c r="L371" t="n">
        <v>2035</v>
      </c>
      <c r="M371" t="n">
        <v>0.5499000000000001</v>
      </c>
      <c r="N371" t="n">
        <v>0.2996</v>
      </c>
      <c r="O371" t="n">
        <v>2018</v>
      </c>
      <c r="P371" t="inlineStr"/>
      <c r="Q371" t="inlineStr"/>
      <c r="R371" t="n">
        <v>529.8294</v>
      </c>
      <c r="S371" t="n">
        <v>0.00091413</v>
      </c>
      <c r="T371" t="n">
        <v>0.00096913</v>
      </c>
    </row>
    <row r="372">
      <c r="A372" t="inlineStr">
        <is>
          <t>SUP-0038</t>
        </is>
      </c>
      <c r="B372" t="inlineStr">
        <is>
          <t>Agriculture Supplier 038</t>
        </is>
      </c>
      <c r="C372" t="inlineStr">
        <is>
          <t>Agriculture</t>
        </is>
      </c>
      <c r="D372" t="n">
        <v>2015</v>
      </c>
      <c r="E372" t="inlineStr"/>
      <c r="F372" t="n">
        <v>134824165.66</v>
      </c>
      <c r="G372" t="n">
        <v>17361.6491</v>
      </c>
      <c r="H372" t="n">
        <v>1836.9954</v>
      </c>
      <c r="I372" t="n">
        <v>2616.5028</v>
      </c>
      <c r="J372" t="n">
        <v>13698.2974</v>
      </c>
      <c r="K372" t="n">
        <v>2020</v>
      </c>
      <c r="L372" t="n">
        <v>2040</v>
      </c>
      <c r="M372" t="n">
        <v>0.6816</v>
      </c>
      <c r="N372" t="n">
        <v>0.3985</v>
      </c>
      <c r="O372" t="n">
        <v>2018</v>
      </c>
      <c r="P372" t="inlineStr"/>
      <c r="Q372" t="inlineStr"/>
      <c r="R372" t="n">
        <v>529.8294</v>
      </c>
      <c r="S372" t="n">
        <v>0.00091413</v>
      </c>
      <c r="T372" t="n">
        <v>0.00096913</v>
      </c>
    </row>
    <row r="373">
      <c r="A373" t="inlineStr">
        <is>
          <t>SUP-0038</t>
        </is>
      </c>
      <c r="B373" t="inlineStr">
        <is>
          <t>Agriculture Supplier 038</t>
        </is>
      </c>
      <c r="C373" t="inlineStr">
        <is>
          <t>Agriculture</t>
        </is>
      </c>
      <c r="D373" t="n">
        <v>2016</v>
      </c>
      <c r="E373" t="n">
        <v>23587624.05</v>
      </c>
      <c r="F373" t="n">
        <v>171181485.72</v>
      </c>
      <c r="G373" t="inlineStr"/>
      <c r="H373" t="inlineStr"/>
      <c r="I373" t="n">
        <v>2461.7257</v>
      </c>
      <c r="J373" t="n">
        <v>10982.0323</v>
      </c>
      <c r="K373" t="n">
        <v>2020</v>
      </c>
      <c r="L373" t="n">
        <v>2040</v>
      </c>
      <c r="M373" t="n">
        <v>0.6816</v>
      </c>
      <c r="N373" t="n">
        <v>0.3985</v>
      </c>
      <c r="O373" t="n">
        <v>2018</v>
      </c>
      <c r="P373" t="inlineStr"/>
      <c r="Q373" t="inlineStr"/>
      <c r="R373" t="n">
        <v>529.8294</v>
      </c>
      <c r="S373" t="n">
        <v>0.00091413</v>
      </c>
      <c r="T373" t="n">
        <v>0.00096913</v>
      </c>
    </row>
    <row r="374">
      <c r="A374" t="inlineStr">
        <is>
          <t>SUP-0038</t>
        </is>
      </c>
      <c r="B374" t="inlineStr">
        <is>
          <t>Agriculture Supplier 038</t>
        </is>
      </c>
      <c r="C374" t="inlineStr">
        <is>
          <t>Agriculture</t>
        </is>
      </c>
      <c r="D374" t="n">
        <v>2017</v>
      </c>
      <c r="E374" t="n">
        <v>22591301.8</v>
      </c>
      <c r="F374" t="n">
        <v>195404402.06</v>
      </c>
      <c r="G374" t="n">
        <v>20158.6384</v>
      </c>
      <c r="H374" t="n">
        <v>1867.8752</v>
      </c>
      <c r="I374" t="n">
        <v>1911.8241</v>
      </c>
      <c r="J374" t="inlineStr"/>
      <c r="K374" t="n">
        <v>2020</v>
      </c>
      <c r="L374" t="n">
        <v>2040</v>
      </c>
      <c r="M374" t="n">
        <v>0.6816</v>
      </c>
      <c r="N374" t="n">
        <v>0.3985</v>
      </c>
      <c r="O374" t="n">
        <v>2018</v>
      </c>
      <c r="P374" t="inlineStr"/>
      <c r="Q374" t="inlineStr"/>
      <c r="R374" t="n">
        <v>529.8294</v>
      </c>
      <c r="S374" t="n">
        <v>0.00091413</v>
      </c>
      <c r="T374" t="n">
        <v>0.00096913</v>
      </c>
    </row>
    <row r="375">
      <c r="A375" t="inlineStr">
        <is>
          <t>SUP-0038</t>
        </is>
      </c>
      <c r="B375" t="inlineStr">
        <is>
          <t>Agriculture Supplier 038</t>
        </is>
      </c>
      <c r="C375" t="inlineStr">
        <is>
          <t>Agriculture</t>
        </is>
      </c>
      <c r="D375" t="n">
        <v>2018</v>
      </c>
      <c r="E375" t="n">
        <v>31572779.89</v>
      </c>
      <c r="F375" t="n">
        <v>206653698.29</v>
      </c>
      <c r="G375" t="inlineStr"/>
      <c r="H375" t="n">
        <v>7565.1706</v>
      </c>
      <c r="I375" t="n">
        <v>2062.6372</v>
      </c>
      <c r="J375" t="n">
        <v>18299.3177</v>
      </c>
      <c r="K375" t="n">
        <v>2020</v>
      </c>
      <c r="L375" t="n">
        <v>2040</v>
      </c>
      <c r="M375" t="n">
        <v>0.6816</v>
      </c>
      <c r="N375" t="n">
        <v>0.3985</v>
      </c>
      <c r="O375" t="n">
        <v>2018</v>
      </c>
      <c r="P375" t="inlineStr"/>
      <c r="Q375" t="inlineStr"/>
      <c r="R375" t="n">
        <v>529.8294</v>
      </c>
      <c r="S375" t="n">
        <v>0.00091413</v>
      </c>
      <c r="T375" t="n">
        <v>0.00096913</v>
      </c>
    </row>
    <row r="376">
      <c r="A376" t="inlineStr">
        <is>
          <t>SUP-0038</t>
        </is>
      </c>
      <c r="B376" t="inlineStr">
        <is>
          <t>Agriculture Supplier 038</t>
        </is>
      </c>
      <c r="C376" t="inlineStr">
        <is>
          <t>Agriculture</t>
        </is>
      </c>
      <c r="D376" t="n">
        <v>2019</v>
      </c>
      <c r="E376" t="n">
        <v>28086546.33</v>
      </c>
      <c r="F376" t="n">
        <v>223342692.14</v>
      </c>
      <c r="G376" t="n">
        <v>24285.7391</v>
      </c>
      <c r="H376" t="n">
        <v>3669.2844</v>
      </c>
      <c r="I376" t="n">
        <v>4206.2829</v>
      </c>
      <c r="J376" t="n">
        <v>16334.695</v>
      </c>
      <c r="K376" t="n">
        <v>2020</v>
      </c>
      <c r="L376" t="n">
        <v>2040</v>
      </c>
      <c r="M376" t="n">
        <v>0.6816</v>
      </c>
      <c r="N376" t="n">
        <v>0.3985</v>
      </c>
      <c r="O376" t="n">
        <v>2018</v>
      </c>
      <c r="P376" t="inlineStr"/>
      <c r="Q376" t="inlineStr"/>
      <c r="R376" t="n">
        <v>529.8294</v>
      </c>
      <c r="S376" t="n">
        <v>0.00091413</v>
      </c>
      <c r="T376" t="n">
        <v>0.00096913</v>
      </c>
    </row>
    <row r="377">
      <c r="A377" t="inlineStr">
        <is>
          <t>SUP-0038</t>
        </is>
      </c>
      <c r="B377" t="inlineStr">
        <is>
          <t>Agriculture Supplier 038</t>
        </is>
      </c>
      <c r="C377" t="inlineStr">
        <is>
          <t>Agriculture</t>
        </is>
      </c>
      <c r="D377" t="n">
        <v>2020</v>
      </c>
      <c r="E377" t="n">
        <v>37160467.7</v>
      </c>
      <c r="F377" t="n">
        <v>242540912.09</v>
      </c>
      <c r="G377" t="n">
        <v>33223.8893</v>
      </c>
      <c r="H377" t="n">
        <v>3514.1294</v>
      </c>
      <c r="I377" t="n">
        <v>2709.5489</v>
      </c>
      <c r="J377" t="n">
        <v>24400.0122</v>
      </c>
      <c r="K377" t="n">
        <v>2020</v>
      </c>
      <c r="L377" t="n">
        <v>2040</v>
      </c>
      <c r="M377" t="n">
        <v>0.6816</v>
      </c>
      <c r="N377" t="n">
        <v>0.3985</v>
      </c>
      <c r="O377" t="n">
        <v>2018</v>
      </c>
      <c r="P377" t="inlineStr"/>
      <c r="Q377" t="inlineStr"/>
      <c r="R377" t="n">
        <v>529.8294</v>
      </c>
      <c r="S377" t="n">
        <v>0.00091413</v>
      </c>
      <c r="T377" t="n">
        <v>0.00096913</v>
      </c>
    </row>
    <row r="378">
      <c r="A378" t="inlineStr">
        <is>
          <t>SUP-0038</t>
        </is>
      </c>
      <c r="B378" t="inlineStr">
        <is>
          <t>Agriculture Supplier 038</t>
        </is>
      </c>
      <c r="C378" t="inlineStr">
        <is>
          <t>Agriculture</t>
        </is>
      </c>
      <c r="D378" t="n">
        <v>2021</v>
      </c>
      <c r="E378" t="n">
        <v>41055587.57</v>
      </c>
      <c r="F378" t="n">
        <v>280524420.58</v>
      </c>
      <c r="G378" t="n">
        <v>34266.821</v>
      </c>
      <c r="H378" t="n">
        <v>5399.264</v>
      </c>
      <c r="I378" t="n">
        <v>5884.8594</v>
      </c>
      <c r="J378" t="n">
        <v>23358.8525</v>
      </c>
      <c r="K378" t="n">
        <v>2020</v>
      </c>
      <c r="L378" t="n">
        <v>2040</v>
      </c>
      <c r="M378" t="n">
        <v>0.6816</v>
      </c>
      <c r="N378" t="n">
        <v>0.3985</v>
      </c>
      <c r="O378" t="n">
        <v>2018</v>
      </c>
      <c r="P378" t="inlineStr"/>
      <c r="Q378" t="inlineStr"/>
      <c r="R378" t="n">
        <v>529.8294</v>
      </c>
      <c r="S378" t="n">
        <v>0.00091413</v>
      </c>
      <c r="T378" t="n">
        <v>0.00096913</v>
      </c>
    </row>
    <row r="379">
      <c r="A379" t="inlineStr">
        <is>
          <t>SUP-0038</t>
        </is>
      </c>
      <c r="B379" t="inlineStr">
        <is>
          <t>Agriculture Supplier 038</t>
        </is>
      </c>
      <c r="C379" t="inlineStr">
        <is>
          <t>Agriculture</t>
        </is>
      </c>
      <c r="D379" t="n">
        <v>2022</v>
      </c>
      <c r="E379" t="n">
        <v>36455885.25</v>
      </c>
      <c r="F379" t="inlineStr"/>
      <c r="G379" t="n">
        <v>32388.2412</v>
      </c>
      <c r="H379" t="n">
        <v>7911.567</v>
      </c>
      <c r="I379" t="n">
        <v>3601.5847</v>
      </c>
      <c r="J379" t="n">
        <v>20561.3363</v>
      </c>
      <c r="K379" t="n">
        <v>2020</v>
      </c>
      <c r="L379" t="n">
        <v>2040</v>
      </c>
      <c r="M379" t="n">
        <v>0.6816</v>
      </c>
      <c r="N379" t="n">
        <v>0.3985</v>
      </c>
      <c r="O379" t="n">
        <v>2018</v>
      </c>
      <c r="P379" t="inlineStr"/>
      <c r="Q379" t="inlineStr"/>
      <c r="R379" t="n">
        <v>529.8294</v>
      </c>
      <c r="S379" t="n">
        <v>0.00091413</v>
      </c>
      <c r="T379" t="n">
        <v>0.00096913</v>
      </c>
    </row>
    <row r="380">
      <c r="A380" t="inlineStr">
        <is>
          <t>SUP-0038</t>
        </is>
      </c>
      <c r="B380" t="inlineStr">
        <is>
          <t>Agriculture Supplier 038</t>
        </is>
      </c>
      <c r="C380" t="inlineStr">
        <is>
          <t>Agriculture</t>
        </is>
      </c>
      <c r="D380" t="n">
        <v>2023</v>
      </c>
      <c r="E380" t="n">
        <v>48186775.31</v>
      </c>
      <c r="F380" t="n">
        <v>241658348.33</v>
      </c>
      <c r="G380" t="n">
        <v>42141.7894</v>
      </c>
      <c r="H380" t="n">
        <v>8597.869699999999</v>
      </c>
      <c r="I380" t="n">
        <v>5086.1745</v>
      </c>
      <c r="J380" t="inlineStr"/>
      <c r="K380" t="n">
        <v>2020</v>
      </c>
      <c r="L380" t="n">
        <v>2040</v>
      </c>
      <c r="M380" t="n">
        <v>0.6816</v>
      </c>
      <c r="N380" t="n">
        <v>0.3985</v>
      </c>
      <c r="O380" t="n">
        <v>2018</v>
      </c>
      <c r="P380" t="inlineStr"/>
      <c r="Q380" t="inlineStr"/>
      <c r="R380" t="n">
        <v>529.8294</v>
      </c>
      <c r="S380" t="n">
        <v>0.00091413</v>
      </c>
      <c r="T380" t="n">
        <v>0.00096913</v>
      </c>
    </row>
    <row r="381">
      <c r="A381" t="inlineStr">
        <is>
          <t>SUP-0038</t>
        </is>
      </c>
      <c r="B381" t="inlineStr">
        <is>
          <t>Agriculture Supplier 038</t>
        </is>
      </c>
      <c r="C381" t="inlineStr">
        <is>
          <t>Agriculture</t>
        </is>
      </c>
      <c r="D381" t="n">
        <v>2024</v>
      </c>
      <c r="E381" t="n">
        <v>44421179.83</v>
      </c>
      <c r="F381" t="n">
        <v>343175981.25</v>
      </c>
      <c r="G381" t="n">
        <v>29649.8869</v>
      </c>
      <c r="H381" t="n">
        <v>7511.1592</v>
      </c>
      <c r="I381" t="inlineStr"/>
      <c r="J381" t="n">
        <v>17952.3869</v>
      </c>
      <c r="K381" t="n">
        <v>2020</v>
      </c>
      <c r="L381" t="n">
        <v>2040</v>
      </c>
      <c r="M381" t="n">
        <v>0.6816</v>
      </c>
      <c r="N381" t="n">
        <v>0.3985</v>
      </c>
      <c r="O381" t="n">
        <v>2018</v>
      </c>
      <c r="P381" t="inlineStr"/>
      <c r="Q381" t="inlineStr"/>
      <c r="R381" t="n">
        <v>529.8294</v>
      </c>
      <c r="S381" t="n">
        <v>0.00091413</v>
      </c>
      <c r="T381" t="n">
        <v>0.00096913</v>
      </c>
    </row>
    <row r="382">
      <c r="A382" t="inlineStr">
        <is>
          <t>SUP-0039</t>
        </is>
      </c>
      <c r="B382" t="inlineStr">
        <is>
          <t>Electronics Supplier 039</t>
        </is>
      </c>
      <c r="C382" t="inlineStr">
        <is>
          <t>Electronics</t>
        </is>
      </c>
      <c r="D382" t="n">
        <v>2015</v>
      </c>
      <c r="E382" t="n">
        <v>9625389.32</v>
      </c>
      <c r="F382" t="n">
        <v>25219383.3</v>
      </c>
      <c r="G382" t="n">
        <v>13252.7874</v>
      </c>
      <c r="H382" t="inlineStr"/>
      <c r="I382" t="inlineStr"/>
      <c r="J382" t="inlineStr"/>
      <c r="K382" t="inlineStr"/>
      <c r="L382" t="inlineStr"/>
      <c r="M382" t="inlineStr"/>
      <c r="N382" t="inlineStr"/>
      <c r="O382" t="n">
        <v>2018</v>
      </c>
      <c r="P382" t="n">
        <v>2040</v>
      </c>
      <c r="Q382" t="n">
        <v>0.3424</v>
      </c>
      <c r="R382" t="n">
        <v>635.1588</v>
      </c>
      <c r="S382" t="n">
        <v>0.00086105</v>
      </c>
      <c r="T382" t="n">
        <v>0.00013947</v>
      </c>
    </row>
    <row r="383">
      <c r="A383" t="inlineStr">
        <is>
          <t>SUP-0039</t>
        </is>
      </c>
      <c r="B383" t="inlineStr">
        <is>
          <t>Electronics Supplier 039</t>
        </is>
      </c>
      <c r="C383" t="inlineStr">
        <is>
          <t>Electronics</t>
        </is>
      </c>
      <c r="D383" t="n">
        <v>2016</v>
      </c>
      <c r="E383" t="n">
        <v>9378558.83</v>
      </c>
      <c r="F383" t="inlineStr"/>
      <c r="G383" t="n">
        <v>14486.6638</v>
      </c>
      <c r="H383" t="n">
        <v>3459.1847</v>
      </c>
      <c r="I383" t="n">
        <v>1698.0213</v>
      </c>
      <c r="J383" t="n">
        <v>8840.2186</v>
      </c>
      <c r="K383" t="inlineStr"/>
      <c r="L383" t="inlineStr"/>
      <c r="M383" t="inlineStr"/>
      <c r="N383" t="inlineStr"/>
      <c r="O383" t="n">
        <v>2018</v>
      </c>
      <c r="P383" t="n">
        <v>2040</v>
      </c>
      <c r="Q383" t="n">
        <v>0.3424</v>
      </c>
      <c r="R383" t="n">
        <v>635.1588</v>
      </c>
      <c r="S383" t="n">
        <v>0.00086105</v>
      </c>
      <c r="T383" t="n">
        <v>0.00013947</v>
      </c>
    </row>
    <row r="384">
      <c r="A384" t="inlineStr">
        <is>
          <t>SUP-0039</t>
        </is>
      </c>
      <c r="B384" t="inlineStr">
        <is>
          <t>Electronics Supplier 039</t>
        </is>
      </c>
      <c r="C384" t="inlineStr">
        <is>
          <t>Electronics</t>
        </is>
      </c>
      <c r="D384" t="n">
        <v>2017</v>
      </c>
      <c r="E384" t="n">
        <v>10103351.1</v>
      </c>
      <c r="F384" t="n">
        <v>27220780.3</v>
      </c>
      <c r="G384" t="inlineStr"/>
      <c r="H384" t="n">
        <v>1151.9341</v>
      </c>
      <c r="I384" t="n">
        <v>2601.3509</v>
      </c>
      <c r="J384" t="n">
        <v>10804.8767</v>
      </c>
      <c r="K384" t="inlineStr"/>
      <c r="L384" t="inlineStr"/>
      <c r="M384" t="inlineStr"/>
      <c r="N384" t="inlineStr"/>
      <c r="O384" t="n">
        <v>2018</v>
      </c>
      <c r="P384" t="n">
        <v>2040</v>
      </c>
      <c r="Q384" t="n">
        <v>0.3424</v>
      </c>
      <c r="R384" t="n">
        <v>635.1588</v>
      </c>
      <c r="S384" t="n">
        <v>0.00086105</v>
      </c>
      <c r="T384" t="n">
        <v>0.00013947</v>
      </c>
    </row>
    <row r="385">
      <c r="A385" t="inlineStr">
        <is>
          <t>SUP-0039</t>
        </is>
      </c>
      <c r="B385" t="inlineStr">
        <is>
          <t>Electronics Supplier 039</t>
        </is>
      </c>
      <c r="C385" t="inlineStr">
        <is>
          <t>Electronics</t>
        </is>
      </c>
      <c r="D385" t="n">
        <v>2018</v>
      </c>
      <c r="E385" t="n">
        <v>10182883.52</v>
      </c>
      <c r="F385" t="n">
        <v>28678137.42</v>
      </c>
      <c r="G385" t="inlineStr"/>
      <c r="H385" t="n">
        <v>1013.3501</v>
      </c>
      <c r="I385" t="n">
        <v>1241.7032</v>
      </c>
      <c r="J385" t="n">
        <v>10054.2686</v>
      </c>
      <c r="K385" t="inlineStr"/>
      <c r="L385" t="inlineStr"/>
      <c r="M385" t="inlineStr"/>
      <c r="N385" t="inlineStr"/>
      <c r="O385" t="n">
        <v>2018</v>
      </c>
      <c r="P385" t="n">
        <v>2040</v>
      </c>
      <c r="Q385" t="n">
        <v>0.3424</v>
      </c>
      <c r="R385" t="n">
        <v>635.1588</v>
      </c>
      <c r="S385" t="n">
        <v>0.00086105</v>
      </c>
      <c r="T385" t="n">
        <v>0.00013947</v>
      </c>
    </row>
    <row r="386">
      <c r="A386" t="inlineStr">
        <is>
          <t>SUP-0039</t>
        </is>
      </c>
      <c r="B386" t="inlineStr">
        <is>
          <t>Electronics Supplier 039</t>
        </is>
      </c>
      <c r="C386" t="inlineStr">
        <is>
          <t>Electronics</t>
        </is>
      </c>
      <c r="D386" t="n">
        <v>2019</v>
      </c>
      <c r="E386" t="n">
        <v>9357333.619999999</v>
      </c>
      <c r="F386" t="n">
        <v>34922702.38</v>
      </c>
      <c r="G386" t="n">
        <v>11193.9952</v>
      </c>
      <c r="H386" t="inlineStr"/>
      <c r="I386" t="n">
        <v>1582.8942</v>
      </c>
      <c r="J386" t="n">
        <v>8462.4524</v>
      </c>
      <c r="K386" t="inlineStr"/>
      <c r="L386" t="inlineStr"/>
      <c r="M386" t="inlineStr"/>
      <c r="N386" t="inlineStr"/>
      <c r="O386" t="n">
        <v>2018</v>
      </c>
      <c r="P386" t="n">
        <v>2040</v>
      </c>
      <c r="Q386" t="n">
        <v>0.3424</v>
      </c>
      <c r="R386" t="n">
        <v>635.1588</v>
      </c>
      <c r="S386" t="n">
        <v>0.00086105</v>
      </c>
      <c r="T386" t="n">
        <v>0.00013947</v>
      </c>
    </row>
    <row r="387">
      <c r="A387" t="inlineStr">
        <is>
          <t>SUP-0039</t>
        </is>
      </c>
      <c r="B387" t="inlineStr">
        <is>
          <t>Electronics Supplier 039</t>
        </is>
      </c>
      <c r="C387" t="inlineStr">
        <is>
          <t>Electronics</t>
        </is>
      </c>
      <c r="D387" t="n">
        <v>2020</v>
      </c>
      <c r="E387" t="n">
        <v>10775775.5</v>
      </c>
      <c r="F387" t="n">
        <v>31964261.21</v>
      </c>
      <c r="G387" t="n">
        <v>12691.1973</v>
      </c>
      <c r="H387" t="n">
        <v>1277.8095</v>
      </c>
      <c r="I387" t="n">
        <v>1564.8784</v>
      </c>
      <c r="J387" t="n">
        <v>10458.1425</v>
      </c>
      <c r="K387" t="inlineStr"/>
      <c r="L387" t="inlineStr"/>
      <c r="M387" t="inlineStr"/>
      <c r="N387" t="inlineStr"/>
      <c r="O387" t="n">
        <v>2018</v>
      </c>
      <c r="P387" t="n">
        <v>2040</v>
      </c>
      <c r="Q387" t="n">
        <v>0.3424</v>
      </c>
      <c r="R387" t="n">
        <v>635.1588</v>
      </c>
      <c r="S387" t="n">
        <v>0.00086105</v>
      </c>
      <c r="T387" t="n">
        <v>0.00013947</v>
      </c>
    </row>
    <row r="388">
      <c r="A388" t="inlineStr">
        <is>
          <t>SUP-0039</t>
        </is>
      </c>
      <c r="B388" t="inlineStr">
        <is>
          <t>Electronics Supplier 039</t>
        </is>
      </c>
      <c r="C388" t="inlineStr">
        <is>
          <t>Electronics</t>
        </is>
      </c>
      <c r="D388" t="n">
        <v>2021</v>
      </c>
      <c r="E388" t="n">
        <v>10053216.69</v>
      </c>
      <c r="F388" t="n">
        <v>27164160.37</v>
      </c>
      <c r="G388" t="n">
        <v>14943.144</v>
      </c>
      <c r="H388" t="n">
        <v>3944.3924</v>
      </c>
      <c r="I388" t="n">
        <v>2890.9095</v>
      </c>
      <c r="J388" t="inlineStr"/>
      <c r="K388" t="inlineStr"/>
      <c r="L388" t="inlineStr"/>
      <c r="M388" t="inlineStr"/>
      <c r="N388" t="inlineStr"/>
      <c r="O388" t="n">
        <v>2018</v>
      </c>
      <c r="P388" t="n">
        <v>2040</v>
      </c>
      <c r="Q388" t="n">
        <v>0.3424</v>
      </c>
      <c r="R388" t="n">
        <v>635.1588</v>
      </c>
      <c r="S388" t="n">
        <v>0.00086105</v>
      </c>
      <c r="T388" t="n">
        <v>0.00013947</v>
      </c>
    </row>
    <row r="389">
      <c r="A389" t="inlineStr">
        <is>
          <t>SUP-0039</t>
        </is>
      </c>
      <c r="B389" t="inlineStr">
        <is>
          <t>Electronics Supplier 039</t>
        </is>
      </c>
      <c r="C389" t="inlineStr">
        <is>
          <t>Electronics</t>
        </is>
      </c>
      <c r="D389" t="n">
        <v>2022</v>
      </c>
      <c r="E389" t="inlineStr"/>
      <c r="F389" t="n">
        <v>28231504.16</v>
      </c>
      <c r="G389" t="inlineStr"/>
      <c r="H389" t="n">
        <v>1861.3826</v>
      </c>
      <c r="I389" t="inlineStr"/>
      <c r="J389" t="n">
        <v>9776.1109</v>
      </c>
      <c r="K389" t="inlineStr"/>
      <c r="L389" t="inlineStr"/>
      <c r="M389" t="inlineStr"/>
      <c r="N389" t="inlineStr"/>
      <c r="O389" t="n">
        <v>2018</v>
      </c>
      <c r="P389" t="n">
        <v>2040</v>
      </c>
      <c r="Q389" t="n">
        <v>0.3424</v>
      </c>
      <c r="R389" t="n">
        <v>635.1588</v>
      </c>
      <c r="S389" t="n">
        <v>0.00086105</v>
      </c>
      <c r="T389" t="n">
        <v>0.00013947</v>
      </c>
    </row>
    <row r="390">
      <c r="A390" t="inlineStr">
        <is>
          <t>SUP-0039</t>
        </is>
      </c>
      <c r="B390" t="inlineStr">
        <is>
          <t>Electronics Supplier 039</t>
        </is>
      </c>
      <c r="C390" t="inlineStr">
        <is>
          <t>Electronics</t>
        </is>
      </c>
      <c r="D390" t="n">
        <v>2023</v>
      </c>
      <c r="E390" t="inlineStr"/>
      <c r="F390" t="n">
        <v>30606174.76</v>
      </c>
      <c r="G390" t="n">
        <v>17246.8663</v>
      </c>
      <c r="H390" t="n">
        <v>3333.731</v>
      </c>
      <c r="I390" t="n">
        <v>2871.472</v>
      </c>
      <c r="J390" t="n">
        <v>10919.0332</v>
      </c>
      <c r="K390" t="inlineStr"/>
      <c r="L390" t="inlineStr"/>
      <c r="M390" t="inlineStr"/>
      <c r="N390" t="inlineStr"/>
      <c r="O390" t="n">
        <v>2018</v>
      </c>
      <c r="P390" t="n">
        <v>2040</v>
      </c>
      <c r="Q390" t="n">
        <v>0.3424</v>
      </c>
      <c r="R390" t="n">
        <v>635.1588</v>
      </c>
      <c r="S390" t="n">
        <v>0.00086105</v>
      </c>
      <c r="T390" t="n">
        <v>0.00013947</v>
      </c>
    </row>
    <row r="391">
      <c r="A391" t="inlineStr">
        <is>
          <t>SUP-0039</t>
        </is>
      </c>
      <c r="B391" t="inlineStr">
        <is>
          <t>Electronics Supplier 039</t>
        </is>
      </c>
      <c r="C391" t="inlineStr">
        <is>
          <t>Electronics</t>
        </is>
      </c>
      <c r="D391" t="n">
        <v>2024</v>
      </c>
      <c r="E391" t="n">
        <v>13478264.2</v>
      </c>
      <c r="F391" t="n">
        <v>58884198.31</v>
      </c>
      <c r="G391" t="n">
        <v>19219.8697</v>
      </c>
      <c r="H391" t="n">
        <v>3401.2031</v>
      </c>
      <c r="I391" t="n">
        <v>3857.2562</v>
      </c>
      <c r="J391" t="inlineStr"/>
      <c r="K391" t="inlineStr"/>
      <c r="L391" t="inlineStr"/>
      <c r="M391" t="inlineStr"/>
      <c r="N391" t="inlineStr"/>
      <c r="O391" t="n">
        <v>2018</v>
      </c>
      <c r="P391" t="n">
        <v>2040</v>
      </c>
      <c r="Q391" t="n">
        <v>0.3424</v>
      </c>
      <c r="R391" t="n">
        <v>635.1588</v>
      </c>
      <c r="S391" t="n">
        <v>0.00086105</v>
      </c>
      <c r="T391" t="n">
        <v>0.00013947</v>
      </c>
    </row>
    <row r="392">
      <c r="A392" t="inlineStr">
        <is>
          <t>SUP-0040</t>
        </is>
      </c>
      <c r="B392" t="inlineStr">
        <is>
          <t>Chemicals Supplier 040</t>
        </is>
      </c>
      <c r="C392" t="inlineStr">
        <is>
          <t>Chemicals</t>
        </is>
      </c>
      <c r="D392" t="n">
        <v>2015</v>
      </c>
      <c r="E392" t="n">
        <v>4805507.06</v>
      </c>
      <c r="F392" t="n">
        <v>18193803.61</v>
      </c>
      <c r="G392" t="n">
        <v>6155.3216</v>
      </c>
      <c r="H392" t="n">
        <v>1346.7891</v>
      </c>
      <c r="I392" t="n">
        <v>980.7633</v>
      </c>
      <c r="J392" t="n">
        <v>3513.3064</v>
      </c>
      <c r="K392" t="n">
        <v>2021</v>
      </c>
      <c r="L392" t="n">
        <v>2030</v>
      </c>
      <c r="M392" t="n">
        <v>0.5251</v>
      </c>
      <c r="N392" t="n">
        <v>0.198</v>
      </c>
      <c r="O392" t="n">
        <v>2019</v>
      </c>
      <c r="P392" t="n">
        <v>2035</v>
      </c>
      <c r="Q392" t="n">
        <v>0.5229</v>
      </c>
      <c r="R392" t="n">
        <v>506.3191</v>
      </c>
      <c r="S392" t="n">
        <v>0.00100149</v>
      </c>
      <c r="T392" t="n">
        <v>0.00047124</v>
      </c>
    </row>
    <row r="393">
      <c r="A393" t="inlineStr">
        <is>
          <t>SUP-0040</t>
        </is>
      </c>
      <c r="B393" t="inlineStr">
        <is>
          <t>Chemicals Supplier 040</t>
        </is>
      </c>
      <c r="C393" t="inlineStr">
        <is>
          <t>Chemicals</t>
        </is>
      </c>
      <c r="D393" t="n">
        <v>2016</v>
      </c>
      <c r="E393" t="n">
        <v>3908971.7</v>
      </c>
      <c r="F393" t="inlineStr"/>
      <c r="G393" t="n">
        <v>4109.3427</v>
      </c>
      <c r="H393" t="n">
        <v>1066.4963</v>
      </c>
      <c r="I393" t="n">
        <v>518.5119</v>
      </c>
      <c r="J393" t="n">
        <v>2547.2899</v>
      </c>
      <c r="K393" t="n">
        <v>2021</v>
      </c>
      <c r="L393" t="n">
        <v>2030</v>
      </c>
      <c r="M393" t="n">
        <v>0.5251</v>
      </c>
      <c r="N393" t="n">
        <v>0.198</v>
      </c>
      <c r="O393" t="n">
        <v>2019</v>
      </c>
      <c r="P393" t="n">
        <v>2035</v>
      </c>
      <c r="Q393" t="n">
        <v>0.5229</v>
      </c>
      <c r="R393" t="n">
        <v>506.3191</v>
      </c>
      <c r="S393" t="n">
        <v>0.00100149</v>
      </c>
      <c r="T393" t="n">
        <v>0.00047124</v>
      </c>
    </row>
    <row r="394">
      <c r="A394" t="inlineStr">
        <is>
          <t>SUP-0040</t>
        </is>
      </c>
      <c r="B394" t="inlineStr">
        <is>
          <t>Chemicals Supplier 040</t>
        </is>
      </c>
      <c r="C394" t="inlineStr">
        <is>
          <t>Chemicals</t>
        </is>
      </c>
      <c r="D394" t="n">
        <v>2017</v>
      </c>
      <c r="E394" t="n">
        <v>4015146.38</v>
      </c>
      <c r="F394" t="n">
        <v>17285276.95</v>
      </c>
      <c r="G394" t="inlineStr"/>
      <c r="H394" t="n">
        <v>607.9607</v>
      </c>
      <c r="I394" t="inlineStr"/>
      <c r="J394" t="n">
        <v>3177.9654</v>
      </c>
      <c r="K394" t="n">
        <v>2021</v>
      </c>
      <c r="L394" t="n">
        <v>2030</v>
      </c>
      <c r="M394" t="n">
        <v>0.5251</v>
      </c>
      <c r="N394" t="n">
        <v>0.198</v>
      </c>
      <c r="O394" t="n">
        <v>2019</v>
      </c>
      <c r="P394" t="n">
        <v>2035</v>
      </c>
      <c r="Q394" t="n">
        <v>0.5229</v>
      </c>
      <c r="R394" t="n">
        <v>506.3191</v>
      </c>
      <c r="S394" t="n">
        <v>0.00100149</v>
      </c>
      <c r="T394" t="n">
        <v>0.00047124</v>
      </c>
    </row>
    <row r="395">
      <c r="A395" t="inlineStr">
        <is>
          <t>SUP-0040</t>
        </is>
      </c>
      <c r="B395" t="inlineStr">
        <is>
          <t>Chemicals Supplier 040</t>
        </is>
      </c>
      <c r="C395" t="inlineStr">
        <is>
          <t>Chemicals</t>
        </is>
      </c>
      <c r="D395" t="n">
        <v>2018</v>
      </c>
      <c r="E395" t="inlineStr"/>
      <c r="F395" t="n">
        <v>20206876.46</v>
      </c>
      <c r="G395" t="n">
        <v>6037.4011</v>
      </c>
      <c r="H395" t="n">
        <v>663.015</v>
      </c>
      <c r="I395" t="n">
        <v>1192.191</v>
      </c>
      <c r="J395" t="n">
        <v>4269.625</v>
      </c>
      <c r="K395" t="n">
        <v>2021</v>
      </c>
      <c r="L395" t="n">
        <v>2030</v>
      </c>
      <c r="M395" t="n">
        <v>0.5251</v>
      </c>
      <c r="N395" t="n">
        <v>0.198</v>
      </c>
      <c r="O395" t="n">
        <v>2019</v>
      </c>
      <c r="P395" t="n">
        <v>2035</v>
      </c>
      <c r="Q395" t="n">
        <v>0.5229</v>
      </c>
      <c r="R395" t="n">
        <v>506.3191</v>
      </c>
      <c r="S395" t="n">
        <v>0.00100149</v>
      </c>
      <c r="T395" t="n">
        <v>0.00047124</v>
      </c>
    </row>
    <row r="396">
      <c r="A396" t="inlineStr">
        <is>
          <t>SUP-0040</t>
        </is>
      </c>
      <c r="B396" t="inlineStr">
        <is>
          <t>Chemicals Supplier 040</t>
        </is>
      </c>
      <c r="C396" t="inlineStr">
        <is>
          <t>Chemicals</t>
        </is>
      </c>
      <c r="D396" t="n">
        <v>2019</v>
      </c>
      <c r="E396" t="n">
        <v>5158460.18</v>
      </c>
      <c r="F396" t="n">
        <v>22809125.52</v>
      </c>
      <c r="G396" t="inlineStr"/>
      <c r="H396" t="n">
        <v>1181.618</v>
      </c>
      <c r="I396" t="inlineStr"/>
      <c r="J396" t="n">
        <v>3542.1803</v>
      </c>
      <c r="K396" t="n">
        <v>2021</v>
      </c>
      <c r="L396" t="n">
        <v>2030</v>
      </c>
      <c r="M396" t="n">
        <v>0.5251</v>
      </c>
      <c r="N396" t="n">
        <v>0.198</v>
      </c>
      <c r="O396" t="n">
        <v>2019</v>
      </c>
      <c r="P396" t="n">
        <v>2035</v>
      </c>
      <c r="Q396" t="n">
        <v>0.5229</v>
      </c>
      <c r="R396" t="n">
        <v>506.3191</v>
      </c>
      <c r="S396" t="n">
        <v>0.00100149</v>
      </c>
      <c r="T396" t="n">
        <v>0.00047124</v>
      </c>
    </row>
    <row r="397">
      <c r="A397" t="inlineStr">
        <is>
          <t>SUP-0040</t>
        </is>
      </c>
      <c r="B397" t="inlineStr">
        <is>
          <t>Chemicals Supplier 040</t>
        </is>
      </c>
      <c r="C397" t="inlineStr">
        <is>
          <t>Chemicals</t>
        </is>
      </c>
      <c r="D397" t="n">
        <v>2020</v>
      </c>
      <c r="E397" t="n">
        <v>5562639.78</v>
      </c>
      <c r="F397" t="n">
        <v>26507306.6</v>
      </c>
      <c r="G397" t="n">
        <v>8129.9665</v>
      </c>
      <c r="H397" t="n">
        <v>2164.9235</v>
      </c>
      <c r="I397" t="n">
        <v>820.1182</v>
      </c>
      <c r="J397" t="n">
        <v>4273.4189</v>
      </c>
      <c r="K397" t="n">
        <v>2021</v>
      </c>
      <c r="L397" t="n">
        <v>2030</v>
      </c>
      <c r="M397" t="n">
        <v>0.5251</v>
      </c>
      <c r="N397" t="n">
        <v>0.198</v>
      </c>
      <c r="O397" t="n">
        <v>2019</v>
      </c>
      <c r="P397" t="n">
        <v>2035</v>
      </c>
      <c r="Q397" t="n">
        <v>0.5229</v>
      </c>
      <c r="R397" t="n">
        <v>506.3191</v>
      </c>
      <c r="S397" t="n">
        <v>0.00100149</v>
      </c>
      <c r="T397" t="n">
        <v>0.00047124</v>
      </c>
    </row>
    <row r="398">
      <c r="A398" t="inlineStr">
        <is>
          <t>SUP-0040</t>
        </is>
      </c>
      <c r="B398" t="inlineStr">
        <is>
          <t>Chemicals Supplier 040</t>
        </is>
      </c>
      <c r="C398" t="inlineStr">
        <is>
          <t>Chemicals</t>
        </is>
      </c>
      <c r="D398" t="n">
        <v>2021</v>
      </c>
      <c r="E398" t="inlineStr"/>
      <c r="F398" t="n">
        <v>24616727.48</v>
      </c>
      <c r="G398" t="n">
        <v>8922.821599999999</v>
      </c>
      <c r="H398" t="n">
        <v>2543.2564</v>
      </c>
      <c r="I398" t="n">
        <v>1829.1966</v>
      </c>
      <c r="J398" t="n">
        <v>4862.3107</v>
      </c>
      <c r="K398" t="n">
        <v>2021</v>
      </c>
      <c r="L398" t="n">
        <v>2030</v>
      </c>
      <c r="M398" t="n">
        <v>0.5251</v>
      </c>
      <c r="N398" t="n">
        <v>0.198</v>
      </c>
      <c r="O398" t="n">
        <v>2019</v>
      </c>
      <c r="P398" t="n">
        <v>2035</v>
      </c>
      <c r="Q398" t="n">
        <v>0.5229</v>
      </c>
      <c r="R398" t="n">
        <v>506.3191</v>
      </c>
      <c r="S398" t="n">
        <v>0.00100149</v>
      </c>
      <c r="T398" t="n">
        <v>0.00047124</v>
      </c>
    </row>
    <row r="399">
      <c r="A399" t="inlineStr">
        <is>
          <t>SUP-0040</t>
        </is>
      </c>
      <c r="B399" t="inlineStr">
        <is>
          <t>Chemicals Supplier 040</t>
        </is>
      </c>
      <c r="C399" t="inlineStr">
        <is>
          <t>Chemicals</t>
        </is>
      </c>
      <c r="D399" t="n">
        <v>2022</v>
      </c>
      <c r="E399" t="n">
        <v>6740301.17</v>
      </c>
      <c r="F399" t="inlineStr"/>
      <c r="G399" t="n">
        <v>8602.820299999999</v>
      </c>
      <c r="H399" t="n">
        <v>2036.767</v>
      </c>
      <c r="I399" t="n">
        <v>1201.9913</v>
      </c>
      <c r="J399" t="n">
        <v>4957.9012</v>
      </c>
      <c r="K399" t="n">
        <v>2021</v>
      </c>
      <c r="L399" t="n">
        <v>2030</v>
      </c>
      <c r="M399" t="n">
        <v>0.5251</v>
      </c>
      <c r="N399" t="n">
        <v>0.198</v>
      </c>
      <c r="O399" t="n">
        <v>2019</v>
      </c>
      <c r="P399" t="n">
        <v>2035</v>
      </c>
      <c r="Q399" t="n">
        <v>0.5229</v>
      </c>
      <c r="R399" t="n">
        <v>506.3191</v>
      </c>
      <c r="S399" t="n">
        <v>0.00100149</v>
      </c>
      <c r="T399" t="n">
        <v>0.00047124</v>
      </c>
    </row>
    <row r="400">
      <c r="A400" t="inlineStr">
        <is>
          <t>SUP-0040</t>
        </is>
      </c>
      <c r="B400" t="inlineStr">
        <is>
          <t>Chemicals Supplier 040</t>
        </is>
      </c>
      <c r="C400" t="inlineStr">
        <is>
          <t>Chemicals</t>
        </is>
      </c>
      <c r="D400" t="n">
        <v>2023</v>
      </c>
      <c r="E400" t="n">
        <v>5834812.8</v>
      </c>
      <c r="F400" t="n">
        <v>32352566.82</v>
      </c>
      <c r="G400" t="inlineStr"/>
      <c r="H400" t="n">
        <v>1461.4114</v>
      </c>
      <c r="I400" t="n">
        <v>1156.9442</v>
      </c>
      <c r="J400" t="n">
        <v>4682.7999</v>
      </c>
      <c r="K400" t="n">
        <v>2021</v>
      </c>
      <c r="L400" t="n">
        <v>2030</v>
      </c>
      <c r="M400" t="n">
        <v>0.5251</v>
      </c>
      <c r="N400" t="n">
        <v>0.198</v>
      </c>
      <c r="O400" t="n">
        <v>2019</v>
      </c>
      <c r="P400" t="n">
        <v>2035</v>
      </c>
      <c r="Q400" t="n">
        <v>0.5229</v>
      </c>
      <c r="R400" t="n">
        <v>506.3191</v>
      </c>
      <c r="S400" t="n">
        <v>0.00100149</v>
      </c>
      <c r="T400" t="n">
        <v>0.00047124</v>
      </c>
    </row>
    <row r="401">
      <c r="A401" t="inlineStr">
        <is>
          <t>SUP-0040</t>
        </is>
      </c>
      <c r="B401" t="inlineStr">
        <is>
          <t>Chemicals Supplier 040</t>
        </is>
      </c>
      <c r="C401" t="inlineStr">
        <is>
          <t>Chemicals</t>
        </is>
      </c>
      <c r="D401" t="n">
        <v>2024</v>
      </c>
      <c r="E401" t="n">
        <v>7566361.97</v>
      </c>
      <c r="F401" t="n">
        <v>34740066.95</v>
      </c>
      <c r="G401" t="n">
        <v>8045.683</v>
      </c>
      <c r="H401" t="n">
        <v>825.9494999999999</v>
      </c>
      <c r="I401" t="n">
        <v>1269.5315</v>
      </c>
      <c r="J401" t="n">
        <v>5474.4724</v>
      </c>
      <c r="K401" t="n">
        <v>2021</v>
      </c>
      <c r="L401" t="n">
        <v>2030</v>
      </c>
      <c r="M401" t="n">
        <v>0.5251</v>
      </c>
      <c r="N401" t="n">
        <v>0.198</v>
      </c>
      <c r="O401" t="n">
        <v>2019</v>
      </c>
      <c r="P401" t="n">
        <v>2035</v>
      </c>
      <c r="Q401" t="n">
        <v>0.5229</v>
      </c>
      <c r="R401" t="n">
        <v>506.3191</v>
      </c>
      <c r="S401" t="n">
        <v>0.00100149</v>
      </c>
      <c r="T401" t="n">
        <v>0.00047124</v>
      </c>
    </row>
    <row r="402">
      <c r="A402" t="inlineStr">
        <is>
          <t>SUP-0041</t>
        </is>
      </c>
      <c r="B402" t="inlineStr">
        <is>
          <t>Logistics Supplier 041</t>
        </is>
      </c>
      <c r="C402" t="inlineStr">
        <is>
          <t>Logistics</t>
        </is>
      </c>
      <c r="D402" t="n">
        <v>2015</v>
      </c>
      <c r="E402" t="n">
        <v>11007476.74</v>
      </c>
      <c r="F402" t="n">
        <v>18617903.66</v>
      </c>
      <c r="G402" t="inlineStr"/>
      <c r="H402" t="inlineStr"/>
      <c r="I402" t="n">
        <v>363.2926</v>
      </c>
      <c r="J402" t="n">
        <v>3023.3506</v>
      </c>
      <c r="K402" t="inlineStr"/>
      <c r="L402" t="inlineStr"/>
      <c r="M402" t="inlineStr"/>
      <c r="N402" t="inlineStr"/>
      <c r="O402" t="n">
        <v>2019</v>
      </c>
      <c r="P402" t="n">
        <v>2040</v>
      </c>
      <c r="Q402" t="n">
        <v>0.4616</v>
      </c>
      <c r="R402" t="n">
        <v>591.6386</v>
      </c>
      <c r="S402" t="n">
        <v>0.00022349</v>
      </c>
      <c r="T402" t="n">
        <v>0.00047787</v>
      </c>
    </row>
    <row r="403">
      <c r="A403" t="inlineStr">
        <is>
          <t>SUP-0041</t>
        </is>
      </c>
      <c r="B403" t="inlineStr">
        <is>
          <t>Logistics Supplier 041</t>
        </is>
      </c>
      <c r="C403" t="inlineStr">
        <is>
          <t>Logistics</t>
        </is>
      </c>
      <c r="D403" t="n">
        <v>2016</v>
      </c>
      <c r="E403" t="n">
        <v>11614883.43</v>
      </c>
      <c r="F403" t="n">
        <v>18580037.58</v>
      </c>
      <c r="G403" t="n">
        <v>3544.9527</v>
      </c>
      <c r="H403" t="n">
        <v>452.4614</v>
      </c>
      <c r="I403" t="inlineStr"/>
      <c r="J403" t="n">
        <v>2387.5714</v>
      </c>
      <c r="K403" t="inlineStr"/>
      <c r="L403" t="inlineStr"/>
      <c r="M403" t="inlineStr"/>
      <c r="N403" t="inlineStr"/>
      <c r="O403" t="n">
        <v>2019</v>
      </c>
      <c r="P403" t="n">
        <v>2040</v>
      </c>
      <c r="Q403" t="n">
        <v>0.4616</v>
      </c>
      <c r="R403" t="n">
        <v>591.6386</v>
      </c>
      <c r="S403" t="n">
        <v>0.00022349</v>
      </c>
      <c r="T403" t="n">
        <v>0.00047787</v>
      </c>
    </row>
    <row r="404">
      <c r="A404" t="inlineStr">
        <is>
          <t>SUP-0041</t>
        </is>
      </c>
      <c r="B404" t="inlineStr">
        <is>
          <t>Logistics Supplier 041</t>
        </is>
      </c>
      <c r="C404" t="inlineStr">
        <is>
          <t>Logistics</t>
        </is>
      </c>
      <c r="D404" t="n">
        <v>2017</v>
      </c>
      <c r="E404" t="n">
        <v>11742316.17</v>
      </c>
      <c r="F404" t="n">
        <v>20188590.37</v>
      </c>
      <c r="G404" t="n">
        <v>3254.3429</v>
      </c>
      <c r="H404" t="n">
        <v>489.026</v>
      </c>
      <c r="I404" t="n">
        <v>451.233</v>
      </c>
      <c r="J404" t="n">
        <v>2351.3287</v>
      </c>
      <c r="K404" t="inlineStr"/>
      <c r="L404" t="inlineStr"/>
      <c r="M404" t="inlineStr"/>
      <c r="N404" t="inlineStr"/>
      <c r="O404" t="n">
        <v>2019</v>
      </c>
      <c r="P404" t="n">
        <v>2040</v>
      </c>
      <c r="Q404" t="n">
        <v>0.4616</v>
      </c>
      <c r="R404" t="n">
        <v>591.6386</v>
      </c>
      <c r="S404" t="n">
        <v>0.00022349</v>
      </c>
      <c r="T404" t="n">
        <v>0.00047787</v>
      </c>
    </row>
    <row r="405">
      <c r="A405" t="inlineStr">
        <is>
          <t>SUP-0041</t>
        </is>
      </c>
      <c r="B405" t="inlineStr">
        <is>
          <t>Logistics Supplier 041</t>
        </is>
      </c>
      <c r="C405" t="inlineStr">
        <is>
          <t>Logistics</t>
        </is>
      </c>
      <c r="D405" t="n">
        <v>2018</v>
      </c>
      <c r="E405" t="n">
        <v>11188552.65</v>
      </c>
      <c r="F405" t="n">
        <v>17720960</v>
      </c>
      <c r="G405" t="n">
        <v>3072.3269</v>
      </c>
      <c r="H405" t="n">
        <v>800.5599</v>
      </c>
      <c r="I405" t="n">
        <v>615.7388</v>
      </c>
      <c r="J405" t="n">
        <v>1678.8134</v>
      </c>
      <c r="K405" t="inlineStr"/>
      <c r="L405" t="inlineStr"/>
      <c r="M405" t="inlineStr"/>
      <c r="N405" t="inlineStr"/>
      <c r="O405" t="n">
        <v>2019</v>
      </c>
      <c r="P405" t="n">
        <v>2040</v>
      </c>
      <c r="Q405" t="n">
        <v>0.4616</v>
      </c>
      <c r="R405" t="n">
        <v>591.6386</v>
      </c>
      <c r="S405" t="n">
        <v>0.00022349</v>
      </c>
      <c r="T405" t="n">
        <v>0.00047787</v>
      </c>
    </row>
    <row r="406">
      <c r="A406" t="inlineStr">
        <is>
          <t>SUP-0041</t>
        </is>
      </c>
      <c r="B406" t="inlineStr">
        <is>
          <t>Logistics Supplier 041</t>
        </is>
      </c>
      <c r="C406" t="inlineStr">
        <is>
          <t>Logistics</t>
        </is>
      </c>
      <c r="D406" t="n">
        <v>2019</v>
      </c>
      <c r="E406" t="inlineStr"/>
      <c r="F406" t="n">
        <v>15990181.86</v>
      </c>
      <c r="G406" t="inlineStr"/>
      <c r="H406" t="n">
        <v>523.9508</v>
      </c>
      <c r="I406" t="n">
        <v>363.2154</v>
      </c>
      <c r="J406" t="inlineStr"/>
      <c r="K406" t="inlineStr"/>
      <c r="L406" t="inlineStr"/>
      <c r="M406" t="inlineStr"/>
      <c r="N406" t="inlineStr"/>
      <c r="O406" t="n">
        <v>2019</v>
      </c>
      <c r="P406" t="n">
        <v>2040</v>
      </c>
      <c r="Q406" t="n">
        <v>0.4616</v>
      </c>
      <c r="R406" t="n">
        <v>591.6386</v>
      </c>
      <c r="S406" t="n">
        <v>0.00022349</v>
      </c>
      <c r="T406" t="n">
        <v>0.00047787</v>
      </c>
    </row>
    <row r="407">
      <c r="A407" t="inlineStr">
        <is>
          <t>SUP-0041</t>
        </is>
      </c>
      <c r="B407" t="inlineStr">
        <is>
          <t>Logistics Supplier 041</t>
        </is>
      </c>
      <c r="C407" t="inlineStr">
        <is>
          <t>Logistics</t>
        </is>
      </c>
      <c r="D407" t="n">
        <v>2020</v>
      </c>
      <c r="E407" t="n">
        <v>10221714.36</v>
      </c>
      <c r="F407" t="n">
        <v>16886606.78</v>
      </c>
      <c r="G407" t="n">
        <v>2216.2934</v>
      </c>
      <c r="H407" t="n">
        <v>556.5204</v>
      </c>
      <c r="I407" t="n">
        <v>440.7981</v>
      </c>
      <c r="J407" t="inlineStr"/>
      <c r="K407" t="inlineStr"/>
      <c r="L407" t="inlineStr"/>
      <c r="M407" t="inlineStr"/>
      <c r="N407" t="inlineStr"/>
      <c r="O407" t="n">
        <v>2019</v>
      </c>
      <c r="P407" t="n">
        <v>2040</v>
      </c>
      <c r="Q407" t="n">
        <v>0.4616</v>
      </c>
      <c r="R407" t="n">
        <v>591.6386</v>
      </c>
      <c r="S407" t="n">
        <v>0.00022349</v>
      </c>
      <c r="T407" t="n">
        <v>0.00047787</v>
      </c>
    </row>
    <row r="408">
      <c r="A408" t="inlineStr">
        <is>
          <t>SUP-0041</t>
        </is>
      </c>
      <c r="B408" t="inlineStr">
        <is>
          <t>Logistics Supplier 041</t>
        </is>
      </c>
      <c r="C408" t="inlineStr">
        <is>
          <t>Logistics</t>
        </is>
      </c>
      <c r="D408" t="n">
        <v>2021</v>
      </c>
      <c r="E408" t="n">
        <v>11181524.58</v>
      </c>
      <c r="F408" t="n">
        <v>15848765.82</v>
      </c>
      <c r="G408" t="n">
        <v>3285.4403</v>
      </c>
      <c r="H408" t="inlineStr"/>
      <c r="I408" t="inlineStr"/>
      <c r="J408" t="inlineStr"/>
      <c r="K408" t="inlineStr"/>
      <c r="L408" t="inlineStr"/>
      <c r="M408" t="inlineStr"/>
      <c r="N408" t="inlineStr"/>
      <c r="O408" t="n">
        <v>2019</v>
      </c>
      <c r="P408" t="n">
        <v>2040</v>
      </c>
      <c r="Q408" t="n">
        <v>0.4616</v>
      </c>
      <c r="R408" t="n">
        <v>591.6386</v>
      </c>
      <c r="S408" t="n">
        <v>0.00022349</v>
      </c>
      <c r="T408" t="n">
        <v>0.00047787</v>
      </c>
    </row>
    <row r="409">
      <c r="A409" t="inlineStr">
        <is>
          <t>SUP-0041</t>
        </is>
      </c>
      <c r="B409" t="inlineStr">
        <is>
          <t>Logistics Supplier 041</t>
        </is>
      </c>
      <c r="C409" t="inlineStr">
        <is>
          <t>Logistics</t>
        </is>
      </c>
      <c r="D409" t="n">
        <v>2022</v>
      </c>
      <c r="E409" t="n">
        <v>10644991.35</v>
      </c>
      <c r="F409" t="n">
        <v>13542734.74</v>
      </c>
      <c r="G409" t="inlineStr"/>
      <c r="H409" t="n">
        <v>556.1607</v>
      </c>
      <c r="I409" t="inlineStr"/>
      <c r="J409" t="n">
        <v>1646.0119</v>
      </c>
      <c r="K409" t="inlineStr"/>
      <c r="L409" t="inlineStr"/>
      <c r="M409" t="inlineStr"/>
      <c r="N409" t="inlineStr"/>
      <c r="O409" t="n">
        <v>2019</v>
      </c>
      <c r="P409" t="n">
        <v>2040</v>
      </c>
      <c r="Q409" t="n">
        <v>0.4616</v>
      </c>
      <c r="R409" t="n">
        <v>591.6386</v>
      </c>
      <c r="S409" t="n">
        <v>0.00022349</v>
      </c>
      <c r="T409" t="n">
        <v>0.00047787</v>
      </c>
    </row>
    <row r="410">
      <c r="A410" t="inlineStr">
        <is>
          <t>SUP-0041</t>
        </is>
      </c>
      <c r="B410" t="inlineStr">
        <is>
          <t>Logistics Supplier 041</t>
        </is>
      </c>
      <c r="C410" t="inlineStr">
        <is>
          <t>Logistics</t>
        </is>
      </c>
      <c r="D410" t="n">
        <v>2023</v>
      </c>
      <c r="E410" t="n">
        <v>11066549.16</v>
      </c>
      <c r="F410" t="n">
        <v>20057847.38</v>
      </c>
      <c r="G410" t="n">
        <v>2699.0743</v>
      </c>
      <c r="H410" t="n">
        <v>233.7053</v>
      </c>
      <c r="I410" t="n">
        <v>444.1573</v>
      </c>
      <c r="J410" t="n">
        <v>2085.8163</v>
      </c>
      <c r="K410" t="inlineStr"/>
      <c r="L410" t="inlineStr"/>
      <c r="M410" t="inlineStr"/>
      <c r="N410" t="inlineStr"/>
      <c r="O410" t="n">
        <v>2019</v>
      </c>
      <c r="P410" t="n">
        <v>2040</v>
      </c>
      <c r="Q410" t="n">
        <v>0.4616</v>
      </c>
      <c r="R410" t="n">
        <v>591.6386</v>
      </c>
      <c r="S410" t="n">
        <v>0.00022349</v>
      </c>
      <c r="T410" t="n">
        <v>0.00047787</v>
      </c>
    </row>
    <row r="411">
      <c r="A411" t="inlineStr">
        <is>
          <t>SUP-0041</t>
        </is>
      </c>
      <c r="B411" t="inlineStr">
        <is>
          <t>Logistics Supplier 041</t>
        </is>
      </c>
      <c r="C411" t="inlineStr">
        <is>
          <t>Logistics</t>
        </is>
      </c>
      <c r="D411" t="n">
        <v>2024</v>
      </c>
      <c r="E411" t="n">
        <v>9757957.09</v>
      </c>
      <c r="F411" t="n">
        <v>23127476.6</v>
      </c>
      <c r="G411" t="n">
        <v>2816.2884</v>
      </c>
      <c r="H411" t="n">
        <v>250.739</v>
      </c>
      <c r="I411" t="inlineStr"/>
      <c r="J411" t="n">
        <v>1858.2658</v>
      </c>
      <c r="K411" t="inlineStr"/>
      <c r="L411" t="inlineStr"/>
      <c r="M411" t="inlineStr"/>
      <c r="N411" t="inlineStr"/>
      <c r="O411" t="n">
        <v>2019</v>
      </c>
      <c r="P411" t="n">
        <v>2040</v>
      </c>
      <c r="Q411" t="n">
        <v>0.4616</v>
      </c>
      <c r="R411" t="n">
        <v>591.6386</v>
      </c>
      <c r="S411" t="n">
        <v>0.00022349</v>
      </c>
      <c r="T411" t="n">
        <v>0.00047787</v>
      </c>
    </row>
    <row r="412">
      <c r="A412" t="inlineStr">
        <is>
          <t>SUP-0042</t>
        </is>
      </c>
      <c r="B412" t="inlineStr">
        <is>
          <t>Chemicals Supplier 042</t>
        </is>
      </c>
      <c r="C412" t="inlineStr">
        <is>
          <t>Chemicals</t>
        </is>
      </c>
      <c r="D412" t="n">
        <v>2015</v>
      </c>
      <c r="E412" t="n">
        <v>9812837.279999999</v>
      </c>
      <c r="F412" t="n">
        <v>46714652.69</v>
      </c>
      <c r="G412" t="n">
        <v>10496.8427</v>
      </c>
      <c r="H412" t="n">
        <v>1432.3635</v>
      </c>
      <c r="I412" t="n">
        <v>1929.6739</v>
      </c>
      <c r="J412" t="inlineStr"/>
      <c r="K412" t="inlineStr"/>
      <c r="L412" t="inlineStr"/>
      <c r="M412" t="inlineStr"/>
      <c r="N412" t="inlineStr"/>
      <c r="O412" t="n">
        <v>2019</v>
      </c>
      <c r="P412" t="n">
        <v>2035</v>
      </c>
      <c r="Q412" t="n">
        <v>0.5229</v>
      </c>
      <c r="R412" t="n">
        <v>506.3191</v>
      </c>
      <c r="S412" t="n">
        <v>0.00100149</v>
      </c>
      <c r="T412" t="n">
        <v>0.00047124</v>
      </c>
    </row>
    <row r="413">
      <c r="A413" t="inlineStr">
        <is>
          <t>SUP-0042</t>
        </is>
      </c>
      <c r="B413" t="inlineStr">
        <is>
          <t>Chemicals Supplier 042</t>
        </is>
      </c>
      <c r="C413" t="inlineStr">
        <is>
          <t>Chemicals</t>
        </is>
      </c>
      <c r="D413" t="n">
        <v>2016</v>
      </c>
      <c r="E413" t="n">
        <v>9818197.73</v>
      </c>
      <c r="F413" t="n">
        <v>48963588.51</v>
      </c>
      <c r="G413" t="n">
        <v>8446.5216</v>
      </c>
      <c r="H413" t="n">
        <v>1688.071</v>
      </c>
      <c r="I413" t="n">
        <v>1620.4407</v>
      </c>
      <c r="J413" t="n">
        <v>5995.7426</v>
      </c>
      <c r="K413" t="inlineStr"/>
      <c r="L413" t="inlineStr"/>
      <c r="M413" t="inlineStr"/>
      <c r="N413" t="inlineStr"/>
      <c r="O413" t="n">
        <v>2019</v>
      </c>
      <c r="P413" t="n">
        <v>2035</v>
      </c>
      <c r="Q413" t="n">
        <v>0.5229</v>
      </c>
      <c r="R413" t="n">
        <v>506.3191</v>
      </c>
      <c r="S413" t="n">
        <v>0.00100149</v>
      </c>
      <c r="T413" t="n">
        <v>0.00047124</v>
      </c>
    </row>
    <row r="414">
      <c r="A414" t="inlineStr">
        <is>
          <t>SUP-0042</t>
        </is>
      </c>
      <c r="B414" t="inlineStr">
        <is>
          <t>Chemicals Supplier 042</t>
        </is>
      </c>
      <c r="C414" t="inlineStr">
        <is>
          <t>Chemicals</t>
        </is>
      </c>
      <c r="D414" t="n">
        <v>2017</v>
      </c>
      <c r="E414" t="n">
        <v>9016438.6</v>
      </c>
      <c r="F414" t="n">
        <v>51682329.05</v>
      </c>
      <c r="G414" t="n">
        <v>9698.389499999999</v>
      </c>
      <c r="H414" t="inlineStr"/>
      <c r="I414" t="inlineStr"/>
      <c r="J414" t="n">
        <v>5462.9497</v>
      </c>
      <c r="K414" t="inlineStr"/>
      <c r="L414" t="inlineStr"/>
      <c r="M414" t="inlineStr"/>
      <c r="N414" t="inlineStr"/>
      <c r="O414" t="n">
        <v>2019</v>
      </c>
      <c r="P414" t="n">
        <v>2035</v>
      </c>
      <c r="Q414" t="n">
        <v>0.5229</v>
      </c>
      <c r="R414" t="n">
        <v>506.3191</v>
      </c>
      <c r="S414" t="n">
        <v>0.00100149</v>
      </c>
      <c r="T414" t="n">
        <v>0.00047124</v>
      </c>
    </row>
    <row r="415">
      <c r="A415" t="inlineStr">
        <is>
          <t>SUP-0042</t>
        </is>
      </c>
      <c r="B415" t="inlineStr">
        <is>
          <t>Chemicals Supplier 042</t>
        </is>
      </c>
      <c r="C415" t="inlineStr">
        <is>
          <t>Chemicals</t>
        </is>
      </c>
      <c r="D415" t="n">
        <v>2018</v>
      </c>
      <c r="E415" t="n">
        <v>10300152.59</v>
      </c>
      <c r="F415" t="n">
        <v>38785359.54</v>
      </c>
      <c r="G415" t="inlineStr"/>
      <c r="H415" t="n">
        <v>1882.1846</v>
      </c>
      <c r="I415" t="n">
        <v>817.9408</v>
      </c>
      <c r="J415" t="n">
        <v>9014.026900000001</v>
      </c>
      <c r="K415" t="inlineStr"/>
      <c r="L415" t="inlineStr"/>
      <c r="M415" t="inlineStr"/>
      <c r="N415" t="inlineStr"/>
      <c r="O415" t="n">
        <v>2019</v>
      </c>
      <c r="P415" t="n">
        <v>2035</v>
      </c>
      <c r="Q415" t="n">
        <v>0.5229</v>
      </c>
      <c r="R415" t="n">
        <v>506.3191</v>
      </c>
      <c r="S415" t="n">
        <v>0.00100149</v>
      </c>
      <c r="T415" t="n">
        <v>0.00047124</v>
      </c>
    </row>
    <row r="416">
      <c r="A416" t="inlineStr">
        <is>
          <t>SUP-0042</t>
        </is>
      </c>
      <c r="B416" t="inlineStr">
        <is>
          <t>Chemicals Supplier 042</t>
        </is>
      </c>
      <c r="C416" t="inlineStr">
        <is>
          <t>Chemicals</t>
        </is>
      </c>
      <c r="D416" t="n">
        <v>2019</v>
      </c>
      <c r="E416" t="n">
        <v>9444385.17</v>
      </c>
      <c r="F416" t="n">
        <v>48174258.18</v>
      </c>
      <c r="G416" t="n">
        <v>9069.3452</v>
      </c>
      <c r="H416" t="n">
        <v>883.8723</v>
      </c>
      <c r="I416" t="n">
        <v>519.2125</v>
      </c>
      <c r="J416" t="n">
        <v>7296.9039</v>
      </c>
      <c r="K416" t="inlineStr"/>
      <c r="L416" t="inlineStr"/>
      <c r="M416" t="inlineStr"/>
      <c r="N416" t="inlineStr"/>
      <c r="O416" t="n">
        <v>2019</v>
      </c>
      <c r="P416" t="n">
        <v>2035</v>
      </c>
      <c r="Q416" t="n">
        <v>0.5229</v>
      </c>
      <c r="R416" t="n">
        <v>506.3191</v>
      </c>
      <c r="S416" t="n">
        <v>0.00100149</v>
      </c>
      <c r="T416" t="n">
        <v>0.00047124</v>
      </c>
    </row>
    <row r="417">
      <c r="A417" t="inlineStr">
        <is>
          <t>SUP-0042</t>
        </is>
      </c>
      <c r="B417" t="inlineStr">
        <is>
          <t>Chemicals Supplier 042</t>
        </is>
      </c>
      <c r="C417" t="inlineStr">
        <is>
          <t>Chemicals</t>
        </is>
      </c>
      <c r="D417" t="n">
        <v>2020</v>
      </c>
      <c r="E417" t="inlineStr"/>
      <c r="F417" t="n">
        <v>36745723.4</v>
      </c>
      <c r="G417" t="n">
        <v>7525.0034</v>
      </c>
      <c r="H417" t="n">
        <v>979.4857</v>
      </c>
      <c r="I417" t="inlineStr"/>
      <c r="J417" t="n">
        <v>4692.8995</v>
      </c>
      <c r="K417" t="inlineStr"/>
      <c r="L417" t="inlineStr"/>
      <c r="M417" t="inlineStr"/>
      <c r="N417" t="inlineStr"/>
      <c r="O417" t="n">
        <v>2019</v>
      </c>
      <c r="P417" t="n">
        <v>2035</v>
      </c>
      <c r="Q417" t="n">
        <v>0.5229</v>
      </c>
      <c r="R417" t="n">
        <v>506.3191</v>
      </c>
      <c r="S417" t="n">
        <v>0.00100149</v>
      </c>
      <c r="T417" t="n">
        <v>0.00047124</v>
      </c>
    </row>
    <row r="418">
      <c r="A418" t="inlineStr">
        <is>
          <t>SUP-0042</t>
        </is>
      </c>
      <c r="B418" t="inlineStr">
        <is>
          <t>Chemicals Supplier 042</t>
        </is>
      </c>
      <c r="C418" t="inlineStr">
        <is>
          <t>Chemicals</t>
        </is>
      </c>
      <c r="D418" t="n">
        <v>2021</v>
      </c>
      <c r="E418" t="n">
        <v>9355808.310000001</v>
      </c>
      <c r="F418" t="n">
        <v>49916783.29</v>
      </c>
      <c r="G418" t="inlineStr"/>
      <c r="H418" t="n">
        <v>978.9519</v>
      </c>
      <c r="I418" t="n">
        <v>1467.5397</v>
      </c>
      <c r="J418" t="n">
        <v>4803.5132</v>
      </c>
      <c r="K418" t="inlineStr"/>
      <c r="L418" t="inlineStr"/>
      <c r="M418" t="inlineStr"/>
      <c r="N418" t="inlineStr"/>
      <c r="O418" t="n">
        <v>2019</v>
      </c>
      <c r="P418" t="n">
        <v>2035</v>
      </c>
      <c r="Q418" t="n">
        <v>0.5229</v>
      </c>
      <c r="R418" t="n">
        <v>506.3191</v>
      </c>
      <c r="S418" t="n">
        <v>0.00100149</v>
      </c>
      <c r="T418" t="n">
        <v>0.00047124</v>
      </c>
    </row>
    <row r="419">
      <c r="A419" t="inlineStr">
        <is>
          <t>SUP-0042</t>
        </is>
      </c>
      <c r="B419" t="inlineStr">
        <is>
          <t>Chemicals Supplier 042</t>
        </is>
      </c>
      <c r="C419" t="inlineStr">
        <is>
          <t>Chemicals</t>
        </is>
      </c>
      <c r="D419" t="n">
        <v>2022</v>
      </c>
      <c r="E419" t="n">
        <v>9513189.890000001</v>
      </c>
      <c r="F419" t="inlineStr"/>
      <c r="G419" t="n">
        <v>8479.340399999999</v>
      </c>
      <c r="H419" t="n">
        <v>1234.3906</v>
      </c>
      <c r="I419" t="n">
        <v>1587.9717</v>
      </c>
      <c r="J419" t="n">
        <v>5832.1756</v>
      </c>
      <c r="K419" t="inlineStr"/>
      <c r="L419" t="inlineStr"/>
      <c r="M419" t="inlineStr"/>
      <c r="N419" t="inlineStr"/>
      <c r="O419" t="n">
        <v>2019</v>
      </c>
      <c r="P419" t="n">
        <v>2035</v>
      </c>
      <c r="Q419" t="n">
        <v>0.5229</v>
      </c>
      <c r="R419" t="n">
        <v>506.3191</v>
      </c>
      <c r="S419" t="n">
        <v>0.00100149</v>
      </c>
      <c r="T419" t="n">
        <v>0.00047124</v>
      </c>
    </row>
    <row r="420">
      <c r="A420" t="inlineStr">
        <is>
          <t>SUP-0042</t>
        </is>
      </c>
      <c r="B420" t="inlineStr">
        <is>
          <t>Chemicals Supplier 042</t>
        </is>
      </c>
      <c r="C420" t="inlineStr">
        <is>
          <t>Chemicals</t>
        </is>
      </c>
      <c r="D420" t="n">
        <v>2023</v>
      </c>
      <c r="E420" t="n">
        <v>10168093.52</v>
      </c>
      <c r="F420" t="n">
        <v>54534938.15</v>
      </c>
      <c r="G420" t="n">
        <v>7958.8098</v>
      </c>
      <c r="H420" t="n">
        <v>1604.6562</v>
      </c>
      <c r="I420" t="n">
        <v>984.7532</v>
      </c>
      <c r="J420" t="n">
        <v>4875.7139</v>
      </c>
      <c r="K420" t="inlineStr"/>
      <c r="L420" t="inlineStr"/>
      <c r="M420" t="inlineStr"/>
      <c r="N420" t="inlineStr"/>
      <c r="O420" t="n">
        <v>2019</v>
      </c>
      <c r="P420" t="n">
        <v>2035</v>
      </c>
      <c r="Q420" t="n">
        <v>0.5229</v>
      </c>
      <c r="R420" t="n">
        <v>506.3191</v>
      </c>
      <c r="S420" t="n">
        <v>0.00100149</v>
      </c>
      <c r="T420" t="n">
        <v>0.00047124</v>
      </c>
    </row>
    <row r="421">
      <c r="A421" t="inlineStr">
        <is>
          <t>SUP-0042</t>
        </is>
      </c>
      <c r="B421" t="inlineStr">
        <is>
          <t>Chemicals Supplier 042</t>
        </is>
      </c>
      <c r="C421" t="inlineStr">
        <is>
          <t>Chemicals</t>
        </is>
      </c>
      <c r="D421" t="n">
        <v>2024</v>
      </c>
      <c r="E421" t="n">
        <v>10979514.65</v>
      </c>
      <c r="F421" t="n">
        <v>40348544.4</v>
      </c>
      <c r="G421" t="inlineStr"/>
      <c r="H421" t="inlineStr"/>
      <c r="I421" t="n">
        <v>1844.0681</v>
      </c>
      <c r="J421" t="n">
        <v>6628.6754</v>
      </c>
      <c r="K421" t="inlineStr"/>
      <c r="L421" t="inlineStr"/>
      <c r="M421" t="inlineStr"/>
      <c r="N421" t="inlineStr"/>
      <c r="O421" t="n">
        <v>2019</v>
      </c>
      <c r="P421" t="n">
        <v>2035</v>
      </c>
      <c r="Q421" t="n">
        <v>0.5229</v>
      </c>
      <c r="R421" t="n">
        <v>506.3191</v>
      </c>
      <c r="S421" t="n">
        <v>0.00100149</v>
      </c>
      <c r="T421" t="n">
        <v>0.00047124</v>
      </c>
    </row>
    <row r="422">
      <c r="A422" t="inlineStr">
        <is>
          <t>SUP-0043</t>
        </is>
      </c>
      <c r="B422" t="inlineStr">
        <is>
          <t>Logistics Supplier 043</t>
        </is>
      </c>
      <c r="C422" t="inlineStr">
        <is>
          <t>Logistics</t>
        </is>
      </c>
      <c r="D422" t="n">
        <v>2015</v>
      </c>
      <c r="E422" t="n">
        <v>944194.74</v>
      </c>
      <c r="F422" t="n">
        <v>6711186.57</v>
      </c>
      <c r="G422" t="n">
        <v>223.8906</v>
      </c>
      <c r="H422" t="n">
        <v>45.3872</v>
      </c>
      <c r="I422" t="n">
        <v>41.9623</v>
      </c>
      <c r="J422" t="inlineStr"/>
      <c r="K422" t="n">
        <v>2018</v>
      </c>
      <c r="L422" t="n">
        <v>2035</v>
      </c>
      <c r="M422" t="n">
        <v>0.543</v>
      </c>
      <c r="N422" t="n">
        <v>0.1921</v>
      </c>
      <c r="O422" t="n">
        <v>2019</v>
      </c>
      <c r="P422" t="n">
        <v>2040</v>
      </c>
      <c r="Q422" t="n">
        <v>0.4616</v>
      </c>
      <c r="R422" t="n">
        <v>591.6386</v>
      </c>
      <c r="S422" t="n">
        <v>0.00022349</v>
      </c>
      <c r="T422" t="n">
        <v>0.00047787</v>
      </c>
    </row>
    <row r="423">
      <c r="A423" t="inlineStr">
        <is>
          <t>SUP-0043</t>
        </is>
      </c>
      <c r="B423" t="inlineStr">
        <is>
          <t>Logistics Supplier 043</t>
        </is>
      </c>
      <c r="C423" t="inlineStr">
        <is>
          <t>Logistics</t>
        </is>
      </c>
      <c r="D423" t="n">
        <v>2016</v>
      </c>
      <c r="E423" t="n">
        <v>1017773.92</v>
      </c>
      <c r="F423" t="n">
        <v>6618429.49</v>
      </c>
      <c r="G423" t="inlineStr"/>
      <c r="H423" t="n">
        <v>35.7938</v>
      </c>
      <c r="I423" t="n">
        <v>37.3655</v>
      </c>
      <c r="J423" t="n">
        <v>132.612</v>
      </c>
      <c r="K423" t="n">
        <v>2018</v>
      </c>
      <c r="L423" t="n">
        <v>2035</v>
      </c>
      <c r="M423" t="n">
        <v>0.543</v>
      </c>
      <c r="N423" t="n">
        <v>0.1921</v>
      </c>
      <c r="O423" t="n">
        <v>2019</v>
      </c>
      <c r="P423" t="n">
        <v>2040</v>
      </c>
      <c r="Q423" t="n">
        <v>0.4616</v>
      </c>
      <c r="R423" t="n">
        <v>591.6386</v>
      </c>
      <c r="S423" t="n">
        <v>0.00022349</v>
      </c>
      <c r="T423" t="n">
        <v>0.00047787</v>
      </c>
    </row>
    <row r="424">
      <c r="A424" t="inlineStr">
        <is>
          <t>SUP-0043</t>
        </is>
      </c>
      <c r="B424" t="inlineStr">
        <is>
          <t>Logistics Supplier 043</t>
        </is>
      </c>
      <c r="C424" t="inlineStr">
        <is>
          <t>Logistics</t>
        </is>
      </c>
      <c r="D424" t="n">
        <v>2017</v>
      </c>
      <c r="E424" t="n">
        <v>1004677.24</v>
      </c>
      <c r="F424" t="n">
        <v>6387980.25</v>
      </c>
      <c r="G424" t="n">
        <v>137.7011</v>
      </c>
      <c r="H424" t="n">
        <v>31.4779</v>
      </c>
      <c r="I424" t="n">
        <v>19.7482</v>
      </c>
      <c r="J424" t="inlineStr"/>
      <c r="K424" t="n">
        <v>2018</v>
      </c>
      <c r="L424" t="n">
        <v>2035</v>
      </c>
      <c r="M424" t="n">
        <v>0.543</v>
      </c>
      <c r="N424" t="n">
        <v>0.1921</v>
      </c>
      <c r="O424" t="n">
        <v>2019</v>
      </c>
      <c r="P424" t="n">
        <v>2040</v>
      </c>
      <c r="Q424" t="n">
        <v>0.4616</v>
      </c>
      <c r="R424" t="n">
        <v>591.6386</v>
      </c>
      <c r="S424" t="n">
        <v>0.00022349</v>
      </c>
      <c r="T424" t="n">
        <v>0.00047787</v>
      </c>
    </row>
    <row r="425">
      <c r="A425" t="inlineStr">
        <is>
          <t>SUP-0043</t>
        </is>
      </c>
      <c r="B425" t="inlineStr">
        <is>
          <t>Logistics Supplier 043</t>
        </is>
      </c>
      <c r="C425" t="inlineStr">
        <is>
          <t>Logistics</t>
        </is>
      </c>
      <c r="D425" t="n">
        <v>2018</v>
      </c>
      <c r="E425" t="n">
        <v>918751.67</v>
      </c>
      <c r="F425" t="n">
        <v>7186217.23</v>
      </c>
      <c r="G425" t="n">
        <v>158.9343</v>
      </c>
      <c r="H425" t="n">
        <v>36.288</v>
      </c>
      <c r="I425" t="n">
        <v>12.0185</v>
      </c>
      <c r="J425" t="inlineStr"/>
      <c r="K425" t="n">
        <v>2018</v>
      </c>
      <c r="L425" t="n">
        <v>2035</v>
      </c>
      <c r="M425" t="n">
        <v>0.543</v>
      </c>
      <c r="N425" t="n">
        <v>0.1921</v>
      </c>
      <c r="O425" t="n">
        <v>2019</v>
      </c>
      <c r="P425" t="n">
        <v>2040</v>
      </c>
      <c r="Q425" t="n">
        <v>0.4616</v>
      </c>
      <c r="R425" t="n">
        <v>591.6386</v>
      </c>
      <c r="S425" t="n">
        <v>0.00022349</v>
      </c>
      <c r="T425" t="n">
        <v>0.00047787</v>
      </c>
    </row>
    <row r="426">
      <c r="A426" t="inlineStr">
        <is>
          <t>SUP-0043</t>
        </is>
      </c>
      <c r="B426" t="inlineStr">
        <is>
          <t>Logistics Supplier 043</t>
        </is>
      </c>
      <c r="C426" t="inlineStr">
        <is>
          <t>Logistics</t>
        </is>
      </c>
      <c r="D426" t="n">
        <v>2019</v>
      </c>
      <c r="E426" t="n">
        <v>1175094.85</v>
      </c>
      <c r="F426" t="n">
        <v>9233268.949999999</v>
      </c>
      <c r="G426" t="n">
        <v>191.9903</v>
      </c>
      <c r="H426" t="n">
        <v>25.0381</v>
      </c>
      <c r="I426" t="n">
        <v>20.5427</v>
      </c>
      <c r="J426" t="inlineStr"/>
      <c r="K426" t="n">
        <v>2018</v>
      </c>
      <c r="L426" t="n">
        <v>2035</v>
      </c>
      <c r="M426" t="n">
        <v>0.543</v>
      </c>
      <c r="N426" t="n">
        <v>0.1921</v>
      </c>
      <c r="O426" t="n">
        <v>2019</v>
      </c>
      <c r="P426" t="n">
        <v>2040</v>
      </c>
      <c r="Q426" t="n">
        <v>0.4616</v>
      </c>
      <c r="R426" t="n">
        <v>591.6386</v>
      </c>
      <c r="S426" t="n">
        <v>0.00022349</v>
      </c>
      <c r="T426" t="n">
        <v>0.00047787</v>
      </c>
    </row>
    <row r="427">
      <c r="A427" t="inlineStr">
        <is>
          <t>SUP-0043</t>
        </is>
      </c>
      <c r="B427" t="inlineStr">
        <is>
          <t>Logistics Supplier 043</t>
        </is>
      </c>
      <c r="C427" t="inlineStr">
        <is>
          <t>Logistics</t>
        </is>
      </c>
      <c r="D427" t="n">
        <v>2020</v>
      </c>
      <c r="E427" t="n">
        <v>1073098.1</v>
      </c>
      <c r="F427" t="n">
        <v>9174248.74</v>
      </c>
      <c r="G427" t="n">
        <v>163.3993</v>
      </c>
      <c r="H427" t="n">
        <v>17.5134</v>
      </c>
      <c r="I427" t="n">
        <v>25.4962</v>
      </c>
      <c r="J427" t="inlineStr"/>
      <c r="K427" t="n">
        <v>2018</v>
      </c>
      <c r="L427" t="n">
        <v>2035</v>
      </c>
      <c r="M427" t="n">
        <v>0.543</v>
      </c>
      <c r="N427" t="n">
        <v>0.1921</v>
      </c>
      <c r="O427" t="n">
        <v>2019</v>
      </c>
      <c r="P427" t="n">
        <v>2040</v>
      </c>
      <c r="Q427" t="n">
        <v>0.4616</v>
      </c>
      <c r="R427" t="n">
        <v>591.6386</v>
      </c>
      <c r="S427" t="n">
        <v>0.00022349</v>
      </c>
      <c r="T427" t="n">
        <v>0.00047787</v>
      </c>
    </row>
    <row r="428">
      <c r="A428" t="inlineStr">
        <is>
          <t>SUP-0043</t>
        </is>
      </c>
      <c r="B428" t="inlineStr">
        <is>
          <t>Logistics Supplier 043</t>
        </is>
      </c>
      <c r="C428" t="inlineStr">
        <is>
          <t>Logistics</t>
        </is>
      </c>
      <c r="D428" t="n">
        <v>2021</v>
      </c>
      <c r="E428" t="n">
        <v>1339386.98</v>
      </c>
      <c r="F428" t="n">
        <v>10491730.86</v>
      </c>
      <c r="G428" t="inlineStr"/>
      <c r="H428" t="n">
        <v>42.6352</v>
      </c>
      <c r="I428" t="n">
        <v>31.8274</v>
      </c>
      <c r="J428" t="n">
        <v>138.2415</v>
      </c>
      <c r="K428" t="n">
        <v>2018</v>
      </c>
      <c r="L428" t="n">
        <v>2035</v>
      </c>
      <c r="M428" t="n">
        <v>0.543</v>
      </c>
      <c r="N428" t="n">
        <v>0.1921</v>
      </c>
      <c r="O428" t="n">
        <v>2019</v>
      </c>
      <c r="P428" t="n">
        <v>2040</v>
      </c>
      <c r="Q428" t="n">
        <v>0.4616</v>
      </c>
      <c r="R428" t="n">
        <v>591.6386</v>
      </c>
      <c r="S428" t="n">
        <v>0.00022349</v>
      </c>
      <c r="T428" t="n">
        <v>0.00047787</v>
      </c>
    </row>
    <row r="429">
      <c r="A429" t="inlineStr">
        <is>
          <t>SUP-0043</t>
        </is>
      </c>
      <c r="B429" t="inlineStr">
        <is>
          <t>Logistics Supplier 043</t>
        </is>
      </c>
      <c r="C429" t="inlineStr">
        <is>
          <t>Logistics</t>
        </is>
      </c>
      <c r="D429" t="n">
        <v>2022</v>
      </c>
      <c r="E429" t="n">
        <v>1055165.49</v>
      </c>
      <c r="F429" t="n">
        <v>11613402.56</v>
      </c>
      <c r="G429" t="n">
        <v>164.5807</v>
      </c>
      <c r="H429" t="n">
        <v>41.679</v>
      </c>
      <c r="I429" t="n">
        <v>15.6876</v>
      </c>
      <c r="J429" t="inlineStr"/>
      <c r="K429" t="n">
        <v>2018</v>
      </c>
      <c r="L429" t="n">
        <v>2035</v>
      </c>
      <c r="M429" t="n">
        <v>0.543</v>
      </c>
      <c r="N429" t="n">
        <v>0.1921</v>
      </c>
      <c r="O429" t="n">
        <v>2019</v>
      </c>
      <c r="P429" t="n">
        <v>2040</v>
      </c>
      <c r="Q429" t="n">
        <v>0.4616</v>
      </c>
      <c r="R429" t="n">
        <v>591.6386</v>
      </c>
      <c r="S429" t="n">
        <v>0.00022349</v>
      </c>
      <c r="T429" t="n">
        <v>0.00047787</v>
      </c>
    </row>
    <row r="430">
      <c r="A430" t="inlineStr">
        <is>
          <t>SUP-0043</t>
        </is>
      </c>
      <c r="B430" t="inlineStr">
        <is>
          <t>Logistics Supplier 043</t>
        </is>
      </c>
      <c r="C430" t="inlineStr">
        <is>
          <t>Logistics</t>
        </is>
      </c>
      <c r="D430" t="n">
        <v>2023</v>
      </c>
      <c r="E430" t="n">
        <v>1485363.67</v>
      </c>
      <c r="F430" t="n">
        <v>9184008.220000001</v>
      </c>
      <c r="G430" t="inlineStr"/>
      <c r="H430" t="n">
        <v>51.388</v>
      </c>
      <c r="I430" t="n">
        <v>18.0553</v>
      </c>
      <c r="J430" t="n">
        <v>125.7545</v>
      </c>
      <c r="K430" t="n">
        <v>2018</v>
      </c>
      <c r="L430" t="n">
        <v>2035</v>
      </c>
      <c r="M430" t="n">
        <v>0.543</v>
      </c>
      <c r="N430" t="n">
        <v>0.1921</v>
      </c>
      <c r="O430" t="n">
        <v>2019</v>
      </c>
      <c r="P430" t="n">
        <v>2040</v>
      </c>
      <c r="Q430" t="n">
        <v>0.4616</v>
      </c>
      <c r="R430" t="n">
        <v>591.6386</v>
      </c>
      <c r="S430" t="n">
        <v>0.00022349</v>
      </c>
      <c r="T430" t="n">
        <v>0.00047787</v>
      </c>
    </row>
    <row r="431">
      <c r="A431" t="inlineStr">
        <is>
          <t>SUP-0043</t>
        </is>
      </c>
      <c r="B431" t="inlineStr">
        <is>
          <t>Logistics Supplier 043</t>
        </is>
      </c>
      <c r="C431" t="inlineStr">
        <is>
          <t>Logistics</t>
        </is>
      </c>
      <c r="D431" t="n">
        <v>2024</v>
      </c>
      <c r="E431" t="n">
        <v>1582516.22</v>
      </c>
      <c r="F431" t="n">
        <v>9114745.390000001</v>
      </c>
      <c r="G431" t="inlineStr"/>
      <c r="H431" t="n">
        <v>34.2647</v>
      </c>
      <c r="I431" t="n">
        <v>37.2644</v>
      </c>
      <c r="J431" t="n">
        <v>147.6296</v>
      </c>
      <c r="K431" t="n">
        <v>2018</v>
      </c>
      <c r="L431" t="n">
        <v>2035</v>
      </c>
      <c r="M431" t="n">
        <v>0.543</v>
      </c>
      <c r="N431" t="n">
        <v>0.1921</v>
      </c>
      <c r="O431" t="n">
        <v>2019</v>
      </c>
      <c r="P431" t="n">
        <v>2040</v>
      </c>
      <c r="Q431" t="n">
        <v>0.4616</v>
      </c>
      <c r="R431" t="n">
        <v>591.6386</v>
      </c>
      <c r="S431" t="n">
        <v>0.00022349</v>
      </c>
      <c r="T431" t="n">
        <v>0.00047787</v>
      </c>
    </row>
    <row r="432">
      <c r="A432" t="inlineStr">
        <is>
          <t>SUP-0044</t>
        </is>
      </c>
      <c r="B432" t="inlineStr">
        <is>
          <t>Chemicals Supplier 044</t>
        </is>
      </c>
      <c r="C432" t="inlineStr">
        <is>
          <t>Chemicals</t>
        </is>
      </c>
      <c r="D432" t="n">
        <v>2015</v>
      </c>
      <c r="E432" t="n">
        <v>17652487.54</v>
      </c>
      <c r="F432" t="n">
        <v>102669591.28</v>
      </c>
      <c r="G432" t="n">
        <v>15097.8722</v>
      </c>
      <c r="H432" t="n">
        <v>3092.7058</v>
      </c>
      <c r="I432" t="n">
        <v>1791.9678</v>
      </c>
      <c r="J432" t="n">
        <v>11732.7781</v>
      </c>
      <c r="K432" t="inlineStr"/>
      <c r="L432" t="inlineStr"/>
      <c r="M432" t="inlineStr"/>
      <c r="N432" t="inlineStr"/>
      <c r="O432" t="n">
        <v>2019</v>
      </c>
      <c r="P432" t="n">
        <v>2035</v>
      </c>
      <c r="Q432" t="n">
        <v>0.5229</v>
      </c>
      <c r="R432" t="n">
        <v>506.3191</v>
      </c>
      <c r="S432" t="n">
        <v>0.00100149</v>
      </c>
      <c r="T432" t="n">
        <v>0.00047124</v>
      </c>
    </row>
    <row r="433">
      <c r="A433" t="inlineStr">
        <is>
          <t>SUP-0044</t>
        </is>
      </c>
      <c r="B433" t="inlineStr">
        <is>
          <t>Chemicals Supplier 044</t>
        </is>
      </c>
      <c r="C433" t="inlineStr">
        <is>
          <t>Chemicals</t>
        </is>
      </c>
      <c r="D433" t="n">
        <v>2016</v>
      </c>
      <c r="E433" t="n">
        <v>18991216.98</v>
      </c>
      <c r="F433" t="n">
        <v>116772875.93</v>
      </c>
      <c r="G433" t="inlineStr"/>
      <c r="H433" t="n">
        <v>5401.9376</v>
      </c>
      <c r="I433" t="n">
        <v>3430.1907</v>
      </c>
      <c r="J433" t="n">
        <v>10135.1771</v>
      </c>
      <c r="K433" t="inlineStr"/>
      <c r="L433" t="inlineStr"/>
      <c r="M433" t="inlineStr"/>
      <c r="N433" t="inlineStr"/>
      <c r="O433" t="n">
        <v>2019</v>
      </c>
      <c r="P433" t="n">
        <v>2035</v>
      </c>
      <c r="Q433" t="n">
        <v>0.5229</v>
      </c>
      <c r="R433" t="n">
        <v>506.3191</v>
      </c>
      <c r="S433" t="n">
        <v>0.00100149</v>
      </c>
      <c r="T433" t="n">
        <v>0.00047124</v>
      </c>
    </row>
    <row r="434">
      <c r="A434" t="inlineStr">
        <is>
          <t>SUP-0044</t>
        </is>
      </c>
      <c r="B434" t="inlineStr">
        <is>
          <t>Chemicals Supplier 044</t>
        </is>
      </c>
      <c r="C434" t="inlineStr">
        <is>
          <t>Chemicals</t>
        </is>
      </c>
      <c r="D434" t="n">
        <v>2017</v>
      </c>
      <c r="E434" t="n">
        <v>19300750.41</v>
      </c>
      <c r="F434" t="n">
        <v>120446008.38</v>
      </c>
      <c r="G434" t="n">
        <v>16603.797</v>
      </c>
      <c r="H434" t="n">
        <v>3047.2352</v>
      </c>
      <c r="I434" t="n">
        <v>1869.5258</v>
      </c>
      <c r="J434" t="n">
        <v>12032.2491</v>
      </c>
      <c r="K434" t="inlineStr"/>
      <c r="L434" t="inlineStr"/>
      <c r="M434" t="inlineStr"/>
      <c r="N434" t="inlineStr"/>
      <c r="O434" t="n">
        <v>2019</v>
      </c>
      <c r="P434" t="n">
        <v>2035</v>
      </c>
      <c r="Q434" t="n">
        <v>0.5229</v>
      </c>
      <c r="R434" t="n">
        <v>506.3191</v>
      </c>
      <c r="S434" t="n">
        <v>0.00100149</v>
      </c>
      <c r="T434" t="n">
        <v>0.00047124</v>
      </c>
    </row>
    <row r="435">
      <c r="A435" t="inlineStr">
        <is>
          <t>SUP-0044</t>
        </is>
      </c>
      <c r="B435" t="inlineStr">
        <is>
          <t>Chemicals Supplier 044</t>
        </is>
      </c>
      <c r="C435" t="inlineStr">
        <is>
          <t>Chemicals</t>
        </is>
      </c>
      <c r="D435" t="n">
        <v>2018</v>
      </c>
      <c r="E435" t="n">
        <v>24031028.79</v>
      </c>
      <c r="F435" t="n">
        <v>161014074.63</v>
      </c>
      <c r="G435" t="n">
        <v>20537.271</v>
      </c>
      <c r="H435" t="n">
        <v>2436.1053</v>
      </c>
      <c r="I435" t="inlineStr"/>
      <c r="J435" t="inlineStr"/>
      <c r="K435" t="inlineStr"/>
      <c r="L435" t="inlineStr"/>
      <c r="M435" t="inlineStr"/>
      <c r="N435" t="inlineStr"/>
      <c r="O435" t="n">
        <v>2019</v>
      </c>
      <c r="P435" t="n">
        <v>2035</v>
      </c>
      <c r="Q435" t="n">
        <v>0.5229</v>
      </c>
      <c r="R435" t="n">
        <v>506.3191</v>
      </c>
      <c r="S435" t="n">
        <v>0.00100149</v>
      </c>
      <c r="T435" t="n">
        <v>0.00047124</v>
      </c>
    </row>
    <row r="436">
      <c r="A436" t="inlineStr">
        <is>
          <t>SUP-0044</t>
        </is>
      </c>
      <c r="B436" t="inlineStr">
        <is>
          <t>Chemicals Supplier 044</t>
        </is>
      </c>
      <c r="C436" t="inlineStr">
        <is>
          <t>Chemicals</t>
        </is>
      </c>
      <c r="D436" t="n">
        <v>2019</v>
      </c>
      <c r="E436" t="n">
        <v>20816084.84</v>
      </c>
      <c r="F436" t="n">
        <v>153191438</v>
      </c>
      <c r="G436" t="inlineStr"/>
      <c r="H436" t="n">
        <v>5807.744</v>
      </c>
      <c r="I436" t="n">
        <v>4390.6977</v>
      </c>
      <c r="J436" t="inlineStr"/>
      <c r="K436" t="inlineStr"/>
      <c r="L436" t="inlineStr"/>
      <c r="M436" t="inlineStr"/>
      <c r="N436" t="inlineStr"/>
      <c r="O436" t="n">
        <v>2019</v>
      </c>
      <c r="P436" t="n">
        <v>2035</v>
      </c>
      <c r="Q436" t="n">
        <v>0.5229</v>
      </c>
      <c r="R436" t="n">
        <v>506.3191</v>
      </c>
      <c r="S436" t="n">
        <v>0.00100149</v>
      </c>
      <c r="T436" t="n">
        <v>0.00047124</v>
      </c>
    </row>
    <row r="437">
      <c r="A437" t="inlineStr">
        <is>
          <t>SUP-0044</t>
        </is>
      </c>
      <c r="B437" t="inlineStr">
        <is>
          <t>Chemicals Supplier 044</t>
        </is>
      </c>
      <c r="C437" t="inlineStr">
        <is>
          <t>Chemicals</t>
        </is>
      </c>
      <c r="D437" t="n">
        <v>2020</v>
      </c>
      <c r="E437" t="n">
        <v>25212918.1</v>
      </c>
      <c r="F437" t="n">
        <v>124250924</v>
      </c>
      <c r="G437" t="n">
        <v>22494.2592</v>
      </c>
      <c r="H437" t="n">
        <v>3849.6592</v>
      </c>
      <c r="I437" t="n">
        <v>3715.3135</v>
      </c>
      <c r="J437" t="n">
        <v>15564.7747</v>
      </c>
      <c r="K437" t="inlineStr"/>
      <c r="L437" t="inlineStr"/>
      <c r="M437" t="inlineStr"/>
      <c r="N437" t="inlineStr"/>
      <c r="O437" t="n">
        <v>2019</v>
      </c>
      <c r="P437" t="n">
        <v>2035</v>
      </c>
      <c r="Q437" t="n">
        <v>0.5229</v>
      </c>
      <c r="R437" t="n">
        <v>506.3191</v>
      </c>
      <c r="S437" t="n">
        <v>0.00100149</v>
      </c>
      <c r="T437" t="n">
        <v>0.00047124</v>
      </c>
    </row>
    <row r="438">
      <c r="A438" t="inlineStr">
        <is>
          <t>SUP-0044</t>
        </is>
      </c>
      <c r="B438" t="inlineStr">
        <is>
          <t>Chemicals Supplier 044</t>
        </is>
      </c>
      <c r="C438" t="inlineStr">
        <is>
          <t>Chemicals</t>
        </is>
      </c>
      <c r="D438" t="n">
        <v>2021</v>
      </c>
      <c r="E438" t="n">
        <v>30308705.35</v>
      </c>
      <c r="F438" t="n">
        <v>209402600.55</v>
      </c>
      <c r="G438" t="n">
        <v>26009.1388</v>
      </c>
      <c r="H438" t="inlineStr"/>
      <c r="I438" t="n">
        <v>1891.7113</v>
      </c>
      <c r="J438" t="n">
        <v>15495.0043</v>
      </c>
      <c r="K438" t="inlineStr"/>
      <c r="L438" t="inlineStr"/>
      <c r="M438" t="inlineStr"/>
      <c r="N438" t="inlineStr"/>
      <c r="O438" t="n">
        <v>2019</v>
      </c>
      <c r="P438" t="n">
        <v>2035</v>
      </c>
      <c r="Q438" t="n">
        <v>0.5229</v>
      </c>
      <c r="R438" t="n">
        <v>506.3191</v>
      </c>
      <c r="S438" t="n">
        <v>0.00100149</v>
      </c>
      <c r="T438" t="n">
        <v>0.00047124</v>
      </c>
    </row>
    <row r="439">
      <c r="A439" t="inlineStr">
        <is>
          <t>SUP-0044</t>
        </is>
      </c>
      <c r="B439" t="inlineStr">
        <is>
          <t>Chemicals Supplier 044</t>
        </is>
      </c>
      <c r="C439" t="inlineStr">
        <is>
          <t>Chemicals</t>
        </is>
      </c>
      <c r="D439" t="n">
        <v>2022</v>
      </c>
      <c r="E439" t="n">
        <v>27796184.17</v>
      </c>
      <c r="F439" t="n">
        <v>208637192.17</v>
      </c>
      <c r="G439" t="inlineStr"/>
      <c r="H439" t="inlineStr"/>
      <c r="I439" t="n">
        <v>3176.5797</v>
      </c>
      <c r="J439" t="n">
        <v>17696.3721</v>
      </c>
      <c r="K439" t="inlineStr"/>
      <c r="L439" t="inlineStr"/>
      <c r="M439" t="inlineStr"/>
      <c r="N439" t="inlineStr"/>
      <c r="O439" t="n">
        <v>2019</v>
      </c>
      <c r="P439" t="n">
        <v>2035</v>
      </c>
      <c r="Q439" t="n">
        <v>0.5229</v>
      </c>
      <c r="R439" t="n">
        <v>506.3191</v>
      </c>
      <c r="S439" t="n">
        <v>0.00100149</v>
      </c>
      <c r="T439" t="n">
        <v>0.00047124</v>
      </c>
    </row>
    <row r="440">
      <c r="A440" t="inlineStr">
        <is>
          <t>SUP-0044</t>
        </is>
      </c>
      <c r="B440" t="inlineStr">
        <is>
          <t>Chemicals Supplier 044</t>
        </is>
      </c>
      <c r="C440" t="inlineStr">
        <is>
          <t>Chemicals</t>
        </is>
      </c>
      <c r="D440" t="n">
        <v>2023</v>
      </c>
      <c r="E440" t="n">
        <v>29592818.19</v>
      </c>
      <c r="F440" t="n">
        <v>172621455.16</v>
      </c>
      <c r="G440" t="n">
        <v>30028.5307</v>
      </c>
      <c r="H440" t="n">
        <v>5991.7142</v>
      </c>
      <c r="I440" t="n">
        <v>2955.2299</v>
      </c>
      <c r="J440" t="inlineStr"/>
      <c r="K440" t="inlineStr"/>
      <c r="L440" t="inlineStr"/>
      <c r="M440" t="inlineStr"/>
      <c r="N440" t="inlineStr"/>
      <c r="O440" t="n">
        <v>2019</v>
      </c>
      <c r="P440" t="n">
        <v>2035</v>
      </c>
      <c r="Q440" t="n">
        <v>0.5229</v>
      </c>
      <c r="R440" t="n">
        <v>506.3191</v>
      </c>
      <c r="S440" t="n">
        <v>0.00100149</v>
      </c>
      <c r="T440" t="n">
        <v>0.00047124</v>
      </c>
    </row>
    <row r="441">
      <c r="A441" t="inlineStr">
        <is>
          <t>SUP-0044</t>
        </is>
      </c>
      <c r="B441" t="inlineStr">
        <is>
          <t>Chemicals Supplier 044</t>
        </is>
      </c>
      <c r="C441" t="inlineStr">
        <is>
          <t>Chemicals</t>
        </is>
      </c>
      <c r="D441" t="n">
        <v>2024</v>
      </c>
      <c r="E441" t="n">
        <v>35263210.83</v>
      </c>
      <c r="F441" t="n">
        <v>312085078.23</v>
      </c>
      <c r="G441" t="n">
        <v>30130.7815</v>
      </c>
      <c r="H441" t="n">
        <v>3248.4917</v>
      </c>
      <c r="I441" t="inlineStr"/>
      <c r="J441" t="inlineStr"/>
      <c r="K441" t="inlineStr"/>
      <c r="L441" t="inlineStr"/>
      <c r="M441" t="inlineStr"/>
      <c r="N441" t="inlineStr"/>
      <c r="O441" t="n">
        <v>2019</v>
      </c>
      <c r="P441" t="n">
        <v>2035</v>
      </c>
      <c r="Q441" t="n">
        <v>0.5229</v>
      </c>
      <c r="R441" t="n">
        <v>506.3191</v>
      </c>
      <c r="S441" t="n">
        <v>0.00100149</v>
      </c>
      <c r="T441" t="n">
        <v>0.00047124</v>
      </c>
    </row>
    <row r="442">
      <c r="A442" t="inlineStr">
        <is>
          <t>SUP-0045</t>
        </is>
      </c>
      <c r="B442" t="inlineStr">
        <is>
          <t>Logistics Supplier 045</t>
        </is>
      </c>
      <c r="C442" t="inlineStr">
        <is>
          <t>Logistics</t>
        </is>
      </c>
      <c r="D442" t="n">
        <v>2015</v>
      </c>
      <c r="E442" t="n">
        <v>12962761.66</v>
      </c>
      <c r="F442" t="n">
        <v>18120647.64</v>
      </c>
      <c r="G442" t="n">
        <v>3708.4666</v>
      </c>
      <c r="H442" t="n">
        <v>875.6382</v>
      </c>
      <c r="I442" t="n">
        <v>734.3754</v>
      </c>
      <c r="J442" t="n">
        <v>1863.1646</v>
      </c>
      <c r="K442" t="n">
        <v>2019</v>
      </c>
      <c r="L442" t="n">
        <v>2035</v>
      </c>
      <c r="M442" t="n">
        <v>0.5906</v>
      </c>
      <c r="N442" t="n">
        <v>0.2263</v>
      </c>
      <c r="O442" t="n">
        <v>2019</v>
      </c>
      <c r="P442" t="n">
        <v>2040</v>
      </c>
      <c r="Q442" t="n">
        <v>0.4616</v>
      </c>
      <c r="R442" t="n">
        <v>591.6386</v>
      </c>
      <c r="S442" t="n">
        <v>0.00022349</v>
      </c>
      <c r="T442" t="n">
        <v>0.00047787</v>
      </c>
    </row>
    <row r="443">
      <c r="A443" t="inlineStr">
        <is>
          <t>SUP-0045</t>
        </is>
      </c>
      <c r="B443" t="inlineStr">
        <is>
          <t>Logistics Supplier 045</t>
        </is>
      </c>
      <c r="C443" t="inlineStr">
        <is>
          <t>Logistics</t>
        </is>
      </c>
      <c r="D443" t="n">
        <v>2016</v>
      </c>
      <c r="E443" t="n">
        <v>14863276.03</v>
      </c>
      <c r="F443" t="n">
        <v>20021232.39</v>
      </c>
      <c r="G443" t="inlineStr"/>
      <c r="H443" t="n">
        <v>716.4791</v>
      </c>
      <c r="I443" t="n">
        <v>371.3644</v>
      </c>
      <c r="J443" t="n">
        <v>2921.9892</v>
      </c>
      <c r="K443" t="n">
        <v>2019</v>
      </c>
      <c r="L443" t="n">
        <v>2035</v>
      </c>
      <c r="M443" t="n">
        <v>0.5906</v>
      </c>
      <c r="N443" t="n">
        <v>0.2263</v>
      </c>
      <c r="O443" t="n">
        <v>2019</v>
      </c>
      <c r="P443" t="n">
        <v>2040</v>
      </c>
      <c r="Q443" t="n">
        <v>0.4616</v>
      </c>
      <c r="R443" t="n">
        <v>591.6386</v>
      </c>
      <c r="S443" t="n">
        <v>0.00022349</v>
      </c>
      <c r="T443" t="n">
        <v>0.00047787</v>
      </c>
    </row>
    <row r="444">
      <c r="A444" t="inlineStr">
        <is>
          <t>SUP-0045</t>
        </is>
      </c>
      <c r="B444" t="inlineStr">
        <is>
          <t>Logistics Supplier 045</t>
        </is>
      </c>
      <c r="C444" t="inlineStr">
        <is>
          <t>Logistics</t>
        </is>
      </c>
      <c r="D444" t="n">
        <v>2017</v>
      </c>
      <c r="E444" t="n">
        <v>16127816.9</v>
      </c>
      <c r="F444" t="n">
        <v>16370205.41</v>
      </c>
      <c r="G444" t="n">
        <v>4238.9012</v>
      </c>
      <c r="H444" t="n">
        <v>694.2987000000001</v>
      </c>
      <c r="I444" t="n">
        <v>268.4514</v>
      </c>
      <c r="J444" t="n">
        <v>3651.5945</v>
      </c>
      <c r="K444" t="n">
        <v>2019</v>
      </c>
      <c r="L444" t="n">
        <v>2035</v>
      </c>
      <c r="M444" t="n">
        <v>0.5906</v>
      </c>
      <c r="N444" t="n">
        <v>0.2263</v>
      </c>
      <c r="O444" t="n">
        <v>2019</v>
      </c>
      <c r="P444" t="n">
        <v>2040</v>
      </c>
      <c r="Q444" t="n">
        <v>0.4616</v>
      </c>
      <c r="R444" t="n">
        <v>591.6386</v>
      </c>
      <c r="S444" t="n">
        <v>0.00022349</v>
      </c>
      <c r="T444" t="n">
        <v>0.00047787</v>
      </c>
    </row>
    <row r="445">
      <c r="A445" t="inlineStr">
        <is>
          <t>SUP-0045</t>
        </is>
      </c>
      <c r="B445" t="inlineStr">
        <is>
          <t>Logistics Supplier 045</t>
        </is>
      </c>
      <c r="C445" t="inlineStr">
        <is>
          <t>Logistics</t>
        </is>
      </c>
      <c r="D445" t="n">
        <v>2018</v>
      </c>
      <c r="E445" t="n">
        <v>16900060.02</v>
      </c>
      <c r="F445" t="n">
        <v>25429414.88</v>
      </c>
      <c r="G445" t="n">
        <v>4799.4432</v>
      </c>
      <c r="H445" t="n">
        <v>987.3999</v>
      </c>
      <c r="I445" t="n">
        <v>747.6806</v>
      </c>
      <c r="J445" t="inlineStr"/>
      <c r="K445" t="n">
        <v>2019</v>
      </c>
      <c r="L445" t="n">
        <v>2035</v>
      </c>
      <c r="M445" t="n">
        <v>0.5906</v>
      </c>
      <c r="N445" t="n">
        <v>0.2263</v>
      </c>
      <c r="O445" t="n">
        <v>2019</v>
      </c>
      <c r="P445" t="n">
        <v>2040</v>
      </c>
      <c r="Q445" t="n">
        <v>0.4616</v>
      </c>
      <c r="R445" t="n">
        <v>591.6386</v>
      </c>
      <c r="S445" t="n">
        <v>0.00022349</v>
      </c>
      <c r="T445" t="n">
        <v>0.00047787</v>
      </c>
    </row>
    <row r="446">
      <c r="A446" t="inlineStr">
        <is>
          <t>SUP-0045</t>
        </is>
      </c>
      <c r="B446" t="inlineStr">
        <is>
          <t>Logistics Supplier 045</t>
        </is>
      </c>
      <c r="C446" t="inlineStr">
        <is>
          <t>Logistics</t>
        </is>
      </c>
      <c r="D446" t="n">
        <v>2019</v>
      </c>
      <c r="E446" t="n">
        <v>15681242.13</v>
      </c>
      <c r="F446" t="n">
        <v>25569400.44</v>
      </c>
      <c r="G446" t="n">
        <v>4029.6726</v>
      </c>
      <c r="H446" t="n">
        <v>462.9382</v>
      </c>
      <c r="I446" t="n">
        <v>689.9719</v>
      </c>
      <c r="J446" t="n">
        <v>2753.5351</v>
      </c>
      <c r="K446" t="n">
        <v>2019</v>
      </c>
      <c r="L446" t="n">
        <v>2035</v>
      </c>
      <c r="M446" t="n">
        <v>0.5906</v>
      </c>
      <c r="N446" t="n">
        <v>0.2263</v>
      </c>
      <c r="O446" t="n">
        <v>2019</v>
      </c>
      <c r="P446" t="n">
        <v>2040</v>
      </c>
      <c r="Q446" t="n">
        <v>0.4616</v>
      </c>
      <c r="R446" t="n">
        <v>591.6386</v>
      </c>
      <c r="S446" t="n">
        <v>0.00022349</v>
      </c>
      <c r="T446" t="n">
        <v>0.00047787</v>
      </c>
    </row>
    <row r="447">
      <c r="A447" t="inlineStr">
        <is>
          <t>SUP-0045</t>
        </is>
      </c>
      <c r="B447" t="inlineStr">
        <is>
          <t>Logistics Supplier 045</t>
        </is>
      </c>
      <c r="C447" t="inlineStr">
        <is>
          <t>Logistics</t>
        </is>
      </c>
      <c r="D447" t="n">
        <v>2020</v>
      </c>
      <c r="E447" t="n">
        <v>17316388.47</v>
      </c>
      <c r="F447" t="n">
        <v>24595968.5</v>
      </c>
      <c r="G447" t="n">
        <v>3844.3676</v>
      </c>
      <c r="H447" t="inlineStr"/>
      <c r="I447" t="n">
        <v>583.9309</v>
      </c>
      <c r="J447" t="n">
        <v>2778.6476</v>
      </c>
      <c r="K447" t="n">
        <v>2019</v>
      </c>
      <c r="L447" t="n">
        <v>2035</v>
      </c>
      <c r="M447" t="n">
        <v>0.5906</v>
      </c>
      <c r="N447" t="n">
        <v>0.2263</v>
      </c>
      <c r="O447" t="n">
        <v>2019</v>
      </c>
      <c r="P447" t="n">
        <v>2040</v>
      </c>
      <c r="Q447" t="n">
        <v>0.4616</v>
      </c>
      <c r="R447" t="n">
        <v>591.6386</v>
      </c>
      <c r="S447" t="n">
        <v>0.00022349</v>
      </c>
      <c r="T447" t="n">
        <v>0.00047787</v>
      </c>
    </row>
    <row r="448">
      <c r="A448" t="inlineStr">
        <is>
          <t>SUP-0045</t>
        </is>
      </c>
      <c r="B448" t="inlineStr">
        <is>
          <t>Logistics Supplier 045</t>
        </is>
      </c>
      <c r="C448" t="inlineStr">
        <is>
          <t>Logistics</t>
        </is>
      </c>
      <c r="D448" t="n">
        <v>2021</v>
      </c>
      <c r="E448" t="n">
        <v>19740348.43</v>
      </c>
      <c r="F448" t="n">
        <v>32269746.24</v>
      </c>
      <c r="G448" t="n">
        <v>4069.3811</v>
      </c>
      <c r="H448" t="inlineStr"/>
      <c r="I448" t="n">
        <v>915.5852</v>
      </c>
      <c r="J448" t="n">
        <v>2704.0591</v>
      </c>
      <c r="K448" t="n">
        <v>2019</v>
      </c>
      <c r="L448" t="n">
        <v>2035</v>
      </c>
      <c r="M448" t="n">
        <v>0.5906</v>
      </c>
      <c r="N448" t="n">
        <v>0.2263</v>
      </c>
      <c r="O448" t="n">
        <v>2019</v>
      </c>
      <c r="P448" t="n">
        <v>2040</v>
      </c>
      <c r="Q448" t="n">
        <v>0.4616</v>
      </c>
      <c r="R448" t="n">
        <v>591.6386</v>
      </c>
      <c r="S448" t="n">
        <v>0.00022349</v>
      </c>
      <c r="T448" t="n">
        <v>0.00047787</v>
      </c>
    </row>
    <row r="449">
      <c r="A449" t="inlineStr">
        <is>
          <t>SUP-0045</t>
        </is>
      </c>
      <c r="B449" t="inlineStr">
        <is>
          <t>Logistics Supplier 045</t>
        </is>
      </c>
      <c r="C449" t="inlineStr">
        <is>
          <t>Logistics</t>
        </is>
      </c>
      <c r="D449" t="n">
        <v>2022</v>
      </c>
      <c r="E449" t="n">
        <v>19954005.01</v>
      </c>
      <c r="F449" t="n">
        <v>29587299.72</v>
      </c>
      <c r="G449" t="n">
        <v>3903.6622</v>
      </c>
      <c r="H449" t="n">
        <v>1147.0254</v>
      </c>
      <c r="I449" t="inlineStr"/>
      <c r="J449" t="n">
        <v>2593.2761</v>
      </c>
      <c r="K449" t="n">
        <v>2019</v>
      </c>
      <c r="L449" t="n">
        <v>2035</v>
      </c>
      <c r="M449" t="n">
        <v>0.5906</v>
      </c>
      <c r="N449" t="n">
        <v>0.2263</v>
      </c>
      <c r="O449" t="n">
        <v>2019</v>
      </c>
      <c r="P449" t="n">
        <v>2040</v>
      </c>
      <c r="Q449" t="n">
        <v>0.4616</v>
      </c>
      <c r="R449" t="n">
        <v>591.6386</v>
      </c>
      <c r="S449" t="n">
        <v>0.00022349</v>
      </c>
      <c r="T449" t="n">
        <v>0.00047787</v>
      </c>
    </row>
    <row r="450">
      <c r="A450" t="inlineStr">
        <is>
          <t>SUP-0045</t>
        </is>
      </c>
      <c r="B450" t="inlineStr">
        <is>
          <t>Logistics Supplier 045</t>
        </is>
      </c>
      <c r="C450" t="inlineStr">
        <is>
          <t>Logistics</t>
        </is>
      </c>
      <c r="D450" t="n">
        <v>2023</v>
      </c>
      <c r="E450" t="n">
        <v>23741420.04</v>
      </c>
      <c r="F450" t="n">
        <v>25954507.99</v>
      </c>
      <c r="G450" t="n">
        <v>4073.3026</v>
      </c>
      <c r="H450" t="n">
        <v>819.9914</v>
      </c>
      <c r="I450" t="n">
        <v>445.2657</v>
      </c>
      <c r="J450" t="n">
        <v>3013.9937</v>
      </c>
      <c r="K450" t="n">
        <v>2019</v>
      </c>
      <c r="L450" t="n">
        <v>2035</v>
      </c>
      <c r="M450" t="n">
        <v>0.5906</v>
      </c>
      <c r="N450" t="n">
        <v>0.2263</v>
      </c>
      <c r="O450" t="n">
        <v>2019</v>
      </c>
      <c r="P450" t="n">
        <v>2040</v>
      </c>
      <c r="Q450" t="n">
        <v>0.4616</v>
      </c>
      <c r="R450" t="n">
        <v>591.6386</v>
      </c>
      <c r="S450" t="n">
        <v>0.00022349</v>
      </c>
      <c r="T450" t="n">
        <v>0.00047787</v>
      </c>
    </row>
    <row r="451">
      <c r="A451" t="inlineStr">
        <is>
          <t>SUP-0045</t>
        </is>
      </c>
      <c r="B451" t="inlineStr">
        <is>
          <t>Logistics Supplier 045</t>
        </is>
      </c>
      <c r="C451" t="inlineStr">
        <is>
          <t>Logistics</t>
        </is>
      </c>
      <c r="D451" t="n">
        <v>2024</v>
      </c>
      <c r="E451" t="n">
        <v>21874586.79</v>
      </c>
      <c r="F451" t="n">
        <v>36553728.54</v>
      </c>
      <c r="G451" t="n">
        <v>3783.1466</v>
      </c>
      <c r="H451" t="n">
        <v>572.0124</v>
      </c>
      <c r="I451" t="n">
        <v>507.5448</v>
      </c>
      <c r="J451" t="n">
        <v>2729.1452</v>
      </c>
      <c r="K451" t="n">
        <v>2019</v>
      </c>
      <c r="L451" t="n">
        <v>2035</v>
      </c>
      <c r="M451" t="n">
        <v>0.5906</v>
      </c>
      <c r="N451" t="n">
        <v>0.2263</v>
      </c>
      <c r="O451" t="n">
        <v>2019</v>
      </c>
      <c r="P451" t="n">
        <v>2040</v>
      </c>
      <c r="Q451" t="n">
        <v>0.4616</v>
      </c>
      <c r="R451" t="n">
        <v>591.6386</v>
      </c>
      <c r="S451" t="n">
        <v>0.00022349</v>
      </c>
      <c r="T451" t="n">
        <v>0.00047787</v>
      </c>
    </row>
    <row r="452">
      <c r="A452" t="inlineStr">
        <is>
          <t>SUP-0046</t>
        </is>
      </c>
      <c r="B452" t="inlineStr">
        <is>
          <t>Textiles Supplier 046</t>
        </is>
      </c>
      <c r="C452" t="inlineStr">
        <is>
          <t>Textiles</t>
        </is>
      </c>
      <c r="D452" t="n">
        <v>2015</v>
      </c>
      <c r="E452" t="n">
        <v>1375728.55</v>
      </c>
      <c r="F452" t="n">
        <v>6884544.38</v>
      </c>
      <c r="G452" t="n">
        <v>443.2574</v>
      </c>
      <c r="H452" t="n">
        <v>56.6819</v>
      </c>
      <c r="I452" t="n">
        <v>38.6554</v>
      </c>
      <c r="J452" t="n">
        <v>337.9272</v>
      </c>
      <c r="K452" t="inlineStr"/>
      <c r="L452" t="inlineStr"/>
      <c r="M452" t="inlineStr"/>
      <c r="N452" t="inlineStr"/>
      <c r="O452" t="n">
        <v>2019</v>
      </c>
      <c r="P452" t="n">
        <v>2030</v>
      </c>
      <c r="Q452" t="n">
        <v>0.3171</v>
      </c>
      <c r="R452" t="n">
        <v>401.7335</v>
      </c>
      <c r="S452" t="n">
        <v>0.00029221</v>
      </c>
      <c r="T452" t="n">
        <v>0.00017343</v>
      </c>
    </row>
    <row r="453">
      <c r="A453" t="inlineStr">
        <is>
          <t>SUP-0046</t>
        </is>
      </c>
      <c r="B453" t="inlineStr">
        <is>
          <t>Textiles Supplier 046</t>
        </is>
      </c>
      <c r="C453" t="inlineStr">
        <is>
          <t>Textiles</t>
        </is>
      </c>
      <c r="D453" t="n">
        <v>2016</v>
      </c>
      <c r="E453" t="n">
        <v>1159389.35</v>
      </c>
      <c r="F453" t="n">
        <v>8157541.35</v>
      </c>
      <c r="G453" t="inlineStr"/>
      <c r="H453" t="n">
        <v>41.6769</v>
      </c>
      <c r="I453" t="n">
        <v>31.8507</v>
      </c>
      <c r="J453" t="n">
        <v>253.6564</v>
      </c>
      <c r="K453" t="inlineStr"/>
      <c r="L453" t="inlineStr"/>
      <c r="M453" t="inlineStr"/>
      <c r="N453" t="inlineStr"/>
      <c r="O453" t="n">
        <v>2019</v>
      </c>
      <c r="P453" t="n">
        <v>2030</v>
      </c>
      <c r="Q453" t="n">
        <v>0.3171</v>
      </c>
      <c r="R453" t="n">
        <v>401.7335</v>
      </c>
      <c r="S453" t="n">
        <v>0.00029221</v>
      </c>
      <c r="T453" t="n">
        <v>0.00017343</v>
      </c>
    </row>
    <row r="454">
      <c r="A454" t="inlineStr">
        <is>
          <t>SUP-0046</t>
        </is>
      </c>
      <c r="B454" t="inlineStr">
        <is>
          <t>Textiles Supplier 046</t>
        </is>
      </c>
      <c r="C454" t="inlineStr">
        <is>
          <t>Textiles</t>
        </is>
      </c>
      <c r="D454" t="n">
        <v>2017</v>
      </c>
      <c r="E454" t="n">
        <v>1279441.77</v>
      </c>
      <c r="F454" t="n">
        <v>7872114.36</v>
      </c>
      <c r="G454" t="n">
        <v>296.3822</v>
      </c>
      <c r="H454" t="n">
        <v>56.3985</v>
      </c>
      <c r="I454" t="n">
        <v>36.8349</v>
      </c>
      <c r="J454" t="n">
        <v>206.8141</v>
      </c>
      <c r="K454" t="inlineStr"/>
      <c r="L454" t="inlineStr"/>
      <c r="M454" t="inlineStr"/>
      <c r="N454" t="inlineStr"/>
      <c r="O454" t="n">
        <v>2019</v>
      </c>
      <c r="P454" t="n">
        <v>2030</v>
      </c>
      <c r="Q454" t="n">
        <v>0.3171</v>
      </c>
      <c r="R454" t="n">
        <v>401.7335</v>
      </c>
      <c r="S454" t="n">
        <v>0.00029221</v>
      </c>
      <c r="T454" t="n">
        <v>0.00017343</v>
      </c>
    </row>
    <row r="455">
      <c r="A455" t="inlineStr">
        <is>
          <t>SUP-0046</t>
        </is>
      </c>
      <c r="B455" t="inlineStr">
        <is>
          <t>Textiles Supplier 046</t>
        </is>
      </c>
      <c r="C455" t="inlineStr">
        <is>
          <t>Textiles</t>
        </is>
      </c>
      <c r="D455" t="n">
        <v>2018</v>
      </c>
      <c r="E455" t="n">
        <v>1468991.91</v>
      </c>
      <c r="F455" t="n">
        <v>6967029.46</v>
      </c>
      <c r="G455" t="n">
        <v>404.7753</v>
      </c>
      <c r="H455" t="n">
        <v>108.6312</v>
      </c>
      <c r="I455" t="n">
        <v>59.5587</v>
      </c>
      <c r="J455" t="n">
        <v>236.2098</v>
      </c>
      <c r="K455" t="inlineStr"/>
      <c r="L455" t="inlineStr"/>
      <c r="M455" t="inlineStr"/>
      <c r="N455" t="inlineStr"/>
      <c r="O455" t="n">
        <v>2019</v>
      </c>
      <c r="P455" t="n">
        <v>2030</v>
      </c>
      <c r="Q455" t="n">
        <v>0.3171</v>
      </c>
      <c r="R455" t="n">
        <v>401.7335</v>
      </c>
      <c r="S455" t="n">
        <v>0.00029221</v>
      </c>
      <c r="T455" t="n">
        <v>0.00017343</v>
      </c>
    </row>
    <row r="456">
      <c r="A456" t="inlineStr">
        <is>
          <t>SUP-0046</t>
        </is>
      </c>
      <c r="B456" t="inlineStr">
        <is>
          <t>Textiles Supplier 046</t>
        </is>
      </c>
      <c r="C456" t="inlineStr">
        <is>
          <t>Textiles</t>
        </is>
      </c>
      <c r="D456" t="n">
        <v>2019</v>
      </c>
      <c r="E456" t="n">
        <v>1282824.75</v>
      </c>
      <c r="F456" t="n">
        <v>6456179.14</v>
      </c>
      <c r="G456" t="n">
        <v>315.468</v>
      </c>
      <c r="H456" t="n">
        <v>84.565</v>
      </c>
      <c r="I456" t="n">
        <v>51.9812</v>
      </c>
      <c r="J456" t="n">
        <v>162.3647</v>
      </c>
      <c r="K456" t="inlineStr"/>
      <c r="L456" t="inlineStr"/>
      <c r="M456" t="inlineStr"/>
      <c r="N456" t="inlineStr"/>
      <c r="O456" t="n">
        <v>2019</v>
      </c>
      <c r="P456" t="n">
        <v>2030</v>
      </c>
      <c r="Q456" t="n">
        <v>0.3171</v>
      </c>
      <c r="R456" t="n">
        <v>401.7335</v>
      </c>
      <c r="S456" t="n">
        <v>0.00029221</v>
      </c>
      <c r="T456" t="n">
        <v>0.00017343</v>
      </c>
    </row>
    <row r="457">
      <c r="A457" t="inlineStr">
        <is>
          <t>SUP-0046</t>
        </is>
      </c>
      <c r="B457" t="inlineStr">
        <is>
          <t>Textiles Supplier 046</t>
        </is>
      </c>
      <c r="C457" t="inlineStr">
        <is>
          <t>Textiles</t>
        </is>
      </c>
      <c r="D457" t="n">
        <v>2020</v>
      </c>
      <c r="E457" t="n">
        <v>1294621.22</v>
      </c>
      <c r="F457" t="n">
        <v>9223922.48</v>
      </c>
      <c r="G457" t="n">
        <v>351.3144</v>
      </c>
      <c r="H457" t="n">
        <v>39.9993</v>
      </c>
      <c r="I457" t="inlineStr"/>
      <c r="J457" t="n">
        <v>226.9306</v>
      </c>
      <c r="K457" t="inlineStr"/>
      <c r="L457" t="inlineStr"/>
      <c r="M457" t="inlineStr"/>
      <c r="N457" t="inlineStr"/>
      <c r="O457" t="n">
        <v>2019</v>
      </c>
      <c r="P457" t="n">
        <v>2030</v>
      </c>
      <c r="Q457" t="n">
        <v>0.3171</v>
      </c>
      <c r="R457" t="n">
        <v>401.7335</v>
      </c>
      <c r="S457" t="n">
        <v>0.00029221</v>
      </c>
      <c r="T457" t="n">
        <v>0.00017343</v>
      </c>
    </row>
    <row r="458">
      <c r="A458" t="inlineStr">
        <is>
          <t>SUP-0046</t>
        </is>
      </c>
      <c r="B458" t="inlineStr">
        <is>
          <t>Textiles Supplier 046</t>
        </is>
      </c>
      <c r="C458" t="inlineStr">
        <is>
          <t>Textiles</t>
        </is>
      </c>
      <c r="D458" t="n">
        <v>2021</v>
      </c>
      <c r="E458" t="n">
        <v>1224353.67</v>
      </c>
      <c r="F458" t="n">
        <v>7006591.1</v>
      </c>
      <c r="G458" t="inlineStr"/>
      <c r="H458" t="n">
        <v>32.0577</v>
      </c>
      <c r="I458" t="inlineStr"/>
      <c r="J458" t="n">
        <v>132.8842</v>
      </c>
      <c r="K458" t="inlineStr"/>
      <c r="L458" t="inlineStr"/>
      <c r="M458" t="inlineStr"/>
      <c r="N458" t="inlineStr"/>
      <c r="O458" t="n">
        <v>2019</v>
      </c>
      <c r="P458" t="n">
        <v>2030</v>
      </c>
      <c r="Q458" t="n">
        <v>0.3171</v>
      </c>
      <c r="R458" t="n">
        <v>401.7335</v>
      </c>
      <c r="S458" t="n">
        <v>0.00029221</v>
      </c>
      <c r="T458" t="n">
        <v>0.00017343</v>
      </c>
    </row>
    <row r="459">
      <c r="A459" t="inlineStr">
        <is>
          <t>SUP-0046</t>
        </is>
      </c>
      <c r="B459" t="inlineStr">
        <is>
          <t>Textiles Supplier 046</t>
        </is>
      </c>
      <c r="C459" t="inlineStr">
        <is>
          <t>Textiles</t>
        </is>
      </c>
      <c r="D459" t="n">
        <v>2022</v>
      </c>
      <c r="E459" t="n">
        <v>1240841.36</v>
      </c>
      <c r="F459" t="n">
        <v>9165593.33</v>
      </c>
      <c r="G459" t="inlineStr"/>
      <c r="H459" t="n">
        <v>34.3527</v>
      </c>
      <c r="I459" t="n">
        <v>70.566</v>
      </c>
      <c r="J459" t="n">
        <v>249.063</v>
      </c>
      <c r="K459" t="inlineStr"/>
      <c r="L459" t="inlineStr"/>
      <c r="M459" t="inlineStr"/>
      <c r="N459" t="inlineStr"/>
      <c r="O459" t="n">
        <v>2019</v>
      </c>
      <c r="P459" t="n">
        <v>2030</v>
      </c>
      <c r="Q459" t="n">
        <v>0.3171</v>
      </c>
      <c r="R459" t="n">
        <v>401.7335</v>
      </c>
      <c r="S459" t="n">
        <v>0.00029221</v>
      </c>
      <c r="T459" t="n">
        <v>0.00017343</v>
      </c>
    </row>
    <row r="460">
      <c r="A460" t="inlineStr">
        <is>
          <t>SUP-0046</t>
        </is>
      </c>
      <c r="B460" t="inlineStr">
        <is>
          <t>Textiles Supplier 046</t>
        </is>
      </c>
      <c r="C460" t="inlineStr">
        <is>
          <t>Textiles</t>
        </is>
      </c>
      <c r="D460" t="n">
        <v>2023</v>
      </c>
      <c r="E460" t="n">
        <v>1281641.09</v>
      </c>
      <c r="F460" t="n">
        <v>8684918.35</v>
      </c>
      <c r="G460" t="n">
        <v>343.2542</v>
      </c>
      <c r="H460" t="inlineStr"/>
      <c r="I460" t="inlineStr"/>
      <c r="J460" t="n">
        <v>187.5908</v>
      </c>
      <c r="K460" t="inlineStr"/>
      <c r="L460" t="inlineStr"/>
      <c r="M460" t="inlineStr"/>
      <c r="N460" t="inlineStr"/>
      <c r="O460" t="n">
        <v>2019</v>
      </c>
      <c r="P460" t="n">
        <v>2030</v>
      </c>
      <c r="Q460" t="n">
        <v>0.3171</v>
      </c>
      <c r="R460" t="n">
        <v>401.7335</v>
      </c>
      <c r="S460" t="n">
        <v>0.00029221</v>
      </c>
      <c r="T460" t="n">
        <v>0.00017343</v>
      </c>
    </row>
    <row r="461">
      <c r="A461" t="inlineStr">
        <is>
          <t>SUP-0046</t>
        </is>
      </c>
      <c r="B461" t="inlineStr">
        <is>
          <t>Textiles Supplier 046</t>
        </is>
      </c>
      <c r="C461" t="inlineStr">
        <is>
          <t>Textiles</t>
        </is>
      </c>
      <c r="D461" t="n">
        <v>2024</v>
      </c>
      <c r="E461" t="n">
        <v>1364268.71</v>
      </c>
      <c r="F461" t="n">
        <v>16401506.49</v>
      </c>
      <c r="G461" t="n">
        <v>301.8451</v>
      </c>
      <c r="H461" t="n">
        <v>46.1148</v>
      </c>
      <c r="I461" t="n">
        <v>48.2149</v>
      </c>
      <c r="J461" t="n">
        <v>202.6606</v>
      </c>
      <c r="K461" t="inlineStr"/>
      <c r="L461" t="inlineStr"/>
      <c r="M461" t="inlineStr"/>
      <c r="N461" t="inlineStr"/>
      <c r="O461" t="n">
        <v>2019</v>
      </c>
      <c r="P461" t="n">
        <v>2030</v>
      </c>
      <c r="Q461" t="n">
        <v>0.3171</v>
      </c>
      <c r="R461" t="n">
        <v>401.7335</v>
      </c>
      <c r="S461" t="n">
        <v>0.00029221</v>
      </c>
      <c r="T461" t="n">
        <v>0.00017343</v>
      </c>
    </row>
    <row r="462">
      <c r="A462" t="inlineStr">
        <is>
          <t>SUP-0047</t>
        </is>
      </c>
      <c r="B462" t="inlineStr">
        <is>
          <t>Packaging Supplier 047</t>
        </is>
      </c>
      <c r="C462" t="inlineStr">
        <is>
          <t>Packaging</t>
        </is>
      </c>
      <c r="D462" t="n">
        <v>2015</v>
      </c>
      <c r="E462" t="n">
        <v>15619527.34</v>
      </c>
      <c r="F462" t="n">
        <v>66793410.11</v>
      </c>
      <c r="G462" t="inlineStr"/>
      <c r="H462" t="n">
        <v>5747.7544</v>
      </c>
      <c r="I462" t="n">
        <v>4628.4095</v>
      </c>
      <c r="J462" t="inlineStr"/>
      <c r="K462" t="n">
        <v>2018</v>
      </c>
      <c r="L462" t="n">
        <v>2040</v>
      </c>
      <c r="M462" t="n">
        <v>0.3939</v>
      </c>
      <c r="N462" t="n">
        <v>0.2136</v>
      </c>
      <c r="O462" t="n">
        <v>2018</v>
      </c>
      <c r="P462" t="n">
        <v>2040</v>
      </c>
      <c r="Q462" t="n">
        <v>0.3112</v>
      </c>
      <c r="R462" t="n">
        <v>702.4188</v>
      </c>
      <c r="S462" t="n">
        <v>0.0010803</v>
      </c>
      <c r="T462" t="n">
        <v>0.00078946</v>
      </c>
    </row>
    <row r="463">
      <c r="A463" t="inlineStr">
        <is>
          <t>SUP-0047</t>
        </is>
      </c>
      <c r="B463" t="inlineStr">
        <is>
          <t>Packaging Supplier 047</t>
        </is>
      </c>
      <c r="C463" t="inlineStr">
        <is>
          <t>Packaging</t>
        </is>
      </c>
      <c r="D463" t="n">
        <v>2016</v>
      </c>
      <c r="E463" t="n">
        <v>17036092.13</v>
      </c>
      <c r="F463" t="n">
        <v>62776501.45</v>
      </c>
      <c r="G463" t="n">
        <v>26002.2769</v>
      </c>
      <c r="H463" t="n">
        <v>2478.9438</v>
      </c>
      <c r="I463" t="inlineStr"/>
      <c r="J463" t="n">
        <v>18400.3394</v>
      </c>
      <c r="K463" t="n">
        <v>2018</v>
      </c>
      <c r="L463" t="n">
        <v>2040</v>
      </c>
      <c r="M463" t="n">
        <v>0.3939</v>
      </c>
      <c r="N463" t="n">
        <v>0.2136</v>
      </c>
      <c r="O463" t="n">
        <v>2018</v>
      </c>
      <c r="P463" t="n">
        <v>2040</v>
      </c>
      <c r="Q463" t="n">
        <v>0.3112</v>
      </c>
      <c r="R463" t="n">
        <v>702.4188</v>
      </c>
      <c r="S463" t="n">
        <v>0.0010803</v>
      </c>
      <c r="T463" t="n">
        <v>0.00078946</v>
      </c>
    </row>
    <row r="464">
      <c r="A464" t="inlineStr">
        <is>
          <t>SUP-0047</t>
        </is>
      </c>
      <c r="B464" t="inlineStr">
        <is>
          <t>Packaging Supplier 047</t>
        </is>
      </c>
      <c r="C464" t="inlineStr">
        <is>
          <t>Packaging</t>
        </is>
      </c>
      <c r="D464" t="n">
        <v>2017</v>
      </c>
      <c r="E464" t="n">
        <v>19233646.28</v>
      </c>
      <c r="F464" t="n">
        <v>69583340.09</v>
      </c>
      <c r="G464" t="n">
        <v>29400.5717</v>
      </c>
      <c r="H464" t="n">
        <v>2411.669</v>
      </c>
      <c r="I464" t="n">
        <v>1908.3752</v>
      </c>
      <c r="J464" t="inlineStr"/>
      <c r="K464" t="n">
        <v>2018</v>
      </c>
      <c r="L464" t="n">
        <v>2040</v>
      </c>
      <c r="M464" t="n">
        <v>0.3939</v>
      </c>
      <c r="N464" t="n">
        <v>0.2136</v>
      </c>
      <c r="O464" t="n">
        <v>2018</v>
      </c>
      <c r="P464" t="n">
        <v>2040</v>
      </c>
      <c r="Q464" t="n">
        <v>0.3112</v>
      </c>
      <c r="R464" t="n">
        <v>702.4188</v>
      </c>
      <c r="S464" t="n">
        <v>0.0010803</v>
      </c>
      <c r="T464" t="n">
        <v>0.00078946</v>
      </c>
    </row>
    <row r="465">
      <c r="A465" t="inlineStr">
        <is>
          <t>SUP-0047</t>
        </is>
      </c>
      <c r="B465" t="inlineStr">
        <is>
          <t>Packaging Supplier 047</t>
        </is>
      </c>
      <c r="C465" t="inlineStr">
        <is>
          <t>Packaging</t>
        </is>
      </c>
      <c r="D465" t="n">
        <v>2018</v>
      </c>
      <c r="E465" t="n">
        <v>19963776.39</v>
      </c>
      <c r="F465" t="n">
        <v>90561760.33</v>
      </c>
      <c r="G465" t="n">
        <v>24264.6494</v>
      </c>
      <c r="H465" t="n">
        <v>5052.8923</v>
      </c>
      <c r="I465" t="n">
        <v>5564.1681</v>
      </c>
      <c r="J465" t="n">
        <v>14681.5907</v>
      </c>
      <c r="K465" t="n">
        <v>2018</v>
      </c>
      <c r="L465" t="n">
        <v>2040</v>
      </c>
      <c r="M465" t="n">
        <v>0.3939</v>
      </c>
      <c r="N465" t="n">
        <v>0.2136</v>
      </c>
      <c r="O465" t="n">
        <v>2018</v>
      </c>
      <c r="P465" t="n">
        <v>2040</v>
      </c>
      <c r="Q465" t="n">
        <v>0.3112</v>
      </c>
      <c r="R465" t="n">
        <v>702.4188</v>
      </c>
      <c r="S465" t="n">
        <v>0.0010803</v>
      </c>
      <c r="T465" t="n">
        <v>0.00078946</v>
      </c>
    </row>
    <row r="466">
      <c r="A466" t="inlineStr">
        <is>
          <t>SUP-0047</t>
        </is>
      </c>
      <c r="B466" t="inlineStr">
        <is>
          <t>Packaging Supplier 047</t>
        </is>
      </c>
      <c r="C466" t="inlineStr">
        <is>
          <t>Packaging</t>
        </is>
      </c>
      <c r="D466" t="n">
        <v>2019</v>
      </c>
      <c r="E466" t="n">
        <v>21313886.01</v>
      </c>
      <c r="F466" t="n">
        <v>77378386.92</v>
      </c>
      <c r="G466" t="n">
        <v>30584.0262</v>
      </c>
      <c r="H466" t="n">
        <v>5245.6352</v>
      </c>
      <c r="I466" t="n">
        <v>4687.7129</v>
      </c>
      <c r="J466" t="n">
        <v>20932.9098</v>
      </c>
      <c r="K466" t="n">
        <v>2018</v>
      </c>
      <c r="L466" t="n">
        <v>2040</v>
      </c>
      <c r="M466" t="n">
        <v>0.3939</v>
      </c>
      <c r="N466" t="n">
        <v>0.2136</v>
      </c>
      <c r="O466" t="n">
        <v>2018</v>
      </c>
      <c r="P466" t="n">
        <v>2040</v>
      </c>
      <c r="Q466" t="n">
        <v>0.3112</v>
      </c>
      <c r="R466" t="n">
        <v>702.4188</v>
      </c>
      <c r="S466" t="n">
        <v>0.0010803</v>
      </c>
      <c r="T466" t="n">
        <v>0.00078946</v>
      </c>
    </row>
    <row r="467">
      <c r="A467" t="inlineStr">
        <is>
          <t>SUP-0047</t>
        </is>
      </c>
      <c r="B467" t="inlineStr">
        <is>
          <t>Packaging Supplier 047</t>
        </is>
      </c>
      <c r="C467" t="inlineStr">
        <is>
          <t>Packaging</t>
        </is>
      </c>
      <c r="D467" t="n">
        <v>2020</v>
      </c>
      <c r="E467" t="n">
        <v>25379788.62</v>
      </c>
      <c r="F467" t="n">
        <v>100445291.64</v>
      </c>
      <c r="G467" t="n">
        <v>42625.7368</v>
      </c>
      <c r="H467" t="n">
        <v>7650.1795</v>
      </c>
      <c r="I467" t="n">
        <v>7370.8916</v>
      </c>
      <c r="J467" t="n">
        <v>26482.3936</v>
      </c>
      <c r="K467" t="n">
        <v>2018</v>
      </c>
      <c r="L467" t="n">
        <v>2040</v>
      </c>
      <c r="M467" t="n">
        <v>0.3939</v>
      </c>
      <c r="N467" t="n">
        <v>0.2136</v>
      </c>
      <c r="O467" t="n">
        <v>2018</v>
      </c>
      <c r="P467" t="n">
        <v>2040</v>
      </c>
      <c r="Q467" t="n">
        <v>0.3112</v>
      </c>
      <c r="R467" t="n">
        <v>702.4188</v>
      </c>
      <c r="S467" t="n">
        <v>0.0010803</v>
      </c>
      <c r="T467" t="n">
        <v>0.00078946</v>
      </c>
    </row>
    <row r="468">
      <c r="A468" t="inlineStr">
        <is>
          <t>SUP-0047</t>
        </is>
      </c>
      <c r="B468" t="inlineStr">
        <is>
          <t>Packaging Supplier 047</t>
        </is>
      </c>
      <c r="C468" t="inlineStr">
        <is>
          <t>Packaging</t>
        </is>
      </c>
      <c r="D468" t="n">
        <v>2021</v>
      </c>
      <c r="E468" t="n">
        <v>24249499.68</v>
      </c>
      <c r="F468" t="n">
        <v>113672706.99</v>
      </c>
      <c r="G468" t="n">
        <v>33519.8375</v>
      </c>
      <c r="H468" t="inlineStr"/>
      <c r="I468" t="n">
        <v>3609.9536</v>
      </c>
      <c r="J468" t="n">
        <v>24329.6545</v>
      </c>
      <c r="K468" t="n">
        <v>2018</v>
      </c>
      <c r="L468" t="n">
        <v>2040</v>
      </c>
      <c r="M468" t="n">
        <v>0.3939</v>
      </c>
      <c r="N468" t="n">
        <v>0.2136</v>
      </c>
      <c r="O468" t="n">
        <v>2018</v>
      </c>
      <c r="P468" t="n">
        <v>2040</v>
      </c>
      <c r="Q468" t="n">
        <v>0.3112</v>
      </c>
      <c r="R468" t="n">
        <v>702.4188</v>
      </c>
      <c r="S468" t="n">
        <v>0.0010803</v>
      </c>
      <c r="T468" t="n">
        <v>0.00078946</v>
      </c>
    </row>
    <row r="469">
      <c r="A469" t="inlineStr">
        <is>
          <t>SUP-0047</t>
        </is>
      </c>
      <c r="B469" t="inlineStr">
        <is>
          <t>Packaging Supplier 047</t>
        </is>
      </c>
      <c r="C469" t="inlineStr">
        <is>
          <t>Packaging</t>
        </is>
      </c>
      <c r="D469" t="n">
        <v>2022</v>
      </c>
      <c r="E469" t="n">
        <v>30235371.77</v>
      </c>
      <c r="F469" t="n">
        <v>127260997.11</v>
      </c>
      <c r="G469" t="n">
        <v>46702.4552</v>
      </c>
      <c r="H469" t="n">
        <v>12655.8005</v>
      </c>
      <c r="I469" t="n">
        <v>7254.8754</v>
      </c>
      <c r="J469" t="n">
        <v>26392.423</v>
      </c>
      <c r="K469" t="n">
        <v>2018</v>
      </c>
      <c r="L469" t="n">
        <v>2040</v>
      </c>
      <c r="M469" t="n">
        <v>0.3939</v>
      </c>
      <c r="N469" t="n">
        <v>0.2136</v>
      </c>
      <c r="O469" t="n">
        <v>2018</v>
      </c>
      <c r="P469" t="n">
        <v>2040</v>
      </c>
      <c r="Q469" t="n">
        <v>0.3112</v>
      </c>
      <c r="R469" t="n">
        <v>702.4188</v>
      </c>
      <c r="S469" t="n">
        <v>0.0010803</v>
      </c>
      <c r="T469" t="n">
        <v>0.00078946</v>
      </c>
    </row>
    <row r="470">
      <c r="A470" t="inlineStr">
        <is>
          <t>SUP-0047</t>
        </is>
      </c>
      <c r="B470" t="inlineStr">
        <is>
          <t>Packaging Supplier 047</t>
        </is>
      </c>
      <c r="C470" t="inlineStr">
        <is>
          <t>Packaging</t>
        </is>
      </c>
      <c r="D470" t="n">
        <v>2023</v>
      </c>
      <c r="E470" t="n">
        <v>27509248.35</v>
      </c>
      <c r="F470" t="n">
        <v>108386126.58</v>
      </c>
      <c r="G470" t="inlineStr"/>
      <c r="H470" t="n">
        <v>10185.0465</v>
      </c>
      <c r="I470" t="inlineStr"/>
      <c r="J470" t="inlineStr"/>
      <c r="K470" t="n">
        <v>2018</v>
      </c>
      <c r="L470" t="n">
        <v>2040</v>
      </c>
      <c r="M470" t="n">
        <v>0.3939</v>
      </c>
      <c r="N470" t="n">
        <v>0.2136</v>
      </c>
      <c r="O470" t="n">
        <v>2018</v>
      </c>
      <c r="P470" t="n">
        <v>2040</v>
      </c>
      <c r="Q470" t="n">
        <v>0.3112</v>
      </c>
      <c r="R470" t="n">
        <v>702.4188</v>
      </c>
      <c r="S470" t="n">
        <v>0.0010803</v>
      </c>
      <c r="T470" t="n">
        <v>0.00078946</v>
      </c>
    </row>
    <row r="471">
      <c r="A471" t="inlineStr">
        <is>
          <t>SUP-0047</t>
        </is>
      </c>
      <c r="B471" t="inlineStr">
        <is>
          <t>Packaging Supplier 047</t>
        </is>
      </c>
      <c r="C471" t="inlineStr">
        <is>
          <t>Packaging</t>
        </is>
      </c>
      <c r="D471" t="n">
        <v>2024</v>
      </c>
      <c r="E471" t="n">
        <v>34224773.76</v>
      </c>
      <c r="F471" t="inlineStr"/>
      <c r="G471" t="n">
        <v>49116.488</v>
      </c>
      <c r="H471" t="n">
        <v>10460.8548</v>
      </c>
      <c r="I471" t="n">
        <v>9550.4494</v>
      </c>
      <c r="J471" t="n">
        <v>29214.3236</v>
      </c>
      <c r="K471" t="n">
        <v>2018</v>
      </c>
      <c r="L471" t="n">
        <v>2040</v>
      </c>
      <c r="M471" t="n">
        <v>0.3939</v>
      </c>
      <c r="N471" t="n">
        <v>0.2136</v>
      </c>
      <c r="O471" t="n">
        <v>2018</v>
      </c>
      <c r="P471" t="n">
        <v>2040</v>
      </c>
      <c r="Q471" t="n">
        <v>0.3112</v>
      </c>
      <c r="R471" t="n">
        <v>702.4188</v>
      </c>
      <c r="S471" t="n">
        <v>0.0010803</v>
      </c>
      <c r="T471" t="n">
        <v>0.00078946</v>
      </c>
    </row>
    <row r="472">
      <c r="A472" t="inlineStr">
        <is>
          <t>SUP-0048</t>
        </is>
      </c>
      <c r="B472" t="inlineStr">
        <is>
          <t>Logistics Supplier 048</t>
        </is>
      </c>
      <c r="C472" t="inlineStr">
        <is>
          <t>Logistics</t>
        </is>
      </c>
      <c r="D472" t="n">
        <v>2015</v>
      </c>
      <c r="E472" t="n">
        <v>7002410.02</v>
      </c>
      <c r="F472" t="n">
        <v>21358551.66</v>
      </c>
      <c r="G472" t="n">
        <v>2179.8608</v>
      </c>
      <c r="H472" t="n">
        <v>396.4768</v>
      </c>
      <c r="I472" t="n">
        <v>385.4979</v>
      </c>
      <c r="J472" t="n">
        <v>1349.074</v>
      </c>
      <c r="K472" t="inlineStr"/>
      <c r="L472" t="inlineStr"/>
      <c r="M472" t="inlineStr"/>
      <c r="N472" t="inlineStr"/>
      <c r="O472" t="n">
        <v>2019</v>
      </c>
      <c r="P472" t="n">
        <v>2040</v>
      </c>
      <c r="Q472" t="n">
        <v>0.4616</v>
      </c>
      <c r="R472" t="n">
        <v>591.6386</v>
      </c>
      <c r="S472" t="n">
        <v>0.00022349</v>
      </c>
      <c r="T472" t="n">
        <v>0.00047787</v>
      </c>
    </row>
    <row r="473">
      <c r="A473" t="inlineStr">
        <is>
          <t>SUP-0048</t>
        </is>
      </c>
      <c r="B473" t="inlineStr">
        <is>
          <t>Logistics Supplier 048</t>
        </is>
      </c>
      <c r="C473" t="inlineStr">
        <is>
          <t>Logistics</t>
        </is>
      </c>
      <c r="D473" t="n">
        <v>2016</v>
      </c>
      <c r="E473" t="n">
        <v>7459906.05</v>
      </c>
      <c r="F473" t="n">
        <v>21600822.47</v>
      </c>
      <c r="G473" t="inlineStr"/>
      <c r="H473" t="n">
        <v>152.0745</v>
      </c>
      <c r="I473" t="n">
        <v>118.0885</v>
      </c>
      <c r="J473" t="n">
        <v>1681.9017</v>
      </c>
      <c r="K473" t="inlineStr"/>
      <c r="L473" t="inlineStr"/>
      <c r="M473" t="inlineStr"/>
      <c r="N473" t="inlineStr"/>
      <c r="O473" t="n">
        <v>2019</v>
      </c>
      <c r="P473" t="n">
        <v>2040</v>
      </c>
      <c r="Q473" t="n">
        <v>0.4616</v>
      </c>
      <c r="R473" t="n">
        <v>591.6386</v>
      </c>
      <c r="S473" t="n">
        <v>0.00022349</v>
      </c>
      <c r="T473" t="n">
        <v>0.00047787</v>
      </c>
    </row>
    <row r="474">
      <c r="A474" t="inlineStr">
        <is>
          <t>SUP-0048</t>
        </is>
      </c>
      <c r="B474" t="inlineStr">
        <is>
          <t>Logistics Supplier 048</t>
        </is>
      </c>
      <c r="C474" t="inlineStr">
        <is>
          <t>Logistics</t>
        </is>
      </c>
      <c r="D474" t="n">
        <v>2017</v>
      </c>
      <c r="E474" t="n">
        <v>7535746.01</v>
      </c>
      <c r="F474" t="n">
        <v>18052003.05</v>
      </c>
      <c r="G474" t="n">
        <v>1949.4645</v>
      </c>
      <c r="H474" t="n">
        <v>408.0641</v>
      </c>
      <c r="I474" t="n">
        <v>456.6539</v>
      </c>
      <c r="J474" t="inlineStr"/>
      <c r="K474" t="inlineStr"/>
      <c r="L474" t="inlineStr"/>
      <c r="M474" t="inlineStr"/>
      <c r="N474" t="inlineStr"/>
      <c r="O474" t="n">
        <v>2019</v>
      </c>
      <c r="P474" t="n">
        <v>2040</v>
      </c>
      <c r="Q474" t="n">
        <v>0.4616</v>
      </c>
      <c r="R474" t="n">
        <v>591.6386</v>
      </c>
      <c r="S474" t="n">
        <v>0.00022349</v>
      </c>
      <c r="T474" t="n">
        <v>0.00047787</v>
      </c>
    </row>
    <row r="475">
      <c r="A475" t="inlineStr">
        <is>
          <t>SUP-0048</t>
        </is>
      </c>
      <c r="B475" t="inlineStr">
        <is>
          <t>Logistics Supplier 048</t>
        </is>
      </c>
      <c r="C475" t="inlineStr">
        <is>
          <t>Logistics</t>
        </is>
      </c>
      <c r="D475" t="n">
        <v>2018</v>
      </c>
      <c r="E475" t="n">
        <v>8046335.19</v>
      </c>
      <c r="F475" t="n">
        <v>20619935.28</v>
      </c>
      <c r="G475" t="inlineStr"/>
      <c r="H475" t="n">
        <v>266.9008</v>
      </c>
      <c r="I475" t="inlineStr"/>
      <c r="J475" t="inlineStr"/>
      <c r="K475" t="inlineStr"/>
      <c r="L475" t="inlineStr"/>
      <c r="M475" t="inlineStr"/>
      <c r="N475" t="inlineStr"/>
      <c r="O475" t="n">
        <v>2019</v>
      </c>
      <c r="P475" t="n">
        <v>2040</v>
      </c>
      <c r="Q475" t="n">
        <v>0.4616</v>
      </c>
      <c r="R475" t="n">
        <v>591.6386</v>
      </c>
      <c r="S475" t="n">
        <v>0.00022349</v>
      </c>
      <c r="T475" t="n">
        <v>0.00047787</v>
      </c>
    </row>
    <row r="476">
      <c r="A476" t="inlineStr">
        <is>
          <t>SUP-0048</t>
        </is>
      </c>
      <c r="B476" t="inlineStr">
        <is>
          <t>Logistics Supplier 048</t>
        </is>
      </c>
      <c r="C476" t="inlineStr">
        <is>
          <t>Logistics</t>
        </is>
      </c>
      <c r="D476" t="n">
        <v>2019</v>
      </c>
      <c r="E476" t="n">
        <v>7875414.02</v>
      </c>
      <c r="F476" t="n">
        <v>21204610.01</v>
      </c>
      <c r="G476" t="n">
        <v>1918.0186</v>
      </c>
      <c r="H476" t="inlineStr"/>
      <c r="I476" t="n">
        <v>340.2826</v>
      </c>
      <c r="J476" t="n">
        <v>1200.3154</v>
      </c>
      <c r="K476" t="inlineStr"/>
      <c r="L476" t="inlineStr"/>
      <c r="M476" t="inlineStr"/>
      <c r="N476" t="inlineStr"/>
      <c r="O476" t="n">
        <v>2019</v>
      </c>
      <c r="P476" t="n">
        <v>2040</v>
      </c>
      <c r="Q476" t="n">
        <v>0.4616</v>
      </c>
      <c r="R476" t="n">
        <v>591.6386</v>
      </c>
      <c r="S476" t="n">
        <v>0.00022349</v>
      </c>
      <c r="T476" t="n">
        <v>0.00047787</v>
      </c>
    </row>
    <row r="477">
      <c r="A477" t="inlineStr">
        <is>
          <t>SUP-0048</t>
        </is>
      </c>
      <c r="B477" t="inlineStr">
        <is>
          <t>Logistics Supplier 048</t>
        </is>
      </c>
      <c r="C477" t="inlineStr">
        <is>
          <t>Logistics</t>
        </is>
      </c>
      <c r="D477" t="n">
        <v>2020</v>
      </c>
      <c r="E477" t="n">
        <v>6671358.75</v>
      </c>
      <c r="F477" t="n">
        <v>31440264.5</v>
      </c>
      <c r="G477" t="n">
        <v>2319.7229</v>
      </c>
      <c r="H477" t="n">
        <v>371.4298</v>
      </c>
      <c r="I477" t="n">
        <v>280.302</v>
      </c>
      <c r="J477" t="n">
        <v>1624.49</v>
      </c>
      <c r="K477" t="inlineStr"/>
      <c r="L477" t="inlineStr"/>
      <c r="M477" t="inlineStr"/>
      <c r="N477" t="inlineStr"/>
      <c r="O477" t="n">
        <v>2019</v>
      </c>
      <c r="P477" t="n">
        <v>2040</v>
      </c>
      <c r="Q477" t="n">
        <v>0.4616</v>
      </c>
      <c r="R477" t="n">
        <v>591.6386</v>
      </c>
      <c r="S477" t="n">
        <v>0.00022349</v>
      </c>
      <c r="T477" t="n">
        <v>0.00047787</v>
      </c>
    </row>
    <row r="478">
      <c r="A478" t="inlineStr">
        <is>
          <t>SUP-0048</t>
        </is>
      </c>
      <c r="B478" t="inlineStr">
        <is>
          <t>Logistics Supplier 048</t>
        </is>
      </c>
      <c r="C478" t="inlineStr">
        <is>
          <t>Logistics</t>
        </is>
      </c>
      <c r="D478" t="n">
        <v>2021</v>
      </c>
      <c r="E478" t="n">
        <v>8361695.47</v>
      </c>
      <c r="F478" t="inlineStr"/>
      <c r="G478" t="inlineStr"/>
      <c r="H478" t="n">
        <v>434.4401</v>
      </c>
      <c r="I478" t="n">
        <v>264.0936</v>
      </c>
      <c r="J478" t="n">
        <v>1622.9657</v>
      </c>
      <c r="K478" t="inlineStr"/>
      <c r="L478" t="inlineStr"/>
      <c r="M478" t="inlineStr"/>
      <c r="N478" t="inlineStr"/>
      <c r="O478" t="n">
        <v>2019</v>
      </c>
      <c r="P478" t="n">
        <v>2040</v>
      </c>
      <c r="Q478" t="n">
        <v>0.4616</v>
      </c>
      <c r="R478" t="n">
        <v>591.6386</v>
      </c>
      <c r="S478" t="n">
        <v>0.00022349</v>
      </c>
      <c r="T478" t="n">
        <v>0.00047787</v>
      </c>
    </row>
    <row r="479">
      <c r="A479" t="inlineStr">
        <is>
          <t>SUP-0048</t>
        </is>
      </c>
      <c r="B479" t="inlineStr">
        <is>
          <t>Logistics Supplier 048</t>
        </is>
      </c>
      <c r="C479" t="inlineStr">
        <is>
          <t>Logistics</t>
        </is>
      </c>
      <c r="D479" t="n">
        <v>2022</v>
      </c>
      <c r="E479" t="n">
        <v>8779384.949999999</v>
      </c>
      <c r="F479" t="n">
        <v>33316327.31</v>
      </c>
      <c r="G479" t="n">
        <v>2215.53</v>
      </c>
      <c r="H479" t="n">
        <v>465.9464</v>
      </c>
      <c r="I479" t="n">
        <v>378.5885</v>
      </c>
      <c r="J479" t="n">
        <v>1404.353</v>
      </c>
      <c r="K479" t="inlineStr"/>
      <c r="L479" t="inlineStr"/>
      <c r="M479" t="inlineStr"/>
      <c r="N479" t="inlineStr"/>
      <c r="O479" t="n">
        <v>2019</v>
      </c>
      <c r="P479" t="n">
        <v>2040</v>
      </c>
      <c r="Q479" t="n">
        <v>0.4616</v>
      </c>
      <c r="R479" t="n">
        <v>591.6386</v>
      </c>
      <c r="S479" t="n">
        <v>0.00022349</v>
      </c>
      <c r="T479" t="n">
        <v>0.00047787</v>
      </c>
    </row>
    <row r="480">
      <c r="A480" t="inlineStr">
        <is>
          <t>SUP-0048</t>
        </is>
      </c>
      <c r="B480" t="inlineStr">
        <is>
          <t>Logistics Supplier 048</t>
        </is>
      </c>
      <c r="C480" t="inlineStr">
        <is>
          <t>Logistics</t>
        </is>
      </c>
      <c r="D480" t="n">
        <v>2023</v>
      </c>
      <c r="E480" t="n">
        <v>9116693.869999999</v>
      </c>
      <c r="F480" t="n">
        <v>26024579.27</v>
      </c>
      <c r="G480" t="inlineStr"/>
      <c r="H480" t="n">
        <v>573.5798</v>
      </c>
      <c r="I480" t="n">
        <v>189.4772</v>
      </c>
      <c r="J480" t="n">
        <v>1968.2098</v>
      </c>
      <c r="K480" t="inlineStr"/>
      <c r="L480" t="inlineStr"/>
      <c r="M480" t="inlineStr"/>
      <c r="N480" t="inlineStr"/>
      <c r="O480" t="n">
        <v>2019</v>
      </c>
      <c r="P480" t="n">
        <v>2040</v>
      </c>
      <c r="Q480" t="n">
        <v>0.4616</v>
      </c>
      <c r="R480" t="n">
        <v>591.6386</v>
      </c>
      <c r="S480" t="n">
        <v>0.00022349</v>
      </c>
      <c r="T480" t="n">
        <v>0.00047787</v>
      </c>
    </row>
    <row r="481">
      <c r="A481" t="inlineStr">
        <is>
          <t>SUP-0048</t>
        </is>
      </c>
      <c r="B481" t="inlineStr">
        <is>
          <t>Logistics Supplier 048</t>
        </is>
      </c>
      <c r="C481" t="inlineStr">
        <is>
          <t>Logistics</t>
        </is>
      </c>
      <c r="D481" t="n">
        <v>2024</v>
      </c>
      <c r="E481" t="n">
        <v>9186435.67</v>
      </c>
      <c r="F481" t="inlineStr"/>
      <c r="G481" t="inlineStr"/>
      <c r="H481" t="n">
        <v>378.8577</v>
      </c>
      <c r="I481" t="n">
        <v>471.3549</v>
      </c>
      <c r="J481" t="n">
        <v>1497.791</v>
      </c>
      <c r="K481" t="inlineStr"/>
      <c r="L481" t="inlineStr"/>
      <c r="M481" t="inlineStr"/>
      <c r="N481" t="inlineStr"/>
      <c r="O481" t="n">
        <v>2019</v>
      </c>
      <c r="P481" t="n">
        <v>2040</v>
      </c>
      <c r="Q481" t="n">
        <v>0.4616</v>
      </c>
      <c r="R481" t="n">
        <v>591.6386</v>
      </c>
      <c r="S481" t="n">
        <v>0.00022349</v>
      </c>
      <c r="T481" t="n">
        <v>0.00047787</v>
      </c>
    </row>
    <row r="482">
      <c r="A482" t="inlineStr">
        <is>
          <t>SUP-0049</t>
        </is>
      </c>
      <c r="B482" t="inlineStr">
        <is>
          <t>Logistics Supplier 049</t>
        </is>
      </c>
      <c r="C482" t="inlineStr">
        <is>
          <t>Logistics</t>
        </is>
      </c>
      <c r="D482" t="n">
        <v>2015</v>
      </c>
      <c r="E482" t="n">
        <v>6651665.65</v>
      </c>
      <c r="F482" t="n">
        <v>64917886.01</v>
      </c>
      <c r="G482" t="inlineStr"/>
      <c r="H482" t="n">
        <v>260.0038</v>
      </c>
      <c r="I482" t="n">
        <v>141.3751</v>
      </c>
      <c r="J482" t="n">
        <v>844.4025</v>
      </c>
      <c r="K482" t="n">
        <v>2019</v>
      </c>
      <c r="L482" t="n">
        <v>2030</v>
      </c>
      <c r="M482" t="n">
        <v>0.236</v>
      </c>
      <c r="N482" t="n">
        <v>0.1422</v>
      </c>
      <c r="O482" t="n">
        <v>2019</v>
      </c>
      <c r="P482" t="n">
        <v>2040</v>
      </c>
      <c r="Q482" t="n">
        <v>0.4616</v>
      </c>
      <c r="R482" t="n">
        <v>591.6386</v>
      </c>
      <c r="S482" t="n">
        <v>0.00022349</v>
      </c>
      <c r="T482" t="n">
        <v>0.00047787</v>
      </c>
    </row>
    <row r="483">
      <c r="A483" t="inlineStr">
        <is>
          <t>SUP-0049</t>
        </is>
      </c>
      <c r="B483" t="inlineStr">
        <is>
          <t>Logistics Supplier 049</t>
        </is>
      </c>
      <c r="C483" t="inlineStr">
        <is>
          <t>Logistics</t>
        </is>
      </c>
      <c r="D483" t="n">
        <v>2016</v>
      </c>
      <c r="E483" t="n">
        <v>7715121.89</v>
      </c>
      <c r="F483" t="n">
        <v>55062172.49</v>
      </c>
      <c r="G483" t="n">
        <v>1057.3056</v>
      </c>
      <c r="H483" t="n">
        <v>218.1597</v>
      </c>
      <c r="I483" t="inlineStr"/>
      <c r="J483" t="inlineStr"/>
      <c r="K483" t="n">
        <v>2019</v>
      </c>
      <c r="L483" t="n">
        <v>2030</v>
      </c>
      <c r="M483" t="n">
        <v>0.236</v>
      </c>
      <c r="N483" t="n">
        <v>0.1422</v>
      </c>
      <c r="O483" t="n">
        <v>2019</v>
      </c>
      <c r="P483" t="n">
        <v>2040</v>
      </c>
      <c r="Q483" t="n">
        <v>0.4616</v>
      </c>
      <c r="R483" t="n">
        <v>591.6386</v>
      </c>
      <c r="S483" t="n">
        <v>0.00022349</v>
      </c>
      <c r="T483" t="n">
        <v>0.00047787</v>
      </c>
    </row>
    <row r="484">
      <c r="A484" t="inlineStr">
        <is>
          <t>SUP-0049</t>
        </is>
      </c>
      <c r="B484" t="inlineStr">
        <is>
          <t>Logistics Supplier 049</t>
        </is>
      </c>
      <c r="C484" t="inlineStr">
        <is>
          <t>Logistics</t>
        </is>
      </c>
      <c r="D484" t="n">
        <v>2017</v>
      </c>
      <c r="E484" t="n">
        <v>7517625.9</v>
      </c>
      <c r="F484" t="inlineStr"/>
      <c r="G484" t="inlineStr"/>
      <c r="H484" t="inlineStr"/>
      <c r="I484" t="n">
        <v>207.6666</v>
      </c>
      <c r="J484" t="n">
        <v>720.3459</v>
      </c>
      <c r="K484" t="n">
        <v>2019</v>
      </c>
      <c r="L484" t="n">
        <v>2030</v>
      </c>
      <c r="M484" t="n">
        <v>0.236</v>
      </c>
      <c r="N484" t="n">
        <v>0.1422</v>
      </c>
      <c r="O484" t="n">
        <v>2019</v>
      </c>
      <c r="P484" t="n">
        <v>2040</v>
      </c>
      <c r="Q484" t="n">
        <v>0.4616</v>
      </c>
      <c r="R484" t="n">
        <v>591.6386</v>
      </c>
      <c r="S484" t="n">
        <v>0.00022349</v>
      </c>
      <c r="T484" t="n">
        <v>0.00047787</v>
      </c>
    </row>
    <row r="485">
      <c r="A485" t="inlineStr">
        <is>
          <t>SUP-0049</t>
        </is>
      </c>
      <c r="B485" t="inlineStr">
        <is>
          <t>Logistics Supplier 049</t>
        </is>
      </c>
      <c r="C485" t="inlineStr">
        <is>
          <t>Logistics</t>
        </is>
      </c>
      <c r="D485" t="n">
        <v>2018</v>
      </c>
      <c r="E485" t="inlineStr"/>
      <c r="F485" t="inlineStr"/>
      <c r="G485" t="n">
        <v>1132.4652</v>
      </c>
      <c r="H485" t="n">
        <v>168.6916</v>
      </c>
      <c r="I485" t="n">
        <v>93.0234</v>
      </c>
      <c r="J485" t="inlineStr"/>
      <c r="K485" t="n">
        <v>2019</v>
      </c>
      <c r="L485" t="n">
        <v>2030</v>
      </c>
      <c r="M485" t="n">
        <v>0.236</v>
      </c>
      <c r="N485" t="n">
        <v>0.1422</v>
      </c>
      <c r="O485" t="n">
        <v>2019</v>
      </c>
      <c r="P485" t="n">
        <v>2040</v>
      </c>
      <c r="Q485" t="n">
        <v>0.4616</v>
      </c>
      <c r="R485" t="n">
        <v>591.6386</v>
      </c>
      <c r="S485" t="n">
        <v>0.00022349</v>
      </c>
      <c r="T485" t="n">
        <v>0.00047787</v>
      </c>
    </row>
    <row r="486">
      <c r="A486" t="inlineStr">
        <is>
          <t>SUP-0049</t>
        </is>
      </c>
      <c r="B486" t="inlineStr">
        <is>
          <t>Logistics Supplier 049</t>
        </is>
      </c>
      <c r="C486" t="inlineStr">
        <is>
          <t>Logistics</t>
        </is>
      </c>
      <c r="D486" t="n">
        <v>2019</v>
      </c>
      <c r="E486" t="n">
        <v>6792509.93</v>
      </c>
      <c r="F486" t="n">
        <v>54673104.61</v>
      </c>
      <c r="G486" t="inlineStr"/>
      <c r="H486" t="n">
        <v>215.6403</v>
      </c>
      <c r="I486" t="n">
        <v>57.0781</v>
      </c>
      <c r="J486" t="n">
        <v>691.0925999999999</v>
      </c>
      <c r="K486" t="n">
        <v>2019</v>
      </c>
      <c r="L486" t="n">
        <v>2030</v>
      </c>
      <c r="M486" t="n">
        <v>0.236</v>
      </c>
      <c r="N486" t="n">
        <v>0.1422</v>
      </c>
      <c r="O486" t="n">
        <v>2019</v>
      </c>
      <c r="P486" t="n">
        <v>2040</v>
      </c>
      <c r="Q486" t="n">
        <v>0.4616</v>
      </c>
      <c r="R486" t="n">
        <v>591.6386</v>
      </c>
      <c r="S486" t="n">
        <v>0.00022349</v>
      </c>
      <c r="T486" t="n">
        <v>0.00047787</v>
      </c>
    </row>
    <row r="487">
      <c r="A487" t="inlineStr">
        <is>
          <t>SUP-0049</t>
        </is>
      </c>
      <c r="B487" t="inlineStr">
        <is>
          <t>Logistics Supplier 049</t>
        </is>
      </c>
      <c r="C487" t="inlineStr">
        <is>
          <t>Logistics</t>
        </is>
      </c>
      <c r="D487" t="n">
        <v>2020</v>
      </c>
      <c r="E487" t="n">
        <v>7203067.52</v>
      </c>
      <c r="F487" t="inlineStr"/>
      <c r="G487" t="inlineStr"/>
      <c r="H487" t="n">
        <v>160.1828</v>
      </c>
      <c r="I487" t="n">
        <v>101.2874</v>
      </c>
      <c r="J487" t="n">
        <v>855.6123</v>
      </c>
      <c r="K487" t="n">
        <v>2019</v>
      </c>
      <c r="L487" t="n">
        <v>2030</v>
      </c>
      <c r="M487" t="n">
        <v>0.236</v>
      </c>
      <c r="N487" t="n">
        <v>0.1422</v>
      </c>
      <c r="O487" t="n">
        <v>2019</v>
      </c>
      <c r="P487" t="n">
        <v>2040</v>
      </c>
      <c r="Q487" t="n">
        <v>0.4616</v>
      </c>
      <c r="R487" t="n">
        <v>591.6386</v>
      </c>
      <c r="S487" t="n">
        <v>0.00022349</v>
      </c>
      <c r="T487" t="n">
        <v>0.00047787</v>
      </c>
    </row>
    <row r="488">
      <c r="A488" t="inlineStr">
        <is>
          <t>SUP-0049</t>
        </is>
      </c>
      <c r="B488" t="inlineStr">
        <is>
          <t>Logistics Supplier 049</t>
        </is>
      </c>
      <c r="C488" t="inlineStr">
        <is>
          <t>Logistics</t>
        </is>
      </c>
      <c r="D488" t="n">
        <v>2021</v>
      </c>
      <c r="E488" t="n">
        <v>7787991.45</v>
      </c>
      <c r="F488" t="n">
        <v>70114277.38</v>
      </c>
      <c r="G488" t="n">
        <v>1376.2951</v>
      </c>
      <c r="H488" t="n">
        <v>202.7989</v>
      </c>
      <c r="I488" t="n">
        <v>220.4617</v>
      </c>
      <c r="J488" t="inlineStr"/>
      <c r="K488" t="n">
        <v>2019</v>
      </c>
      <c r="L488" t="n">
        <v>2030</v>
      </c>
      <c r="M488" t="n">
        <v>0.236</v>
      </c>
      <c r="N488" t="n">
        <v>0.1422</v>
      </c>
      <c r="O488" t="n">
        <v>2019</v>
      </c>
      <c r="P488" t="n">
        <v>2040</v>
      </c>
      <c r="Q488" t="n">
        <v>0.4616</v>
      </c>
      <c r="R488" t="n">
        <v>591.6386</v>
      </c>
      <c r="S488" t="n">
        <v>0.00022349</v>
      </c>
      <c r="T488" t="n">
        <v>0.00047787</v>
      </c>
    </row>
    <row r="489">
      <c r="A489" t="inlineStr">
        <is>
          <t>SUP-0049</t>
        </is>
      </c>
      <c r="B489" t="inlineStr">
        <is>
          <t>Logistics Supplier 049</t>
        </is>
      </c>
      <c r="C489" t="inlineStr">
        <is>
          <t>Logistics</t>
        </is>
      </c>
      <c r="D489" t="n">
        <v>2022</v>
      </c>
      <c r="E489" t="n">
        <v>7466487.41</v>
      </c>
      <c r="F489" t="n">
        <v>70879654.94</v>
      </c>
      <c r="G489" t="n">
        <v>1301.3245</v>
      </c>
      <c r="H489" t="n">
        <v>128.9304</v>
      </c>
      <c r="I489" t="inlineStr"/>
      <c r="J489" t="inlineStr"/>
      <c r="K489" t="n">
        <v>2019</v>
      </c>
      <c r="L489" t="n">
        <v>2030</v>
      </c>
      <c r="M489" t="n">
        <v>0.236</v>
      </c>
      <c r="N489" t="n">
        <v>0.1422</v>
      </c>
      <c r="O489" t="n">
        <v>2019</v>
      </c>
      <c r="P489" t="n">
        <v>2040</v>
      </c>
      <c r="Q489" t="n">
        <v>0.4616</v>
      </c>
      <c r="R489" t="n">
        <v>591.6386</v>
      </c>
      <c r="S489" t="n">
        <v>0.00022349</v>
      </c>
      <c r="T489" t="n">
        <v>0.00047787</v>
      </c>
    </row>
    <row r="490">
      <c r="A490" t="inlineStr">
        <is>
          <t>SUP-0049</t>
        </is>
      </c>
      <c r="B490" t="inlineStr">
        <is>
          <t>Logistics Supplier 049</t>
        </is>
      </c>
      <c r="C490" t="inlineStr">
        <is>
          <t>Logistics</t>
        </is>
      </c>
      <c r="D490" t="n">
        <v>2023</v>
      </c>
      <c r="E490" t="n">
        <v>7120335.6</v>
      </c>
      <c r="F490" t="n">
        <v>59369250.66</v>
      </c>
      <c r="G490" t="inlineStr"/>
      <c r="H490" t="n">
        <v>205.5944</v>
      </c>
      <c r="I490" t="n">
        <v>165.9286</v>
      </c>
      <c r="J490" t="n">
        <v>503.3381</v>
      </c>
      <c r="K490" t="n">
        <v>2019</v>
      </c>
      <c r="L490" t="n">
        <v>2030</v>
      </c>
      <c r="M490" t="n">
        <v>0.236</v>
      </c>
      <c r="N490" t="n">
        <v>0.1422</v>
      </c>
      <c r="O490" t="n">
        <v>2019</v>
      </c>
      <c r="P490" t="n">
        <v>2040</v>
      </c>
      <c r="Q490" t="n">
        <v>0.4616</v>
      </c>
      <c r="R490" t="n">
        <v>591.6386</v>
      </c>
      <c r="S490" t="n">
        <v>0.00022349</v>
      </c>
      <c r="T490" t="n">
        <v>0.00047787</v>
      </c>
    </row>
    <row r="491">
      <c r="A491" t="inlineStr">
        <is>
          <t>SUP-0049</t>
        </is>
      </c>
      <c r="B491" t="inlineStr">
        <is>
          <t>Logistics Supplier 049</t>
        </is>
      </c>
      <c r="C491" t="inlineStr">
        <is>
          <t>Logistics</t>
        </is>
      </c>
      <c r="D491" t="n">
        <v>2024</v>
      </c>
      <c r="E491" t="n">
        <v>7710892.64</v>
      </c>
      <c r="F491" t="n">
        <v>59733845.05</v>
      </c>
      <c r="G491" t="n">
        <v>1168.5577</v>
      </c>
      <c r="H491" t="inlineStr"/>
      <c r="I491" t="n">
        <v>170.241</v>
      </c>
      <c r="J491" t="inlineStr"/>
      <c r="K491" t="n">
        <v>2019</v>
      </c>
      <c r="L491" t="n">
        <v>2030</v>
      </c>
      <c r="M491" t="n">
        <v>0.236</v>
      </c>
      <c r="N491" t="n">
        <v>0.1422</v>
      </c>
      <c r="O491" t="n">
        <v>2019</v>
      </c>
      <c r="P491" t="n">
        <v>2040</v>
      </c>
      <c r="Q491" t="n">
        <v>0.4616</v>
      </c>
      <c r="R491" t="n">
        <v>591.6386</v>
      </c>
      <c r="S491" t="n">
        <v>0.00022349</v>
      </c>
      <c r="T491" t="n">
        <v>0.00047787</v>
      </c>
    </row>
    <row r="492">
      <c r="A492" t="inlineStr">
        <is>
          <t>SUP-0050</t>
        </is>
      </c>
      <c r="B492" t="inlineStr">
        <is>
          <t>Electronics Supplier 050</t>
        </is>
      </c>
      <c r="C492" t="inlineStr">
        <is>
          <t>Electronics</t>
        </is>
      </c>
      <c r="D492" t="n">
        <v>2015</v>
      </c>
      <c r="E492" t="n">
        <v>12594802.95</v>
      </c>
      <c r="F492" t="n">
        <v>22189244.07</v>
      </c>
      <c r="G492" t="n">
        <v>11485.1549</v>
      </c>
      <c r="H492" t="n">
        <v>3351.4062</v>
      </c>
      <c r="I492" t="n">
        <v>1264.3772</v>
      </c>
      <c r="J492" t="n">
        <v>7120.6816</v>
      </c>
      <c r="K492" t="inlineStr"/>
      <c r="L492" t="inlineStr"/>
      <c r="M492" t="inlineStr"/>
      <c r="N492" t="inlineStr"/>
      <c r="O492" t="n">
        <v>2018</v>
      </c>
      <c r="P492" t="n">
        <v>2040</v>
      </c>
      <c r="Q492" t="n">
        <v>0.3424</v>
      </c>
      <c r="R492" t="n">
        <v>635.1588</v>
      </c>
      <c r="S492" t="n">
        <v>0.00086105</v>
      </c>
      <c r="T492" t="n">
        <v>0.00013947</v>
      </c>
    </row>
    <row r="493">
      <c r="A493" t="inlineStr">
        <is>
          <t>SUP-0050</t>
        </is>
      </c>
      <c r="B493" t="inlineStr">
        <is>
          <t>Electronics Supplier 050</t>
        </is>
      </c>
      <c r="C493" t="inlineStr">
        <is>
          <t>Electronics</t>
        </is>
      </c>
      <c r="D493" t="n">
        <v>2016</v>
      </c>
      <c r="E493" t="n">
        <v>16467668.67</v>
      </c>
      <c r="F493" t="n">
        <v>20340736.79</v>
      </c>
      <c r="G493" t="n">
        <v>20062.763</v>
      </c>
      <c r="H493" t="n">
        <v>1733.4955</v>
      </c>
      <c r="I493" t="inlineStr"/>
      <c r="J493" t="n">
        <v>14325.629</v>
      </c>
      <c r="K493" t="inlineStr"/>
      <c r="L493" t="inlineStr"/>
      <c r="M493" t="inlineStr"/>
      <c r="N493" t="inlineStr"/>
      <c r="O493" t="n">
        <v>2018</v>
      </c>
      <c r="P493" t="n">
        <v>2040</v>
      </c>
      <c r="Q493" t="n">
        <v>0.3424</v>
      </c>
      <c r="R493" t="n">
        <v>635.1588</v>
      </c>
      <c r="S493" t="n">
        <v>0.00086105</v>
      </c>
      <c r="T493" t="n">
        <v>0.00013947</v>
      </c>
    </row>
    <row r="494">
      <c r="A494" t="inlineStr">
        <is>
          <t>SUP-0050</t>
        </is>
      </c>
      <c r="B494" t="inlineStr">
        <is>
          <t>Electronics Supplier 050</t>
        </is>
      </c>
      <c r="C494" t="inlineStr">
        <is>
          <t>Electronics</t>
        </is>
      </c>
      <c r="D494" t="n">
        <v>2017</v>
      </c>
      <c r="E494" t="n">
        <v>16937501.77</v>
      </c>
      <c r="F494" t="n">
        <v>22810228.96</v>
      </c>
      <c r="G494" t="inlineStr"/>
      <c r="H494" t="n">
        <v>3672.0869</v>
      </c>
      <c r="I494" t="n">
        <v>2257.9867</v>
      </c>
      <c r="J494" t="inlineStr"/>
      <c r="K494" t="inlineStr"/>
      <c r="L494" t="inlineStr"/>
      <c r="M494" t="inlineStr"/>
      <c r="N494" t="inlineStr"/>
      <c r="O494" t="n">
        <v>2018</v>
      </c>
      <c r="P494" t="n">
        <v>2040</v>
      </c>
      <c r="Q494" t="n">
        <v>0.3424</v>
      </c>
      <c r="R494" t="n">
        <v>635.1588</v>
      </c>
      <c r="S494" t="n">
        <v>0.00086105</v>
      </c>
      <c r="T494" t="n">
        <v>0.00013947</v>
      </c>
    </row>
    <row r="495">
      <c r="A495" t="inlineStr">
        <is>
          <t>SUP-0050</t>
        </is>
      </c>
      <c r="B495" t="inlineStr">
        <is>
          <t>Electronics Supplier 050</t>
        </is>
      </c>
      <c r="C495" t="inlineStr">
        <is>
          <t>Electronics</t>
        </is>
      </c>
      <c r="D495" t="n">
        <v>2018</v>
      </c>
      <c r="E495" t="inlineStr"/>
      <c r="F495" t="n">
        <v>21119097.1</v>
      </c>
      <c r="G495" t="n">
        <v>15348.8864</v>
      </c>
      <c r="H495" t="n">
        <v>3874.9612</v>
      </c>
      <c r="I495" t="n">
        <v>2405.2194</v>
      </c>
      <c r="J495" t="n">
        <v>8911.8778</v>
      </c>
      <c r="K495" t="inlineStr"/>
      <c r="L495" t="inlineStr"/>
      <c r="M495" t="inlineStr"/>
      <c r="N495" t="inlineStr"/>
      <c r="O495" t="n">
        <v>2018</v>
      </c>
      <c r="P495" t="n">
        <v>2040</v>
      </c>
      <c r="Q495" t="n">
        <v>0.3424</v>
      </c>
      <c r="R495" t="n">
        <v>635.1588</v>
      </c>
      <c r="S495" t="n">
        <v>0.00086105</v>
      </c>
      <c r="T495" t="n">
        <v>0.00013947</v>
      </c>
    </row>
    <row r="496">
      <c r="A496" t="inlineStr">
        <is>
          <t>SUP-0050</t>
        </is>
      </c>
      <c r="B496" t="inlineStr">
        <is>
          <t>Electronics Supplier 050</t>
        </is>
      </c>
      <c r="C496" t="inlineStr">
        <is>
          <t>Electronics</t>
        </is>
      </c>
      <c r="D496" t="n">
        <v>2019</v>
      </c>
      <c r="E496" t="n">
        <v>18117850.26</v>
      </c>
      <c r="F496" t="inlineStr"/>
      <c r="G496" t="n">
        <v>17806.7625</v>
      </c>
      <c r="H496" t="inlineStr"/>
      <c r="I496" t="inlineStr"/>
      <c r="J496" t="n">
        <v>13361.5198</v>
      </c>
      <c r="K496" t="inlineStr"/>
      <c r="L496" t="inlineStr"/>
      <c r="M496" t="inlineStr"/>
      <c r="N496" t="inlineStr"/>
      <c r="O496" t="n">
        <v>2018</v>
      </c>
      <c r="P496" t="n">
        <v>2040</v>
      </c>
      <c r="Q496" t="n">
        <v>0.3424</v>
      </c>
      <c r="R496" t="n">
        <v>635.1588</v>
      </c>
      <c r="S496" t="n">
        <v>0.00086105</v>
      </c>
      <c r="T496" t="n">
        <v>0.00013947</v>
      </c>
    </row>
    <row r="497">
      <c r="A497" t="inlineStr">
        <is>
          <t>SUP-0050</t>
        </is>
      </c>
      <c r="B497" t="inlineStr">
        <is>
          <t>Electronics Supplier 050</t>
        </is>
      </c>
      <c r="C497" t="inlineStr">
        <is>
          <t>Electronics</t>
        </is>
      </c>
      <c r="D497" t="n">
        <v>2020</v>
      </c>
      <c r="E497" t="n">
        <v>22474176.68</v>
      </c>
      <c r="F497" t="n">
        <v>29737763.94</v>
      </c>
      <c r="G497" t="inlineStr"/>
      <c r="H497" t="n">
        <v>3867.5767</v>
      </c>
      <c r="I497" t="n">
        <v>1940.0729</v>
      </c>
      <c r="J497" t="n">
        <v>19224.9918</v>
      </c>
      <c r="K497" t="inlineStr"/>
      <c r="L497" t="inlineStr"/>
      <c r="M497" t="inlineStr"/>
      <c r="N497" t="inlineStr"/>
      <c r="O497" t="n">
        <v>2018</v>
      </c>
      <c r="P497" t="n">
        <v>2040</v>
      </c>
      <c r="Q497" t="n">
        <v>0.3424</v>
      </c>
      <c r="R497" t="n">
        <v>635.1588</v>
      </c>
      <c r="S497" t="n">
        <v>0.00086105</v>
      </c>
      <c r="T497" t="n">
        <v>0.00013947</v>
      </c>
    </row>
    <row r="498">
      <c r="A498" t="inlineStr">
        <is>
          <t>SUP-0050</t>
        </is>
      </c>
      <c r="B498" t="inlineStr">
        <is>
          <t>Electronics Supplier 050</t>
        </is>
      </c>
      <c r="C498" t="inlineStr">
        <is>
          <t>Electronics</t>
        </is>
      </c>
      <c r="D498" t="n">
        <v>2021</v>
      </c>
      <c r="E498" t="n">
        <v>23913876.4</v>
      </c>
      <c r="F498" t="n">
        <v>25500133.46</v>
      </c>
      <c r="G498" t="n">
        <v>16299.785</v>
      </c>
      <c r="H498" t="n">
        <v>2618.3902</v>
      </c>
      <c r="I498" t="n">
        <v>2262.1409</v>
      </c>
      <c r="J498" t="n">
        <v>11444.8235</v>
      </c>
      <c r="K498" t="inlineStr"/>
      <c r="L498" t="inlineStr"/>
      <c r="M498" t="inlineStr"/>
      <c r="N498" t="inlineStr"/>
      <c r="O498" t="n">
        <v>2018</v>
      </c>
      <c r="P498" t="n">
        <v>2040</v>
      </c>
      <c r="Q498" t="n">
        <v>0.3424</v>
      </c>
      <c r="R498" t="n">
        <v>635.1588</v>
      </c>
      <c r="S498" t="n">
        <v>0.00086105</v>
      </c>
      <c r="T498" t="n">
        <v>0.00013947</v>
      </c>
    </row>
    <row r="499">
      <c r="A499" t="inlineStr">
        <is>
          <t>SUP-0050</t>
        </is>
      </c>
      <c r="B499" t="inlineStr">
        <is>
          <t>Electronics Supplier 050</t>
        </is>
      </c>
      <c r="C499" t="inlineStr">
        <is>
          <t>Electronics</t>
        </is>
      </c>
      <c r="D499" t="n">
        <v>2022</v>
      </c>
      <c r="E499" t="n">
        <v>22148190.73</v>
      </c>
      <c r="F499" t="inlineStr"/>
      <c r="G499" t="inlineStr"/>
      <c r="H499" t="n">
        <v>3725.058</v>
      </c>
      <c r="I499" t="n">
        <v>3308.9646</v>
      </c>
      <c r="J499" t="n">
        <v>9621.4295</v>
      </c>
      <c r="K499" t="inlineStr"/>
      <c r="L499" t="inlineStr"/>
      <c r="M499" t="inlineStr"/>
      <c r="N499" t="inlineStr"/>
      <c r="O499" t="n">
        <v>2018</v>
      </c>
      <c r="P499" t="n">
        <v>2040</v>
      </c>
      <c r="Q499" t="n">
        <v>0.3424</v>
      </c>
      <c r="R499" t="n">
        <v>635.1588</v>
      </c>
      <c r="S499" t="n">
        <v>0.00086105</v>
      </c>
      <c r="T499" t="n">
        <v>0.00013947</v>
      </c>
    </row>
    <row r="500">
      <c r="A500" t="inlineStr">
        <is>
          <t>SUP-0050</t>
        </is>
      </c>
      <c r="B500" t="inlineStr">
        <is>
          <t>Electronics Supplier 050</t>
        </is>
      </c>
      <c r="C500" t="inlineStr">
        <is>
          <t>Electronics</t>
        </is>
      </c>
      <c r="D500" t="n">
        <v>2023</v>
      </c>
      <c r="E500" t="n">
        <v>26758804.43</v>
      </c>
      <c r="F500" t="n">
        <v>30526096.55</v>
      </c>
      <c r="G500" t="inlineStr"/>
      <c r="H500" t="n">
        <v>4701.0982</v>
      </c>
      <c r="I500" t="n">
        <v>3939.1413</v>
      </c>
      <c r="J500" t="n">
        <v>12579.059</v>
      </c>
      <c r="K500" t="inlineStr"/>
      <c r="L500" t="inlineStr"/>
      <c r="M500" t="inlineStr"/>
      <c r="N500" t="inlineStr"/>
      <c r="O500" t="n">
        <v>2018</v>
      </c>
      <c r="P500" t="n">
        <v>2040</v>
      </c>
      <c r="Q500" t="n">
        <v>0.3424</v>
      </c>
      <c r="R500" t="n">
        <v>635.1588</v>
      </c>
      <c r="S500" t="n">
        <v>0.00086105</v>
      </c>
      <c r="T500" t="n">
        <v>0.00013947</v>
      </c>
    </row>
    <row r="501">
      <c r="A501" t="inlineStr">
        <is>
          <t>SUP-0050</t>
        </is>
      </c>
      <c r="B501" t="inlineStr">
        <is>
          <t>Electronics Supplier 050</t>
        </is>
      </c>
      <c r="C501" t="inlineStr">
        <is>
          <t>Electronics</t>
        </is>
      </c>
      <c r="D501" t="n">
        <v>2024</v>
      </c>
      <c r="E501" t="n">
        <v>30503082.57</v>
      </c>
      <c r="F501" t="n">
        <v>29119757.53</v>
      </c>
      <c r="G501" t="inlineStr"/>
      <c r="H501" t="n">
        <v>4417.1932</v>
      </c>
      <c r="I501" t="n">
        <v>2273.9902</v>
      </c>
      <c r="J501" t="n">
        <v>14805.3566</v>
      </c>
      <c r="K501" t="inlineStr"/>
      <c r="L501" t="inlineStr"/>
      <c r="M501" t="inlineStr"/>
      <c r="N501" t="inlineStr"/>
      <c r="O501" t="n">
        <v>2018</v>
      </c>
      <c r="P501" t="n">
        <v>2040</v>
      </c>
      <c r="Q501" t="n">
        <v>0.3424</v>
      </c>
      <c r="R501" t="n">
        <v>635.1588</v>
      </c>
      <c r="S501" t="n">
        <v>0.00086105</v>
      </c>
      <c r="T501" t="n">
        <v>0.00013947</v>
      </c>
    </row>
    <row r="502">
      <c r="A502" t="inlineStr">
        <is>
          <t>SUP-0051</t>
        </is>
      </c>
      <c r="B502" t="inlineStr">
        <is>
          <t>Textiles Supplier 051</t>
        </is>
      </c>
      <c r="C502" t="inlineStr">
        <is>
          <t>Textiles</t>
        </is>
      </c>
      <c r="D502" t="n">
        <v>2015</v>
      </c>
      <c r="E502" t="n">
        <v>9949680.32</v>
      </c>
      <c r="F502" t="n">
        <v>63816904.06</v>
      </c>
      <c r="G502" t="n">
        <v>1881.3185</v>
      </c>
      <c r="H502" t="n">
        <v>374.5989</v>
      </c>
      <c r="I502" t="inlineStr"/>
      <c r="J502" t="n">
        <v>1271.1471</v>
      </c>
      <c r="K502" t="n">
        <v>2021</v>
      </c>
      <c r="L502" t="n">
        <v>2035</v>
      </c>
      <c r="M502" t="n">
        <v>0.4466</v>
      </c>
      <c r="N502" t="n">
        <v>0.1676</v>
      </c>
      <c r="O502" t="n">
        <v>2019</v>
      </c>
      <c r="P502" t="n">
        <v>2030</v>
      </c>
      <c r="Q502" t="n">
        <v>0.3171</v>
      </c>
      <c r="R502" t="n">
        <v>401.7335</v>
      </c>
      <c r="S502" t="n">
        <v>0.00029221</v>
      </c>
      <c r="T502" t="n">
        <v>0.00017343</v>
      </c>
    </row>
    <row r="503">
      <c r="A503" t="inlineStr">
        <is>
          <t>SUP-0051</t>
        </is>
      </c>
      <c r="B503" t="inlineStr">
        <is>
          <t>Textiles Supplier 051</t>
        </is>
      </c>
      <c r="C503" t="inlineStr">
        <is>
          <t>Textiles</t>
        </is>
      </c>
      <c r="D503" t="n">
        <v>2016</v>
      </c>
      <c r="E503" t="n">
        <v>7756127.9</v>
      </c>
      <c r="F503" t="n">
        <v>65925274.19</v>
      </c>
      <c r="G503" t="n">
        <v>1765.3815</v>
      </c>
      <c r="H503" t="inlineStr"/>
      <c r="I503" t="inlineStr"/>
      <c r="J503" t="n">
        <v>980.985</v>
      </c>
      <c r="K503" t="n">
        <v>2021</v>
      </c>
      <c r="L503" t="n">
        <v>2035</v>
      </c>
      <c r="M503" t="n">
        <v>0.4466</v>
      </c>
      <c r="N503" t="n">
        <v>0.1676</v>
      </c>
      <c r="O503" t="n">
        <v>2019</v>
      </c>
      <c r="P503" t="n">
        <v>2030</v>
      </c>
      <c r="Q503" t="n">
        <v>0.3171</v>
      </c>
      <c r="R503" t="n">
        <v>401.7335</v>
      </c>
      <c r="S503" t="n">
        <v>0.00029221</v>
      </c>
      <c r="T503" t="n">
        <v>0.00017343</v>
      </c>
    </row>
    <row r="504">
      <c r="A504" t="inlineStr">
        <is>
          <t>SUP-0051</t>
        </is>
      </c>
      <c r="B504" t="inlineStr">
        <is>
          <t>Textiles Supplier 051</t>
        </is>
      </c>
      <c r="C504" t="inlineStr">
        <is>
          <t>Textiles</t>
        </is>
      </c>
      <c r="D504" t="n">
        <v>2017</v>
      </c>
      <c r="E504" t="n">
        <v>9681767.949999999</v>
      </c>
      <c r="F504" t="n">
        <v>75146011.37</v>
      </c>
      <c r="G504" t="n">
        <v>2157.8079</v>
      </c>
      <c r="H504" t="n">
        <v>581.6501</v>
      </c>
      <c r="I504" t="n">
        <v>247.0007</v>
      </c>
      <c r="J504" t="n">
        <v>1351.9097</v>
      </c>
      <c r="K504" t="n">
        <v>2021</v>
      </c>
      <c r="L504" t="n">
        <v>2035</v>
      </c>
      <c r="M504" t="n">
        <v>0.4466</v>
      </c>
      <c r="N504" t="n">
        <v>0.1676</v>
      </c>
      <c r="O504" t="n">
        <v>2019</v>
      </c>
      <c r="P504" t="n">
        <v>2030</v>
      </c>
      <c r="Q504" t="n">
        <v>0.3171</v>
      </c>
      <c r="R504" t="n">
        <v>401.7335</v>
      </c>
      <c r="S504" t="n">
        <v>0.00029221</v>
      </c>
      <c r="T504" t="n">
        <v>0.00017343</v>
      </c>
    </row>
    <row r="505">
      <c r="A505" t="inlineStr">
        <is>
          <t>SUP-0051</t>
        </is>
      </c>
      <c r="B505" t="inlineStr">
        <is>
          <t>Textiles Supplier 051</t>
        </is>
      </c>
      <c r="C505" t="inlineStr">
        <is>
          <t>Textiles</t>
        </is>
      </c>
      <c r="D505" t="n">
        <v>2018</v>
      </c>
      <c r="E505" t="n">
        <v>9657666.43</v>
      </c>
      <c r="F505" t="inlineStr"/>
      <c r="G505" t="n">
        <v>1684.8266</v>
      </c>
      <c r="H505" t="n">
        <v>146.399</v>
      </c>
      <c r="I505" t="n">
        <v>124.4639</v>
      </c>
      <c r="J505" t="n">
        <v>1413.6711</v>
      </c>
      <c r="K505" t="n">
        <v>2021</v>
      </c>
      <c r="L505" t="n">
        <v>2035</v>
      </c>
      <c r="M505" t="n">
        <v>0.4466</v>
      </c>
      <c r="N505" t="n">
        <v>0.1676</v>
      </c>
      <c r="O505" t="n">
        <v>2019</v>
      </c>
      <c r="P505" t="n">
        <v>2030</v>
      </c>
      <c r="Q505" t="n">
        <v>0.3171</v>
      </c>
      <c r="R505" t="n">
        <v>401.7335</v>
      </c>
      <c r="S505" t="n">
        <v>0.00029221</v>
      </c>
      <c r="T505" t="n">
        <v>0.00017343</v>
      </c>
    </row>
    <row r="506">
      <c r="A506" t="inlineStr">
        <is>
          <t>SUP-0051</t>
        </is>
      </c>
      <c r="B506" t="inlineStr">
        <is>
          <t>Textiles Supplier 051</t>
        </is>
      </c>
      <c r="C506" t="inlineStr">
        <is>
          <t>Textiles</t>
        </is>
      </c>
      <c r="D506" t="n">
        <v>2019</v>
      </c>
      <c r="E506" t="n">
        <v>9980605.390000001</v>
      </c>
      <c r="F506" t="n">
        <v>54927342.92</v>
      </c>
      <c r="G506" t="inlineStr"/>
      <c r="H506" t="n">
        <v>344.2581</v>
      </c>
      <c r="I506" t="n">
        <v>168.6583</v>
      </c>
      <c r="J506" t="n">
        <v>1823.0722</v>
      </c>
      <c r="K506" t="n">
        <v>2021</v>
      </c>
      <c r="L506" t="n">
        <v>2035</v>
      </c>
      <c r="M506" t="n">
        <v>0.4466</v>
      </c>
      <c r="N506" t="n">
        <v>0.1676</v>
      </c>
      <c r="O506" t="n">
        <v>2019</v>
      </c>
      <c r="P506" t="n">
        <v>2030</v>
      </c>
      <c r="Q506" t="n">
        <v>0.3171</v>
      </c>
      <c r="R506" t="n">
        <v>401.7335</v>
      </c>
      <c r="S506" t="n">
        <v>0.00029221</v>
      </c>
      <c r="T506" t="n">
        <v>0.00017343</v>
      </c>
    </row>
    <row r="507">
      <c r="A507" t="inlineStr">
        <is>
          <t>SUP-0051</t>
        </is>
      </c>
      <c r="B507" t="inlineStr">
        <is>
          <t>Textiles Supplier 051</t>
        </is>
      </c>
      <c r="C507" t="inlineStr">
        <is>
          <t>Textiles</t>
        </is>
      </c>
      <c r="D507" t="n">
        <v>2020</v>
      </c>
      <c r="E507" t="n">
        <v>8165784.85</v>
      </c>
      <c r="F507" t="n">
        <v>72685775.5</v>
      </c>
      <c r="G507" t="n">
        <v>1886.7746</v>
      </c>
      <c r="H507" t="n">
        <v>484.8907</v>
      </c>
      <c r="I507" t="n">
        <v>406.8545</v>
      </c>
      <c r="J507" t="n">
        <v>1146.7993</v>
      </c>
      <c r="K507" t="n">
        <v>2021</v>
      </c>
      <c r="L507" t="n">
        <v>2035</v>
      </c>
      <c r="M507" t="n">
        <v>0.4466</v>
      </c>
      <c r="N507" t="n">
        <v>0.1676</v>
      </c>
      <c r="O507" t="n">
        <v>2019</v>
      </c>
      <c r="P507" t="n">
        <v>2030</v>
      </c>
      <c r="Q507" t="n">
        <v>0.3171</v>
      </c>
      <c r="R507" t="n">
        <v>401.7335</v>
      </c>
      <c r="S507" t="n">
        <v>0.00029221</v>
      </c>
      <c r="T507" t="n">
        <v>0.00017343</v>
      </c>
    </row>
    <row r="508">
      <c r="A508" t="inlineStr">
        <is>
          <t>SUP-0051</t>
        </is>
      </c>
      <c r="B508" t="inlineStr">
        <is>
          <t>Textiles Supplier 051</t>
        </is>
      </c>
      <c r="C508" t="inlineStr">
        <is>
          <t>Textiles</t>
        </is>
      </c>
      <c r="D508" t="n">
        <v>2021</v>
      </c>
      <c r="E508" t="n">
        <v>9257855.93</v>
      </c>
      <c r="F508" t="n">
        <v>82890281.36</v>
      </c>
      <c r="G508" t="inlineStr"/>
      <c r="H508" t="n">
        <v>463.3019</v>
      </c>
      <c r="I508" t="inlineStr"/>
      <c r="J508" t="inlineStr"/>
      <c r="K508" t="n">
        <v>2021</v>
      </c>
      <c r="L508" t="n">
        <v>2035</v>
      </c>
      <c r="M508" t="n">
        <v>0.4466</v>
      </c>
      <c r="N508" t="n">
        <v>0.1676</v>
      </c>
      <c r="O508" t="n">
        <v>2019</v>
      </c>
      <c r="P508" t="n">
        <v>2030</v>
      </c>
      <c r="Q508" t="n">
        <v>0.3171</v>
      </c>
      <c r="R508" t="n">
        <v>401.7335</v>
      </c>
      <c r="S508" t="n">
        <v>0.00029221</v>
      </c>
      <c r="T508" t="n">
        <v>0.00017343</v>
      </c>
    </row>
    <row r="509">
      <c r="A509" t="inlineStr">
        <is>
          <t>SUP-0051</t>
        </is>
      </c>
      <c r="B509" t="inlineStr">
        <is>
          <t>Textiles Supplier 051</t>
        </is>
      </c>
      <c r="C509" t="inlineStr">
        <is>
          <t>Textiles</t>
        </is>
      </c>
      <c r="D509" t="n">
        <v>2022</v>
      </c>
      <c r="E509" t="n">
        <v>9596126.279999999</v>
      </c>
      <c r="F509" t="n">
        <v>64925691.34</v>
      </c>
      <c r="G509" t="n">
        <v>1956.3857</v>
      </c>
      <c r="H509" t="n">
        <v>252.7722</v>
      </c>
      <c r="I509" t="n">
        <v>201.5309</v>
      </c>
      <c r="J509" t="n">
        <v>1552.4822</v>
      </c>
      <c r="K509" t="n">
        <v>2021</v>
      </c>
      <c r="L509" t="n">
        <v>2035</v>
      </c>
      <c r="M509" t="n">
        <v>0.4466</v>
      </c>
      <c r="N509" t="n">
        <v>0.1676</v>
      </c>
      <c r="O509" t="n">
        <v>2019</v>
      </c>
      <c r="P509" t="n">
        <v>2030</v>
      </c>
      <c r="Q509" t="n">
        <v>0.3171</v>
      </c>
      <c r="R509" t="n">
        <v>401.7335</v>
      </c>
      <c r="S509" t="n">
        <v>0.00029221</v>
      </c>
      <c r="T509" t="n">
        <v>0.00017343</v>
      </c>
    </row>
    <row r="510">
      <c r="A510" t="inlineStr">
        <is>
          <t>SUP-0051</t>
        </is>
      </c>
      <c r="B510" t="inlineStr">
        <is>
          <t>Textiles Supplier 051</t>
        </is>
      </c>
      <c r="C510" t="inlineStr">
        <is>
          <t>Textiles</t>
        </is>
      </c>
      <c r="D510" t="n">
        <v>2023</v>
      </c>
      <c r="E510" t="n">
        <v>11357078.57</v>
      </c>
      <c r="F510" t="n">
        <v>86622786.81</v>
      </c>
      <c r="G510" t="n">
        <v>2836.6234</v>
      </c>
      <c r="H510" t="inlineStr"/>
      <c r="I510" t="n">
        <v>575.6436</v>
      </c>
      <c r="J510" t="n">
        <v>1662.726</v>
      </c>
      <c r="K510" t="n">
        <v>2021</v>
      </c>
      <c r="L510" t="n">
        <v>2035</v>
      </c>
      <c r="M510" t="n">
        <v>0.4466</v>
      </c>
      <c r="N510" t="n">
        <v>0.1676</v>
      </c>
      <c r="O510" t="n">
        <v>2019</v>
      </c>
      <c r="P510" t="n">
        <v>2030</v>
      </c>
      <c r="Q510" t="n">
        <v>0.3171</v>
      </c>
      <c r="R510" t="n">
        <v>401.7335</v>
      </c>
      <c r="S510" t="n">
        <v>0.00029221</v>
      </c>
      <c r="T510" t="n">
        <v>0.00017343</v>
      </c>
    </row>
    <row r="511">
      <c r="A511" t="inlineStr">
        <is>
          <t>SUP-0051</t>
        </is>
      </c>
      <c r="B511" t="inlineStr">
        <is>
          <t>Textiles Supplier 051</t>
        </is>
      </c>
      <c r="C511" t="inlineStr">
        <is>
          <t>Textiles</t>
        </is>
      </c>
      <c r="D511" t="n">
        <v>2024</v>
      </c>
      <c r="E511" t="n">
        <v>9086118.810000001</v>
      </c>
      <c r="F511" t="n">
        <v>73100833.8</v>
      </c>
      <c r="G511" t="n">
        <v>1958.5221</v>
      </c>
      <c r="H511" t="n">
        <v>566.0083</v>
      </c>
      <c r="I511" t="n">
        <v>210.5221</v>
      </c>
      <c r="J511" t="inlineStr"/>
      <c r="K511" t="n">
        <v>2021</v>
      </c>
      <c r="L511" t="n">
        <v>2035</v>
      </c>
      <c r="M511" t="n">
        <v>0.4466</v>
      </c>
      <c r="N511" t="n">
        <v>0.1676</v>
      </c>
      <c r="O511" t="n">
        <v>2019</v>
      </c>
      <c r="P511" t="n">
        <v>2030</v>
      </c>
      <c r="Q511" t="n">
        <v>0.3171</v>
      </c>
      <c r="R511" t="n">
        <v>401.7335</v>
      </c>
      <c r="S511" t="n">
        <v>0.00029221</v>
      </c>
      <c r="T511" t="n">
        <v>0.00017343</v>
      </c>
    </row>
    <row r="512">
      <c r="A512" t="inlineStr">
        <is>
          <t>SUP-0052</t>
        </is>
      </c>
      <c r="B512" t="inlineStr">
        <is>
          <t>Electronics Supplier 052</t>
        </is>
      </c>
      <c r="C512" t="inlineStr">
        <is>
          <t>Electronics</t>
        </is>
      </c>
      <c r="D512" t="n">
        <v>2015</v>
      </c>
      <c r="E512" t="n">
        <v>14440663.68</v>
      </c>
      <c r="F512" t="n">
        <v>50772819.78</v>
      </c>
      <c r="G512" t="n">
        <v>10231.0759</v>
      </c>
      <c r="H512" t="n">
        <v>1511.8208</v>
      </c>
      <c r="I512" t="n">
        <v>1565.6685</v>
      </c>
      <c r="J512" t="n">
        <v>8124.4517</v>
      </c>
      <c r="K512" t="inlineStr"/>
      <c r="L512" t="inlineStr"/>
      <c r="M512" t="inlineStr"/>
      <c r="N512" t="inlineStr"/>
      <c r="O512" t="n">
        <v>2018</v>
      </c>
      <c r="P512" t="n">
        <v>2040</v>
      </c>
      <c r="Q512" t="n">
        <v>0.3424</v>
      </c>
      <c r="R512" t="n">
        <v>635.1588</v>
      </c>
      <c r="S512" t="n">
        <v>0.00086105</v>
      </c>
      <c r="T512" t="n">
        <v>0.00013947</v>
      </c>
    </row>
    <row r="513">
      <c r="A513" t="inlineStr">
        <is>
          <t>SUP-0052</t>
        </is>
      </c>
      <c r="B513" t="inlineStr">
        <is>
          <t>Electronics Supplier 052</t>
        </is>
      </c>
      <c r="C513" t="inlineStr">
        <is>
          <t>Electronics</t>
        </is>
      </c>
      <c r="D513" t="n">
        <v>2016</v>
      </c>
      <c r="E513" t="n">
        <v>15501307.42</v>
      </c>
      <c r="F513" t="n">
        <v>59756128.63</v>
      </c>
      <c r="G513" t="n">
        <v>10292.0354</v>
      </c>
      <c r="H513" t="inlineStr"/>
      <c r="I513" t="n">
        <v>1737.4655</v>
      </c>
      <c r="J513" t="inlineStr"/>
      <c r="K513" t="inlineStr"/>
      <c r="L513" t="inlineStr"/>
      <c r="M513" t="inlineStr"/>
      <c r="N513" t="inlineStr"/>
      <c r="O513" t="n">
        <v>2018</v>
      </c>
      <c r="P513" t="n">
        <v>2040</v>
      </c>
      <c r="Q513" t="n">
        <v>0.3424</v>
      </c>
      <c r="R513" t="n">
        <v>635.1588</v>
      </c>
      <c r="S513" t="n">
        <v>0.00086105</v>
      </c>
      <c r="T513" t="n">
        <v>0.00013947</v>
      </c>
    </row>
    <row r="514">
      <c r="A514" t="inlineStr">
        <is>
          <t>SUP-0052</t>
        </is>
      </c>
      <c r="B514" t="inlineStr">
        <is>
          <t>Electronics Supplier 052</t>
        </is>
      </c>
      <c r="C514" t="inlineStr">
        <is>
          <t>Electronics</t>
        </is>
      </c>
      <c r="D514" t="n">
        <v>2017</v>
      </c>
      <c r="E514" t="n">
        <v>18866248.49</v>
      </c>
      <c r="F514" t="n">
        <v>57691831.45</v>
      </c>
      <c r="G514" t="n">
        <v>10726.3475</v>
      </c>
      <c r="H514" t="n">
        <v>906.5909</v>
      </c>
      <c r="I514" t="n">
        <v>1393.6983</v>
      </c>
      <c r="J514" t="n">
        <v>8101.1078</v>
      </c>
      <c r="K514" t="inlineStr"/>
      <c r="L514" t="inlineStr"/>
      <c r="M514" t="inlineStr"/>
      <c r="N514" t="inlineStr"/>
      <c r="O514" t="n">
        <v>2018</v>
      </c>
      <c r="P514" t="n">
        <v>2040</v>
      </c>
      <c r="Q514" t="n">
        <v>0.3424</v>
      </c>
      <c r="R514" t="n">
        <v>635.1588</v>
      </c>
      <c r="S514" t="n">
        <v>0.00086105</v>
      </c>
      <c r="T514" t="n">
        <v>0.00013947</v>
      </c>
    </row>
    <row r="515">
      <c r="A515" t="inlineStr">
        <is>
          <t>SUP-0052</t>
        </is>
      </c>
      <c r="B515" t="inlineStr">
        <is>
          <t>Electronics Supplier 052</t>
        </is>
      </c>
      <c r="C515" t="inlineStr">
        <is>
          <t>Electronics</t>
        </is>
      </c>
      <c r="D515" t="n">
        <v>2018</v>
      </c>
      <c r="E515" t="n">
        <v>17376497.18</v>
      </c>
      <c r="F515" t="n">
        <v>56212028.68</v>
      </c>
      <c r="G515" t="n">
        <v>6971.8466</v>
      </c>
      <c r="H515" t="n">
        <v>823.6835</v>
      </c>
      <c r="I515" t="n">
        <v>1071.0915</v>
      </c>
      <c r="J515" t="inlineStr"/>
      <c r="K515" t="inlineStr"/>
      <c r="L515" t="inlineStr"/>
      <c r="M515" t="inlineStr"/>
      <c r="N515" t="inlineStr"/>
      <c r="O515" t="n">
        <v>2018</v>
      </c>
      <c r="P515" t="n">
        <v>2040</v>
      </c>
      <c r="Q515" t="n">
        <v>0.3424</v>
      </c>
      <c r="R515" t="n">
        <v>635.1588</v>
      </c>
      <c r="S515" t="n">
        <v>0.00086105</v>
      </c>
      <c r="T515" t="n">
        <v>0.00013947</v>
      </c>
    </row>
    <row r="516">
      <c r="A516" t="inlineStr">
        <is>
          <t>SUP-0052</t>
        </is>
      </c>
      <c r="B516" t="inlineStr">
        <is>
          <t>Electronics Supplier 052</t>
        </is>
      </c>
      <c r="C516" t="inlineStr">
        <is>
          <t>Electronics</t>
        </is>
      </c>
      <c r="D516" t="n">
        <v>2019</v>
      </c>
      <c r="E516" t="n">
        <v>14881005.06</v>
      </c>
      <c r="F516" t="n">
        <v>52252221.85</v>
      </c>
      <c r="G516" t="n">
        <v>9770.447700000001</v>
      </c>
      <c r="H516" t="n">
        <v>1407.7577</v>
      </c>
      <c r="I516" t="inlineStr"/>
      <c r="J516" t="n">
        <v>6865.6221</v>
      </c>
      <c r="K516" t="inlineStr"/>
      <c r="L516" t="inlineStr"/>
      <c r="M516" t="inlineStr"/>
      <c r="N516" t="inlineStr"/>
      <c r="O516" t="n">
        <v>2018</v>
      </c>
      <c r="P516" t="n">
        <v>2040</v>
      </c>
      <c r="Q516" t="n">
        <v>0.3424</v>
      </c>
      <c r="R516" t="n">
        <v>635.1588</v>
      </c>
      <c r="S516" t="n">
        <v>0.00086105</v>
      </c>
      <c r="T516" t="n">
        <v>0.00013947</v>
      </c>
    </row>
    <row r="517">
      <c r="A517" t="inlineStr">
        <is>
          <t>SUP-0052</t>
        </is>
      </c>
      <c r="B517" t="inlineStr">
        <is>
          <t>Electronics Supplier 052</t>
        </is>
      </c>
      <c r="C517" t="inlineStr">
        <is>
          <t>Electronics</t>
        </is>
      </c>
      <c r="D517" t="n">
        <v>2020</v>
      </c>
      <c r="E517" t="n">
        <v>16992724.42</v>
      </c>
      <c r="F517" t="n">
        <v>58422825.82</v>
      </c>
      <c r="G517" t="n">
        <v>10318.0632</v>
      </c>
      <c r="H517" t="inlineStr"/>
      <c r="I517" t="n">
        <v>1843.2232</v>
      </c>
      <c r="J517" t="n">
        <v>5785.3088</v>
      </c>
      <c r="K517" t="inlineStr"/>
      <c r="L517" t="inlineStr"/>
      <c r="M517" t="inlineStr"/>
      <c r="N517" t="inlineStr"/>
      <c r="O517" t="n">
        <v>2018</v>
      </c>
      <c r="P517" t="n">
        <v>2040</v>
      </c>
      <c r="Q517" t="n">
        <v>0.3424</v>
      </c>
      <c r="R517" t="n">
        <v>635.1588</v>
      </c>
      <c r="S517" t="n">
        <v>0.00086105</v>
      </c>
      <c r="T517" t="n">
        <v>0.00013947</v>
      </c>
    </row>
    <row r="518">
      <c r="A518" t="inlineStr">
        <is>
          <t>SUP-0052</t>
        </is>
      </c>
      <c r="B518" t="inlineStr">
        <is>
          <t>Electronics Supplier 052</t>
        </is>
      </c>
      <c r="C518" t="inlineStr">
        <is>
          <t>Electronics</t>
        </is>
      </c>
      <c r="D518" t="n">
        <v>2021</v>
      </c>
      <c r="E518" t="n">
        <v>18468280.53</v>
      </c>
      <c r="F518" t="n">
        <v>61080957.03</v>
      </c>
      <c r="G518" t="inlineStr"/>
      <c r="H518" t="n">
        <v>1432.5355</v>
      </c>
      <c r="I518" t="n">
        <v>1417.298</v>
      </c>
      <c r="J518" t="n">
        <v>6495.5403</v>
      </c>
      <c r="K518" t="inlineStr"/>
      <c r="L518" t="inlineStr"/>
      <c r="M518" t="inlineStr"/>
      <c r="N518" t="inlineStr"/>
      <c r="O518" t="n">
        <v>2018</v>
      </c>
      <c r="P518" t="n">
        <v>2040</v>
      </c>
      <c r="Q518" t="n">
        <v>0.3424</v>
      </c>
      <c r="R518" t="n">
        <v>635.1588</v>
      </c>
      <c r="S518" t="n">
        <v>0.00086105</v>
      </c>
      <c r="T518" t="n">
        <v>0.00013947</v>
      </c>
    </row>
    <row r="519">
      <c r="A519" t="inlineStr">
        <is>
          <t>SUP-0052</t>
        </is>
      </c>
      <c r="B519" t="inlineStr">
        <is>
          <t>Electronics Supplier 052</t>
        </is>
      </c>
      <c r="C519" t="inlineStr">
        <is>
          <t>Electronics</t>
        </is>
      </c>
      <c r="D519" t="n">
        <v>2022</v>
      </c>
      <c r="E519" t="inlineStr"/>
      <c r="F519" t="n">
        <v>58383570</v>
      </c>
      <c r="G519" t="n">
        <v>8930.9936</v>
      </c>
      <c r="H519" t="n">
        <v>2513.5467</v>
      </c>
      <c r="I519" t="n">
        <v>696.4758</v>
      </c>
      <c r="J519" t="n">
        <v>5926.7172</v>
      </c>
      <c r="K519" t="inlineStr"/>
      <c r="L519" t="inlineStr"/>
      <c r="M519" t="inlineStr"/>
      <c r="N519" t="inlineStr"/>
      <c r="O519" t="n">
        <v>2018</v>
      </c>
      <c r="P519" t="n">
        <v>2040</v>
      </c>
      <c r="Q519" t="n">
        <v>0.3424</v>
      </c>
      <c r="R519" t="n">
        <v>635.1588</v>
      </c>
      <c r="S519" t="n">
        <v>0.00086105</v>
      </c>
      <c r="T519" t="n">
        <v>0.00013947</v>
      </c>
    </row>
    <row r="520">
      <c r="A520" t="inlineStr">
        <is>
          <t>SUP-0052</t>
        </is>
      </c>
      <c r="B520" t="inlineStr">
        <is>
          <t>Electronics Supplier 052</t>
        </is>
      </c>
      <c r="C520" t="inlineStr">
        <is>
          <t>Electronics</t>
        </is>
      </c>
      <c r="D520" t="n">
        <v>2023</v>
      </c>
      <c r="E520" t="n">
        <v>20042530.91</v>
      </c>
      <c r="F520" t="n">
        <v>80255570.81999999</v>
      </c>
      <c r="G520" t="n">
        <v>8514.867399999999</v>
      </c>
      <c r="H520" t="inlineStr"/>
      <c r="I520" t="n">
        <v>631.8626</v>
      </c>
      <c r="J520" t="inlineStr"/>
      <c r="K520" t="inlineStr"/>
      <c r="L520" t="inlineStr"/>
      <c r="M520" t="inlineStr"/>
      <c r="N520" t="inlineStr"/>
      <c r="O520" t="n">
        <v>2018</v>
      </c>
      <c r="P520" t="n">
        <v>2040</v>
      </c>
      <c r="Q520" t="n">
        <v>0.3424</v>
      </c>
      <c r="R520" t="n">
        <v>635.1588</v>
      </c>
      <c r="S520" t="n">
        <v>0.00086105</v>
      </c>
      <c r="T520" t="n">
        <v>0.00013947</v>
      </c>
    </row>
    <row r="521">
      <c r="A521" t="inlineStr">
        <is>
          <t>SUP-0052</t>
        </is>
      </c>
      <c r="B521" t="inlineStr">
        <is>
          <t>Electronics Supplier 052</t>
        </is>
      </c>
      <c r="C521" t="inlineStr">
        <is>
          <t>Electronics</t>
        </is>
      </c>
      <c r="D521" t="n">
        <v>2024</v>
      </c>
      <c r="E521" t="n">
        <v>17480428.95</v>
      </c>
      <c r="F521" t="n">
        <v>59211096.29</v>
      </c>
      <c r="G521" t="n">
        <v>6648.7037</v>
      </c>
      <c r="H521" t="inlineStr"/>
      <c r="I521" t="n">
        <v>490.2344</v>
      </c>
      <c r="J521" t="n">
        <v>5038.2233</v>
      </c>
      <c r="K521" t="inlineStr"/>
      <c r="L521" t="inlineStr"/>
      <c r="M521" t="inlineStr"/>
      <c r="N521" t="inlineStr"/>
      <c r="O521" t="n">
        <v>2018</v>
      </c>
      <c r="P521" t="n">
        <v>2040</v>
      </c>
      <c r="Q521" t="n">
        <v>0.3424</v>
      </c>
      <c r="R521" t="n">
        <v>635.1588</v>
      </c>
      <c r="S521" t="n">
        <v>0.00086105</v>
      </c>
      <c r="T521" t="n">
        <v>0.00013947</v>
      </c>
    </row>
    <row r="522">
      <c r="A522" t="inlineStr">
        <is>
          <t>SUP-0053</t>
        </is>
      </c>
      <c r="B522" t="inlineStr">
        <is>
          <t>Electronics Supplier 053</t>
        </is>
      </c>
      <c r="C522" t="inlineStr">
        <is>
          <t>Electronics</t>
        </is>
      </c>
      <c r="D522" t="n">
        <v>2015</v>
      </c>
      <c r="E522" t="n">
        <v>523804.78</v>
      </c>
      <c r="F522" t="n">
        <v>2011013.32</v>
      </c>
      <c r="G522" t="inlineStr"/>
      <c r="H522" t="n">
        <v>112.8069</v>
      </c>
      <c r="I522" t="n">
        <v>52.2272</v>
      </c>
      <c r="J522" t="inlineStr"/>
      <c r="K522" t="n">
        <v>2021</v>
      </c>
      <c r="L522" t="n">
        <v>2030</v>
      </c>
      <c r="M522" t="n">
        <v>0.5843</v>
      </c>
      <c r="N522" t="n">
        <v>0.3539</v>
      </c>
      <c r="O522" t="n">
        <v>2018</v>
      </c>
      <c r="P522" t="n">
        <v>2040</v>
      </c>
      <c r="Q522" t="n">
        <v>0.3424</v>
      </c>
      <c r="R522" t="n">
        <v>635.1588</v>
      </c>
      <c r="S522" t="n">
        <v>0.00086105</v>
      </c>
      <c r="T522" t="n">
        <v>0.00013947</v>
      </c>
    </row>
    <row r="523">
      <c r="A523" t="inlineStr">
        <is>
          <t>SUP-0053</t>
        </is>
      </c>
      <c r="B523" t="inlineStr">
        <is>
          <t>Electronics Supplier 053</t>
        </is>
      </c>
      <c r="C523" t="inlineStr">
        <is>
          <t>Electronics</t>
        </is>
      </c>
      <c r="D523" t="n">
        <v>2016</v>
      </c>
      <c r="E523" t="n">
        <v>508890.36</v>
      </c>
      <c r="F523" t="inlineStr"/>
      <c r="G523" t="n">
        <v>521.5717</v>
      </c>
      <c r="H523" t="n">
        <v>104.0763</v>
      </c>
      <c r="I523" t="n">
        <v>81.87860000000001</v>
      </c>
      <c r="J523" t="n">
        <v>320.4539</v>
      </c>
      <c r="K523" t="n">
        <v>2021</v>
      </c>
      <c r="L523" t="n">
        <v>2030</v>
      </c>
      <c r="M523" t="n">
        <v>0.5843</v>
      </c>
      <c r="N523" t="n">
        <v>0.3539</v>
      </c>
      <c r="O523" t="n">
        <v>2018</v>
      </c>
      <c r="P523" t="n">
        <v>2040</v>
      </c>
      <c r="Q523" t="n">
        <v>0.3424</v>
      </c>
      <c r="R523" t="n">
        <v>635.1588</v>
      </c>
      <c r="S523" t="n">
        <v>0.00086105</v>
      </c>
      <c r="T523" t="n">
        <v>0.00013947</v>
      </c>
    </row>
    <row r="524">
      <c r="A524" t="inlineStr">
        <is>
          <t>SUP-0053</t>
        </is>
      </c>
      <c r="B524" t="inlineStr">
        <is>
          <t>Electronics Supplier 053</t>
        </is>
      </c>
      <c r="C524" t="inlineStr">
        <is>
          <t>Electronics</t>
        </is>
      </c>
      <c r="D524" t="n">
        <v>2017</v>
      </c>
      <c r="E524" t="n">
        <v>590829.13</v>
      </c>
      <c r="F524" t="n">
        <v>2718163.82</v>
      </c>
      <c r="G524" t="n">
        <v>654.6942</v>
      </c>
      <c r="H524" t="n">
        <v>132.4221</v>
      </c>
      <c r="I524" t="n">
        <v>79.8907</v>
      </c>
      <c r="J524" t="n">
        <v>450.1854</v>
      </c>
      <c r="K524" t="n">
        <v>2021</v>
      </c>
      <c r="L524" t="n">
        <v>2030</v>
      </c>
      <c r="M524" t="n">
        <v>0.5843</v>
      </c>
      <c r="N524" t="n">
        <v>0.3539</v>
      </c>
      <c r="O524" t="n">
        <v>2018</v>
      </c>
      <c r="P524" t="n">
        <v>2040</v>
      </c>
      <c r="Q524" t="n">
        <v>0.3424</v>
      </c>
      <c r="R524" t="n">
        <v>635.1588</v>
      </c>
      <c r="S524" t="n">
        <v>0.00086105</v>
      </c>
      <c r="T524" t="n">
        <v>0.00013947</v>
      </c>
    </row>
    <row r="525">
      <c r="A525" t="inlineStr">
        <is>
          <t>SUP-0053</t>
        </is>
      </c>
      <c r="B525" t="inlineStr">
        <is>
          <t>Electronics Supplier 053</t>
        </is>
      </c>
      <c r="C525" t="inlineStr">
        <is>
          <t>Electronics</t>
        </is>
      </c>
      <c r="D525" t="n">
        <v>2018</v>
      </c>
      <c r="E525" t="n">
        <v>662713.45</v>
      </c>
      <c r="F525" t="n">
        <v>2912578.58</v>
      </c>
      <c r="G525" t="n">
        <v>662.2178</v>
      </c>
      <c r="H525" t="n">
        <v>118.1257</v>
      </c>
      <c r="I525" t="n">
        <v>111.6942</v>
      </c>
      <c r="J525" t="n">
        <v>461.0607</v>
      </c>
      <c r="K525" t="n">
        <v>2021</v>
      </c>
      <c r="L525" t="n">
        <v>2030</v>
      </c>
      <c r="M525" t="n">
        <v>0.5843</v>
      </c>
      <c r="N525" t="n">
        <v>0.3539</v>
      </c>
      <c r="O525" t="n">
        <v>2018</v>
      </c>
      <c r="P525" t="n">
        <v>2040</v>
      </c>
      <c r="Q525" t="n">
        <v>0.3424</v>
      </c>
      <c r="R525" t="n">
        <v>635.1588</v>
      </c>
      <c r="S525" t="n">
        <v>0.00086105</v>
      </c>
      <c r="T525" t="n">
        <v>0.00013947</v>
      </c>
    </row>
    <row r="526">
      <c r="A526" t="inlineStr">
        <is>
          <t>SUP-0053</t>
        </is>
      </c>
      <c r="B526" t="inlineStr">
        <is>
          <t>Electronics Supplier 053</t>
        </is>
      </c>
      <c r="C526" t="inlineStr">
        <is>
          <t>Electronics</t>
        </is>
      </c>
      <c r="D526" t="n">
        <v>2019</v>
      </c>
      <c r="E526" t="n">
        <v>620762.1800000001</v>
      </c>
      <c r="F526" t="n">
        <v>3542801.13</v>
      </c>
      <c r="G526" t="n">
        <v>808.9703</v>
      </c>
      <c r="H526" t="n">
        <v>90.2007</v>
      </c>
      <c r="I526" t="n">
        <v>85.669</v>
      </c>
      <c r="J526" t="n">
        <v>590.2699</v>
      </c>
      <c r="K526" t="n">
        <v>2021</v>
      </c>
      <c r="L526" t="n">
        <v>2030</v>
      </c>
      <c r="M526" t="n">
        <v>0.5843</v>
      </c>
      <c r="N526" t="n">
        <v>0.3539</v>
      </c>
      <c r="O526" t="n">
        <v>2018</v>
      </c>
      <c r="P526" t="n">
        <v>2040</v>
      </c>
      <c r="Q526" t="n">
        <v>0.3424</v>
      </c>
      <c r="R526" t="n">
        <v>635.1588</v>
      </c>
      <c r="S526" t="n">
        <v>0.00086105</v>
      </c>
      <c r="T526" t="n">
        <v>0.00013947</v>
      </c>
    </row>
    <row r="527">
      <c r="A527" t="inlineStr">
        <is>
          <t>SUP-0053</t>
        </is>
      </c>
      <c r="B527" t="inlineStr">
        <is>
          <t>Electronics Supplier 053</t>
        </is>
      </c>
      <c r="C527" t="inlineStr">
        <is>
          <t>Electronics</t>
        </is>
      </c>
      <c r="D527" t="n">
        <v>2020</v>
      </c>
      <c r="E527" t="n">
        <v>709622.7</v>
      </c>
      <c r="F527" t="n">
        <v>3634179.42</v>
      </c>
      <c r="G527" t="n">
        <v>705.3059</v>
      </c>
      <c r="H527" t="n">
        <v>87.7544</v>
      </c>
      <c r="I527" t="n">
        <v>134.092</v>
      </c>
      <c r="J527" t="n">
        <v>532.8228</v>
      </c>
      <c r="K527" t="n">
        <v>2021</v>
      </c>
      <c r="L527" t="n">
        <v>2030</v>
      </c>
      <c r="M527" t="n">
        <v>0.5843</v>
      </c>
      <c r="N527" t="n">
        <v>0.3539</v>
      </c>
      <c r="O527" t="n">
        <v>2018</v>
      </c>
      <c r="P527" t="n">
        <v>2040</v>
      </c>
      <c r="Q527" t="n">
        <v>0.3424</v>
      </c>
      <c r="R527" t="n">
        <v>635.1588</v>
      </c>
      <c r="S527" t="n">
        <v>0.00086105</v>
      </c>
      <c r="T527" t="n">
        <v>0.00013947</v>
      </c>
    </row>
    <row r="528">
      <c r="A528" t="inlineStr">
        <is>
          <t>SUP-0053</t>
        </is>
      </c>
      <c r="B528" t="inlineStr">
        <is>
          <t>Electronics Supplier 053</t>
        </is>
      </c>
      <c r="C528" t="inlineStr">
        <is>
          <t>Electronics</t>
        </is>
      </c>
      <c r="D528" t="n">
        <v>2021</v>
      </c>
      <c r="E528" t="inlineStr"/>
      <c r="F528" t="n">
        <v>2839825.22</v>
      </c>
      <c r="G528" t="n">
        <v>574.1627999999999</v>
      </c>
      <c r="H528" t="n">
        <v>124.743</v>
      </c>
      <c r="I528" t="n">
        <v>69.4573</v>
      </c>
      <c r="J528" t="inlineStr"/>
      <c r="K528" t="n">
        <v>2021</v>
      </c>
      <c r="L528" t="n">
        <v>2030</v>
      </c>
      <c r="M528" t="n">
        <v>0.5843</v>
      </c>
      <c r="N528" t="n">
        <v>0.3539</v>
      </c>
      <c r="O528" t="n">
        <v>2018</v>
      </c>
      <c r="P528" t="n">
        <v>2040</v>
      </c>
      <c r="Q528" t="n">
        <v>0.3424</v>
      </c>
      <c r="R528" t="n">
        <v>635.1588</v>
      </c>
      <c r="S528" t="n">
        <v>0.00086105</v>
      </c>
      <c r="T528" t="n">
        <v>0.00013947</v>
      </c>
    </row>
    <row r="529">
      <c r="A529" t="inlineStr">
        <is>
          <t>SUP-0053</t>
        </is>
      </c>
      <c r="B529" t="inlineStr">
        <is>
          <t>Electronics Supplier 053</t>
        </is>
      </c>
      <c r="C529" t="inlineStr">
        <is>
          <t>Electronics</t>
        </is>
      </c>
      <c r="D529" t="n">
        <v>2022</v>
      </c>
      <c r="E529" t="n">
        <v>616218.8</v>
      </c>
      <c r="F529" t="n">
        <v>4098541.65</v>
      </c>
      <c r="G529" t="n">
        <v>604.8104</v>
      </c>
      <c r="H529" t="n">
        <v>111.708</v>
      </c>
      <c r="I529" t="n">
        <v>104.5208</v>
      </c>
      <c r="J529" t="n">
        <v>451.0083</v>
      </c>
      <c r="K529" t="n">
        <v>2021</v>
      </c>
      <c r="L529" t="n">
        <v>2030</v>
      </c>
      <c r="M529" t="n">
        <v>0.5843</v>
      </c>
      <c r="N529" t="n">
        <v>0.3539</v>
      </c>
      <c r="O529" t="n">
        <v>2018</v>
      </c>
      <c r="P529" t="n">
        <v>2040</v>
      </c>
      <c r="Q529" t="n">
        <v>0.3424</v>
      </c>
      <c r="R529" t="n">
        <v>635.1588</v>
      </c>
      <c r="S529" t="n">
        <v>0.00086105</v>
      </c>
      <c r="T529" t="n">
        <v>0.00013947</v>
      </c>
    </row>
    <row r="530">
      <c r="A530" t="inlineStr">
        <is>
          <t>SUP-0053</t>
        </is>
      </c>
      <c r="B530" t="inlineStr">
        <is>
          <t>Electronics Supplier 053</t>
        </is>
      </c>
      <c r="C530" t="inlineStr">
        <is>
          <t>Electronics</t>
        </is>
      </c>
      <c r="D530" t="n">
        <v>2023</v>
      </c>
      <c r="E530" t="n">
        <v>884901.04</v>
      </c>
      <c r="F530" t="n">
        <v>3333297.2</v>
      </c>
      <c r="G530" t="n">
        <v>843.0254</v>
      </c>
      <c r="H530" t="n">
        <v>107.8216</v>
      </c>
      <c r="I530" t="n">
        <v>137.5078</v>
      </c>
      <c r="J530" t="n">
        <v>538.3193</v>
      </c>
      <c r="K530" t="n">
        <v>2021</v>
      </c>
      <c r="L530" t="n">
        <v>2030</v>
      </c>
      <c r="M530" t="n">
        <v>0.5843</v>
      </c>
      <c r="N530" t="n">
        <v>0.3539</v>
      </c>
      <c r="O530" t="n">
        <v>2018</v>
      </c>
      <c r="P530" t="n">
        <v>2040</v>
      </c>
      <c r="Q530" t="n">
        <v>0.3424</v>
      </c>
      <c r="R530" t="n">
        <v>635.1588</v>
      </c>
      <c r="S530" t="n">
        <v>0.00086105</v>
      </c>
      <c r="T530" t="n">
        <v>0.00013947</v>
      </c>
    </row>
    <row r="531">
      <c r="A531" t="inlineStr">
        <is>
          <t>SUP-0053</t>
        </is>
      </c>
      <c r="B531" t="inlineStr">
        <is>
          <t>Electronics Supplier 053</t>
        </is>
      </c>
      <c r="C531" t="inlineStr">
        <is>
          <t>Electronics</t>
        </is>
      </c>
      <c r="D531" t="n">
        <v>2024</v>
      </c>
      <c r="E531" t="n">
        <v>917106.38</v>
      </c>
      <c r="F531" t="n">
        <v>4831588.32</v>
      </c>
      <c r="G531" t="inlineStr"/>
      <c r="H531" t="n">
        <v>196.2945</v>
      </c>
      <c r="I531" t="n">
        <v>144.2933</v>
      </c>
      <c r="J531" t="n">
        <v>378.9051</v>
      </c>
      <c r="K531" t="n">
        <v>2021</v>
      </c>
      <c r="L531" t="n">
        <v>2030</v>
      </c>
      <c r="M531" t="n">
        <v>0.5843</v>
      </c>
      <c r="N531" t="n">
        <v>0.3539</v>
      </c>
      <c r="O531" t="n">
        <v>2018</v>
      </c>
      <c r="P531" t="n">
        <v>2040</v>
      </c>
      <c r="Q531" t="n">
        <v>0.3424</v>
      </c>
      <c r="R531" t="n">
        <v>635.1588</v>
      </c>
      <c r="S531" t="n">
        <v>0.00086105</v>
      </c>
      <c r="T531" t="n">
        <v>0.00013947</v>
      </c>
    </row>
    <row r="532">
      <c r="A532" t="inlineStr">
        <is>
          <t>SUP-0054</t>
        </is>
      </c>
      <c r="B532" t="inlineStr">
        <is>
          <t>Chemicals Supplier 054</t>
        </is>
      </c>
      <c r="C532" t="inlineStr">
        <is>
          <t>Chemicals</t>
        </is>
      </c>
      <c r="D532" t="n">
        <v>2015</v>
      </c>
      <c r="E532" t="n">
        <v>2569176.3</v>
      </c>
      <c r="F532" t="n">
        <v>3892965.99</v>
      </c>
      <c r="G532" t="n">
        <v>1527.7388</v>
      </c>
      <c r="H532" t="n">
        <v>392.631</v>
      </c>
      <c r="I532" t="n">
        <v>179.0758</v>
      </c>
      <c r="J532" t="n">
        <v>900.8951</v>
      </c>
      <c r="K532" t="n">
        <v>2019</v>
      </c>
      <c r="L532" t="n">
        <v>2035</v>
      </c>
      <c r="M532" t="n">
        <v>0.3128</v>
      </c>
      <c r="N532" t="n">
        <v>0.1632</v>
      </c>
      <c r="O532" t="n">
        <v>2019</v>
      </c>
      <c r="P532" t="n">
        <v>2035</v>
      </c>
      <c r="Q532" t="n">
        <v>0.5229</v>
      </c>
      <c r="R532" t="n">
        <v>506.3191</v>
      </c>
      <c r="S532" t="n">
        <v>0.00100149</v>
      </c>
      <c r="T532" t="n">
        <v>0.00047124</v>
      </c>
    </row>
    <row r="533">
      <c r="A533" t="inlineStr">
        <is>
          <t>SUP-0054</t>
        </is>
      </c>
      <c r="B533" t="inlineStr">
        <is>
          <t>Chemicals Supplier 054</t>
        </is>
      </c>
      <c r="C533" t="inlineStr">
        <is>
          <t>Chemicals</t>
        </is>
      </c>
      <c r="D533" t="n">
        <v>2016</v>
      </c>
      <c r="E533" t="n">
        <v>2395593.17</v>
      </c>
      <c r="F533" t="n">
        <v>2878543.9</v>
      </c>
      <c r="G533" t="n">
        <v>1602.5482</v>
      </c>
      <c r="H533" t="n">
        <v>154.2757</v>
      </c>
      <c r="I533" t="n">
        <v>116.4944</v>
      </c>
      <c r="J533" t="n">
        <v>1373.2602</v>
      </c>
      <c r="K533" t="n">
        <v>2019</v>
      </c>
      <c r="L533" t="n">
        <v>2035</v>
      </c>
      <c r="M533" t="n">
        <v>0.3128</v>
      </c>
      <c r="N533" t="n">
        <v>0.1632</v>
      </c>
      <c r="O533" t="n">
        <v>2019</v>
      </c>
      <c r="P533" t="n">
        <v>2035</v>
      </c>
      <c r="Q533" t="n">
        <v>0.5229</v>
      </c>
      <c r="R533" t="n">
        <v>506.3191</v>
      </c>
      <c r="S533" t="n">
        <v>0.00100149</v>
      </c>
      <c r="T533" t="n">
        <v>0.00047124</v>
      </c>
    </row>
    <row r="534">
      <c r="A534" t="inlineStr">
        <is>
          <t>SUP-0054</t>
        </is>
      </c>
      <c r="B534" t="inlineStr">
        <is>
          <t>Chemicals Supplier 054</t>
        </is>
      </c>
      <c r="C534" t="inlineStr">
        <is>
          <t>Chemicals</t>
        </is>
      </c>
      <c r="D534" t="n">
        <v>2017</v>
      </c>
      <c r="E534" t="inlineStr"/>
      <c r="F534" t="n">
        <v>2958749.67</v>
      </c>
      <c r="G534" t="n">
        <v>1473.5414</v>
      </c>
      <c r="H534" t="inlineStr"/>
      <c r="I534" t="n">
        <v>294.6901</v>
      </c>
      <c r="J534" t="n">
        <v>1038.8907</v>
      </c>
      <c r="K534" t="n">
        <v>2019</v>
      </c>
      <c r="L534" t="n">
        <v>2035</v>
      </c>
      <c r="M534" t="n">
        <v>0.3128</v>
      </c>
      <c r="N534" t="n">
        <v>0.1632</v>
      </c>
      <c r="O534" t="n">
        <v>2019</v>
      </c>
      <c r="P534" t="n">
        <v>2035</v>
      </c>
      <c r="Q534" t="n">
        <v>0.5229</v>
      </c>
      <c r="R534" t="n">
        <v>506.3191</v>
      </c>
      <c r="S534" t="n">
        <v>0.00100149</v>
      </c>
      <c r="T534" t="n">
        <v>0.00047124</v>
      </c>
    </row>
    <row r="535">
      <c r="A535" t="inlineStr">
        <is>
          <t>SUP-0054</t>
        </is>
      </c>
      <c r="B535" t="inlineStr">
        <is>
          <t>Chemicals Supplier 054</t>
        </is>
      </c>
      <c r="C535" t="inlineStr">
        <is>
          <t>Chemicals</t>
        </is>
      </c>
      <c r="D535" t="n">
        <v>2018</v>
      </c>
      <c r="E535" t="n">
        <v>2389457.52</v>
      </c>
      <c r="F535" t="n">
        <v>3553900.75</v>
      </c>
      <c r="G535" t="n">
        <v>1283.2802</v>
      </c>
      <c r="H535" t="n">
        <v>326.389</v>
      </c>
      <c r="I535" t="n">
        <v>134.6633</v>
      </c>
      <c r="J535" t="n">
        <v>846.3162</v>
      </c>
      <c r="K535" t="n">
        <v>2019</v>
      </c>
      <c r="L535" t="n">
        <v>2035</v>
      </c>
      <c r="M535" t="n">
        <v>0.3128</v>
      </c>
      <c r="N535" t="n">
        <v>0.1632</v>
      </c>
      <c r="O535" t="n">
        <v>2019</v>
      </c>
      <c r="P535" t="n">
        <v>2035</v>
      </c>
      <c r="Q535" t="n">
        <v>0.5229</v>
      </c>
      <c r="R535" t="n">
        <v>506.3191</v>
      </c>
      <c r="S535" t="n">
        <v>0.00100149</v>
      </c>
      <c r="T535" t="n">
        <v>0.00047124</v>
      </c>
    </row>
    <row r="536">
      <c r="A536" t="inlineStr">
        <is>
          <t>SUP-0054</t>
        </is>
      </c>
      <c r="B536" t="inlineStr">
        <is>
          <t>Chemicals Supplier 054</t>
        </is>
      </c>
      <c r="C536" t="inlineStr">
        <is>
          <t>Chemicals</t>
        </is>
      </c>
      <c r="D536" t="n">
        <v>2019</v>
      </c>
      <c r="E536" t="n">
        <v>3067721.41</v>
      </c>
      <c r="F536" t="inlineStr"/>
      <c r="G536" t="n">
        <v>1807.0777</v>
      </c>
      <c r="H536" t="inlineStr"/>
      <c r="I536" t="n">
        <v>186.8636</v>
      </c>
      <c r="J536" t="inlineStr"/>
      <c r="K536" t="n">
        <v>2019</v>
      </c>
      <c r="L536" t="n">
        <v>2035</v>
      </c>
      <c r="M536" t="n">
        <v>0.3128</v>
      </c>
      <c r="N536" t="n">
        <v>0.1632</v>
      </c>
      <c r="O536" t="n">
        <v>2019</v>
      </c>
      <c r="P536" t="n">
        <v>2035</v>
      </c>
      <c r="Q536" t="n">
        <v>0.5229</v>
      </c>
      <c r="R536" t="n">
        <v>506.3191</v>
      </c>
      <c r="S536" t="n">
        <v>0.00100149</v>
      </c>
      <c r="T536" t="n">
        <v>0.00047124</v>
      </c>
    </row>
    <row r="537">
      <c r="A537" t="inlineStr">
        <is>
          <t>SUP-0054</t>
        </is>
      </c>
      <c r="B537" t="inlineStr">
        <is>
          <t>Chemicals Supplier 054</t>
        </is>
      </c>
      <c r="C537" t="inlineStr">
        <is>
          <t>Chemicals</t>
        </is>
      </c>
      <c r="D537" t="n">
        <v>2020</v>
      </c>
      <c r="E537" t="n">
        <v>2778069.51</v>
      </c>
      <c r="F537" t="n">
        <v>3315514.77</v>
      </c>
      <c r="G537" t="inlineStr"/>
      <c r="H537" t="n">
        <v>292.8235</v>
      </c>
      <c r="I537" t="inlineStr"/>
      <c r="J537" t="n">
        <v>971.2477</v>
      </c>
      <c r="K537" t="n">
        <v>2019</v>
      </c>
      <c r="L537" t="n">
        <v>2035</v>
      </c>
      <c r="M537" t="n">
        <v>0.3128</v>
      </c>
      <c r="N537" t="n">
        <v>0.1632</v>
      </c>
      <c r="O537" t="n">
        <v>2019</v>
      </c>
      <c r="P537" t="n">
        <v>2035</v>
      </c>
      <c r="Q537" t="n">
        <v>0.5229</v>
      </c>
      <c r="R537" t="n">
        <v>506.3191</v>
      </c>
      <c r="S537" t="n">
        <v>0.00100149</v>
      </c>
      <c r="T537" t="n">
        <v>0.00047124</v>
      </c>
    </row>
    <row r="538">
      <c r="A538" t="inlineStr">
        <is>
          <t>SUP-0054</t>
        </is>
      </c>
      <c r="B538" t="inlineStr">
        <is>
          <t>Chemicals Supplier 054</t>
        </is>
      </c>
      <c r="C538" t="inlineStr">
        <is>
          <t>Chemicals</t>
        </is>
      </c>
      <c r="D538" t="n">
        <v>2021</v>
      </c>
      <c r="E538" t="n">
        <v>2502568.83</v>
      </c>
      <c r="F538" t="n">
        <v>3828040.09</v>
      </c>
      <c r="G538" t="inlineStr"/>
      <c r="H538" t="n">
        <v>143.8972</v>
      </c>
      <c r="I538" t="n">
        <v>201.1025</v>
      </c>
      <c r="J538" t="n">
        <v>821.1144</v>
      </c>
      <c r="K538" t="n">
        <v>2019</v>
      </c>
      <c r="L538" t="n">
        <v>2035</v>
      </c>
      <c r="M538" t="n">
        <v>0.3128</v>
      </c>
      <c r="N538" t="n">
        <v>0.1632</v>
      </c>
      <c r="O538" t="n">
        <v>2019</v>
      </c>
      <c r="P538" t="n">
        <v>2035</v>
      </c>
      <c r="Q538" t="n">
        <v>0.5229</v>
      </c>
      <c r="R538" t="n">
        <v>506.3191</v>
      </c>
      <c r="S538" t="n">
        <v>0.00100149</v>
      </c>
      <c r="T538" t="n">
        <v>0.00047124</v>
      </c>
    </row>
    <row r="539">
      <c r="A539" t="inlineStr">
        <is>
          <t>SUP-0054</t>
        </is>
      </c>
      <c r="B539" t="inlineStr">
        <is>
          <t>Chemicals Supplier 054</t>
        </is>
      </c>
      <c r="C539" t="inlineStr">
        <is>
          <t>Chemicals</t>
        </is>
      </c>
      <c r="D539" t="n">
        <v>2022</v>
      </c>
      <c r="E539" t="n">
        <v>2858935.31</v>
      </c>
      <c r="F539" t="n">
        <v>4091075.72</v>
      </c>
      <c r="G539" t="n">
        <v>1494.4131</v>
      </c>
      <c r="H539" t="n">
        <v>407.0473</v>
      </c>
      <c r="I539" t="inlineStr"/>
      <c r="J539" t="n">
        <v>863.6301999999999</v>
      </c>
      <c r="K539" t="n">
        <v>2019</v>
      </c>
      <c r="L539" t="n">
        <v>2035</v>
      </c>
      <c r="M539" t="n">
        <v>0.3128</v>
      </c>
      <c r="N539" t="n">
        <v>0.1632</v>
      </c>
      <c r="O539" t="n">
        <v>2019</v>
      </c>
      <c r="P539" t="n">
        <v>2035</v>
      </c>
      <c r="Q539" t="n">
        <v>0.5229</v>
      </c>
      <c r="R539" t="n">
        <v>506.3191</v>
      </c>
      <c r="S539" t="n">
        <v>0.00100149</v>
      </c>
      <c r="T539" t="n">
        <v>0.00047124</v>
      </c>
    </row>
    <row r="540">
      <c r="A540" t="inlineStr">
        <is>
          <t>SUP-0054</t>
        </is>
      </c>
      <c r="B540" t="inlineStr">
        <is>
          <t>Chemicals Supplier 054</t>
        </is>
      </c>
      <c r="C540" t="inlineStr">
        <is>
          <t>Chemicals</t>
        </is>
      </c>
      <c r="D540" t="n">
        <v>2023</v>
      </c>
      <c r="E540" t="n">
        <v>2841688.31</v>
      </c>
      <c r="F540" t="n">
        <v>4049516.27</v>
      </c>
      <c r="G540" t="n">
        <v>1669.237</v>
      </c>
      <c r="H540" t="inlineStr"/>
      <c r="I540" t="inlineStr"/>
      <c r="J540" t="n">
        <v>1188.9129</v>
      </c>
      <c r="K540" t="n">
        <v>2019</v>
      </c>
      <c r="L540" t="n">
        <v>2035</v>
      </c>
      <c r="M540" t="n">
        <v>0.3128</v>
      </c>
      <c r="N540" t="n">
        <v>0.1632</v>
      </c>
      <c r="O540" t="n">
        <v>2019</v>
      </c>
      <c r="P540" t="n">
        <v>2035</v>
      </c>
      <c r="Q540" t="n">
        <v>0.5229</v>
      </c>
      <c r="R540" t="n">
        <v>506.3191</v>
      </c>
      <c r="S540" t="n">
        <v>0.00100149</v>
      </c>
      <c r="T540" t="n">
        <v>0.00047124</v>
      </c>
    </row>
    <row r="541">
      <c r="A541" t="inlineStr">
        <is>
          <t>SUP-0054</t>
        </is>
      </c>
      <c r="B541" t="inlineStr">
        <is>
          <t>Chemicals Supplier 054</t>
        </is>
      </c>
      <c r="C541" t="inlineStr">
        <is>
          <t>Chemicals</t>
        </is>
      </c>
      <c r="D541" t="n">
        <v>2024</v>
      </c>
      <c r="E541" t="inlineStr"/>
      <c r="F541" t="n">
        <v>3663142.89</v>
      </c>
      <c r="G541" t="n">
        <v>1075.8171</v>
      </c>
      <c r="H541" t="n">
        <v>231.391</v>
      </c>
      <c r="I541" t="n">
        <v>102.4218</v>
      </c>
      <c r="J541" t="n">
        <v>762.7708</v>
      </c>
      <c r="K541" t="n">
        <v>2019</v>
      </c>
      <c r="L541" t="n">
        <v>2035</v>
      </c>
      <c r="M541" t="n">
        <v>0.3128</v>
      </c>
      <c r="N541" t="n">
        <v>0.1632</v>
      </c>
      <c r="O541" t="n">
        <v>2019</v>
      </c>
      <c r="P541" t="n">
        <v>2035</v>
      </c>
      <c r="Q541" t="n">
        <v>0.5229</v>
      </c>
      <c r="R541" t="n">
        <v>506.3191</v>
      </c>
      <c r="S541" t="n">
        <v>0.00100149</v>
      </c>
      <c r="T541" t="n">
        <v>0.00047124</v>
      </c>
    </row>
    <row r="542">
      <c r="A542" t="inlineStr">
        <is>
          <t>SUP-0055</t>
        </is>
      </c>
      <c r="B542" t="inlineStr">
        <is>
          <t>Chemicals Supplier 055</t>
        </is>
      </c>
      <c r="C542" t="inlineStr">
        <is>
          <t>Chemicals</t>
        </is>
      </c>
      <c r="D542" t="n">
        <v>2015</v>
      </c>
      <c r="E542" t="n">
        <v>21458975.33</v>
      </c>
      <c r="F542" t="inlineStr"/>
      <c r="G542" t="inlineStr"/>
      <c r="H542" t="n">
        <v>3784.798</v>
      </c>
      <c r="I542" t="n">
        <v>3185.8873</v>
      </c>
      <c r="J542" t="n">
        <v>15993.4938</v>
      </c>
      <c r="K542" t="n">
        <v>2020</v>
      </c>
      <c r="L542" t="n">
        <v>2040</v>
      </c>
      <c r="M542" t="n">
        <v>0.6136</v>
      </c>
      <c r="N542" t="n">
        <v>0.3724</v>
      </c>
      <c r="O542" t="n">
        <v>2019</v>
      </c>
      <c r="P542" t="n">
        <v>2035</v>
      </c>
      <c r="Q542" t="n">
        <v>0.5229</v>
      </c>
      <c r="R542" t="n">
        <v>506.3191</v>
      </c>
      <c r="S542" t="n">
        <v>0.00100149</v>
      </c>
      <c r="T542" t="n">
        <v>0.00047124</v>
      </c>
    </row>
    <row r="543">
      <c r="A543" t="inlineStr">
        <is>
          <t>SUP-0055</t>
        </is>
      </c>
      <c r="B543" t="inlineStr">
        <is>
          <t>Chemicals Supplier 055</t>
        </is>
      </c>
      <c r="C543" t="inlineStr">
        <is>
          <t>Chemicals</t>
        </is>
      </c>
      <c r="D543" t="n">
        <v>2016</v>
      </c>
      <c r="E543" t="n">
        <v>20725054.41</v>
      </c>
      <c r="F543" t="n">
        <v>124547056.35</v>
      </c>
      <c r="G543" t="n">
        <v>19280.9107</v>
      </c>
      <c r="H543" t="n">
        <v>2421.2393</v>
      </c>
      <c r="I543" t="n">
        <v>3514.2935</v>
      </c>
      <c r="J543" t="n">
        <v>13217.2247</v>
      </c>
      <c r="K543" t="n">
        <v>2020</v>
      </c>
      <c r="L543" t="n">
        <v>2040</v>
      </c>
      <c r="M543" t="n">
        <v>0.6136</v>
      </c>
      <c r="N543" t="n">
        <v>0.3724</v>
      </c>
      <c r="O543" t="n">
        <v>2019</v>
      </c>
      <c r="P543" t="n">
        <v>2035</v>
      </c>
      <c r="Q543" t="n">
        <v>0.5229</v>
      </c>
      <c r="R543" t="n">
        <v>506.3191</v>
      </c>
      <c r="S543" t="n">
        <v>0.00100149</v>
      </c>
      <c r="T543" t="n">
        <v>0.00047124</v>
      </c>
    </row>
    <row r="544">
      <c r="A544" t="inlineStr">
        <is>
          <t>SUP-0055</t>
        </is>
      </c>
      <c r="B544" t="inlineStr">
        <is>
          <t>Chemicals Supplier 055</t>
        </is>
      </c>
      <c r="C544" t="inlineStr">
        <is>
          <t>Chemicals</t>
        </is>
      </c>
      <c r="D544" t="n">
        <v>2017</v>
      </c>
      <c r="E544" t="n">
        <v>24877280.04</v>
      </c>
      <c r="F544" t="n">
        <v>148078078.07</v>
      </c>
      <c r="G544" t="inlineStr"/>
      <c r="H544" t="n">
        <v>3810.1377</v>
      </c>
      <c r="I544" t="n">
        <v>3801.3425</v>
      </c>
      <c r="J544" t="inlineStr"/>
      <c r="K544" t="n">
        <v>2020</v>
      </c>
      <c r="L544" t="n">
        <v>2040</v>
      </c>
      <c r="M544" t="n">
        <v>0.6136</v>
      </c>
      <c r="N544" t="n">
        <v>0.3724</v>
      </c>
      <c r="O544" t="n">
        <v>2019</v>
      </c>
      <c r="P544" t="n">
        <v>2035</v>
      </c>
      <c r="Q544" t="n">
        <v>0.5229</v>
      </c>
      <c r="R544" t="n">
        <v>506.3191</v>
      </c>
      <c r="S544" t="n">
        <v>0.00100149</v>
      </c>
      <c r="T544" t="n">
        <v>0.00047124</v>
      </c>
    </row>
    <row r="545">
      <c r="A545" t="inlineStr">
        <is>
          <t>SUP-0055</t>
        </is>
      </c>
      <c r="B545" t="inlineStr">
        <is>
          <t>Chemicals Supplier 055</t>
        </is>
      </c>
      <c r="C545" t="inlineStr">
        <is>
          <t>Chemicals</t>
        </is>
      </c>
      <c r="D545" t="n">
        <v>2018</v>
      </c>
      <c r="E545" t="n">
        <v>20745173.36</v>
      </c>
      <c r="F545" t="n">
        <v>132982458.39</v>
      </c>
      <c r="G545" t="inlineStr"/>
      <c r="H545" t="n">
        <v>2476.585</v>
      </c>
      <c r="I545" t="n">
        <v>2152.2195</v>
      </c>
      <c r="J545" t="n">
        <v>10999.6009</v>
      </c>
      <c r="K545" t="n">
        <v>2020</v>
      </c>
      <c r="L545" t="n">
        <v>2040</v>
      </c>
      <c r="M545" t="n">
        <v>0.6136</v>
      </c>
      <c r="N545" t="n">
        <v>0.3724</v>
      </c>
      <c r="O545" t="n">
        <v>2019</v>
      </c>
      <c r="P545" t="n">
        <v>2035</v>
      </c>
      <c r="Q545" t="n">
        <v>0.5229</v>
      </c>
      <c r="R545" t="n">
        <v>506.3191</v>
      </c>
      <c r="S545" t="n">
        <v>0.00100149</v>
      </c>
      <c r="T545" t="n">
        <v>0.00047124</v>
      </c>
    </row>
    <row r="546">
      <c r="A546" t="inlineStr">
        <is>
          <t>SUP-0055</t>
        </is>
      </c>
      <c r="B546" t="inlineStr">
        <is>
          <t>Chemicals Supplier 055</t>
        </is>
      </c>
      <c r="C546" t="inlineStr">
        <is>
          <t>Chemicals</t>
        </is>
      </c>
      <c r="D546" t="n">
        <v>2019</v>
      </c>
      <c r="E546" t="n">
        <v>26332788.11</v>
      </c>
      <c r="F546" t="n">
        <v>121114026.47</v>
      </c>
      <c r="G546" t="inlineStr"/>
      <c r="H546" t="n">
        <v>3406.9038</v>
      </c>
      <c r="I546" t="inlineStr"/>
      <c r="J546" t="n">
        <v>12570.3631</v>
      </c>
      <c r="K546" t="n">
        <v>2020</v>
      </c>
      <c r="L546" t="n">
        <v>2040</v>
      </c>
      <c r="M546" t="n">
        <v>0.6136</v>
      </c>
      <c r="N546" t="n">
        <v>0.3724</v>
      </c>
      <c r="O546" t="n">
        <v>2019</v>
      </c>
      <c r="P546" t="n">
        <v>2035</v>
      </c>
      <c r="Q546" t="n">
        <v>0.5229</v>
      </c>
      <c r="R546" t="n">
        <v>506.3191</v>
      </c>
      <c r="S546" t="n">
        <v>0.00100149</v>
      </c>
      <c r="T546" t="n">
        <v>0.00047124</v>
      </c>
    </row>
    <row r="547">
      <c r="A547" t="inlineStr">
        <is>
          <t>SUP-0055</t>
        </is>
      </c>
      <c r="B547" t="inlineStr">
        <is>
          <t>Chemicals Supplier 055</t>
        </is>
      </c>
      <c r="C547" t="inlineStr">
        <is>
          <t>Chemicals</t>
        </is>
      </c>
      <c r="D547" t="n">
        <v>2020</v>
      </c>
      <c r="E547" t="n">
        <v>25085949.56</v>
      </c>
      <c r="F547" t="n">
        <v>107875932.03</v>
      </c>
      <c r="G547" t="inlineStr"/>
      <c r="H547" t="inlineStr"/>
      <c r="I547" t="n">
        <v>4253.6921</v>
      </c>
      <c r="J547" t="inlineStr"/>
      <c r="K547" t="n">
        <v>2020</v>
      </c>
      <c r="L547" t="n">
        <v>2040</v>
      </c>
      <c r="M547" t="n">
        <v>0.6136</v>
      </c>
      <c r="N547" t="n">
        <v>0.3724</v>
      </c>
      <c r="O547" t="n">
        <v>2019</v>
      </c>
      <c r="P547" t="n">
        <v>2035</v>
      </c>
      <c r="Q547" t="n">
        <v>0.5229</v>
      </c>
      <c r="R547" t="n">
        <v>506.3191</v>
      </c>
      <c r="S547" t="n">
        <v>0.00100149</v>
      </c>
      <c r="T547" t="n">
        <v>0.00047124</v>
      </c>
    </row>
    <row r="548">
      <c r="A548" t="inlineStr">
        <is>
          <t>SUP-0055</t>
        </is>
      </c>
      <c r="B548" t="inlineStr">
        <is>
          <t>Chemicals Supplier 055</t>
        </is>
      </c>
      <c r="C548" t="inlineStr">
        <is>
          <t>Chemicals</t>
        </is>
      </c>
      <c r="D548" t="n">
        <v>2021</v>
      </c>
      <c r="E548" t="inlineStr"/>
      <c r="F548" t="n">
        <v>167281032.75</v>
      </c>
      <c r="G548" t="inlineStr"/>
      <c r="H548" t="n">
        <v>5099.4743</v>
      </c>
      <c r="I548" t="n">
        <v>4631.7882</v>
      </c>
      <c r="J548" t="n">
        <v>14427.3177</v>
      </c>
      <c r="K548" t="n">
        <v>2020</v>
      </c>
      <c r="L548" t="n">
        <v>2040</v>
      </c>
      <c r="M548" t="n">
        <v>0.6136</v>
      </c>
      <c r="N548" t="n">
        <v>0.3724</v>
      </c>
      <c r="O548" t="n">
        <v>2019</v>
      </c>
      <c r="P548" t="n">
        <v>2035</v>
      </c>
      <c r="Q548" t="n">
        <v>0.5229</v>
      </c>
      <c r="R548" t="n">
        <v>506.3191</v>
      </c>
      <c r="S548" t="n">
        <v>0.00100149</v>
      </c>
      <c r="T548" t="n">
        <v>0.00047124</v>
      </c>
    </row>
    <row r="549">
      <c r="A549" t="inlineStr">
        <is>
          <t>SUP-0055</t>
        </is>
      </c>
      <c r="B549" t="inlineStr">
        <is>
          <t>Chemicals Supplier 055</t>
        </is>
      </c>
      <c r="C549" t="inlineStr">
        <is>
          <t>Chemicals</t>
        </is>
      </c>
      <c r="D549" t="n">
        <v>2022</v>
      </c>
      <c r="E549" t="n">
        <v>25006816.04</v>
      </c>
      <c r="F549" t="n">
        <v>143297094.49</v>
      </c>
      <c r="G549" t="inlineStr"/>
      <c r="H549" t="n">
        <v>7298.6782</v>
      </c>
      <c r="I549" t="n">
        <v>1776.2754</v>
      </c>
      <c r="J549" t="inlineStr"/>
      <c r="K549" t="n">
        <v>2020</v>
      </c>
      <c r="L549" t="n">
        <v>2040</v>
      </c>
      <c r="M549" t="n">
        <v>0.6136</v>
      </c>
      <c r="N549" t="n">
        <v>0.3724</v>
      </c>
      <c r="O549" t="n">
        <v>2019</v>
      </c>
      <c r="P549" t="n">
        <v>2035</v>
      </c>
      <c r="Q549" t="n">
        <v>0.5229</v>
      </c>
      <c r="R549" t="n">
        <v>506.3191</v>
      </c>
      <c r="S549" t="n">
        <v>0.00100149</v>
      </c>
      <c r="T549" t="n">
        <v>0.00047124</v>
      </c>
    </row>
    <row r="550">
      <c r="A550" t="inlineStr">
        <is>
          <t>SUP-0055</t>
        </is>
      </c>
      <c r="B550" t="inlineStr">
        <is>
          <t>Chemicals Supplier 055</t>
        </is>
      </c>
      <c r="C550" t="inlineStr">
        <is>
          <t>Chemicals</t>
        </is>
      </c>
      <c r="D550" t="n">
        <v>2023</v>
      </c>
      <c r="E550" t="n">
        <v>30349792.37</v>
      </c>
      <c r="F550" t="n">
        <v>166021495.59</v>
      </c>
      <c r="G550" t="n">
        <v>30586.0885</v>
      </c>
      <c r="H550" t="n">
        <v>3148.2264</v>
      </c>
      <c r="I550" t="n">
        <v>5171.1441</v>
      </c>
      <c r="J550" t="n">
        <v>22029.8238</v>
      </c>
      <c r="K550" t="n">
        <v>2020</v>
      </c>
      <c r="L550" t="n">
        <v>2040</v>
      </c>
      <c r="M550" t="n">
        <v>0.6136</v>
      </c>
      <c r="N550" t="n">
        <v>0.3724</v>
      </c>
      <c r="O550" t="n">
        <v>2019</v>
      </c>
      <c r="P550" t="n">
        <v>2035</v>
      </c>
      <c r="Q550" t="n">
        <v>0.5229</v>
      </c>
      <c r="R550" t="n">
        <v>506.3191</v>
      </c>
      <c r="S550" t="n">
        <v>0.00100149</v>
      </c>
      <c r="T550" t="n">
        <v>0.00047124</v>
      </c>
    </row>
    <row r="551">
      <c r="A551" t="inlineStr">
        <is>
          <t>SUP-0055</t>
        </is>
      </c>
      <c r="B551" t="inlineStr">
        <is>
          <t>Chemicals Supplier 055</t>
        </is>
      </c>
      <c r="C551" t="inlineStr">
        <is>
          <t>Chemicals</t>
        </is>
      </c>
      <c r="D551" t="n">
        <v>2024</v>
      </c>
      <c r="E551" t="n">
        <v>32625215.05</v>
      </c>
      <c r="F551" t="n">
        <v>121223052.52</v>
      </c>
      <c r="G551" t="inlineStr"/>
      <c r="H551" t="n">
        <v>2223.8809</v>
      </c>
      <c r="I551" t="inlineStr"/>
      <c r="J551" t="n">
        <v>20876.9168</v>
      </c>
      <c r="K551" t="n">
        <v>2020</v>
      </c>
      <c r="L551" t="n">
        <v>2040</v>
      </c>
      <c r="M551" t="n">
        <v>0.6136</v>
      </c>
      <c r="N551" t="n">
        <v>0.3724</v>
      </c>
      <c r="O551" t="n">
        <v>2019</v>
      </c>
      <c r="P551" t="n">
        <v>2035</v>
      </c>
      <c r="Q551" t="n">
        <v>0.5229</v>
      </c>
      <c r="R551" t="n">
        <v>506.3191</v>
      </c>
      <c r="S551" t="n">
        <v>0.00100149</v>
      </c>
      <c r="T551" t="n">
        <v>0.00047124</v>
      </c>
    </row>
    <row r="552">
      <c r="A552" t="inlineStr">
        <is>
          <t>SUP-0056</t>
        </is>
      </c>
      <c r="B552" t="inlineStr">
        <is>
          <t>Metals Supplier 056</t>
        </is>
      </c>
      <c r="C552" t="inlineStr">
        <is>
          <t>Metals</t>
        </is>
      </c>
      <c r="D552" t="n">
        <v>2015</v>
      </c>
      <c r="E552" t="n">
        <v>6215836.3</v>
      </c>
      <c r="F552" t="n">
        <v>40438418.99</v>
      </c>
      <c r="G552" t="n">
        <v>7451.9926</v>
      </c>
      <c r="H552" t="n">
        <v>675.471</v>
      </c>
      <c r="I552" t="n">
        <v>1649.6645</v>
      </c>
      <c r="J552" t="n">
        <v>5254.1891</v>
      </c>
      <c r="K552" t="inlineStr"/>
      <c r="L552" t="inlineStr"/>
      <c r="M552" t="inlineStr"/>
      <c r="N552" t="inlineStr"/>
      <c r="O552" t="n">
        <v>2019</v>
      </c>
      <c r="P552" t="n">
        <v>2030</v>
      </c>
      <c r="Q552" t="n">
        <v>0.3852</v>
      </c>
      <c r="R552" t="n">
        <v>158.2904</v>
      </c>
      <c r="S552" t="n">
        <v>0.00100695</v>
      </c>
      <c r="T552" t="n">
        <v>0.00065008</v>
      </c>
    </row>
    <row r="553">
      <c r="A553" t="inlineStr">
        <is>
          <t>SUP-0056</t>
        </is>
      </c>
      <c r="B553" t="inlineStr">
        <is>
          <t>Metals Supplier 056</t>
        </is>
      </c>
      <c r="C553" t="inlineStr">
        <is>
          <t>Metals</t>
        </is>
      </c>
      <c r="D553" t="n">
        <v>2016</v>
      </c>
      <c r="E553" t="n">
        <v>5966192.23</v>
      </c>
      <c r="F553" t="n">
        <v>40858200.99</v>
      </c>
      <c r="G553" t="n">
        <v>7481.4734</v>
      </c>
      <c r="H553" t="n">
        <v>1015.9115</v>
      </c>
      <c r="I553" t="n">
        <v>1436.0606</v>
      </c>
      <c r="J553" t="n">
        <v>5514.4151</v>
      </c>
      <c r="K553" t="inlineStr"/>
      <c r="L553" t="inlineStr"/>
      <c r="M553" t="inlineStr"/>
      <c r="N553" t="inlineStr"/>
      <c r="O553" t="n">
        <v>2019</v>
      </c>
      <c r="P553" t="n">
        <v>2030</v>
      </c>
      <c r="Q553" t="n">
        <v>0.3852</v>
      </c>
      <c r="R553" t="n">
        <v>158.2904</v>
      </c>
      <c r="S553" t="n">
        <v>0.00100695</v>
      </c>
      <c r="T553" t="n">
        <v>0.00065008</v>
      </c>
    </row>
    <row r="554">
      <c r="A554" t="inlineStr">
        <is>
          <t>SUP-0056</t>
        </is>
      </c>
      <c r="B554" t="inlineStr">
        <is>
          <t>Metals Supplier 056</t>
        </is>
      </c>
      <c r="C554" t="inlineStr">
        <is>
          <t>Metals</t>
        </is>
      </c>
      <c r="D554" t="n">
        <v>2017</v>
      </c>
      <c r="E554" t="n">
        <v>4857134.2</v>
      </c>
      <c r="F554" t="n">
        <v>40760766.28</v>
      </c>
      <c r="G554" t="inlineStr"/>
      <c r="H554" t="inlineStr"/>
      <c r="I554" t="inlineStr"/>
      <c r="J554" t="n">
        <v>3921.6609</v>
      </c>
      <c r="K554" t="inlineStr"/>
      <c r="L554" t="inlineStr"/>
      <c r="M554" t="inlineStr"/>
      <c r="N554" t="inlineStr"/>
      <c r="O554" t="n">
        <v>2019</v>
      </c>
      <c r="P554" t="n">
        <v>2030</v>
      </c>
      <c r="Q554" t="n">
        <v>0.3852</v>
      </c>
      <c r="R554" t="n">
        <v>158.2904</v>
      </c>
      <c r="S554" t="n">
        <v>0.00100695</v>
      </c>
      <c r="T554" t="n">
        <v>0.00065008</v>
      </c>
    </row>
    <row r="555">
      <c r="A555" t="inlineStr">
        <is>
          <t>SUP-0056</t>
        </is>
      </c>
      <c r="B555" t="inlineStr">
        <is>
          <t>Metals Supplier 056</t>
        </is>
      </c>
      <c r="C555" t="inlineStr">
        <is>
          <t>Metals</t>
        </is>
      </c>
      <c r="D555" t="n">
        <v>2018</v>
      </c>
      <c r="E555" t="n">
        <v>5561599.21</v>
      </c>
      <c r="F555" t="n">
        <v>38492806.96</v>
      </c>
      <c r="G555" t="n">
        <v>5635.0021</v>
      </c>
      <c r="H555" t="n">
        <v>1553.1342</v>
      </c>
      <c r="I555" t="n">
        <v>399.6093</v>
      </c>
      <c r="J555" t="inlineStr"/>
      <c r="K555" t="inlineStr"/>
      <c r="L555" t="inlineStr"/>
      <c r="M555" t="inlineStr"/>
      <c r="N555" t="inlineStr"/>
      <c r="O555" t="n">
        <v>2019</v>
      </c>
      <c r="P555" t="n">
        <v>2030</v>
      </c>
      <c r="Q555" t="n">
        <v>0.3852</v>
      </c>
      <c r="R555" t="n">
        <v>158.2904</v>
      </c>
      <c r="S555" t="n">
        <v>0.00100695</v>
      </c>
      <c r="T555" t="n">
        <v>0.00065008</v>
      </c>
    </row>
    <row r="556">
      <c r="A556" t="inlineStr">
        <is>
          <t>SUP-0056</t>
        </is>
      </c>
      <c r="B556" t="inlineStr">
        <is>
          <t>Metals Supplier 056</t>
        </is>
      </c>
      <c r="C556" t="inlineStr">
        <is>
          <t>Metals</t>
        </is>
      </c>
      <c r="D556" t="n">
        <v>2019</v>
      </c>
      <c r="E556" t="n">
        <v>5440093.84</v>
      </c>
      <c r="F556" t="inlineStr"/>
      <c r="G556" t="n">
        <v>6613.6582</v>
      </c>
      <c r="H556" t="inlineStr"/>
      <c r="I556" t="n">
        <v>1217.5574</v>
      </c>
      <c r="J556" t="n">
        <v>5700.857</v>
      </c>
      <c r="K556" t="inlineStr"/>
      <c r="L556" t="inlineStr"/>
      <c r="M556" t="inlineStr"/>
      <c r="N556" t="inlineStr"/>
      <c r="O556" t="n">
        <v>2019</v>
      </c>
      <c r="P556" t="n">
        <v>2030</v>
      </c>
      <c r="Q556" t="n">
        <v>0.3852</v>
      </c>
      <c r="R556" t="n">
        <v>158.2904</v>
      </c>
      <c r="S556" t="n">
        <v>0.00100695</v>
      </c>
      <c r="T556" t="n">
        <v>0.00065008</v>
      </c>
    </row>
    <row r="557">
      <c r="A557" t="inlineStr">
        <is>
          <t>SUP-0056</t>
        </is>
      </c>
      <c r="B557" t="inlineStr">
        <is>
          <t>Metals Supplier 056</t>
        </is>
      </c>
      <c r="C557" t="inlineStr">
        <is>
          <t>Metals</t>
        </is>
      </c>
      <c r="D557" t="n">
        <v>2020</v>
      </c>
      <c r="E557" t="n">
        <v>4878093.04</v>
      </c>
      <c r="F557" t="n">
        <v>34205514.74</v>
      </c>
      <c r="G557" t="n">
        <v>5172.4735</v>
      </c>
      <c r="H557" t="n">
        <v>1354.2973</v>
      </c>
      <c r="I557" t="n">
        <v>979.5555000000001</v>
      </c>
      <c r="J557" t="n">
        <v>3162.3375</v>
      </c>
      <c r="K557" t="inlineStr"/>
      <c r="L557" t="inlineStr"/>
      <c r="M557" t="inlineStr"/>
      <c r="N557" t="inlineStr"/>
      <c r="O557" t="n">
        <v>2019</v>
      </c>
      <c r="P557" t="n">
        <v>2030</v>
      </c>
      <c r="Q557" t="n">
        <v>0.3852</v>
      </c>
      <c r="R557" t="n">
        <v>158.2904</v>
      </c>
      <c r="S557" t="n">
        <v>0.00100695</v>
      </c>
      <c r="T557" t="n">
        <v>0.00065008</v>
      </c>
    </row>
    <row r="558">
      <c r="A558" t="inlineStr">
        <is>
          <t>SUP-0056</t>
        </is>
      </c>
      <c r="B558" t="inlineStr">
        <is>
          <t>Metals Supplier 056</t>
        </is>
      </c>
      <c r="C558" t="inlineStr">
        <is>
          <t>Metals</t>
        </is>
      </c>
      <c r="D558" t="n">
        <v>2021</v>
      </c>
      <c r="E558" t="inlineStr"/>
      <c r="F558" t="n">
        <v>30759353.45</v>
      </c>
      <c r="G558" t="n">
        <v>5418.8158</v>
      </c>
      <c r="H558" t="n">
        <v>752.8858</v>
      </c>
      <c r="I558" t="n">
        <v>628.7341</v>
      </c>
      <c r="J558" t="n">
        <v>4511.5027</v>
      </c>
      <c r="K558" t="inlineStr"/>
      <c r="L558" t="inlineStr"/>
      <c r="M558" t="inlineStr"/>
      <c r="N558" t="inlineStr"/>
      <c r="O558" t="n">
        <v>2019</v>
      </c>
      <c r="P558" t="n">
        <v>2030</v>
      </c>
      <c r="Q558" t="n">
        <v>0.3852</v>
      </c>
      <c r="R558" t="n">
        <v>158.2904</v>
      </c>
      <c r="S558" t="n">
        <v>0.00100695</v>
      </c>
      <c r="T558" t="n">
        <v>0.00065008</v>
      </c>
    </row>
    <row r="559">
      <c r="A559" t="inlineStr">
        <is>
          <t>SUP-0056</t>
        </is>
      </c>
      <c r="B559" t="inlineStr">
        <is>
          <t>Metals Supplier 056</t>
        </is>
      </c>
      <c r="C559" t="inlineStr">
        <is>
          <t>Metals</t>
        </is>
      </c>
      <c r="D559" t="n">
        <v>2022</v>
      </c>
      <c r="E559" t="n">
        <v>5012110.65</v>
      </c>
      <c r="F559" t="n">
        <v>31704278.73</v>
      </c>
      <c r="G559" t="n">
        <v>5921.3848</v>
      </c>
      <c r="H559" t="n">
        <v>1060.2087</v>
      </c>
      <c r="I559" t="n">
        <v>445.1121</v>
      </c>
      <c r="J559" t="n">
        <v>4503.3676</v>
      </c>
      <c r="K559" t="inlineStr"/>
      <c r="L559" t="inlineStr"/>
      <c r="M559" t="inlineStr"/>
      <c r="N559" t="inlineStr"/>
      <c r="O559" t="n">
        <v>2019</v>
      </c>
      <c r="P559" t="n">
        <v>2030</v>
      </c>
      <c r="Q559" t="n">
        <v>0.3852</v>
      </c>
      <c r="R559" t="n">
        <v>158.2904</v>
      </c>
      <c r="S559" t="n">
        <v>0.00100695</v>
      </c>
      <c r="T559" t="n">
        <v>0.00065008</v>
      </c>
    </row>
    <row r="560">
      <c r="A560" t="inlineStr">
        <is>
          <t>SUP-0056</t>
        </is>
      </c>
      <c r="B560" t="inlineStr">
        <is>
          <t>Metals Supplier 056</t>
        </is>
      </c>
      <c r="C560" t="inlineStr">
        <is>
          <t>Metals</t>
        </is>
      </c>
      <c r="D560" t="n">
        <v>2023</v>
      </c>
      <c r="E560" t="n">
        <v>5064281.89</v>
      </c>
      <c r="F560" t="n">
        <v>23955365.4</v>
      </c>
      <c r="G560" t="n">
        <v>5146.5322</v>
      </c>
      <c r="H560" t="n">
        <v>423.4718</v>
      </c>
      <c r="I560" t="n">
        <v>978.4056</v>
      </c>
      <c r="J560" t="n">
        <v>3758.5867</v>
      </c>
      <c r="K560" t="inlineStr"/>
      <c r="L560" t="inlineStr"/>
      <c r="M560" t="inlineStr"/>
      <c r="N560" t="inlineStr"/>
      <c r="O560" t="n">
        <v>2019</v>
      </c>
      <c r="P560" t="n">
        <v>2030</v>
      </c>
      <c r="Q560" t="n">
        <v>0.3852</v>
      </c>
      <c r="R560" t="n">
        <v>158.2904</v>
      </c>
      <c r="S560" t="n">
        <v>0.00100695</v>
      </c>
      <c r="T560" t="n">
        <v>0.00065008</v>
      </c>
    </row>
    <row r="561">
      <c r="A561" t="inlineStr">
        <is>
          <t>SUP-0056</t>
        </is>
      </c>
      <c r="B561" t="inlineStr">
        <is>
          <t>Metals Supplier 056</t>
        </is>
      </c>
      <c r="C561" t="inlineStr">
        <is>
          <t>Metals</t>
        </is>
      </c>
      <c r="D561" t="n">
        <v>2024</v>
      </c>
      <c r="E561" t="n">
        <v>5090864.96</v>
      </c>
      <c r="F561" t="n">
        <v>29346554.29</v>
      </c>
      <c r="G561" t="n">
        <v>6263.882</v>
      </c>
      <c r="H561" t="inlineStr"/>
      <c r="I561" t="n">
        <v>552.8304000000001</v>
      </c>
      <c r="J561" t="n">
        <v>4955.6678</v>
      </c>
      <c r="K561" t="inlineStr"/>
      <c r="L561" t="inlineStr"/>
      <c r="M561" t="inlineStr"/>
      <c r="N561" t="inlineStr"/>
      <c r="O561" t="n">
        <v>2019</v>
      </c>
      <c r="P561" t="n">
        <v>2030</v>
      </c>
      <c r="Q561" t="n">
        <v>0.3852</v>
      </c>
      <c r="R561" t="n">
        <v>158.2904</v>
      </c>
      <c r="S561" t="n">
        <v>0.00100695</v>
      </c>
      <c r="T561" t="n">
        <v>0.00065008</v>
      </c>
    </row>
    <row r="562">
      <c r="A562" t="inlineStr">
        <is>
          <t>SUP-0057</t>
        </is>
      </c>
      <c r="B562" t="inlineStr">
        <is>
          <t>Logistics Supplier 057</t>
        </is>
      </c>
      <c r="C562" t="inlineStr">
        <is>
          <t>Logistics</t>
        </is>
      </c>
      <c r="D562" t="n">
        <v>2015</v>
      </c>
      <c r="E562" t="n">
        <v>8514829.720000001</v>
      </c>
      <c r="F562" t="n">
        <v>49536838.99</v>
      </c>
      <c r="G562" t="n">
        <v>1317.7511</v>
      </c>
      <c r="H562" t="n">
        <v>384.7177</v>
      </c>
      <c r="I562" t="n">
        <v>204.2193</v>
      </c>
      <c r="J562" t="n">
        <v>811.3868</v>
      </c>
      <c r="K562" t="inlineStr"/>
      <c r="L562" t="inlineStr"/>
      <c r="M562" t="inlineStr"/>
      <c r="N562" t="inlineStr"/>
      <c r="O562" t="n">
        <v>2019</v>
      </c>
      <c r="P562" t="n">
        <v>2040</v>
      </c>
      <c r="Q562" t="n">
        <v>0.4616</v>
      </c>
      <c r="R562" t="n">
        <v>591.6386</v>
      </c>
      <c r="S562" t="n">
        <v>0.00022349</v>
      </c>
      <c r="T562" t="n">
        <v>0.00047787</v>
      </c>
    </row>
    <row r="563">
      <c r="A563" t="inlineStr">
        <is>
          <t>SUP-0057</t>
        </is>
      </c>
      <c r="B563" t="inlineStr">
        <is>
          <t>Logistics Supplier 057</t>
        </is>
      </c>
      <c r="C563" t="inlineStr">
        <is>
          <t>Logistics</t>
        </is>
      </c>
      <c r="D563" t="n">
        <v>2016</v>
      </c>
      <c r="E563" t="n">
        <v>9651283.359999999</v>
      </c>
      <c r="F563" t="n">
        <v>44972022.6</v>
      </c>
      <c r="G563" t="n">
        <v>1440.4778</v>
      </c>
      <c r="H563" t="inlineStr"/>
      <c r="I563" t="n">
        <v>207.9016</v>
      </c>
      <c r="J563" t="n">
        <v>1077.0369</v>
      </c>
      <c r="K563" t="inlineStr"/>
      <c r="L563" t="inlineStr"/>
      <c r="M563" t="inlineStr"/>
      <c r="N563" t="inlineStr"/>
      <c r="O563" t="n">
        <v>2019</v>
      </c>
      <c r="P563" t="n">
        <v>2040</v>
      </c>
      <c r="Q563" t="n">
        <v>0.4616</v>
      </c>
      <c r="R563" t="n">
        <v>591.6386</v>
      </c>
      <c r="S563" t="n">
        <v>0.00022349</v>
      </c>
      <c r="T563" t="n">
        <v>0.00047787</v>
      </c>
    </row>
    <row r="564">
      <c r="A564" t="inlineStr">
        <is>
          <t>SUP-0057</t>
        </is>
      </c>
      <c r="B564" t="inlineStr">
        <is>
          <t>Logistics Supplier 057</t>
        </is>
      </c>
      <c r="C564" t="inlineStr">
        <is>
          <t>Logistics</t>
        </is>
      </c>
      <c r="D564" t="n">
        <v>2017</v>
      </c>
      <c r="E564" t="n">
        <v>9389641.77</v>
      </c>
      <c r="F564" t="n">
        <v>48984289.32</v>
      </c>
      <c r="G564" t="inlineStr"/>
      <c r="H564" t="n">
        <v>392.0034</v>
      </c>
      <c r="I564" t="n">
        <v>112.5463</v>
      </c>
      <c r="J564" t="n">
        <v>964.6495</v>
      </c>
      <c r="K564" t="inlineStr"/>
      <c r="L564" t="inlineStr"/>
      <c r="M564" t="inlineStr"/>
      <c r="N564" t="inlineStr"/>
      <c r="O564" t="n">
        <v>2019</v>
      </c>
      <c r="P564" t="n">
        <v>2040</v>
      </c>
      <c r="Q564" t="n">
        <v>0.4616</v>
      </c>
      <c r="R564" t="n">
        <v>591.6386</v>
      </c>
      <c r="S564" t="n">
        <v>0.00022349</v>
      </c>
      <c r="T564" t="n">
        <v>0.00047787</v>
      </c>
    </row>
    <row r="565">
      <c r="A565" t="inlineStr">
        <is>
          <t>SUP-0057</t>
        </is>
      </c>
      <c r="B565" t="inlineStr">
        <is>
          <t>Logistics Supplier 057</t>
        </is>
      </c>
      <c r="C565" t="inlineStr">
        <is>
          <t>Logistics</t>
        </is>
      </c>
      <c r="D565" t="n">
        <v>2018</v>
      </c>
      <c r="E565" t="n">
        <v>10469040.39</v>
      </c>
      <c r="F565" t="n">
        <v>56052563.1</v>
      </c>
      <c r="G565" t="n">
        <v>1634.544</v>
      </c>
      <c r="H565" t="n">
        <v>302.2853</v>
      </c>
      <c r="I565" t="n">
        <v>293.8921</v>
      </c>
      <c r="J565" t="inlineStr"/>
      <c r="K565" t="inlineStr"/>
      <c r="L565" t="inlineStr"/>
      <c r="M565" t="inlineStr"/>
      <c r="N565" t="inlineStr"/>
      <c r="O565" t="n">
        <v>2019</v>
      </c>
      <c r="P565" t="n">
        <v>2040</v>
      </c>
      <c r="Q565" t="n">
        <v>0.4616</v>
      </c>
      <c r="R565" t="n">
        <v>591.6386</v>
      </c>
      <c r="S565" t="n">
        <v>0.00022349</v>
      </c>
      <c r="T565" t="n">
        <v>0.00047787</v>
      </c>
    </row>
    <row r="566">
      <c r="A566" t="inlineStr">
        <is>
          <t>SUP-0057</t>
        </is>
      </c>
      <c r="B566" t="inlineStr">
        <is>
          <t>Logistics Supplier 057</t>
        </is>
      </c>
      <c r="C566" t="inlineStr">
        <is>
          <t>Logistics</t>
        </is>
      </c>
      <c r="D566" t="n">
        <v>2019</v>
      </c>
      <c r="E566" t="n">
        <v>9288661.060000001</v>
      </c>
      <c r="F566" t="n">
        <v>47519891.95</v>
      </c>
      <c r="G566" t="n">
        <v>1239.7368</v>
      </c>
      <c r="H566" t="n">
        <v>218.4663</v>
      </c>
      <c r="I566" t="inlineStr"/>
      <c r="J566" t="inlineStr"/>
      <c r="K566" t="inlineStr"/>
      <c r="L566" t="inlineStr"/>
      <c r="M566" t="inlineStr"/>
      <c r="N566" t="inlineStr"/>
      <c r="O566" t="n">
        <v>2019</v>
      </c>
      <c r="P566" t="n">
        <v>2040</v>
      </c>
      <c r="Q566" t="n">
        <v>0.4616</v>
      </c>
      <c r="R566" t="n">
        <v>591.6386</v>
      </c>
      <c r="S566" t="n">
        <v>0.00022349</v>
      </c>
      <c r="T566" t="n">
        <v>0.00047787</v>
      </c>
    </row>
    <row r="567">
      <c r="A567" t="inlineStr">
        <is>
          <t>SUP-0057</t>
        </is>
      </c>
      <c r="B567" t="inlineStr">
        <is>
          <t>Logistics Supplier 057</t>
        </is>
      </c>
      <c r="C567" t="inlineStr">
        <is>
          <t>Logistics</t>
        </is>
      </c>
      <c r="D567" t="n">
        <v>2020</v>
      </c>
      <c r="E567" t="n">
        <v>11027219.47</v>
      </c>
      <c r="F567" t="n">
        <v>48521757.14</v>
      </c>
      <c r="G567" t="inlineStr"/>
      <c r="H567" t="n">
        <v>128.1792</v>
      </c>
      <c r="I567" t="n">
        <v>208.1508</v>
      </c>
      <c r="J567" t="n">
        <v>1028.5482</v>
      </c>
      <c r="K567" t="inlineStr"/>
      <c r="L567" t="inlineStr"/>
      <c r="M567" t="inlineStr"/>
      <c r="N567" t="inlineStr"/>
      <c r="O567" t="n">
        <v>2019</v>
      </c>
      <c r="P567" t="n">
        <v>2040</v>
      </c>
      <c r="Q567" t="n">
        <v>0.4616</v>
      </c>
      <c r="R567" t="n">
        <v>591.6386</v>
      </c>
      <c r="S567" t="n">
        <v>0.00022349</v>
      </c>
      <c r="T567" t="n">
        <v>0.00047787</v>
      </c>
    </row>
    <row r="568">
      <c r="A568" t="inlineStr">
        <is>
          <t>SUP-0057</t>
        </is>
      </c>
      <c r="B568" t="inlineStr">
        <is>
          <t>Logistics Supplier 057</t>
        </is>
      </c>
      <c r="C568" t="inlineStr">
        <is>
          <t>Logistics</t>
        </is>
      </c>
      <c r="D568" t="n">
        <v>2021</v>
      </c>
      <c r="E568" t="n">
        <v>12260337.9</v>
      </c>
      <c r="F568" t="n">
        <v>52432537.32</v>
      </c>
      <c r="G568" t="n">
        <v>1655.614</v>
      </c>
      <c r="H568" t="n">
        <v>362.0376</v>
      </c>
      <c r="I568" t="n">
        <v>238.77</v>
      </c>
      <c r="J568" t="inlineStr"/>
      <c r="K568" t="inlineStr"/>
      <c r="L568" t="inlineStr"/>
      <c r="M568" t="inlineStr"/>
      <c r="N568" t="inlineStr"/>
      <c r="O568" t="n">
        <v>2019</v>
      </c>
      <c r="P568" t="n">
        <v>2040</v>
      </c>
      <c r="Q568" t="n">
        <v>0.4616</v>
      </c>
      <c r="R568" t="n">
        <v>591.6386</v>
      </c>
      <c r="S568" t="n">
        <v>0.00022349</v>
      </c>
      <c r="T568" t="n">
        <v>0.00047787</v>
      </c>
    </row>
    <row r="569">
      <c r="A569" t="inlineStr">
        <is>
          <t>SUP-0057</t>
        </is>
      </c>
      <c r="B569" t="inlineStr">
        <is>
          <t>Logistics Supplier 057</t>
        </is>
      </c>
      <c r="C569" t="inlineStr">
        <is>
          <t>Logistics</t>
        </is>
      </c>
      <c r="D569" t="n">
        <v>2022</v>
      </c>
      <c r="E569" t="n">
        <v>12613539.25</v>
      </c>
      <c r="F569" t="n">
        <v>66100635.42</v>
      </c>
      <c r="G569" t="n">
        <v>1229.3976</v>
      </c>
      <c r="H569" t="n">
        <v>252.8044</v>
      </c>
      <c r="I569" t="n">
        <v>77.2253</v>
      </c>
      <c r="J569" t="n">
        <v>794.5312</v>
      </c>
      <c r="K569" t="inlineStr"/>
      <c r="L569" t="inlineStr"/>
      <c r="M569" t="inlineStr"/>
      <c r="N569" t="inlineStr"/>
      <c r="O569" t="n">
        <v>2019</v>
      </c>
      <c r="P569" t="n">
        <v>2040</v>
      </c>
      <c r="Q569" t="n">
        <v>0.4616</v>
      </c>
      <c r="R569" t="n">
        <v>591.6386</v>
      </c>
      <c r="S569" t="n">
        <v>0.00022349</v>
      </c>
      <c r="T569" t="n">
        <v>0.00047787</v>
      </c>
    </row>
    <row r="570">
      <c r="A570" t="inlineStr">
        <is>
          <t>SUP-0057</t>
        </is>
      </c>
      <c r="B570" t="inlineStr">
        <is>
          <t>Logistics Supplier 057</t>
        </is>
      </c>
      <c r="C570" t="inlineStr">
        <is>
          <t>Logistics</t>
        </is>
      </c>
      <c r="D570" t="n">
        <v>2023</v>
      </c>
      <c r="E570" t="n">
        <v>11208042.8</v>
      </c>
      <c r="F570" t="n">
        <v>75765075.17</v>
      </c>
      <c r="G570" t="n">
        <v>957.3416999999999</v>
      </c>
      <c r="H570" t="n">
        <v>143.1019</v>
      </c>
      <c r="I570" t="n">
        <v>109.1186</v>
      </c>
      <c r="J570" t="inlineStr"/>
      <c r="K570" t="inlineStr"/>
      <c r="L570" t="inlineStr"/>
      <c r="M570" t="inlineStr"/>
      <c r="N570" t="inlineStr"/>
      <c r="O570" t="n">
        <v>2019</v>
      </c>
      <c r="P570" t="n">
        <v>2040</v>
      </c>
      <c r="Q570" t="n">
        <v>0.4616</v>
      </c>
      <c r="R570" t="n">
        <v>591.6386</v>
      </c>
      <c r="S570" t="n">
        <v>0.00022349</v>
      </c>
      <c r="T570" t="n">
        <v>0.00047787</v>
      </c>
    </row>
    <row r="571">
      <c r="A571" t="inlineStr">
        <is>
          <t>SUP-0057</t>
        </is>
      </c>
      <c r="B571" t="inlineStr">
        <is>
          <t>Logistics Supplier 057</t>
        </is>
      </c>
      <c r="C571" t="inlineStr">
        <is>
          <t>Logistics</t>
        </is>
      </c>
      <c r="D571" t="n">
        <v>2024</v>
      </c>
      <c r="E571" t="n">
        <v>14118857.58</v>
      </c>
      <c r="F571" t="n">
        <v>75357958.47</v>
      </c>
      <c r="G571" t="n">
        <v>1525.2634</v>
      </c>
      <c r="H571" t="n">
        <v>419.5206</v>
      </c>
      <c r="I571" t="n">
        <v>124.3128</v>
      </c>
      <c r="J571" t="n">
        <v>1060.4006</v>
      </c>
      <c r="K571" t="inlineStr"/>
      <c r="L571" t="inlineStr"/>
      <c r="M571" t="inlineStr"/>
      <c r="N571" t="inlineStr"/>
      <c r="O571" t="n">
        <v>2019</v>
      </c>
      <c r="P571" t="n">
        <v>2040</v>
      </c>
      <c r="Q571" t="n">
        <v>0.4616</v>
      </c>
      <c r="R571" t="n">
        <v>591.6386</v>
      </c>
      <c r="S571" t="n">
        <v>0.00022349</v>
      </c>
      <c r="T571" t="n">
        <v>0.00047787</v>
      </c>
    </row>
    <row r="572">
      <c r="A572" t="inlineStr">
        <is>
          <t>SUP-0058</t>
        </is>
      </c>
      <c r="B572" t="inlineStr">
        <is>
          <t>Textiles Supplier 058</t>
        </is>
      </c>
      <c r="C572" t="inlineStr">
        <is>
          <t>Textiles</t>
        </is>
      </c>
      <c r="D572" t="n">
        <v>2015</v>
      </c>
      <c r="E572" t="n">
        <v>1227849.22</v>
      </c>
      <c r="F572" t="n">
        <v>1670481.98</v>
      </c>
      <c r="G572" t="n">
        <v>531.5453</v>
      </c>
      <c r="H572" t="n">
        <v>76.9145</v>
      </c>
      <c r="I572" t="n">
        <v>83.9149</v>
      </c>
      <c r="J572" t="n">
        <v>325.9441</v>
      </c>
      <c r="K572" t="inlineStr"/>
      <c r="L572" t="inlineStr"/>
      <c r="M572" t="inlineStr"/>
      <c r="N572" t="inlineStr"/>
      <c r="O572" t="n">
        <v>2019</v>
      </c>
      <c r="P572" t="n">
        <v>2030</v>
      </c>
      <c r="Q572" t="n">
        <v>0.3171</v>
      </c>
      <c r="R572" t="n">
        <v>401.7335</v>
      </c>
      <c r="S572" t="n">
        <v>0.00029221</v>
      </c>
      <c r="T572" t="n">
        <v>0.00017343</v>
      </c>
    </row>
    <row r="573">
      <c r="A573" t="inlineStr">
        <is>
          <t>SUP-0058</t>
        </is>
      </c>
      <c r="B573" t="inlineStr">
        <is>
          <t>Textiles Supplier 058</t>
        </is>
      </c>
      <c r="C573" t="inlineStr">
        <is>
          <t>Textiles</t>
        </is>
      </c>
      <c r="D573" t="n">
        <v>2016</v>
      </c>
      <c r="E573" t="n">
        <v>1445821.81</v>
      </c>
      <c r="F573" t="n">
        <v>1641895.89</v>
      </c>
      <c r="G573" t="n">
        <v>566.7562</v>
      </c>
      <c r="H573" t="n">
        <v>56.6941</v>
      </c>
      <c r="I573" t="n">
        <v>121.2684</v>
      </c>
      <c r="J573" t="inlineStr"/>
      <c r="K573" t="inlineStr"/>
      <c r="L573" t="inlineStr"/>
      <c r="M573" t="inlineStr"/>
      <c r="N573" t="inlineStr"/>
      <c r="O573" t="n">
        <v>2019</v>
      </c>
      <c r="P573" t="n">
        <v>2030</v>
      </c>
      <c r="Q573" t="n">
        <v>0.3171</v>
      </c>
      <c r="R573" t="n">
        <v>401.7335</v>
      </c>
      <c r="S573" t="n">
        <v>0.00029221</v>
      </c>
      <c r="T573" t="n">
        <v>0.00017343</v>
      </c>
    </row>
    <row r="574">
      <c r="A574" t="inlineStr">
        <is>
          <t>SUP-0058</t>
        </is>
      </c>
      <c r="B574" t="inlineStr">
        <is>
          <t>Textiles Supplier 058</t>
        </is>
      </c>
      <c r="C574" t="inlineStr">
        <is>
          <t>Textiles</t>
        </is>
      </c>
      <c r="D574" t="n">
        <v>2017</v>
      </c>
      <c r="E574" t="n">
        <v>1214680.9</v>
      </c>
      <c r="F574" t="n">
        <v>1642067.43</v>
      </c>
      <c r="G574" t="n">
        <v>479.8785</v>
      </c>
      <c r="H574" t="n">
        <v>121.4016</v>
      </c>
      <c r="I574" t="n">
        <v>71.58880000000001</v>
      </c>
      <c r="J574" t="inlineStr"/>
      <c r="K574" t="inlineStr"/>
      <c r="L574" t="inlineStr"/>
      <c r="M574" t="inlineStr"/>
      <c r="N574" t="inlineStr"/>
      <c r="O574" t="n">
        <v>2019</v>
      </c>
      <c r="P574" t="n">
        <v>2030</v>
      </c>
      <c r="Q574" t="n">
        <v>0.3171</v>
      </c>
      <c r="R574" t="n">
        <v>401.7335</v>
      </c>
      <c r="S574" t="n">
        <v>0.00029221</v>
      </c>
      <c r="T574" t="n">
        <v>0.00017343</v>
      </c>
    </row>
    <row r="575">
      <c r="A575" t="inlineStr">
        <is>
          <t>SUP-0058</t>
        </is>
      </c>
      <c r="B575" t="inlineStr">
        <is>
          <t>Textiles Supplier 058</t>
        </is>
      </c>
      <c r="C575" t="inlineStr">
        <is>
          <t>Textiles</t>
        </is>
      </c>
      <c r="D575" t="n">
        <v>2018</v>
      </c>
      <c r="E575" t="n">
        <v>1145996.34</v>
      </c>
      <c r="F575" t="n">
        <v>1628824.36</v>
      </c>
      <c r="G575" t="n">
        <v>421.255</v>
      </c>
      <c r="H575" t="n">
        <v>42.3739</v>
      </c>
      <c r="I575" t="n">
        <v>71.4927</v>
      </c>
      <c r="J575" t="n">
        <v>315.9999</v>
      </c>
      <c r="K575" t="inlineStr"/>
      <c r="L575" t="inlineStr"/>
      <c r="M575" t="inlineStr"/>
      <c r="N575" t="inlineStr"/>
      <c r="O575" t="n">
        <v>2019</v>
      </c>
      <c r="P575" t="n">
        <v>2030</v>
      </c>
      <c r="Q575" t="n">
        <v>0.3171</v>
      </c>
      <c r="R575" t="n">
        <v>401.7335</v>
      </c>
      <c r="S575" t="n">
        <v>0.00029221</v>
      </c>
      <c r="T575" t="n">
        <v>0.00017343</v>
      </c>
    </row>
    <row r="576">
      <c r="A576" t="inlineStr">
        <is>
          <t>SUP-0058</t>
        </is>
      </c>
      <c r="B576" t="inlineStr">
        <is>
          <t>Textiles Supplier 058</t>
        </is>
      </c>
      <c r="C576" t="inlineStr">
        <is>
          <t>Textiles</t>
        </is>
      </c>
      <c r="D576" t="n">
        <v>2019</v>
      </c>
      <c r="E576" t="n">
        <v>1264080.22</v>
      </c>
      <c r="F576" t="n">
        <v>1680354.56</v>
      </c>
      <c r="G576" t="inlineStr"/>
      <c r="H576" t="n">
        <v>34.6152</v>
      </c>
      <c r="I576" t="n">
        <v>69.6782</v>
      </c>
      <c r="J576" t="n">
        <v>333.6774</v>
      </c>
      <c r="K576" t="inlineStr"/>
      <c r="L576" t="inlineStr"/>
      <c r="M576" t="inlineStr"/>
      <c r="N576" t="inlineStr"/>
      <c r="O576" t="n">
        <v>2019</v>
      </c>
      <c r="P576" t="n">
        <v>2030</v>
      </c>
      <c r="Q576" t="n">
        <v>0.3171</v>
      </c>
      <c r="R576" t="n">
        <v>401.7335</v>
      </c>
      <c r="S576" t="n">
        <v>0.00029221</v>
      </c>
      <c r="T576" t="n">
        <v>0.00017343</v>
      </c>
    </row>
    <row r="577">
      <c r="A577" t="inlineStr">
        <is>
          <t>SUP-0058</t>
        </is>
      </c>
      <c r="B577" t="inlineStr">
        <is>
          <t>Textiles Supplier 058</t>
        </is>
      </c>
      <c r="C577" t="inlineStr">
        <is>
          <t>Textiles</t>
        </is>
      </c>
      <c r="D577" t="n">
        <v>2020</v>
      </c>
      <c r="E577" t="n">
        <v>1157754.04</v>
      </c>
      <c r="F577" t="n">
        <v>1714969.92</v>
      </c>
      <c r="G577" t="n">
        <v>479.3154</v>
      </c>
      <c r="H577" t="n">
        <v>44.6531</v>
      </c>
      <c r="I577" t="n">
        <v>57.0148</v>
      </c>
      <c r="J577" t="inlineStr"/>
      <c r="K577" t="inlineStr"/>
      <c r="L577" t="inlineStr"/>
      <c r="M577" t="inlineStr"/>
      <c r="N577" t="inlineStr"/>
      <c r="O577" t="n">
        <v>2019</v>
      </c>
      <c r="P577" t="n">
        <v>2030</v>
      </c>
      <c r="Q577" t="n">
        <v>0.3171</v>
      </c>
      <c r="R577" t="n">
        <v>401.7335</v>
      </c>
      <c r="S577" t="n">
        <v>0.00029221</v>
      </c>
      <c r="T577" t="n">
        <v>0.00017343</v>
      </c>
    </row>
    <row r="578">
      <c r="A578" t="inlineStr">
        <is>
          <t>SUP-0058</t>
        </is>
      </c>
      <c r="B578" t="inlineStr">
        <is>
          <t>Textiles Supplier 058</t>
        </is>
      </c>
      <c r="C578" t="inlineStr">
        <is>
          <t>Textiles</t>
        </is>
      </c>
      <c r="D578" t="n">
        <v>2021</v>
      </c>
      <c r="E578" t="n">
        <v>1376073.68</v>
      </c>
      <c r="F578" t="n">
        <v>2212705.78</v>
      </c>
      <c r="G578" t="n">
        <v>442.7429</v>
      </c>
      <c r="H578" t="n">
        <v>62.9552</v>
      </c>
      <c r="I578" t="n">
        <v>79.3699</v>
      </c>
      <c r="J578" t="n">
        <v>292.2016</v>
      </c>
      <c r="K578" t="inlineStr"/>
      <c r="L578" t="inlineStr"/>
      <c r="M578" t="inlineStr"/>
      <c r="N578" t="inlineStr"/>
      <c r="O578" t="n">
        <v>2019</v>
      </c>
      <c r="P578" t="n">
        <v>2030</v>
      </c>
      <c r="Q578" t="n">
        <v>0.3171</v>
      </c>
      <c r="R578" t="n">
        <v>401.7335</v>
      </c>
      <c r="S578" t="n">
        <v>0.00029221</v>
      </c>
      <c r="T578" t="n">
        <v>0.00017343</v>
      </c>
    </row>
    <row r="579">
      <c r="A579" t="inlineStr">
        <is>
          <t>SUP-0058</t>
        </is>
      </c>
      <c r="B579" t="inlineStr">
        <is>
          <t>Textiles Supplier 058</t>
        </is>
      </c>
      <c r="C579" t="inlineStr">
        <is>
          <t>Textiles</t>
        </is>
      </c>
      <c r="D579" t="n">
        <v>2022</v>
      </c>
      <c r="E579" t="n">
        <v>1426808.46</v>
      </c>
      <c r="F579" t="n">
        <v>1736362.76</v>
      </c>
      <c r="G579" t="n">
        <v>524.8819999999999</v>
      </c>
      <c r="H579" t="n">
        <v>126.088</v>
      </c>
      <c r="I579" t="n">
        <v>105.1051</v>
      </c>
      <c r="J579" t="n">
        <v>270.7648</v>
      </c>
      <c r="K579" t="inlineStr"/>
      <c r="L579" t="inlineStr"/>
      <c r="M579" t="inlineStr"/>
      <c r="N579" t="inlineStr"/>
      <c r="O579" t="n">
        <v>2019</v>
      </c>
      <c r="P579" t="n">
        <v>2030</v>
      </c>
      <c r="Q579" t="n">
        <v>0.3171</v>
      </c>
      <c r="R579" t="n">
        <v>401.7335</v>
      </c>
      <c r="S579" t="n">
        <v>0.00029221</v>
      </c>
      <c r="T579" t="n">
        <v>0.00017343</v>
      </c>
    </row>
    <row r="580">
      <c r="A580" t="inlineStr">
        <is>
          <t>SUP-0058</t>
        </is>
      </c>
      <c r="B580" t="inlineStr">
        <is>
          <t>Textiles Supplier 058</t>
        </is>
      </c>
      <c r="C580" t="inlineStr">
        <is>
          <t>Textiles</t>
        </is>
      </c>
      <c r="D580" t="n">
        <v>2023</v>
      </c>
      <c r="E580" t="n">
        <v>1314112.87</v>
      </c>
      <c r="F580" t="n">
        <v>1409749.34</v>
      </c>
      <c r="G580" t="n">
        <v>479.5763</v>
      </c>
      <c r="H580" t="n">
        <v>119.1872</v>
      </c>
      <c r="I580" t="inlineStr"/>
      <c r="J580" t="inlineStr"/>
      <c r="K580" t="inlineStr"/>
      <c r="L580" t="inlineStr"/>
      <c r="M580" t="inlineStr"/>
      <c r="N580" t="inlineStr"/>
      <c r="O580" t="n">
        <v>2019</v>
      </c>
      <c r="P580" t="n">
        <v>2030</v>
      </c>
      <c r="Q580" t="n">
        <v>0.3171</v>
      </c>
      <c r="R580" t="n">
        <v>401.7335</v>
      </c>
      <c r="S580" t="n">
        <v>0.00029221</v>
      </c>
      <c r="T580" t="n">
        <v>0.00017343</v>
      </c>
    </row>
    <row r="581">
      <c r="A581" t="inlineStr">
        <is>
          <t>SUP-0058</t>
        </is>
      </c>
      <c r="B581" t="inlineStr">
        <is>
          <t>Textiles Supplier 058</t>
        </is>
      </c>
      <c r="C581" t="inlineStr">
        <is>
          <t>Textiles</t>
        </is>
      </c>
      <c r="D581" t="n">
        <v>2024</v>
      </c>
      <c r="E581" t="n">
        <v>1403243.17</v>
      </c>
      <c r="F581" t="n">
        <v>1673627.42</v>
      </c>
      <c r="G581" t="n">
        <v>526.2491</v>
      </c>
      <c r="H581" t="n">
        <v>132.188</v>
      </c>
      <c r="I581" t="n">
        <v>63.6001</v>
      </c>
      <c r="J581" t="n">
        <v>348.878</v>
      </c>
      <c r="K581" t="inlineStr"/>
      <c r="L581" t="inlineStr"/>
      <c r="M581" t="inlineStr"/>
      <c r="N581" t="inlineStr"/>
      <c r="O581" t="n">
        <v>2019</v>
      </c>
      <c r="P581" t="n">
        <v>2030</v>
      </c>
      <c r="Q581" t="n">
        <v>0.3171</v>
      </c>
      <c r="R581" t="n">
        <v>401.7335</v>
      </c>
      <c r="S581" t="n">
        <v>0.00029221</v>
      </c>
      <c r="T581" t="n">
        <v>0.00017343</v>
      </c>
    </row>
    <row r="582">
      <c r="A582" t="inlineStr">
        <is>
          <t>SUP-0059</t>
        </is>
      </c>
      <c r="B582" t="inlineStr">
        <is>
          <t>Agriculture Supplier 059</t>
        </is>
      </c>
      <c r="C582" t="inlineStr">
        <is>
          <t>Agriculture</t>
        </is>
      </c>
      <c r="D582" t="n">
        <v>2015</v>
      </c>
      <c r="E582" t="n">
        <v>13057260.47</v>
      </c>
      <c r="F582" t="inlineStr"/>
      <c r="G582" t="n">
        <v>6186.6844</v>
      </c>
      <c r="H582" t="n">
        <v>1404.8658</v>
      </c>
      <c r="I582" t="n">
        <v>1226.8663</v>
      </c>
      <c r="J582" t="n">
        <v>3462.0025</v>
      </c>
      <c r="K582" t="n">
        <v>2021</v>
      </c>
      <c r="L582" t="n">
        <v>2030</v>
      </c>
      <c r="M582" t="n">
        <v>0.495</v>
      </c>
      <c r="N582" t="n">
        <v>0.1874</v>
      </c>
      <c r="O582" t="n">
        <v>2018</v>
      </c>
      <c r="P582" t="inlineStr"/>
      <c r="Q582" t="inlineStr"/>
      <c r="R582" t="n">
        <v>529.8294</v>
      </c>
      <c r="S582" t="n">
        <v>0.00091413</v>
      </c>
      <c r="T582" t="n">
        <v>0.00096913</v>
      </c>
    </row>
    <row r="583">
      <c r="A583" t="inlineStr">
        <is>
          <t>SUP-0059</t>
        </is>
      </c>
      <c r="B583" t="inlineStr">
        <is>
          <t>Agriculture Supplier 059</t>
        </is>
      </c>
      <c r="C583" t="inlineStr">
        <is>
          <t>Agriculture</t>
        </is>
      </c>
      <c r="D583" t="n">
        <v>2016</v>
      </c>
      <c r="E583" t="n">
        <v>14826426.81</v>
      </c>
      <c r="F583" t="n">
        <v>63346855.07</v>
      </c>
      <c r="G583" t="n">
        <v>9854.3478</v>
      </c>
      <c r="H583" t="n">
        <v>1611.9842</v>
      </c>
      <c r="I583" t="n">
        <v>1956.3647</v>
      </c>
      <c r="J583" t="n">
        <v>6676.3723</v>
      </c>
      <c r="K583" t="n">
        <v>2021</v>
      </c>
      <c r="L583" t="n">
        <v>2030</v>
      </c>
      <c r="M583" t="n">
        <v>0.495</v>
      </c>
      <c r="N583" t="n">
        <v>0.1874</v>
      </c>
      <c r="O583" t="n">
        <v>2018</v>
      </c>
      <c r="P583" t="inlineStr"/>
      <c r="Q583" t="inlineStr"/>
      <c r="R583" t="n">
        <v>529.8294</v>
      </c>
      <c r="S583" t="n">
        <v>0.00091413</v>
      </c>
      <c r="T583" t="n">
        <v>0.00096913</v>
      </c>
    </row>
    <row r="584">
      <c r="A584" t="inlineStr">
        <is>
          <t>SUP-0059</t>
        </is>
      </c>
      <c r="B584" t="inlineStr">
        <is>
          <t>Agriculture Supplier 059</t>
        </is>
      </c>
      <c r="C584" t="inlineStr">
        <is>
          <t>Agriculture</t>
        </is>
      </c>
      <c r="D584" t="n">
        <v>2017</v>
      </c>
      <c r="E584" t="n">
        <v>14307894.14</v>
      </c>
      <c r="F584" t="n">
        <v>81395770.33</v>
      </c>
      <c r="G584" t="n">
        <v>7986.537</v>
      </c>
      <c r="H584" t="n">
        <v>1661.3986</v>
      </c>
      <c r="I584" t="n">
        <v>1196.5359</v>
      </c>
      <c r="J584" t="n">
        <v>5409.6274</v>
      </c>
      <c r="K584" t="n">
        <v>2021</v>
      </c>
      <c r="L584" t="n">
        <v>2030</v>
      </c>
      <c r="M584" t="n">
        <v>0.495</v>
      </c>
      <c r="N584" t="n">
        <v>0.1874</v>
      </c>
      <c r="O584" t="n">
        <v>2018</v>
      </c>
      <c r="P584" t="inlineStr"/>
      <c r="Q584" t="inlineStr"/>
      <c r="R584" t="n">
        <v>529.8294</v>
      </c>
      <c r="S584" t="n">
        <v>0.00091413</v>
      </c>
      <c r="T584" t="n">
        <v>0.00096913</v>
      </c>
    </row>
    <row r="585">
      <c r="A585" t="inlineStr">
        <is>
          <t>SUP-0059</t>
        </is>
      </c>
      <c r="B585" t="inlineStr">
        <is>
          <t>Agriculture Supplier 059</t>
        </is>
      </c>
      <c r="C585" t="inlineStr">
        <is>
          <t>Agriculture</t>
        </is>
      </c>
      <c r="D585" t="n">
        <v>2018</v>
      </c>
      <c r="E585" t="n">
        <v>17276876.2</v>
      </c>
      <c r="F585" t="n">
        <v>73367187.56</v>
      </c>
      <c r="G585" t="inlineStr"/>
      <c r="H585" t="inlineStr"/>
      <c r="I585" t="inlineStr"/>
      <c r="J585" t="n">
        <v>10921.5183</v>
      </c>
      <c r="K585" t="n">
        <v>2021</v>
      </c>
      <c r="L585" t="n">
        <v>2030</v>
      </c>
      <c r="M585" t="n">
        <v>0.495</v>
      </c>
      <c r="N585" t="n">
        <v>0.1874</v>
      </c>
      <c r="O585" t="n">
        <v>2018</v>
      </c>
      <c r="P585" t="inlineStr"/>
      <c r="Q585" t="inlineStr"/>
      <c r="R585" t="n">
        <v>529.8294</v>
      </c>
      <c r="S585" t="n">
        <v>0.00091413</v>
      </c>
      <c r="T585" t="n">
        <v>0.00096913</v>
      </c>
    </row>
    <row r="586">
      <c r="A586" t="inlineStr">
        <is>
          <t>SUP-0059</t>
        </is>
      </c>
      <c r="B586" t="inlineStr">
        <is>
          <t>Agriculture Supplier 059</t>
        </is>
      </c>
      <c r="C586" t="inlineStr">
        <is>
          <t>Agriculture</t>
        </is>
      </c>
      <c r="D586" t="n">
        <v>2019</v>
      </c>
      <c r="E586" t="n">
        <v>18668989.41</v>
      </c>
      <c r="F586" t="n">
        <v>84068259.39</v>
      </c>
      <c r="G586" t="n">
        <v>12911.6515</v>
      </c>
      <c r="H586" t="n">
        <v>2878.5588</v>
      </c>
      <c r="I586" t="inlineStr"/>
      <c r="J586" t="inlineStr"/>
      <c r="K586" t="n">
        <v>2021</v>
      </c>
      <c r="L586" t="n">
        <v>2030</v>
      </c>
      <c r="M586" t="n">
        <v>0.495</v>
      </c>
      <c r="N586" t="n">
        <v>0.1874</v>
      </c>
      <c r="O586" t="n">
        <v>2018</v>
      </c>
      <c r="P586" t="inlineStr"/>
      <c r="Q586" t="inlineStr"/>
      <c r="R586" t="n">
        <v>529.8294</v>
      </c>
      <c r="S586" t="n">
        <v>0.00091413</v>
      </c>
      <c r="T586" t="n">
        <v>0.00096913</v>
      </c>
    </row>
    <row r="587">
      <c r="A587" t="inlineStr">
        <is>
          <t>SUP-0059</t>
        </is>
      </c>
      <c r="B587" t="inlineStr">
        <is>
          <t>Agriculture Supplier 059</t>
        </is>
      </c>
      <c r="C587" t="inlineStr">
        <is>
          <t>Agriculture</t>
        </is>
      </c>
      <c r="D587" t="n">
        <v>2020</v>
      </c>
      <c r="E587" t="n">
        <v>21002416.37</v>
      </c>
      <c r="F587" t="n">
        <v>102699102</v>
      </c>
      <c r="G587" t="n">
        <v>15799.2089</v>
      </c>
      <c r="H587" t="n">
        <v>1472.4642</v>
      </c>
      <c r="I587" t="n">
        <v>2061.8156</v>
      </c>
      <c r="J587" t="inlineStr"/>
      <c r="K587" t="n">
        <v>2021</v>
      </c>
      <c r="L587" t="n">
        <v>2030</v>
      </c>
      <c r="M587" t="n">
        <v>0.495</v>
      </c>
      <c r="N587" t="n">
        <v>0.1874</v>
      </c>
      <c r="O587" t="n">
        <v>2018</v>
      </c>
      <c r="P587" t="inlineStr"/>
      <c r="Q587" t="inlineStr"/>
      <c r="R587" t="n">
        <v>529.8294</v>
      </c>
      <c r="S587" t="n">
        <v>0.00091413</v>
      </c>
      <c r="T587" t="n">
        <v>0.00096913</v>
      </c>
    </row>
    <row r="588">
      <c r="A588" t="inlineStr">
        <is>
          <t>SUP-0059</t>
        </is>
      </c>
      <c r="B588" t="inlineStr">
        <is>
          <t>Agriculture Supplier 059</t>
        </is>
      </c>
      <c r="C588" t="inlineStr">
        <is>
          <t>Agriculture</t>
        </is>
      </c>
      <c r="D588" t="n">
        <v>2021</v>
      </c>
      <c r="E588" t="n">
        <v>20507854.69</v>
      </c>
      <c r="F588" t="n">
        <v>95556345.13</v>
      </c>
      <c r="G588" t="inlineStr"/>
      <c r="H588" t="n">
        <v>1418.5902</v>
      </c>
      <c r="I588" t="inlineStr"/>
      <c r="J588" t="inlineStr"/>
      <c r="K588" t="n">
        <v>2021</v>
      </c>
      <c r="L588" t="n">
        <v>2030</v>
      </c>
      <c r="M588" t="n">
        <v>0.495</v>
      </c>
      <c r="N588" t="n">
        <v>0.1874</v>
      </c>
      <c r="O588" t="n">
        <v>2018</v>
      </c>
      <c r="P588" t="inlineStr"/>
      <c r="Q588" t="inlineStr"/>
      <c r="R588" t="n">
        <v>529.8294</v>
      </c>
      <c r="S588" t="n">
        <v>0.00091413</v>
      </c>
      <c r="T588" t="n">
        <v>0.00096913</v>
      </c>
    </row>
    <row r="589">
      <c r="A589" t="inlineStr">
        <is>
          <t>SUP-0059</t>
        </is>
      </c>
      <c r="B589" t="inlineStr">
        <is>
          <t>Agriculture Supplier 059</t>
        </is>
      </c>
      <c r="C589" t="inlineStr">
        <is>
          <t>Agriculture</t>
        </is>
      </c>
      <c r="D589" t="n">
        <v>2022</v>
      </c>
      <c r="E589" t="n">
        <v>22583129.7</v>
      </c>
      <c r="F589" t="n">
        <v>105838378.87</v>
      </c>
      <c r="G589" t="n">
        <v>16274.9719</v>
      </c>
      <c r="H589" t="n">
        <v>2420.7897</v>
      </c>
      <c r="I589" t="n">
        <v>2316.606</v>
      </c>
      <c r="J589" t="n">
        <v>9831.978499999999</v>
      </c>
      <c r="K589" t="n">
        <v>2021</v>
      </c>
      <c r="L589" t="n">
        <v>2030</v>
      </c>
      <c r="M589" t="n">
        <v>0.495</v>
      </c>
      <c r="N589" t="n">
        <v>0.1874</v>
      </c>
      <c r="O589" t="n">
        <v>2018</v>
      </c>
      <c r="P589" t="inlineStr"/>
      <c r="Q589" t="inlineStr"/>
      <c r="R589" t="n">
        <v>529.8294</v>
      </c>
      <c r="S589" t="n">
        <v>0.00091413</v>
      </c>
      <c r="T589" t="n">
        <v>0.00096913</v>
      </c>
    </row>
    <row r="590">
      <c r="A590" t="inlineStr">
        <is>
          <t>SUP-0059</t>
        </is>
      </c>
      <c r="B590" t="inlineStr">
        <is>
          <t>Agriculture Supplier 059</t>
        </is>
      </c>
      <c r="C590" t="inlineStr">
        <is>
          <t>Agriculture</t>
        </is>
      </c>
      <c r="D590" t="n">
        <v>2023</v>
      </c>
      <c r="E590" t="n">
        <v>23093411.06</v>
      </c>
      <c r="F590" t="n">
        <v>94190359.14</v>
      </c>
      <c r="G590" t="n">
        <v>13648.5647</v>
      </c>
      <c r="H590" t="n">
        <v>2416.0492</v>
      </c>
      <c r="I590" t="n">
        <v>954.2789</v>
      </c>
      <c r="J590" t="inlineStr"/>
      <c r="K590" t="n">
        <v>2021</v>
      </c>
      <c r="L590" t="n">
        <v>2030</v>
      </c>
      <c r="M590" t="n">
        <v>0.495</v>
      </c>
      <c r="N590" t="n">
        <v>0.1874</v>
      </c>
      <c r="O590" t="n">
        <v>2018</v>
      </c>
      <c r="P590" t="inlineStr"/>
      <c r="Q590" t="inlineStr"/>
      <c r="R590" t="n">
        <v>529.8294</v>
      </c>
      <c r="S590" t="n">
        <v>0.00091413</v>
      </c>
      <c r="T590" t="n">
        <v>0.00096913</v>
      </c>
    </row>
    <row r="591">
      <c r="A591" t="inlineStr">
        <is>
          <t>SUP-0059</t>
        </is>
      </c>
      <c r="B591" t="inlineStr">
        <is>
          <t>Agriculture Supplier 059</t>
        </is>
      </c>
      <c r="C591" t="inlineStr">
        <is>
          <t>Agriculture</t>
        </is>
      </c>
      <c r="D591" t="n">
        <v>2024</v>
      </c>
      <c r="E591" t="n">
        <v>25054136.73</v>
      </c>
      <c r="F591" t="n">
        <v>119475178.82</v>
      </c>
      <c r="G591" t="n">
        <v>16745.9256</v>
      </c>
      <c r="H591" t="n">
        <v>4802.5456</v>
      </c>
      <c r="I591" t="n">
        <v>3057.7625</v>
      </c>
      <c r="J591" t="n">
        <v>9738.0509</v>
      </c>
      <c r="K591" t="n">
        <v>2021</v>
      </c>
      <c r="L591" t="n">
        <v>2030</v>
      </c>
      <c r="M591" t="n">
        <v>0.495</v>
      </c>
      <c r="N591" t="n">
        <v>0.1874</v>
      </c>
      <c r="O591" t="n">
        <v>2018</v>
      </c>
      <c r="P591" t="inlineStr"/>
      <c r="Q591" t="inlineStr"/>
      <c r="R591" t="n">
        <v>529.8294</v>
      </c>
      <c r="S591" t="n">
        <v>0.00091413</v>
      </c>
      <c r="T591" t="n">
        <v>0.00096913</v>
      </c>
    </row>
    <row r="592">
      <c r="A592" t="inlineStr">
        <is>
          <t>SUP-0060</t>
        </is>
      </c>
      <c r="B592" t="inlineStr">
        <is>
          <t>Electronics Supplier 060</t>
        </is>
      </c>
      <c r="C592" t="inlineStr">
        <is>
          <t>Electronics</t>
        </is>
      </c>
      <c r="D592" t="n">
        <v>2015</v>
      </c>
      <c r="E592" t="n">
        <v>17966286.89</v>
      </c>
      <c r="F592" t="n">
        <v>134760825.22</v>
      </c>
      <c r="G592" t="inlineStr"/>
      <c r="H592" t="n">
        <v>1527.6644</v>
      </c>
      <c r="I592" t="n">
        <v>3192.3425</v>
      </c>
      <c r="J592" t="n">
        <v>12341.2127</v>
      </c>
      <c r="K592" t="n">
        <v>2020</v>
      </c>
      <c r="L592" t="n">
        <v>2040</v>
      </c>
      <c r="M592" t="n">
        <v>0.5996</v>
      </c>
      <c r="N592" t="n">
        <v>0.2984</v>
      </c>
      <c r="O592" t="n">
        <v>2018</v>
      </c>
      <c r="P592" t="n">
        <v>2040</v>
      </c>
      <c r="Q592" t="n">
        <v>0.3424</v>
      </c>
      <c r="R592" t="n">
        <v>635.1588</v>
      </c>
      <c r="S592" t="n">
        <v>0.00086105</v>
      </c>
      <c r="T592" t="n">
        <v>0.00013947</v>
      </c>
    </row>
    <row r="593">
      <c r="A593" t="inlineStr">
        <is>
          <t>SUP-0060</t>
        </is>
      </c>
      <c r="B593" t="inlineStr">
        <is>
          <t>Electronics Supplier 060</t>
        </is>
      </c>
      <c r="C593" t="inlineStr">
        <is>
          <t>Electronics</t>
        </is>
      </c>
      <c r="D593" t="n">
        <v>2016</v>
      </c>
      <c r="E593" t="n">
        <v>18259198.15</v>
      </c>
      <c r="F593" t="inlineStr"/>
      <c r="G593" t="n">
        <v>16198.9684</v>
      </c>
      <c r="H593" t="n">
        <v>3642.5102</v>
      </c>
      <c r="I593" t="n">
        <v>2932.7513</v>
      </c>
      <c r="J593" t="n">
        <v>10519.4697</v>
      </c>
      <c r="K593" t="n">
        <v>2020</v>
      </c>
      <c r="L593" t="n">
        <v>2040</v>
      </c>
      <c r="M593" t="n">
        <v>0.5996</v>
      </c>
      <c r="N593" t="n">
        <v>0.2984</v>
      </c>
      <c r="O593" t="n">
        <v>2018</v>
      </c>
      <c r="P593" t="n">
        <v>2040</v>
      </c>
      <c r="Q593" t="n">
        <v>0.3424</v>
      </c>
      <c r="R593" t="n">
        <v>635.1588</v>
      </c>
      <c r="S593" t="n">
        <v>0.00086105</v>
      </c>
      <c r="T593" t="n">
        <v>0.00013947</v>
      </c>
    </row>
    <row r="594">
      <c r="A594" t="inlineStr">
        <is>
          <t>SUP-0060</t>
        </is>
      </c>
      <c r="B594" t="inlineStr">
        <is>
          <t>Electronics Supplier 060</t>
        </is>
      </c>
      <c r="C594" t="inlineStr">
        <is>
          <t>Electronics</t>
        </is>
      </c>
      <c r="D594" t="n">
        <v>2017</v>
      </c>
      <c r="E594" t="n">
        <v>19032494.48</v>
      </c>
      <c r="F594" t="n">
        <v>122301023.06</v>
      </c>
      <c r="G594" t="n">
        <v>17243.2045</v>
      </c>
      <c r="H594" t="n">
        <v>2597.4547</v>
      </c>
      <c r="I594" t="n">
        <v>3499.5283</v>
      </c>
      <c r="J594" t="inlineStr"/>
      <c r="K594" t="n">
        <v>2020</v>
      </c>
      <c r="L594" t="n">
        <v>2040</v>
      </c>
      <c r="M594" t="n">
        <v>0.5996</v>
      </c>
      <c r="N594" t="n">
        <v>0.2984</v>
      </c>
      <c r="O594" t="n">
        <v>2018</v>
      </c>
      <c r="P594" t="n">
        <v>2040</v>
      </c>
      <c r="Q594" t="n">
        <v>0.3424</v>
      </c>
      <c r="R594" t="n">
        <v>635.1588</v>
      </c>
      <c r="S594" t="n">
        <v>0.00086105</v>
      </c>
      <c r="T594" t="n">
        <v>0.00013947</v>
      </c>
    </row>
    <row r="595">
      <c r="A595" t="inlineStr">
        <is>
          <t>SUP-0060</t>
        </is>
      </c>
      <c r="B595" t="inlineStr">
        <is>
          <t>Electronics Supplier 060</t>
        </is>
      </c>
      <c r="C595" t="inlineStr">
        <is>
          <t>Electronics</t>
        </is>
      </c>
      <c r="D595" t="n">
        <v>2018</v>
      </c>
      <c r="E595" t="n">
        <v>17131985.49</v>
      </c>
      <c r="F595" t="n">
        <v>114713863.99</v>
      </c>
      <c r="G595" t="n">
        <v>15812.1073</v>
      </c>
      <c r="H595" t="n">
        <v>2854.0217</v>
      </c>
      <c r="I595" t="n">
        <v>2624.5088</v>
      </c>
      <c r="J595" t="n">
        <v>9886.148499999999</v>
      </c>
      <c r="K595" t="n">
        <v>2020</v>
      </c>
      <c r="L595" t="n">
        <v>2040</v>
      </c>
      <c r="M595" t="n">
        <v>0.5996</v>
      </c>
      <c r="N595" t="n">
        <v>0.2984</v>
      </c>
      <c r="O595" t="n">
        <v>2018</v>
      </c>
      <c r="P595" t="n">
        <v>2040</v>
      </c>
      <c r="Q595" t="n">
        <v>0.3424</v>
      </c>
      <c r="R595" t="n">
        <v>635.1588</v>
      </c>
      <c r="S595" t="n">
        <v>0.00086105</v>
      </c>
      <c r="T595" t="n">
        <v>0.00013947</v>
      </c>
    </row>
    <row r="596">
      <c r="A596" t="inlineStr">
        <is>
          <t>SUP-0060</t>
        </is>
      </c>
      <c r="B596" t="inlineStr">
        <is>
          <t>Electronics Supplier 060</t>
        </is>
      </c>
      <c r="C596" t="inlineStr">
        <is>
          <t>Electronics</t>
        </is>
      </c>
      <c r="D596" t="n">
        <v>2019</v>
      </c>
      <c r="E596" t="n">
        <v>16449336.23</v>
      </c>
      <c r="F596" t="n">
        <v>110745981.21</v>
      </c>
      <c r="G596" t="inlineStr"/>
      <c r="H596" t="n">
        <v>3313.0211</v>
      </c>
      <c r="I596" t="inlineStr"/>
      <c r="J596" t="n">
        <v>8302.4084</v>
      </c>
      <c r="K596" t="n">
        <v>2020</v>
      </c>
      <c r="L596" t="n">
        <v>2040</v>
      </c>
      <c r="M596" t="n">
        <v>0.5996</v>
      </c>
      <c r="N596" t="n">
        <v>0.2984</v>
      </c>
      <c r="O596" t="n">
        <v>2018</v>
      </c>
      <c r="P596" t="n">
        <v>2040</v>
      </c>
      <c r="Q596" t="n">
        <v>0.3424</v>
      </c>
      <c r="R596" t="n">
        <v>635.1588</v>
      </c>
      <c r="S596" t="n">
        <v>0.00086105</v>
      </c>
      <c r="T596" t="n">
        <v>0.00013947</v>
      </c>
    </row>
    <row r="597">
      <c r="A597" t="inlineStr">
        <is>
          <t>SUP-0060</t>
        </is>
      </c>
      <c r="B597" t="inlineStr">
        <is>
          <t>Electronics Supplier 060</t>
        </is>
      </c>
      <c r="C597" t="inlineStr">
        <is>
          <t>Electronics</t>
        </is>
      </c>
      <c r="D597" t="n">
        <v>2020</v>
      </c>
      <c r="E597" t="n">
        <v>15814474.45</v>
      </c>
      <c r="F597" t="n">
        <v>123066338.61</v>
      </c>
      <c r="G597" t="n">
        <v>14058.0951</v>
      </c>
      <c r="H597" t="n">
        <v>2529.7186</v>
      </c>
      <c r="I597" t="n">
        <v>2575.7219</v>
      </c>
      <c r="J597" t="n">
        <v>8438.3923</v>
      </c>
      <c r="K597" t="n">
        <v>2020</v>
      </c>
      <c r="L597" t="n">
        <v>2040</v>
      </c>
      <c r="M597" t="n">
        <v>0.5996</v>
      </c>
      <c r="N597" t="n">
        <v>0.2984</v>
      </c>
      <c r="O597" t="n">
        <v>2018</v>
      </c>
      <c r="P597" t="n">
        <v>2040</v>
      </c>
      <c r="Q597" t="n">
        <v>0.3424</v>
      </c>
      <c r="R597" t="n">
        <v>635.1588</v>
      </c>
      <c r="S597" t="n">
        <v>0.00086105</v>
      </c>
      <c r="T597" t="n">
        <v>0.00013947</v>
      </c>
    </row>
    <row r="598">
      <c r="A598" t="inlineStr">
        <is>
          <t>SUP-0060</t>
        </is>
      </c>
      <c r="B598" t="inlineStr">
        <is>
          <t>Electronics Supplier 060</t>
        </is>
      </c>
      <c r="C598" t="inlineStr">
        <is>
          <t>Electronics</t>
        </is>
      </c>
      <c r="D598" t="n">
        <v>2021</v>
      </c>
      <c r="E598" t="n">
        <v>17937197.43</v>
      </c>
      <c r="F598" t="n">
        <v>123394522.54</v>
      </c>
      <c r="G598" t="n">
        <v>12683.5697</v>
      </c>
      <c r="H598" t="n">
        <v>2053.8322</v>
      </c>
      <c r="I598" t="n">
        <v>1268.3194</v>
      </c>
      <c r="J598" t="n">
        <v>9454.9228</v>
      </c>
      <c r="K598" t="n">
        <v>2020</v>
      </c>
      <c r="L598" t="n">
        <v>2040</v>
      </c>
      <c r="M598" t="n">
        <v>0.5996</v>
      </c>
      <c r="N598" t="n">
        <v>0.2984</v>
      </c>
      <c r="O598" t="n">
        <v>2018</v>
      </c>
      <c r="P598" t="n">
        <v>2040</v>
      </c>
      <c r="Q598" t="n">
        <v>0.3424</v>
      </c>
      <c r="R598" t="n">
        <v>635.1588</v>
      </c>
      <c r="S598" t="n">
        <v>0.00086105</v>
      </c>
      <c r="T598" t="n">
        <v>0.00013947</v>
      </c>
    </row>
    <row r="599">
      <c r="A599" t="inlineStr">
        <is>
          <t>SUP-0060</t>
        </is>
      </c>
      <c r="B599" t="inlineStr">
        <is>
          <t>Electronics Supplier 060</t>
        </is>
      </c>
      <c r="C599" t="inlineStr">
        <is>
          <t>Electronics</t>
        </is>
      </c>
      <c r="D599" t="n">
        <v>2022</v>
      </c>
      <c r="E599" t="n">
        <v>15165573.85</v>
      </c>
      <c r="F599" t="n">
        <v>101905745.69</v>
      </c>
      <c r="G599" t="n">
        <v>12835.0862</v>
      </c>
      <c r="H599" t="n">
        <v>2062.0759</v>
      </c>
      <c r="I599" t="n">
        <v>2352.3677</v>
      </c>
      <c r="J599" t="n">
        <v>8369.7536</v>
      </c>
      <c r="K599" t="n">
        <v>2020</v>
      </c>
      <c r="L599" t="n">
        <v>2040</v>
      </c>
      <c r="M599" t="n">
        <v>0.5996</v>
      </c>
      <c r="N599" t="n">
        <v>0.2984</v>
      </c>
      <c r="O599" t="n">
        <v>2018</v>
      </c>
      <c r="P599" t="n">
        <v>2040</v>
      </c>
      <c r="Q599" t="n">
        <v>0.3424</v>
      </c>
      <c r="R599" t="n">
        <v>635.1588</v>
      </c>
      <c r="S599" t="n">
        <v>0.00086105</v>
      </c>
      <c r="T599" t="n">
        <v>0.00013947</v>
      </c>
    </row>
    <row r="600">
      <c r="A600" t="inlineStr">
        <is>
          <t>SUP-0060</t>
        </is>
      </c>
      <c r="B600" t="inlineStr">
        <is>
          <t>Electronics Supplier 060</t>
        </is>
      </c>
      <c r="C600" t="inlineStr">
        <is>
          <t>Electronics</t>
        </is>
      </c>
      <c r="D600" t="n">
        <v>2023</v>
      </c>
      <c r="E600" t="n">
        <v>13649393.37</v>
      </c>
      <c r="F600" t="n">
        <v>134001840.17</v>
      </c>
      <c r="G600" t="n">
        <v>9131.9954</v>
      </c>
      <c r="H600" t="n">
        <v>2106.4475</v>
      </c>
      <c r="I600" t="n">
        <v>796.9501</v>
      </c>
      <c r="J600" t="n">
        <v>5762.5283</v>
      </c>
      <c r="K600" t="n">
        <v>2020</v>
      </c>
      <c r="L600" t="n">
        <v>2040</v>
      </c>
      <c r="M600" t="n">
        <v>0.5996</v>
      </c>
      <c r="N600" t="n">
        <v>0.2984</v>
      </c>
      <c r="O600" t="n">
        <v>2018</v>
      </c>
      <c r="P600" t="n">
        <v>2040</v>
      </c>
      <c r="Q600" t="n">
        <v>0.3424</v>
      </c>
      <c r="R600" t="n">
        <v>635.1588</v>
      </c>
      <c r="S600" t="n">
        <v>0.00086105</v>
      </c>
      <c r="T600" t="n">
        <v>0.00013947</v>
      </c>
    </row>
    <row r="601">
      <c r="A601" t="inlineStr">
        <is>
          <t>SUP-0060</t>
        </is>
      </c>
      <c r="B601" t="inlineStr">
        <is>
          <t>Electronics Supplier 060</t>
        </is>
      </c>
      <c r="C601" t="inlineStr">
        <is>
          <t>Electronics</t>
        </is>
      </c>
      <c r="D601" t="n">
        <v>2024</v>
      </c>
      <c r="E601" t="n">
        <v>16079452.31</v>
      </c>
      <c r="F601" t="n">
        <v>113406260.09</v>
      </c>
      <c r="G601" t="n">
        <v>12011.7951</v>
      </c>
      <c r="H601" t="n">
        <v>2604.7591</v>
      </c>
      <c r="I601" t="n">
        <v>1268.3672</v>
      </c>
      <c r="J601" t="n">
        <v>8862.726199999999</v>
      </c>
      <c r="K601" t="n">
        <v>2020</v>
      </c>
      <c r="L601" t="n">
        <v>2040</v>
      </c>
      <c r="M601" t="n">
        <v>0.5996</v>
      </c>
      <c r="N601" t="n">
        <v>0.2984</v>
      </c>
      <c r="O601" t="n">
        <v>2018</v>
      </c>
      <c r="P601" t="n">
        <v>2040</v>
      </c>
      <c r="Q601" t="n">
        <v>0.3424</v>
      </c>
      <c r="R601" t="n">
        <v>635.1588</v>
      </c>
      <c r="S601" t="n">
        <v>0.00086105</v>
      </c>
      <c r="T601" t="n">
        <v>0.00013947</v>
      </c>
    </row>
    <row r="602">
      <c r="A602" t="inlineStr">
        <is>
          <t>SUP-0061</t>
        </is>
      </c>
      <c r="B602" t="inlineStr">
        <is>
          <t>Metals Supplier 061</t>
        </is>
      </c>
      <c r="C602" t="inlineStr">
        <is>
          <t>Metals</t>
        </is>
      </c>
      <c r="D602" t="n">
        <v>2015</v>
      </c>
      <c r="E602" t="n">
        <v>23011980.8</v>
      </c>
      <c r="F602" t="n">
        <v>110758175.64</v>
      </c>
      <c r="G602" t="n">
        <v>22438.5786</v>
      </c>
      <c r="H602" t="inlineStr"/>
      <c r="I602" t="n">
        <v>4154.0976</v>
      </c>
      <c r="J602" t="n">
        <v>14171.7745</v>
      </c>
      <c r="K602" t="n">
        <v>2018</v>
      </c>
      <c r="L602" t="n">
        <v>2040</v>
      </c>
      <c r="M602" t="n">
        <v>0.342</v>
      </c>
      <c r="N602" t="n">
        <v>0.2056</v>
      </c>
      <c r="O602" t="n">
        <v>2019</v>
      </c>
      <c r="P602" t="n">
        <v>2030</v>
      </c>
      <c r="Q602" t="n">
        <v>0.3852</v>
      </c>
      <c r="R602" t="n">
        <v>158.2904</v>
      </c>
      <c r="S602" t="n">
        <v>0.00100695</v>
      </c>
      <c r="T602" t="n">
        <v>0.00065008</v>
      </c>
    </row>
    <row r="603">
      <c r="A603" t="inlineStr">
        <is>
          <t>SUP-0061</t>
        </is>
      </c>
      <c r="B603" t="inlineStr">
        <is>
          <t>Metals Supplier 061</t>
        </is>
      </c>
      <c r="C603" t="inlineStr">
        <is>
          <t>Metals</t>
        </is>
      </c>
      <c r="D603" t="n">
        <v>2016</v>
      </c>
      <c r="E603" t="n">
        <v>25783653.32</v>
      </c>
      <c r="F603" t="n">
        <v>116349947.01</v>
      </c>
      <c r="G603" t="inlineStr"/>
      <c r="H603" t="inlineStr"/>
      <c r="I603" t="inlineStr"/>
      <c r="J603" t="n">
        <v>9768.9494</v>
      </c>
      <c r="K603" t="n">
        <v>2018</v>
      </c>
      <c r="L603" t="n">
        <v>2040</v>
      </c>
      <c r="M603" t="n">
        <v>0.342</v>
      </c>
      <c r="N603" t="n">
        <v>0.2056</v>
      </c>
      <c r="O603" t="n">
        <v>2019</v>
      </c>
      <c r="P603" t="n">
        <v>2030</v>
      </c>
      <c r="Q603" t="n">
        <v>0.3852</v>
      </c>
      <c r="R603" t="n">
        <v>158.2904</v>
      </c>
      <c r="S603" t="n">
        <v>0.00100695</v>
      </c>
      <c r="T603" t="n">
        <v>0.00065008</v>
      </c>
    </row>
    <row r="604">
      <c r="A604" t="inlineStr">
        <is>
          <t>SUP-0061</t>
        </is>
      </c>
      <c r="B604" t="inlineStr">
        <is>
          <t>Metals Supplier 061</t>
        </is>
      </c>
      <c r="C604" t="inlineStr">
        <is>
          <t>Metals</t>
        </is>
      </c>
      <c r="D604" t="n">
        <v>2017</v>
      </c>
      <c r="E604" t="n">
        <v>27168506.76</v>
      </c>
      <c r="F604" t="n">
        <v>139085597.08</v>
      </c>
      <c r="G604" t="n">
        <v>21867.3354</v>
      </c>
      <c r="H604" t="n">
        <v>2108.5532</v>
      </c>
      <c r="I604" t="n">
        <v>2825.0927</v>
      </c>
      <c r="J604" t="n">
        <v>16901.9794</v>
      </c>
      <c r="K604" t="n">
        <v>2018</v>
      </c>
      <c r="L604" t="n">
        <v>2040</v>
      </c>
      <c r="M604" t="n">
        <v>0.342</v>
      </c>
      <c r="N604" t="n">
        <v>0.2056</v>
      </c>
      <c r="O604" t="n">
        <v>2019</v>
      </c>
      <c r="P604" t="n">
        <v>2030</v>
      </c>
      <c r="Q604" t="n">
        <v>0.3852</v>
      </c>
      <c r="R604" t="n">
        <v>158.2904</v>
      </c>
      <c r="S604" t="n">
        <v>0.00100695</v>
      </c>
      <c r="T604" t="n">
        <v>0.00065008</v>
      </c>
    </row>
    <row r="605">
      <c r="A605" t="inlineStr">
        <is>
          <t>SUP-0061</t>
        </is>
      </c>
      <c r="B605" t="inlineStr">
        <is>
          <t>Metals Supplier 061</t>
        </is>
      </c>
      <c r="C605" t="inlineStr">
        <is>
          <t>Metals</t>
        </is>
      </c>
      <c r="D605" t="n">
        <v>2018</v>
      </c>
      <c r="E605" t="n">
        <v>27736620.21</v>
      </c>
      <c r="F605" t="n">
        <v>122787940.63</v>
      </c>
      <c r="G605" t="inlineStr"/>
      <c r="H605" t="n">
        <v>3475.1274</v>
      </c>
      <c r="I605" t="inlineStr"/>
      <c r="J605" t="n">
        <v>13485.5991</v>
      </c>
      <c r="K605" t="n">
        <v>2018</v>
      </c>
      <c r="L605" t="n">
        <v>2040</v>
      </c>
      <c r="M605" t="n">
        <v>0.342</v>
      </c>
      <c r="N605" t="n">
        <v>0.2056</v>
      </c>
      <c r="O605" t="n">
        <v>2019</v>
      </c>
      <c r="P605" t="n">
        <v>2030</v>
      </c>
      <c r="Q605" t="n">
        <v>0.3852</v>
      </c>
      <c r="R605" t="n">
        <v>158.2904</v>
      </c>
      <c r="S605" t="n">
        <v>0.00100695</v>
      </c>
      <c r="T605" t="n">
        <v>0.00065008</v>
      </c>
    </row>
    <row r="606">
      <c r="A606" t="inlineStr">
        <is>
          <t>SUP-0061</t>
        </is>
      </c>
      <c r="B606" t="inlineStr">
        <is>
          <t>Metals Supplier 061</t>
        </is>
      </c>
      <c r="C606" t="inlineStr">
        <is>
          <t>Metals</t>
        </is>
      </c>
      <c r="D606" t="n">
        <v>2019</v>
      </c>
      <c r="E606" t="inlineStr"/>
      <c r="F606" t="n">
        <v>157428570.2</v>
      </c>
      <c r="G606" t="inlineStr"/>
      <c r="H606" t="n">
        <v>3857.1341</v>
      </c>
      <c r="I606" t="inlineStr"/>
      <c r="J606" t="n">
        <v>15368.1091</v>
      </c>
      <c r="K606" t="n">
        <v>2018</v>
      </c>
      <c r="L606" t="n">
        <v>2040</v>
      </c>
      <c r="M606" t="n">
        <v>0.342</v>
      </c>
      <c r="N606" t="n">
        <v>0.2056</v>
      </c>
      <c r="O606" t="n">
        <v>2019</v>
      </c>
      <c r="P606" t="n">
        <v>2030</v>
      </c>
      <c r="Q606" t="n">
        <v>0.3852</v>
      </c>
      <c r="R606" t="n">
        <v>158.2904</v>
      </c>
      <c r="S606" t="n">
        <v>0.00100695</v>
      </c>
      <c r="T606" t="n">
        <v>0.00065008</v>
      </c>
    </row>
    <row r="607">
      <c r="A607" t="inlineStr">
        <is>
          <t>SUP-0061</t>
        </is>
      </c>
      <c r="B607" t="inlineStr">
        <is>
          <t>Metals Supplier 061</t>
        </is>
      </c>
      <c r="C607" t="inlineStr">
        <is>
          <t>Metals</t>
        </is>
      </c>
      <c r="D607" t="n">
        <v>2020</v>
      </c>
      <c r="E607" t="n">
        <v>32878451.81</v>
      </c>
      <c r="F607" t="n">
        <v>123549193.72</v>
      </c>
      <c r="G607" t="inlineStr"/>
      <c r="H607" t="n">
        <v>6206.4084</v>
      </c>
      <c r="I607" t="n">
        <v>5255.7147</v>
      </c>
      <c r="J607" t="n">
        <v>14415.7519</v>
      </c>
      <c r="K607" t="n">
        <v>2018</v>
      </c>
      <c r="L607" t="n">
        <v>2040</v>
      </c>
      <c r="M607" t="n">
        <v>0.342</v>
      </c>
      <c r="N607" t="n">
        <v>0.2056</v>
      </c>
      <c r="O607" t="n">
        <v>2019</v>
      </c>
      <c r="P607" t="n">
        <v>2030</v>
      </c>
      <c r="Q607" t="n">
        <v>0.3852</v>
      </c>
      <c r="R607" t="n">
        <v>158.2904</v>
      </c>
      <c r="S607" t="n">
        <v>0.00100695</v>
      </c>
      <c r="T607" t="n">
        <v>0.00065008</v>
      </c>
    </row>
    <row r="608">
      <c r="A608" t="inlineStr">
        <is>
          <t>SUP-0061</t>
        </is>
      </c>
      <c r="B608" t="inlineStr">
        <is>
          <t>Metals Supplier 061</t>
        </is>
      </c>
      <c r="C608" t="inlineStr">
        <is>
          <t>Metals</t>
        </is>
      </c>
      <c r="D608" t="n">
        <v>2021</v>
      </c>
      <c r="E608" t="n">
        <v>30128173.79</v>
      </c>
      <c r="F608" t="n">
        <v>145618658.01</v>
      </c>
      <c r="G608" t="n">
        <v>19322.5564</v>
      </c>
      <c r="H608" t="n">
        <v>4868.9773</v>
      </c>
      <c r="I608" t="n">
        <v>2631.1657</v>
      </c>
      <c r="J608" t="inlineStr"/>
      <c r="K608" t="n">
        <v>2018</v>
      </c>
      <c r="L608" t="n">
        <v>2040</v>
      </c>
      <c r="M608" t="n">
        <v>0.342</v>
      </c>
      <c r="N608" t="n">
        <v>0.2056</v>
      </c>
      <c r="O608" t="n">
        <v>2019</v>
      </c>
      <c r="P608" t="n">
        <v>2030</v>
      </c>
      <c r="Q608" t="n">
        <v>0.3852</v>
      </c>
      <c r="R608" t="n">
        <v>158.2904</v>
      </c>
      <c r="S608" t="n">
        <v>0.00100695</v>
      </c>
      <c r="T608" t="n">
        <v>0.00065008</v>
      </c>
    </row>
    <row r="609">
      <c r="A609" t="inlineStr">
        <is>
          <t>SUP-0061</t>
        </is>
      </c>
      <c r="B609" t="inlineStr">
        <is>
          <t>Metals Supplier 061</t>
        </is>
      </c>
      <c r="C609" t="inlineStr">
        <is>
          <t>Metals</t>
        </is>
      </c>
      <c r="D609" t="n">
        <v>2022</v>
      </c>
      <c r="E609" t="inlineStr"/>
      <c r="F609" t="n">
        <v>180089018.02</v>
      </c>
      <c r="G609" t="inlineStr"/>
      <c r="H609" t="n">
        <v>2672.3114</v>
      </c>
      <c r="I609" t="n">
        <v>3820.747</v>
      </c>
      <c r="J609" t="n">
        <v>17120.8929</v>
      </c>
      <c r="K609" t="n">
        <v>2018</v>
      </c>
      <c r="L609" t="n">
        <v>2040</v>
      </c>
      <c r="M609" t="n">
        <v>0.342</v>
      </c>
      <c r="N609" t="n">
        <v>0.2056</v>
      </c>
      <c r="O609" t="n">
        <v>2019</v>
      </c>
      <c r="P609" t="n">
        <v>2030</v>
      </c>
      <c r="Q609" t="n">
        <v>0.3852</v>
      </c>
      <c r="R609" t="n">
        <v>158.2904</v>
      </c>
      <c r="S609" t="n">
        <v>0.00100695</v>
      </c>
      <c r="T609" t="n">
        <v>0.00065008</v>
      </c>
    </row>
    <row r="610">
      <c r="A610" t="inlineStr">
        <is>
          <t>SUP-0061</t>
        </is>
      </c>
      <c r="B610" t="inlineStr">
        <is>
          <t>Metals Supplier 061</t>
        </is>
      </c>
      <c r="C610" t="inlineStr">
        <is>
          <t>Metals</t>
        </is>
      </c>
      <c r="D610" t="n">
        <v>2023</v>
      </c>
      <c r="E610" t="n">
        <v>35779447.06</v>
      </c>
      <c r="F610" t="n">
        <v>174705015.43</v>
      </c>
      <c r="G610" t="inlineStr"/>
      <c r="H610" t="n">
        <v>4951.1517</v>
      </c>
      <c r="I610" t="n">
        <v>2507.257</v>
      </c>
      <c r="J610" t="n">
        <v>11886.1525</v>
      </c>
      <c r="K610" t="n">
        <v>2018</v>
      </c>
      <c r="L610" t="n">
        <v>2040</v>
      </c>
      <c r="M610" t="n">
        <v>0.342</v>
      </c>
      <c r="N610" t="n">
        <v>0.2056</v>
      </c>
      <c r="O610" t="n">
        <v>2019</v>
      </c>
      <c r="P610" t="n">
        <v>2030</v>
      </c>
      <c r="Q610" t="n">
        <v>0.3852</v>
      </c>
      <c r="R610" t="n">
        <v>158.2904</v>
      </c>
      <c r="S610" t="n">
        <v>0.00100695</v>
      </c>
      <c r="T610" t="n">
        <v>0.00065008</v>
      </c>
    </row>
    <row r="611">
      <c r="A611" t="inlineStr">
        <is>
          <t>SUP-0061</t>
        </is>
      </c>
      <c r="B611" t="inlineStr">
        <is>
          <t>Metals Supplier 061</t>
        </is>
      </c>
      <c r="C611" t="inlineStr">
        <is>
          <t>Metals</t>
        </is>
      </c>
      <c r="D611" t="n">
        <v>2024</v>
      </c>
      <c r="E611" t="n">
        <v>33827325.5</v>
      </c>
      <c r="F611" t="inlineStr"/>
      <c r="G611" t="n">
        <v>17695.9231</v>
      </c>
      <c r="H611" t="n">
        <v>3153.7341</v>
      </c>
      <c r="I611" t="inlineStr"/>
      <c r="J611" t="n">
        <v>10641.7766</v>
      </c>
      <c r="K611" t="n">
        <v>2018</v>
      </c>
      <c r="L611" t="n">
        <v>2040</v>
      </c>
      <c r="M611" t="n">
        <v>0.342</v>
      </c>
      <c r="N611" t="n">
        <v>0.2056</v>
      </c>
      <c r="O611" t="n">
        <v>2019</v>
      </c>
      <c r="P611" t="n">
        <v>2030</v>
      </c>
      <c r="Q611" t="n">
        <v>0.3852</v>
      </c>
      <c r="R611" t="n">
        <v>158.2904</v>
      </c>
      <c r="S611" t="n">
        <v>0.00100695</v>
      </c>
      <c r="T611" t="n">
        <v>0.00065008</v>
      </c>
    </row>
    <row r="612">
      <c r="A612" t="inlineStr">
        <is>
          <t>SUP-0062</t>
        </is>
      </c>
      <c r="B612" t="inlineStr">
        <is>
          <t>Textiles Supplier 062</t>
        </is>
      </c>
      <c r="C612" t="inlineStr">
        <is>
          <t>Textiles</t>
        </is>
      </c>
      <c r="D612" t="n">
        <v>2015</v>
      </c>
      <c r="E612" t="n">
        <v>14025845.1</v>
      </c>
      <c r="F612" t="n">
        <v>60426584.99</v>
      </c>
      <c r="G612" t="n">
        <v>3347.5465</v>
      </c>
      <c r="H612" t="n">
        <v>761.5024</v>
      </c>
      <c r="I612" t="inlineStr"/>
      <c r="J612" t="inlineStr"/>
      <c r="K612" t="n">
        <v>2018</v>
      </c>
      <c r="L612" t="n">
        <v>2030</v>
      </c>
      <c r="M612" t="n">
        <v>0.5281</v>
      </c>
      <c r="N612" t="n">
        <v>0.1906</v>
      </c>
      <c r="O612" t="n">
        <v>2019</v>
      </c>
      <c r="P612" t="n">
        <v>2030</v>
      </c>
      <c r="Q612" t="n">
        <v>0.3171</v>
      </c>
      <c r="R612" t="n">
        <v>401.7335</v>
      </c>
      <c r="S612" t="n">
        <v>0.00029221</v>
      </c>
      <c r="T612" t="n">
        <v>0.00017343</v>
      </c>
    </row>
    <row r="613">
      <c r="A613" t="inlineStr">
        <is>
          <t>SUP-0062</t>
        </is>
      </c>
      <c r="B613" t="inlineStr">
        <is>
          <t>Textiles Supplier 062</t>
        </is>
      </c>
      <c r="C613" t="inlineStr">
        <is>
          <t>Textiles</t>
        </is>
      </c>
      <c r="D613" t="n">
        <v>2016</v>
      </c>
      <c r="E613" t="n">
        <v>12244758.15</v>
      </c>
      <c r="F613" t="n">
        <v>69124157.34</v>
      </c>
      <c r="G613" t="inlineStr"/>
      <c r="H613" t="n">
        <v>606.1922</v>
      </c>
      <c r="I613" t="n">
        <v>669.9041</v>
      </c>
      <c r="J613" t="inlineStr"/>
      <c r="K613" t="n">
        <v>2018</v>
      </c>
      <c r="L613" t="n">
        <v>2030</v>
      </c>
      <c r="M613" t="n">
        <v>0.5281</v>
      </c>
      <c r="N613" t="n">
        <v>0.1906</v>
      </c>
      <c r="O613" t="n">
        <v>2019</v>
      </c>
      <c r="P613" t="n">
        <v>2030</v>
      </c>
      <c r="Q613" t="n">
        <v>0.3171</v>
      </c>
      <c r="R613" t="n">
        <v>401.7335</v>
      </c>
      <c r="S613" t="n">
        <v>0.00029221</v>
      </c>
      <c r="T613" t="n">
        <v>0.00017343</v>
      </c>
    </row>
    <row r="614">
      <c r="A614" t="inlineStr">
        <is>
          <t>SUP-0062</t>
        </is>
      </c>
      <c r="B614" t="inlineStr">
        <is>
          <t>Textiles Supplier 062</t>
        </is>
      </c>
      <c r="C614" t="inlineStr">
        <is>
          <t>Textiles</t>
        </is>
      </c>
      <c r="D614" t="n">
        <v>2017</v>
      </c>
      <c r="E614" t="n">
        <v>11987523.63</v>
      </c>
      <c r="F614" t="n">
        <v>76748555.02</v>
      </c>
      <c r="G614" t="n">
        <v>3597.8019</v>
      </c>
      <c r="H614" t="n">
        <v>901.2523</v>
      </c>
      <c r="I614" t="n">
        <v>617.3089</v>
      </c>
      <c r="J614" t="n">
        <v>1990.8938</v>
      </c>
      <c r="K614" t="n">
        <v>2018</v>
      </c>
      <c r="L614" t="n">
        <v>2030</v>
      </c>
      <c r="M614" t="n">
        <v>0.5281</v>
      </c>
      <c r="N614" t="n">
        <v>0.1906</v>
      </c>
      <c r="O614" t="n">
        <v>2019</v>
      </c>
      <c r="P614" t="n">
        <v>2030</v>
      </c>
      <c r="Q614" t="n">
        <v>0.3171</v>
      </c>
      <c r="R614" t="n">
        <v>401.7335</v>
      </c>
      <c r="S614" t="n">
        <v>0.00029221</v>
      </c>
      <c r="T614" t="n">
        <v>0.00017343</v>
      </c>
    </row>
    <row r="615">
      <c r="A615" t="inlineStr">
        <is>
          <t>SUP-0062</t>
        </is>
      </c>
      <c r="B615" t="inlineStr">
        <is>
          <t>Textiles Supplier 062</t>
        </is>
      </c>
      <c r="C615" t="inlineStr">
        <is>
          <t>Textiles</t>
        </is>
      </c>
      <c r="D615" t="n">
        <v>2018</v>
      </c>
      <c r="E615" t="n">
        <v>15127900.46</v>
      </c>
      <c r="F615" t="n">
        <v>87966525.38</v>
      </c>
      <c r="G615" t="inlineStr"/>
      <c r="H615" t="n">
        <v>890.7066</v>
      </c>
      <c r="I615" t="n">
        <v>454.0585</v>
      </c>
      <c r="J615" t="n">
        <v>2639.8763</v>
      </c>
      <c r="K615" t="n">
        <v>2018</v>
      </c>
      <c r="L615" t="n">
        <v>2030</v>
      </c>
      <c r="M615" t="n">
        <v>0.5281</v>
      </c>
      <c r="N615" t="n">
        <v>0.1906</v>
      </c>
      <c r="O615" t="n">
        <v>2019</v>
      </c>
      <c r="P615" t="n">
        <v>2030</v>
      </c>
      <c r="Q615" t="n">
        <v>0.3171</v>
      </c>
      <c r="R615" t="n">
        <v>401.7335</v>
      </c>
      <c r="S615" t="n">
        <v>0.00029221</v>
      </c>
      <c r="T615" t="n">
        <v>0.00017343</v>
      </c>
    </row>
    <row r="616">
      <c r="A616" t="inlineStr">
        <is>
          <t>SUP-0062</t>
        </is>
      </c>
      <c r="B616" t="inlineStr">
        <is>
          <t>Textiles Supplier 062</t>
        </is>
      </c>
      <c r="C616" t="inlineStr">
        <is>
          <t>Textiles</t>
        </is>
      </c>
      <c r="D616" t="n">
        <v>2019</v>
      </c>
      <c r="E616" t="inlineStr"/>
      <c r="F616" t="n">
        <v>80691855.39</v>
      </c>
      <c r="G616" t="inlineStr"/>
      <c r="H616" t="n">
        <v>570.1550999999999</v>
      </c>
      <c r="I616" t="n">
        <v>350.3033</v>
      </c>
      <c r="J616" t="n">
        <v>2331.6743</v>
      </c>
      <c r="K616" t="n">
        <v>2018</v>
      </c>
      <c r="L616" t="n">
        <v>2030</v>
      </c>
      <c r="M616" t="n">
        <v>0.5281</v>
      </c>
      <c r="N616" t="n">
        <v>0.1906</v>
      </c>
      <c r="O616" t="n">
        <v>2019</v>
      </c>
      <c r="P616" t="n">
        <v>2030</v>
      </c>
      <c r="Q616" t="n">
        <v>0.3171</v>
      </c>
      <c r="R616" t="n">
        <v>401.7335</v>
      </c>
      <c r="S616" t="n">
        <v>0.00029221</v>
      </c>
      <c r="T616" t="n">
        <v>0.00017343</v>
      </c>
    </row>
    <row r="617">
      <c r="A617" t="inlineStr">
        <is>
          <t>SUP-0062</t>
        </is>
      </c>
      <c r="B617" t="inlineStr">
        <is>
          <t>Textiles Supplier 062</t>
        </is>
      </c>
      <c r="C617" t="inlineStr">
        <is>
          <t>Textiles</t>
        </is>
      </c>
      <c r="D617" t="n">
        <v>2020</v>
      </c>
      <c r="E617" t="inlineStr"/>
      <c r="F617" t="n">
        <v>100241001.25</v>
      </c>
      <c r="G617" t="n">
        <v>3975.1238</v>
      </c>
      <c r="H617" t="n">
        <v>1074.4968</v>
      </c>
      <c r="I617" t="n">
        <v>427.0431</v>
      </c>
      <c r="J617" t="n">
        <v>2533.2659</v>
      </c>
      <c r="K617" t="n">
        <v>2018</v>
      </c>
      <c r="L617" t="n">
        <v>2030</v>
      </c>
      <c r="M617" t="n">
        <v>0.5281</v>
      </c>
      <c r="N617" t="n">
        <v>0.1906</v>
      </c>
      <c r="O617" t="n">
        <v>2019</v>
      </c>
      <c r="P617" t="n">
        <v>2030</v>
      </c>
      <c r="Q617" t="n">
        <v>0.3171</v>
      </c>
      <c r="R617" t="n">
        <v>401.7335</v>
      </c>
      <c r="S617" t="n">
        <v>0.00029221</v>
      </c>
      <c r="T617" t="n">
        <v>0.00017343</v>
      </c>
    </row>
    <row r="618">
      <c r="A618" t="inlineStr">
        <is>
          <t>SUP-0062</t>
        </is>
      </c>
      <c r="B618" t="inlineStr">
        <is>
          <t>Textiles Supplier 062</t>
        </is>
      </c>
      <c r="C618" t="inlineStr">
        <is>
          <t>Textiles</t>
        </is>
      </c>
      <c r="D618" t="n">
        <v>2021</v>
      </c>
      <c r="E618" t="n">
        <v>15201834.63</v>
      </c>
      <c r="F618" t="n">
        <v>84211455.25</v>
      </c>
      <c r="G618" t="n">
        <v>4206.9034</v>
      </c>
      <c r="H618" t="n">
        <v>814.4355</v>
      </c>
      <c r="I618" t="inlineStr"/>
      <c r="J618" t="n">
        <v>2476.4337</v>
      </c>
      <c r="K618" t="n">
        <v>2018</v>
      </c>
      <c r="L618" t="n">
        <v>2030</v>
      </c>
      <c r="M618" t="n">
        <v>0.5281</v>
      </c>
      <c r="N618" t="n">
        <v>0.1906</v>
      </c>
      <c r="O618" t="n">
        <v>2019</v>
      </c>
      <c r="P618" t="n">
        <v>2030</v>
      </c>
      <c r="Q618" t="n">
        <v>0.3171</v>
      </c>
      <c r="R618" t="n">
        <v>401.7335</v>
      </c>
      <c r="S618" t="n">
        <v>0.00029221</v>
      </c>
      <c r="T618" t="n">
        <v>0.00017343</v>
      </c>
    </row>
    <row r="619">
      <c r="A619" t="inlineStr">
        <is>
          <t>SUP-0062</t>
        </is>
      </c>
      <c r="B619" t="inlineStr">
        <is>
          <t>Textiles Supplier 062</t>
        </is>
      </c>
      <c r="C619" t="inlineStr">
        <is>
          <t>Textiles</t>
        </is>
      </c>
      <c r="D619" t="n">
        <v>2022</v>
      </c>
      <c r="E619" t="n">
        <v>13541908.89</v>
      </c>
      <c r="F619" t="n">
        <v>83845542.34999999</v>
      </c>
      <c r="G619" t="n">
        <v>2968.2389</v>
      </c>
      <c r="H619" t="n">
        <v>709.6574000000001</v>
      </c>
      <c r="I619" t="inlineStr"/>
      <c r="J619" t="n">
        <v>1542.8151</v>
      </c>
      <c r="K619" t="n">
        <v>2018</v>
      </c>
      <c r="L619" t="n">
        <v>2030</v>
      </c>
      <c r="M619" t="n">
        <v>0.5281</v>
      </c>
      <c r="N619" t="n">
        <v>0.1906</v>
      </c>
      <c r="O619" t="n">
        <v>2019</v>
      </c>
      <c r="P619" t="n">
        <v>2030</v>
      </c>
      <c r="Q619" t="n">
        <v>0.3171</v>
      </c>
      <c r="R619" t="n">
        <v>401.7335</v>
      </c>
      <c r="S619" t="n">
        <v>0.00029221</v>
      </c>
      <c r="T619" t="n">
        <v>0.00017343</v>
      </c>
    </row>
    <row r="620">
      <c r="A620" t="inlineStr">
        <is>
          <t>SUP-0062</t>
        </is>
      </c>
      <c r="B620" t="inlineStr">
        <is>
          <t>Textiles Supplier 062</t>
        </is>
      </c>
      <c r="C620" t="inlineStr">
        <is>
          <t>Textiles</t>
        </is>
      </c>
      <c r="D620" t="n">
        <v>2023</v>
      </c>
      <c r="E620" t="n">
        <v>13780534.29</v>
      </c>
      <c r="F620" t="n">
        <v>91786210.48</v>
      </c>
      <c r="G620" t="inlineStr"/>
      <c r="H620" t="n">
        <v>473.4247</v>
      </c>
      <c r="I620" t="n">
        <v>614.5122</v>
      </c>
      <c r="J620" t="n">
        <v>1714.4504</v>
      </c>
      <c r="K620" t="n">
        <v>2018</v>
      </c>
      <c r="L620" t="n">
        <v>2030</v>
      </c>
      <c r="M620" t="n">
        <v>0.5281</v>
      </c>
      <c r="N620" t="n">
        <v>0.1906</v>
      </c>
      <c r="O620" t="n">
        <v>2019</v>
      </c>
      <c r="P620" t="n">
        <v>2030</v>
      </c>
      <c r="Q620" t="n">
        <v>0.3171</v>
      </c>
      <c r="R620" t="n">
        <v>401.7335</v>
      </c>
      <c r="S620" t="n">
        <v>0.00029221</v>
      </c>
      <c r="T620" t="n">
        <v>0.00017343</v>
      </c>
    </row>
    <row r="621">
      <c r="A621" t="inlineStr">
        <is>
          <t>SUP-0062</t>
        </is>
      </c>
      <c r="B621" t="inlineStr">
        <is>
          <t>Textiles Supplier 062</t>
        </is>
      </c>
      <c r="C621" t="inlineStr">
        <is>
          <t>Textiles</t>
        </is>
      </c>
      <c r="D621" t="n">
        <v>2024</v>
      </c>
      <c r="E621" t="n">
        <v>13738661.39</v>
      </c>
      <c r="F621" t="n">
        <v>94674571.62</v>
      </c>
      <c r="G621" t="inlineStr"/>
      <c r="H621" t="n">
        <v>812.8335</v>
      </c>
      <c r="I621" t="n">
        <v>264.4192</v>
      </c>
      <c r="J621" t="n">
        <v>1830.3096</v>
      </c>
      <c r="K621" t="n">
        <v>2018</v>
      </c>
      <c r="L621" t="n">
        <v>2030</v>
      </c>
      <c r="M621" t="n">
        <v>0.5281</v>
      </c>
      <c r="N621" t="n">
        <v>0.1906</v>
      </c>
      <c r="O621" t="n">
        <v>2019</v>
      </c>
      <c r="P621" t="n">
        <v>2030</v>
      </c>
      <c r="Q621" t="n">
        <v>0.3171</v>
      </c>
      <c r="R621" t="n">
        <v>401.7335</v>
      </c>
      <c r="S621" t="n">
        <v>0.00029221</v>
      </c>
      <c r="T621" t="n">
        <v>0.00017343</v>
      </c>
    </row>
    <row r="622">
      <c r="A622" t="inlineStr">
        <is>
          <t>SUP-0063</t>
        </is>
      </c>
      <c r="B622" t="inlineStr">
        <is>
          <t>Chemicals Supplier 063</t>
        </is>
      </c>
      <c r="C622" t="inlineStr">
        <is>
          <t>Chemicals</t>
        </is>
      </c>
      <c r="D622" t="n">
        <v>2015</v>
      </c>
      <c r="E622" t="n">
        <v>24219529.5</v>
      </c>
      <c r="F622" t="n">
        <v>171060225.81</v>
      </c>
      <c r="G622" t="inlineStr"/>
      <c r="H622" t="n">
        <v>3087.4729</v>
      </c>
      <c r="I622" t="n">
        <v>2146.1473</v>
      </c>
      <c r="J622" t="n">
        <v>15054.9103</v>
      </c>
      <c r="K622" t="n">
        <v>2020</v>
      </c>
      <c r="L622" t="n">
        <v>2030</v>
      </c>
      <c r="M622" t="n">
        <v>0.5004</v>
      </c>
      <c r="N622" t="n">
        <v>0.1931</v>
      </c>
      <c r="O622" t="n">
        <v>2019</v>
      </c>
      <c r="P622" t="n">
        <v>2035</v>
      </c>
      <c r="Q622" t="n">
        <v>0.5229</v>
      </c>
      <c r="R622" t="n">
        <v>506.3191</v>
      </c>
      <c r="S622" t="n">
        <v>0.00100149</v>
      </c>
      <c r="T622" t="n">
        <v>0.00047124</v>
      </c>
    </row>
    <row r="623">
      <c r="A623" t="inlineStr">
        <is>
          <t>SUP-0063</t>
        </is>
      </c>
      <c r="B623" t="inlineStr">
        <is>
          <t>Chemicals Supplier 063</t>
        </is>
      </c>
      <c r="C623" t="inlineStr">
        <is>
          <t>Chemicals</t>
        </is>
      </c>
      <c r="D623" t="n">
        <v>2016</v>
      </c>
      <c r="E623" t="n">
        <v>23400622.18</v>
      </c>
      <c r="F623" t="n">
        <v>144429915.64</v>
      </c>
      <c r="G623" t="n">
        <v>18742.4425</v>
      </c>
      <c r="H623" t="n">
        <v>2832.9801</v>
      </c>
      <c r="I623" t="n">
        <v>3488.0682</v>
      </c>
      <c r="J623" t="inlineStr"/>
      <c r="K623" t="n">
        <v>2020</v>
      </c>
      <c r="L623" t="n">
        <v>2030</v>
      </c>
      <c r="M623" t="n">
        <v>0.5004</v>
      </c>
      <c r="N623" t="n">
        <v>0.1931</v>
      </c>
      <c r="O623" t="n">
        <v>2019</v>
      </c>
      <c r="P623" t="n">
        <v>2035</v>
      </c>
      <c r="Q623" t="n">
        <v>0.5229</v>
      </c>
      <c r="R623" t="n">
        <v>506.3191</v>
      </c>
      <c r="S623" t="n">
        <v>0.00100149</v>
      </c>
      <c r="T623" t="n">
        <v>0.00047124</v>
      </c>
    </row>
    <row r="624">
      <c r="A624" t="inlineStr">
        <is>
          <t>SUP-0063</t>
        </is>
      </c>
      <c r="B624" t="inlineStr">
        <is>
          <t>Chemicals Supplier 063</t>
        </is>
      </c>
      <c r="C624" t="inlineStr">
        <is>
          <t>Chemicals</t>
        </is>
      </c>
      <c r="D624" t="n">
        <v>2017</v>
      </c>
      <c r="E624" t="n">
        <v>23995147.72</v>
      </c>
      <c r="F624" t="n">
        <v>147853634.46</v>
      </c>
      <c r="G624" t="inlineStr"/>
      <c r="H624" t="n">
        <v>6078.4951</v>
      </c>
      <c r="I624" t="n">
        <v>2836.1108</v>
      </c>
      <c r="J624" t="n">
        <v>18739.3814</v>
      </c>
      <c r="K624" t="n">
        <v>2020</v>
      </c>
      <c r="L624" t="n">
        <v>2030</v>
      </c>
      <c r="M624" t="n">
        <v>0.5004</v>
      </c>
      <c r="N624" t="n">
        <v>0.1931</v>
      </c>
      <c r="O624" t="n">
        <v>2019</v>
      </c>
      <c r="P624" t="n">
        <v>2035</v>
      </c>
      <c r="Q624" t="n">
        <v>0.5229</v>
      </c>
      <c r="R624" t="n">
        <v>506.3191</v>
      </c>
      <c r="S624" t="n">
        <v>0.00100149</v>
      </c>
      <c r="T624" t="n">
        <v>0.00047124</v>
      </c>
    </row>
    <row r="625">
      <c r="A625" t="inlineStr">
        <is>
          <t>SUP-0063</t>
        </is>
      </c>
      <c r="B625" t="inlineStr">
        <is>
          <t>Chemicals Supplier 063</t>
        </is>
      </c>
      <c r="C625" t="inlineStr">
        <is>
          <t>Chemicals</t>
        </is>
      </c>
      <c r="D625" t="n">
        <v>2018</v>
      </c>
      <c r="E625" t="n">
        <v>26498914.45</v>
      </c>
      <c r="F625" t="n">
        <v>205021976.93</v>
      </c>
      <c r="G625" t="n">
        <v>26524.8468</v>
      </c>
      <c r="H625" t="n">
        <v>4830.5298</v>
      </c>
      <c r="I625" t="n">
        <v>5706.3054</v>
      </c>
      <c r="J625" t="n">
        <v>17004.2502</v>
      </c>
      <c r="K625" t="n">
        <v>2020</v>
      </c>
      <c r="L625" t="n">
        <v>2030</v>
      </c>
      <c r="M625" t="n">
        <v>0.5004</v>
      </c>
      <c r="N625" t="n">
        <v>0.1931</v>
      </c>
      <c r="O625" t="n">
        <v>2019</v>
      </c>
      <c r="P625" t="n">
        <v>2035</v>
      </c>
      <c r="Q625" t="n">
        <v>0.5229</v>
      </c>
      <c r="R625" t="n">
        <v>506.3191</v>
      </c>
      <c r="S625" t="n">
        <v>0.00100149</v>
      </c>
      <c r="T625" t="n">
        <v>0.00047124</v>
      </c>
    </row>
    <row r="626">
      <c r="A626" t="inlineStr">
        <is>
          <t>SUP-0063</t>
        </is>
      </c>
      <c r="B626" t="inlineStr">
        <is>
          <t>Chemicals Supplier 063</t>
        </is>
      </c>
      <c r="C626" t="inlineStr">
        <is>
          <t>Chemicals</t>
        </is>
      </c>
      <c r="D626" t="n">
        <v>2019</v>
      </c>
      <c r="E626" t="n">
        <v>28379430.16</v>
      </c>
      <c r="F626" t="n">
        <v>131953920.57</v>
      </c>
      <c r="G626" t="inlineStr"/>
      <c r="H626" t="n">
        <v>5149.8342</v>
      </c>
      <c r="I626" t="n">
        <v>4904.7155</v>
      </c>
      <c r="J626" t="n">
        <v>14674.0515</v>
      </c>
      <c r="K626" t="n">
        <v>2020</v>
      </c>
      <c r="L626" t="n">
        <v>2030</v>
      </c>
      <c r="M626" t="n">
        <v>0.5004</v>
      </c>
      <c r="N626" t="n">
        <v>0.1931</v>
      </c>
      <c r="O626" t="n">
        <v>2019</v>
      </c>
      <c r="P626" t="n">
        <v>2035</v>
      </c>
      <c r="Q626" t="n">
        <v>0.5229</v>
      </c>
      <c r="R626" t="n">
        <v>506.3191</v>
      </c>
      <c r="S626" t="n">
        <v>0.00100149</v>
      </c>
      <c r="T626" t="n">
        <v>0.00047124</v>
      </c>
    </row>
    <row r="627">
      <c r="A627" t="inlineStr">
        <is>
          <t>SUP-0063</t>
        </is>
      </c>
      <c r="B627" t="inlineStr">
        <is>
          <t>Chemicals Supplier 063</t>
        </is>
      </c>
      <c r="C627" t="inlineStr">
        <is>
          <t>Chemicals</t>
        </is>
      </c>
      <c r="D627" t="n">
        <v>2020</v>
      </c>
      <c r="E627" t="n">
        <v>27419403.16</v>
      </c>
      <c r="F627" t="n">
        <v>215777161.3</v>
      </c>
      <c r="G627" t="n">
        <v>23254.7308</v>
      </c>
      <c r="H627" t="n">
        <v>3759.0268</v>
      </c>
      <c r="I627" t="n">
        <v>3623.5858</v>
      </c>
      <c r="J627" t="n">
        <v>16245.5145</v>
      </c>
      <c r="K627" t="n">
        <v>2020</v>
      </c>
      <c r="L627" t="n">
        <v>2030</v>
      </c>
      <c r="M627" t="n">
        <v>0.5004</v>
      </c>
      <c r="N627" t="n">
        <v>0.1931</v>
      </c>
      <c r="O627" t="n">
        <v>2019</v>
      </c>
      <c r="P627" t="n">
        <v>2035</v>
      </c>
      <c r="Q627" t="n">
        <v>0.5229</v>
      </c>
      <c r="R627" t="n">
        <v>506.3191</v>
      </c>
      <c r="S627" t="n">
        <v>0.00100149</v>
      </c>
      <c r="T627" t="n">
        <v>0.00047124</v>
      </c>
    </row>
    <row r="628">
      <c r="A628" t="inlineStr">
        <is>
          <t>SUP-0063</t>
        </is>
      </c>
      <c r="B628" t="inlineStr">
        <is>
          <t>Chemicals Supplier 063</t>
        </is>
      </c>
      <c r="C628" t="inlineStr">
        <is>
          <t>Chemicals</t>
        </is>
      </c>
      <c r="D628" t="n">
        <v>2021</v>
      </c>
      <c r="E628" t="n">
        <v>26449072.67</v>
      </c>
      <c r="F628" t="n">
        <v>174295588.51</v>
      </c>
      <c r="G628" t="inlineStr"/>
      <c r="H628" t="n">
        <v>2821.8807</v>
      </c>
      <c r="I628" t="n">
        <v>3946.6889</v>
      </c>
      <c r="J628" t="n">
        <v>21401.7747</v>
      </c>
      <c r="K628" t="n">
        <v>2020</v>
      </c>
      <c r="L628" t="n">
        <v>2030</v>
      </c>
      <c r="M628" t="n">
        <v>0.5004</v>
      </c>
      <c r="N628" t="n">
        <v>0.1931</v>
      </c>
      <c r="O628" t="n">
        <v>2019</v>
      </c>
      <c r="P628" t="n">
        <v>2035</v>
      </c>
      <c r="Q628" t="n">
        <v>0.5229</v>
      </c>
      <c r="R628" t="n">
        <v>506.3191</v>
      </c>
      <c r="S628" t="n">
        <v>0.00100149</v>
      </c>
      <c r="T628" t="n">
        <v>0.00047124</v>
      </c>
    </row>
    <row r="629">
      <c r="A629" t="inlineStr">
        <is>
          <t>SUP-0063</t>
        </is>
      </c>
      <c r="B629" t="inlineStr">
        <is>
          <t>Chemicals Supplier 063</t>
        </is>
      </c>
      <c r="C629" t="inlineStr">
        <is>
          <t>Chemicals</t>
        </is>
      </c>
      <c r="D629" t="n">
        <v>2022</v>
      </c>
      <c r="E629" t="n">
        <v>27562156.17</v>
      </c>
      <c r="F629" t="n">
        <v>191232438.82</v>
      </c>
      <c r="G629" t="inlineStr"/>
      <c r="H629" t="n">
        <v>3937.5463</v>
      </c>
      <c r="I629" t="n">
        <v>2198.9643</v>
      </c>
      <c r="J629" t="inlineStr"/>
      <c r="K629" t="n">
        <v>2020</v>
      </c>
      <c r="L629" t="n">
        <v>2030</v>
      </c>
      <c r="M629" t="n">
        <v>0.5004</v>
      </c>
      <c r="N629" t="n">
        <v>0.1931</v>
      </c>
      <c r="O629" t="n">
        <v>2019</v>
      </c>
      <c r="P629" t="n">
        <v>2035</v>
      </c>
      <c r="Q629" t="n">
        <v>0.5229</v>
      </c>
      <c r="R629" t="n">
        <v>506.3191</v>
      </c>
      <c r="S629" t="n">
        <v>0.00100149</v>
      </c>
      <c r="T629" t="n">
        <v>0.00047124</v>
      </c>
    </row>
    <row r="630">
      <c r="A630" t="inlineStr">
        <is>
          <t>SUP-0063</t>
        </is>
      </c>
      <c r="B630" t="inlineStr">
        <is>
          <t>Chemicals Supplier 063</t>
        </is>
      </c>
      <c r="C630" t="inlineStr">
        <is>
          <t>Chemicals</t>
        </is>
      </c>
      <c r="D630" t="n">
        <v>2023</v>
      </c>
      <c r="E630" t="n">
        <v>31804065.31</v>
      </c>
      <c r="F630" t="n">
        <v>198317977.3</v>
      </c>
      <c r="G630" t="n">
        <v>34325.9246</v>
      </c>
      <c r="H630" t="n">
        <v>5522.3173</v>
      </c>
      <c r="I630" t="inlineStr"/>
      <c r="J630" t="n">
        <v>22990.8061</v>
      </c>
      <c r="K630" t="n">
        <v>2020</v>
      </c>
      <c r="L630" t="n">
        <v>2030</v>
      </c>
      <c r="M630" t="n">
        <v>0.5004</v>
      </c>
      <c r="N630" t="n">
        <v>0.1931</v>
      </c>
      <c r="O630" t="n">
        <v>2019</v>
      </c>
      <c r="P630" t="n">
        <v>2035</v>
      </c>
      <c r="Q630" t="n">
        <v>0.5229</v>
      </c>
      <c r="R630" t="n">
        <v>506.3191</v>
      </c>
      <c r="S630" t="n">
        <v>0.00100149</v>
      </c>
      <c r="T630" t="n">
        <v>0.00047124</v>
      </c>
    </row>
    <row r="631">
      <c r="A631" t="inlineStr">
        <is>
          <t>SUP-0063</t>
        </is>
      </c>
      <c r="B631" t="inlineStr">
        <is>
          <t>Chemicals Supplier 063</t>
        </is>
      </c>
      <c r="C631" t="inlineStr">
        <is>
          <t>Chemicals</t>
        </is>
      </c>
      <c r="D631" t="n">
        <v>2024</v>
      </c>
      <c r="E631" t="n">
        <v>30605767</v>
      </c>
      <c r="F631" t="n">
        <v>286220134.32</v>
      </c>
      <c r="G631" t="inlineStr"/>
      <c r="H631" t="n">
        <v>8519.0365</v>
      </c>
      <c r="I631" t="inlineStr"/>
      <c r="J631" t="n">
        <v>20099.7406</v>
      </c>
      <c r="K631" t="n">
        <v>2020</v>
      </c>
      <c r="L631" t="n">
        <v>2030</v>
      </c>
      <c r="M631" t="n">
        <v>0.5004</v>
      </c>
      <c r="N631" t="n">
        <v>0.1931</v>
      </c>
      <c r="O631" t="n">
        <v>2019</v>
      </c>
      <c r="P631" t="n">
        <v>2035</v>
      </c>
      <c r="Q631" t="n">
        <v>0.5229</v>
      </c>
      <c r="R631" t="n">
        <v>506.3191</v>
      </c>
      <c r="S631" t="n">
        <v>0.00100149</v>
      </c>
      <c r="T631" t="n">
        <v>0.00047124</v>
      </c>
    </row>
    <row r="632">
      <c r="A632" t="inlineStr">
        <is>
          <t>SUP-0064</t>
        </is>
      </c>
      <c r="B632" t="inlineStr">
        <is>
          <t>Metals Supplier 064</t>
        </is>
      </c>
      <c r="C632" t="inlineStr">
        <is>
          <t>Metals</t>
        </is>
      </c>
      <c r="D632" t="n">
        <v>2015</v>
      </c>
      <c r="E632" t="inlineStr"/>
      <c r="F632" t="n">
        <v>154530235.85</v>
      </c>
      <c r="G632" t="inlineStr"/>
      <c r="H632" t="n">
        <v>4286.0594</v>
      </c>
      <c r="I632" t="n">
        <v>1678.1585</v>
      </c>
      <c r="J632" t="inlineStr"/>
      <c r="K632" t="inlineStr"/>
      <c r="L632" t="inlineStr"/>
      <c r="M632" t="inlineStr"/>
      <c r="N632" t="inlineStr"/>
      <c r="O632" t="n">
        <v>2019</v>
      </c>
      <c r="P632" t="n">
        <v>2030</v>
      </c>
      <c r="Q632" t="n">
        <v>0.3852</v>
      </c>
      <c r="R632" t="n">
        <v>158.2904</v>
      </c>
      <c r="S632" t="n">
        <v>0.00100695</v>
      </c>
      <c r="T632" t="n">
        <v>0.00065008</v>
      </c>
    </row>
    <row r="633">
      <c r="A633" t="inlineStr">
        <is>
          <t>SUP-0064</t>
        </is>
      </c>
      <c r="B633" t="inlineStr">
        <is>
          <t>Metals Supplier 064</t>
        </is>
      </c>
      <c r="C633" t="inlineStr">
        <is>
          <t>Metals</t>
        </is>
      </c>
      <c r="D633" t="n">
        <v>2016</v>
      </c>
      <c r="E633" t="n">
        <v>20035486.24</v>
      </c>
      <c r="F633" t="n">
        <v>154865873.71</v>
      </c>
      <c r="G633" t="n">
        <v>22873.5197</v>
      </c>
      <c r="H633" t="n">
        <v>5215.2291</v>
      </c>
      <c r="I633" t="n">
        <v>2224.3237</v>
      </c>
      <c r="J633" t="inlineStr"/>
      <c r="K633" t="inlineStr"/>
      <c r="L633" t="inlineStr"/>
      <c r="M633" t="inlineStr"/>
      <c r="N633" t="inlineStr"/>
      <c r="O633" t="n">
        <v>2019</v>
      </c>
      <c r="P633" t="n">
        <v>2030</v>
      </c>
      <c r="Q633" t="n">
        <v>0.3852</v>
      </c>
      <c r="R633" t="n">
        <v>158.2904</v>
      </c>
      <c r="S633" t="n">
        <v>0.00100695</v>
      </c>
      <c r="T633" t="n">
        <v>0.00065008</v>
      </c>
    </row>
    <row r="634">
      <c r="A634" t="inlineStr">
        <is>
          <t>SUP-0064</t>
        </is>
      </c>
      <c r="B634" t="inlineStr">
        <is>
          <t>Metals Supplier 064</t>
        </is>
      </c>
      <c r="C634" t="inlineStr">
        <is>
          <t>Metals</t>
        </is>
      </c>
      <c r="D634" t="n">
        <v>2017</v>
      </c>
      <c r="E634" t="n">
        <v>19108316.55</v>
      </c>
      <c r="F634" t="n">
        <v>161729508.3</v>
      </c>
      <c r="G634" t="n">
        <v>21403.8</v>
      </c>
      <c r="H634" t="inlineStr"/>
      <c r="I634" t="n">
        <v>4658.0214</v>
      </c>
      <c r="J634" t="n">
        <v>12629.2008</v>
      </c>
      <c r="K634" t="inlineStr"/>
      <c r="L634" t="inlineStr"/>
      <c r="M634" t="inlineStr"/>
      <c r="N634" t="inlineStr"/>
      <c r="O634" t="n">
        <v>2019</v>
      </c>
      <c r="P634" t="n">
        <v>2030</v>
      </c>
      <c r="Q634" t="n">
        <v>0.3852</v>
      </c>
      <c r="R634" t="n">
        <v>158.2904</v>
      </c>
      <c r="S634" t="n">
        <v>0.00100695</v>
      </c>
      <c r="T634" t="n">
        <v>0.00065008</v>
      </c>
    </row>
    <row r="635">
      <c r="A635" t="inlineStr">
        <is>
          <t>SUP-0064</t>
        </is>
      </c>
      <c r="B635" t="inlineStr">
        <is>
          <t>Metals Supplier 064</t>
        </is>
      </c>
      <c r="C635" t="inlineStr">
        <is>
          <t>Metals</t>
        </is>
      </c>
      <c r="D635" t="n">
        <v>2018</v>
      </c>
      <c r="E635" t="n">
        <v>21623136.43</v>
      </c>
      <c r="F635" t="n">
        <v>181044907.41</v>
      </c>
      <c r="G635" t="inlineStr"/>
      <c r="H635" t="n">
        <v>3705.0532</v>
      </c>
      <c r="I635" t="inlineStr"/>
      <c r="J635" t="n">
        <v>12378.0447</v>
      </c>
      <c r="K635" t="inlineStr"/>
      <c r="L635" t="inlineStr"/>
      <c r="M635" t="inlineStr"/>
      <c r="N635" t="inlineStr"/>
      <c r="O635" t="n">
        <v>2019</v>
      </c>
      <c r="P635" t="n">
        <v>2030</v>
      </c>
      <c r="Q635" t="n">
        <v>0.3852</v>
      </c>
      <c r="R635" t="n">
        <v>158.2904</v>
      </c>
      <c r="S635" t="n">
        <v>0.00100695</v>
      </c>
      <c r="T635" t="n">
        <v>0.00065008</v>
      </c>
    </row>
    <row r="636">
      <c r="A636" t="inlineStr">
        <is>
          <t>SUP-0064</t>
        </is>
      </c>
      <c r="B636" t="inlineStr">
        <is>
          <t>Metals Supplier 064</t>
        </is>
      </c>
      <c r="C636" t="inlineStr">
        <is>
          <t>Metals</t>
        </is>
      </c>
      <c r="D636" t="n">
        <v>2019</v>
      </c>
      <c r="E636" t="n">
        <v>20821922.06</v>
      </c>
      <c r="F636" t="n">
        <v>166429613.16</v>
      </c>
      <c r="G636" t="inlineStr"/>
      <c r="H636" t="n">
        <v>1668.0088</v>
      </c>
      <c r="I636" t="n">
        <v>2608.989</v>
      </c>
      <c r="J636" t="n">
        <v>12088.6005</v>
      </c>
      <c r="K636" t="inlineStr"/>
      <c r="L636" t="inlineStr"/>
      <c r="M636" t="inlineStr"/>
      <c r="N636" t="inlineStr"/>
      <c r="O636" t="n">
        <v>2019</v>
      </c>
      <c r="P636" t="n">
        <v>2030</v>
      </c>
      <c r="Q636" t="n">
        <v>0.3852</v>
      </c>
      <c r="R636" t="n">
        <v>158.2904</v>
      </c>
      <c r="S636" t="n">
        <v>0.00100695</v>
      </c>
      <c r="T636" t="n">
        <v>0.00065008</v>
      </c>
    </row>
    <row r="637">
      <c r="A637" t="inlineStr">
        <is>
          <t>SUP-0064</t>
        </is>
      </c>
      <c r="B637" t="inlineStr">
        <is>
          <t>Metals Supplier 064</t>
        </is>
      </c>
      <c r="C637" t="inlineStr">
        <is>
          <t>Metals</t>
        </is>
      </c>
      <c r="D637" t="n">
        <v>2020</v>
      </c>
      <c r="E637" t="n">
        <v>18312292.48</v>
      </c>
      <c r="F637" t="n">
        <v>177437983.5</v>
      </c>
      <c r="G637" t="n">
        <v>20838.0997</v>
      </c>
      <c r="H637" t="inlineStr"/>
      <c r="I637" t="n">
        <v>2246.556</v>
      </c>
      <c r="J637" t="n">
        <v>17314.4928</v>
      </c>
      <c r="K637" t="inlineStr"/>
      <c r="L637" t="inlineStr"/>
      <c r="M637" t="inlineStr"/>
      <c r="N637" t="inlineStr"/>
      <c r="O637" t="n">
        <v>2019</v>
      </c>
      <c r="P637" t="n">
        <v>2030</v>
      </c>
      <c r="Q637" t="n">
        <v>0.3852</v>
      </c>
      <c r="R637" t="n">
        <v>158.2904</v>
      </c>
      <c r="S637" t="n">
        <v>0.00100695</v>
      </c>
      <c r="T637" t="n">
        <v>0.00065008</v>
      </c>
    </row>
    <row r="638">
      <c r="A638" t="inlineStr">
        <is>
          <t>SUP-0064</t>
        </is>
      </c>
      <c r="B638" t="inlineStr">
        <is>
          <t>Metals Supplier 064</t>
        </is>
      </c>
      <c r="C638" t="inlineStr">
        <is>
          <t>Metals</t>
        </is>
      </c>
      <c r="D638" t="n">
        <v>2021</v>
      </c>
      <c r="E638" t="n">
        <v>16977456.01</v>
      </c>
      <c r="F638" t="n">
        <v>155821683.02</v>
      </c>
      <c r="G638" t="n">
        <v>19039.5857</v>
      </c>
      <c r="H638" t="n">
        <v>1688.2864</v>
      </c>
      <c r="I638" t="n">
        <v>2412.6671</v>
      </c>
      <c r="J638" t="n">
        <v>13146.2249</v>
      </c>
      <c r="K638" t="inlineStr"/>
      <c r="L638" t="inlineStr"/>
      <c r="M638" t="inlineStr"/>
      <c r="N638" t="inlineStr"/>
      <c r="O638" t="n">
        <v>2019</v>
      </c>
      <c r="P638" t="n">
        <v>2030</v>
      </c>
      <c r="Q638" t="n">
        <v>0.3852</v>
      </c>
      <c r="R638" t="n">
        <v>158.2904</v>
      </c>
      <c r="S638" t="n">
        <v>0.00100695</v>
      </c>
      <c r="T638" t="n">
        <v>0.00065008</v>
      </c>
    </row>
    <row r="639">
      <c r="A639" t="inlineStr">
        <is>
          <t>SUP-0064</t>
        </is>
      </c>
      <c r="B639" t="inlineStr">
        <is>
          <t>Metals Supplier 064</t>
        </is>
      </c>
      <c r="C639" t="inlineStr">
        <is>
          <t>Metals</t>
        </is>
      </c>
      <c r="D639" t="n">
        <v>2022</v>
      </c>
      <c r="E639" t="n">
        <v>20913405.69</v>
      </c>
      <c r="F639" t="inlineStr"/>
      <c r="G639" t="n">
        <v>20834.4189</v>
      </c>
      <c r="H639" t="inlineStr"/>
      <c r="I639" t="inlineStr"/>
      <c r="J639" t="n">
        <v>15241.0457</v>
      </c>
      <c r="K639" t="inlineStr"/>
      <c r="L639" t="inlineStr"/>
      <c r="M639" t="inlineStr"/>
      <c r="N639" t="inlineStr"/>
      <c r="O639" t="n">
        <v>2019</v>
      </c>
      <c r="P639" t="n">
        <v>2030</v>
      </c>
      <c r="Q639" t="n">
        <v>0.3852</v>
      </c>
      <c r="R639" t="n">
        <v>158.2904</v>
      </c>
      <c r="S639" t="n">
        <v>0.00100695</v>
      </c>
      <c r="T639" t="n">
        <v>0.00065008</v>
      </c>
    </row>
    <row r="640">
      <c r="A640" t="inlineStr">
        <is>
          <t>SUP-0064</t>
        </is>
      </c>
      <c r="B640" t="inlineStr">
        <is>
          <t>Metals Supplier 064</t>
        </is>
      </c>
      <c r="C640" t="inlineStr">
        <is>
          <t>Metals</t>
        </is>
      </c>
      <c r="D640" t="n">
        <v>2023</v>
      </c>
      <c r="E640" t="n">
        <v>20473773.08</v>
      </c>
      <c r="F640" t="n">
        <v>141069918.86</v>
      </c>
      <c r="G640" t="n">
        <v>21593.0856</v>
      </c>
      <c r="H640" t="inlineStr"/>
      <c r="I640" t="n">
        <v>1514.7362</v>
      </c>
      <c r="J640" t="n">
        <v>17613.2061</v>
      </c>
      <c r="K640" t="inlineStr"/>
      <c r="L640" t="inlineStr"/>
      <c r="M640" t="inlineStr"/>
      <c r="N640" t="inlineStr"/>
      <c r="O640" t="n">
        <v>2019</v>
      </c>
      <c r="P640" t="n">
        <v>2030</v>
      </c>
      <c r="Q640" t="n">
        <v>0.3852</v>
      </c>
      <c r="R640" t="n">
        <v>158.2904</v>
      </c>
      <c r="S640" t="n">
        <v>0.00100695</v>
      </c>
      <c r="T640" t="n">
        <v>0.00065008</v>
      </c>
    </row>
    <row r="641">
      <c r="A641" t="inlineStr">
        <is>
          <t>SUP-0064</t>
        </is>
      </c>
      <c r="B641" t="inlineStr">
        <is>
          <t>Metals Supplier 064</t>
        </is>
      </c>
      <c r="C641" t="inlineStr">
        <is>
          <t>Metals</t>
        </is>
      </c>
      <c r="D641" t="n">
        <v>2024</v>
      </c>
      <c r="E641" t="n">
        <v>19059648.02</v>
      </c>
      <c r="F641" t="n">
        <v>199927239.31</v>
      </c>
      <c r="G641" t="n">
        <v>18512.3188</v>
      </c>
      <c r="H641" t="n">
        <v>2048.6314</v>
      </c>
      <c r="I641" t="n">
        <v>3300.836</v>
      </c>
      <c r="J641" t="n">
        <v>11675.9642</v>
      </c>
      <c r="K641" t="inlineStr"/>
      <c r="L641" t="inlineStr"/>
      <c r="M641" t="inlineStr"/>
      <c r="N641" t="inlineStr"/>
      <c r="O641" t="n">
        <v>2019</v>
      </c>
      <c r="P641" t="n">
        <v>2030</v>
      </c>
      <c r="Q641" t="n">
        <v>0.3852</v>
      </c>
      <c r="R641" t="n">
        <v>158.2904</v>
      </c>
      <c r="S641" t="n">
        <v>0.00100695</v>
      </c>
      <c r="T641" t="n">
        <v>0.00065008</v>
      </c>
    </row>
    <row r="642">
      <c r="A642" t="inlineStr">
        <is>
          <t>SUP-0065</t>
        </is>
      </c>
      <c r="B642" t="inlineStr">
        <is>
          <t>Agriculture Supplier 065</t>
        </is>
      </c>
      <c r="C642" t="inlineStr">
        <is>
          <t>Agriculture</t>
        </is>
      </c>
      <c r="D642" t="n">
        <v>2015</v>
      </c>
      <c r="E642" t="n">
        <v>24681724.95</v>
      </c>
      <c r="F642" t="n">
        <v>194813161.03</v>
      </c>
      <c r="G642" t="n">
        <v>35744.9202</v>
      </c>
      <c r="H642" t="inlineStr"/>
      <c r="I642" t="n">
        <v>5251.7765</v>
      </c>
      <c r="J642" t="n">
        <v>24078.3132</v>
      </c>
      <c r="K642" t="n">
        <v>2018</v>
      </c>
      <c r="L642" t="n">
        <v>2035</v>
      </c>
      <c r="M642" t="n">
        <v>0.42</v>
      </c>
      <c r="N642" t="n">
        <v>0.2167</v>
      </c>
      <c r="O642" t="n">
        <v>2018</v>
      </c>
      <c r="P642" t="inlineStr"/>
      <c r="Q642" t="inlineStr"/>
      <c r="R642" t="n">
        <v>529.8294</v>
      </c>
      <c r="S642" t="n">
        <v>0.00091413</v>
      </c>
      <c r="T642" t="n">
        <v>0.00096913</v>
      </c>
    </row>
    <row r="643">
      <c r="A643" t="inlineStr">
        <is>
          <t>SUP-0065</t>
        </is>
      </c>
      <c r="B643" t="inlineStr">
        <is>
          <t>Agriculture Supplier 065</t>
        </is>
      </c>
      <c r="C643" t="inlineStr">
        <is>
          <t>Agriculture</t>
        </is>
      </c>
      <c r="D643" t="n">
        <v>2016</v>
      </c>
      <c r="E643" t="n">
        <v>32609131.11</v>
      </c>
      <c r="F643" t="n">
        <v>209602826.24</v>
      </c>
      <c r="G643" t="n">
        <v>35011.0918</v>
      </c>
      <c r="H643" t="n">
        <v>7324.9886</v>
      </c>
      <c r="I643" t="inlineStr"/>
      <c r="J643" t="inlineStr"/>
      <c r="K643" t="n">
        <v>2018</v>
      </c>
      <c r="L643" t="n">
        <v>2035</v>
      </c>
      <c r="M643" t="n">
        <v>0.42</v>
      </c>
      <c r="N643" t="n">
        <v>0.2167</v>
      </c>
      <c r="O643" t="n">
        <v>2018</v>
      </c>
      <c r="P643" t="inlineStr"/>
      <c r="Q643" t="inlineStr"/>
      <c r="R643" t="n">
        <v>529.8294</v>
      </c>
      <c r="S643" t="n">
        <v>0.00091413</v>
      </c>
      <c r="T643" t="n">
        <v>0.00096913</v>
      </c>
    </row>
    <row r="644">
      <c r="A644" t="inlineStr">
        <is>
          <t>SUP-0065</t>
        </is>
      </c>
      <c r="B644" t="inlineStr">
        <is>
          <t>Agriculture Supplier 065</t>
        </is>
      </c>
      <c r="C644" t="inlineStr">
        <is>
          <t>Agriculture</t>
        </is>
      </c>
      <c r="D644" t="n">
        <v>2017</v>
      </c>
      <c r="E644" t="inlineStr"/>
      <c r="F644" t="n">
        <v>242623371.63</v>
      </c>
      <c r="G644" t="n">
        <v>33876.7693</v>
      </c>
      <c r="H644" t="n">
        <v>4864.8661</v>
      </c>
      <c r="I644" t="inlineStr"/>
      <c r="J644" t="n">
        <v>27691.3422</v>
      </c>
      <c r="K644" t="n">
        <v>2018</v>
      </c>
      <c r="L644" t="n">
        <v>2035</v>
      </c>
      <c r="M644" t="n">
        <v>0.42</v>
      </c>
      <c r="N644" t="n">
        <v>0.2167</v>
      </c>
      <c r="O644" t="n">
        <v>2018</v>
      </c>
      <c r="P644" t="inlineStr"/>
      <c r="Q644" t="inlineStr"/>
      <c r="R644" t="n">
        <v>529.8294</v>
      </c>
      <c r="S644" t="n">
        <v>0.00091413</v>
      </c>
      <c r="T644" t="n">
        <v>0.00096913</v>
      </c>
    </row>
    <row r="645">
      <c r="A645" t="inlineStr">
        <is>
          <t>SUP-0065</t>
        </is>
      </c>
      <c r="B645" t="inlineStr">
        <is>
          <t>Agriculture Supplier 065</t>
        </is>
      </c>
      <c r="C645" t="inlineStr">
        <is>
          <t>Agriculture</t>
        </is>
      </c>
      <c r="D645" t="n">
        <v>2018</v>
      </c>
      <c r="E645" t="n">
        <v>28380840.96</v>
      </c>
      <c r="F645" t="n">
        <v>219236410.32</v>
      </c>
      <c r="G645" t="n">
        <v>31748.1602</v>
      </c>
      <c r="H645" t="n">
        <v>4087.2161</v>
      </c>
      <c r="I645" t="inlineStr"/>
      <c r="J645" t="n">
        <v>26021.2271</v>
      </c>
      <c r="K645" t="n">
        <v>2018</v>
      </c>
      <c r="L645" t="n">
        <v>2035</v>
      </c>
      <c r="M645" t="n">
        <v>0.42</v>
      </c>
      <c r="N645" t="n">
        <v>0.2167</v>
      </c>
      <c r="O645" t="n">
        <v>2018</v>
      </c>
      <c r="P645" t="inlineStr"/>
      <c r="Q645" t="inlineStr"/>
      <c r="R645" t="n">
        <v>529.8294</v>
      </c>
      <c r="S645" t="n">
        <v>0.00091413</v>
      </c>
      <c r="T645" t="n">
        <v>0.00096913</v>
      </c>
    </row>
    <row r="646">
      <c r="A646" t="inlineStr">
        <is>
          <t>SUP-0065</t>
        </is>
      </c>
      <c r="B646" t="inlineStr">
        <is>
          <t>Agriculture Supplier 065</t>
        </is>
      </c>
      <c r="C646" t="inlineStr">
        <is>
          <t>Agriculture</t>
        </is>
      </c>
      <c r="D646" t="n">
        <v>2019</v>
      </c>
      <c r="E646" t="n">
        <v>33750510.99</v>
      </c>
      <c r="F646" t="n">
        <v>269007327.8</v>
      </c>
      <c r="G646" t="n">
        <v>32336.4747</v>
      </c>
      <c r="H646" t="n">
        <v>3077.4832</v>
      </c>
      <c r="I646" t="n">
        <v>2362.1481</v>
      </c>
      <c r="J646" t="n">
        <v>26449.8103</v>
      </c>
      <c r="K646" t="n">
        <v>2018</v>
      </c>
      <c r="L646" t="n">
        <v>2035</v>
      </c>
      <c r="M646" t="n">
        <v>0.42</v>
      </c>
      <c r="N646" t="n">
        <v>0.2167</v>
      </c>
      <c r="O646" t="n">
        <v>2018</v>
      </c>
      <c r="P646" t="inlineStr"/>
      <c r="Q646" t="inlineStr"/>
      <c r="R646" t="n">
        <v>529.8294</v>
      </c>
      <c r="S646" t="n">
        <v>0.00091413</v>
      </c>
      <c r="T646" t="n">
        <v>0.00096913</v>
      </c>
    </row>
    <row r="647">
      <c r="A647" t="inlineStr">
        <is>
          <t>SUP-0065</t>
        </is>
      </c>
      <c r="B647" t="inlineStr">
        <is>
          <t>Agriculture Supplier 065</t>
        </is>
      </c>
      <c r="C647" t="inlineStr">
        <is>
          <t>Agriculture</t>
        </is>
      </c>
      <c r="D647" t="n">
        <v>2020</v>
      </c>
      <c r="E647" t="n">
        <v>31242710.84</v>
      </c>
      <c r="F647" t="n">
        <v>267213125.17</v>
      </c>
      <c r="G647" t="n">
        <v>34379.1504</v>
      </c>
      <c r="H647" t="n">
        <v>4901.4652</v>
      </c>
      <c r="I647" t="inlineStr"/>
      <c r="J647" t="n">
        <v>24106.5839</v>
      </c>
      <c r="K647" t="n">
        <v>2018</v>
      </c>
      <c r="L647" t="n">
        <v>2035</v>
      </c>
      <c r="M647" t="n">
        <v>0.42</v>
      </c>
      <c r="N647" t="n">
        <v>0.2167</v>
      </c>
      <c r="O647" t="n">
        <v>2018</v>
      </c>
      <c r="P647" t="inlineStr"/>
      <c r="Q647" t="inlineStr"/>
      <c r="R647" t="n">
        <v>529.8294</v>
      </c>
      <c r="S647" t="n">
        <v>0.00091413</v>
      </c>
      <c r="T647" t="n">
        <v>0.00096913</v>
      </c>
    </row>
    <row r="648">
      <c r="A648" t="inlineStr">
        <is>
          <t>SUP-0065</t>
        </is>
      </c>
      <c r="B648" t="inlineStr">
        <is>
          <t>Agriculture Supplier 065</t>
        </is>
      </c>
      <c r="C648" t="inlineStr">
        <is>
          <t>Agriculture</t>
        </is>
      </c>
      <c r="D648" t="n">
        <v>2021</v>
      </c>
      <c r="E648" t="n">
        <v>36854792.8</v>
      </c>
      <c r="F648" t="n">
        <v>325785939.5</v>
      </c>
      <c r="G648" t="n">
        <v>34167.6465</v>
      </c>
      <c r="H648" t="n">
        <v>7652.8155</v>
      </c>
      <c r="I648" t="n">
        <v>4061.3637</v>
      </c>
      <c r="J648" t="n">
        <v>23258.8211</v>
      </c>
      <c r="K648" t="n">
        <v>2018</v>
      </c>
      <c r="L648" t="n">
        <v>2035</v>
      </c>
      <c r="M648" t="n">
        <v>0.42</v>
      </c>
      <c r="N648" t="n">
        <v>0.2167</v>
      </c>
      <c r="O648" t="n">
        <v>2018</v>
      </c>
      <c r="P648" t="inlineStr"/>
      <c r="Q648" t="inlineStr"/>
      <c r="R648" t="n">
        <v>529.8294</v>
      </c>
      <c r="S648" t="n">
        <v>0.00091413</v>
      </c>
      <c r="T648" t="n">
        <v>0.00096913</v>
      </c>
    </row>
    <row r="649">
      <c r="A649" t="inlineStr">
        <is>
          <t>SUP-0065</t>
        </is>
      </c>
      <c r="B649" t="inlineStr">
        <is>
          <t>Agriculture Supplier 065</t>
        </is>
      </c>
      <c r="C649" t="inlineStr">
        <is>
          <t>Agriculture</t>
        </is>
      </c>
      <c r="D649" t="n">
        <v>2022</v>
      </c>
      <c r="E649" t="n">
        <v>36587235.06</v>
      </c>
      <c r="F649" t="n">
        <v>319793624.81</v>
      </c>
      <c r="G649" t="inlineStr"/>
      <c r="H649" t="n">
        <v>8309.758099999999</v>
      </c>
      <c r="I649" t="inlineStr"/>
      <c r="J649" t="inlineStr"/>
      <c r="K649" t="n">
        <v>2018</v>
      </c>
      <c r="L649" t="n">
        <v>2035</v>
      </c>
      <c r="M649" t="n">
        <v>0.42</v>
      </c>
      <c r="N649" t="n">
        <v>0.2167</v>
      </c>
      <c r="O649" t="n">
        <v>2018</v>
      </c>
      <c r="P649" t="inlineStr"/>
      <c r="Q649" t="inlineStr"/>
      <c r="R649" t="n">
        <v>529.8294</v>
      </c>
      <c r="S649" t="n">
        <v>0.00091413</v>
      </c>
      <c r="T649" t="n">
        <v>0.00096913</v>
      </c>
    </row>
    <row r="650">
      <c r="A650" t="inlineStr">
        <is>
          <t>SUP-0065</t>
        </is>
      </c>
      <c r="B650" t="inlineStr">
        <is>
          <t>Agriculture Supplier 065</t>
        </is>
      </c>
      <c r="C650" t="inlineStr">
        <is>
          <t>Agriculture</t>
        </is>
      </c>
      <c r="D650" t="n">
        <v>2023</v>
      </c>
      <c r="E650" t="n">
        <v>42907875.15</v>
      </c>
      <c r="F650" t="n">
        <v>287301131.36</v>
      </c>
      <c r="G650" t="n">
        <v>36624.249</v>
      </c>
      <c r="H650" t="inlineStr"/>
      <c r="I650" t="n">
        <v>7385.4784</v>
      </c>
      <c r="J650" t="n">
        <v>21540.7794</v>
      </c>
      <c r="K650" t="n">
        <v>2018</v>
      </c>
      <c r="L650" t="n">
        <v>2035</v>
      </c>
      <c r="M650" t="n">
        <v>0.42</v>
      </c>
      <c r="N650" t="n">
        <v>0.2167</v>
      </c>
      <c r="O650" t="n">
        <v>2018</v>
      </c>
      <c r="P650" t="inlineStr"/>
      <c r="Q650" t="inlineStr"/>
      <c r="R650" t="n">
        <v>529.8294</v>
      </c>
      <c r="S650" t="n">
        <v>0.00091413</v>
      </c>
      <c r="T650" t="n">
        <v>0.00096913</v>
      </c>
    </row>
    <row r="651">
      <c r="A651" t="inlineStr">
        <is>
          <t>SUP-0065</t>
        </is>
      </c>
      <c r="B651" t="inlineStr">
        <is>
          <t>Agriculture Supplier 065</t>
        </is>
      </c>
      <c r="C651" t="inlineStr">
        <is>
          <t>Agriculture</t>
        </is>
      </c>
      <c r="D651" t="n">
        <v>2024</v>
      </c>
      <c r="E651" t="n">
        <v>44281266.89</v>
      </c>
      <c r="F651" t="n">
        <v>213728746.93</v>
      </c>
      <c r="G651" t="n">
        <v>38736.1091</v>
      </c>
      <c r="H651" t="n">
        <v>9246.0502</v>
      </c>
      <c r="I651" t="n">
        <v>2428.4262</v>
      </c>
      <c r="J651" t="n">
        <v>26965.3392</v>
      </c>
      <c r="K651" t="n">
        <v>2018</v>
      </c>
      <c r="L651" t="n">
        <v>2035</v>
      </c>
      <c r="M651" t="n">
        <v>0.42</v>
      </c>
      <c r="N651" t="n">
        <v>0.2167</v>
      </c>
      <c r="O651" t="n">
        <v>2018</v>
      </c>
      <c r="P651" t="inlineStr"/>
      <c r="Q651" t="inlineStr"/>
      <c r="R651" t="n">
        <v>529.8294</v>
      </c>
      <c r="S651" t="n">
        <v>0.00091413</v>
      </c>
      <c r="T651" t="n">
        <v>0.00096913</v>
      </c>
    </row>
    <row r="652">
      <c r="A652" t="inlineStr">
        <is>
          <t>SUP-0066</t>
        </is>
      </c>
      <c r="B652" t="inlineStr">
        <is>
          <t>Electronics Supplier 066</t>
        </is>
      </c>
      <c r="C652" t="inlineStr">
        <is>
          <t>Electronics</t>
        </is>
      </c>
      <c r="D652" t="n">
        <v>2015</v>
      </c>
      <c r="E652" t="n">
        <v>11554730.44</v>
      </c>
      <c r="F652" t="n">
        <v>42614548.35</v>
      </c>
      <c r="G652" t="n">
        <v>13588.5387</v>
      </c>
      <c r="H652" t="inlineStr"/>
      <c r="I652" t="n">
        <v>1211.6505</v>
      </c>
      <c r="J652" t="n">
        <v>11648.0784</v>
      </c>
      <c r="K652" t="n">
        <v>2020</v>
      </c>
      <c r="L652" t="n">
        <v>2030</v>
      </c>
      <c r="M652" t="n">
        <v>0.339</v>
      </c>
      <c r="N652" t="n">
        <v>0.1901</v>
      </c>
      <c r="O652" t="n">
        <v>2018</v>
      </c>
      <c r="P652" t="n">
        <v>2040</v>
      </c>
      <c r="Q652" t="n">
        <v>0.3424</v>
      </c>
      <c r="R652" t="n">
        <v>635.1588</v>
      </c>
      <c r="S652" t="n">
        <v>0.00086105</v>
      </c>
      <c r="T652" t="n">
        <v>0.00013947</v>
      </c>
    </row>
    <row r="653">
      <c r="A653" t="inlineStr">
        <is>
          <t>SUP-0066</t>
        </is>
      </c>
      <c r="B653" t="inlineStr">
        <is>
          <t>Electronics Supplier 066</t>
        </is>
      </c>
      <c r="C653" t="inlineStr">
        <is>
          <t>Electronics</t>
        </is>
      </c>
      <c r="D653" t="n">
        <v>2016</v>
      </c>
      <c r="E653" t="n">
        <v>9737306.35</v>
      </c>
      <c r="F653" t="n">
        <v>50226560.95</v>
      </c>
      <c r="G653" t="n">
        <v>11198.0815</v>
      </c>
      <c r="H653" t="n">
        <v>965.0353</v>
      </c>
      <c r="I653" t="n">
        <v>686.662</v>
      </c>
      <c r="J653" t="n">
        <v>9240.9409</v>
      </c>
      <c r="K653" t="n">
        <v>2020</v>
      </c>
      <c r="L653" t="n">
        <v>2030</v>
      </c>
      <c r="M653" t="n">
        <v>0.339</v>
      </c>
      <c r="N653" t="n">
        <v>0.1901</v>
      </c>
      <c r="O653" t="n">
        <v>2018</v>
      </c>
      <c r="P653" t="n">
        <v>2040</v>
      </c>
      <c r="Q653" t="n">
        <v>0.3424</v>
      </c>
      <c r="R653" t="n">
        <v>635.1588</v>
      </c>
      <c r="S653" t="n">
        <v>0.00086105</v>
      </c>
      <c r="T653" t="n">
        <v>0.00013947</v>
      </c>
    </row>
    <row r="654">
      <c r="A654" t="inlineStr">
        <is>
          <t>SUP-0066</t>
        </is>
      </c>
      <c r="B654" t="inlineStr">
        <is>
          <t>Electronics Supplier 066</t>
        </is>
      </c>
      <c r="C654" t="inlineStr">
        <is>
          <t>Electronics</t>
        </is>
      </c>
      <c r="D654" t="n">
        <v>2017</v>
      </c>
      <c r="E654" t="n">
        <v>12400353.25</v>
      </c>
      <c r="F654" t="n">
        <v>40981863.54</v>
      </c>
      <c r="G654" t="inlineStr"/>
      <c r="H654" t="n">
        <v>922.2618</v>
      </c>
      <c r="I654" t="n">
        <v>2191.2904</v>
      </c>
      <c r="J654" t="n">
        <v>7591.5745</v>
      </c>
      <c r="K654" t="n">
        <v>2020</v>
      </c>
      <c r="L654" t="n">
        <v>2030</v>
      </c>
      <c r="M654" t="n">
        <v>0.339</v>
      </c>
      <c r="N654" t="n">
        <v>0.1901</v>
      </c>
      <c r="O654" t="n">
        <v>2018</v>
      </c>
      <c r="P654" t="n">
        <v>2040</v>
      </c>
      <c r="Q654" t="n">
        <v>0.3424</v>
      </c>
      <c r="R654" t="n">
        <v>635.1588</v>
      </c>
      <c r="S654" t="n">
        <v>0.00086105</v>
      </c>
      <c r="T654" t="n">
        <v>0.00013947</v>
      </c>
    </row>
    <row r="655">
      <c r="A655" t="inlineStr">
        <is>
          <t>SUP-0066</t>
        </is>
      </c>
      <c r="B655" t="inlineStr">
        <is>
          <t>Electronics Supplier 066</t>
        </is>
      </c>
      <c r="C655" t="inlineStr">
        <is>
          <t>Electronics</t>
        </is>
      </c>
      <c r="D655" t="n">
        <v>2018</v>
      </c>
      <c r="E655" t="n">
        <v>13348008.22</v>
      </c>
      <c r="F655" t="n">
        <v>52743566.72</v>
      </c>
      <c r="G655" t="n">
        <v>11319.7375</v>
      </c>
      <c r="H655" t="n">
        <v>966.9108</v>
      </c>
      <c r="I655" t="inlineStr"/>
      <c r="J655" t="inlineStr"/>
      <c r="K655" t="n">
        <v>2020</v>
      </c>
      <c r="L655" t="n">
        <v>2030</v>
      </c>
      <c r="M655" t="n">
        <v>0.339</v>
      </c>
      <c r="N655" t="n">
        <v>0.1901</v>
      </c>
      <c r="O655" t="n">
        <v>2018</v>
      </c>
      <c r="P655" t="n">
        <v>2040</v>
      </c>
      <c r="Q655" t="n">
        <v>0.3424</v>
      </c>
      <c r="R655" t="n">
        <v>635.1588</v>
      </c>
      <c r="S655" t="n">
        <v>0.00086105</v>
      </c>
      <c r="T655" t="n">
        <v>0.00013947</v>
      </c>
    </row>
    <row r="656">
      <c r="A656" t="inlineStr">
        <is>
          <t>SUP-0066</t>
        </is>
      </c>
      <c r="B656" t="inlineStr">
        <is>
          <t>Electronics Supplier 066</t>
        </is>
      </c>
      <c r="C656" t="inlineStr">
        <is>
          <t>Electronics</t>
        </is>
      </c>
      <c r="D656" t="n">
        <v>2019</v>
      </c>
      <c r="E656" t="n">
        <v>14663017.95</v>
      </c>
      <c r="F656" t="n">
        <v>46597499.43</v>
      </c>
      <c r="G656" t="n">
        <v>17626.2855</v>
      </c>
      <c r="H656" t="n">
        <v>4228.7014</v>
      </c>
      <c r="I656" t="n">
        <v>1210.7835</v>
      </c>
      <c r="J656" t="n">
        <v>12272.6767</v>
      </c>
      <c r="K656" t="n">
        <v>2020</v>
      </c>
      <c r="L656" t="n">
        <v>2030</v>
      </c>
      <c r="M656" t="n">
        <v>0.339</v>
      </c>
      <c r="N656" t="n">
        <v>0.1901</v>
      </c>
      <c r="O656" t="n">
        <v>2018</v>
      </c>
      <c r="P656" t="n">
        <v>2040</v>
      </c>
      <c r="Q656" t="n">
        <v>0.3424</v>
      </c>
      <c r="R656" t="n">
        <v>635.1588</v>
      </c>
      <c r="S656" t="n">
        <v>0.00086105</v>
      </c>
      <c r="T656" t="n">
        <v>0.00013947</v>
      </c>
    </row>
    <row r="657">
      <c r="A657" t="inlineStr">
        <is>
          <t>SUP-0066</t>
        </is>
      </c>
      <c r="B657" t="inlineStr">
        <is>
          <t>Electronics Supplier 066</t>
        </is>
      </c>
      <c r="C657" t="inlineStr">
        <is>
          <t>Electronics</t>
        </is>
      </c>
      <c r="D657" t="n">
        <v>2020</v>
      </c>
      <c r="E657" t="n">
        <v>13326730.83</v>
      </c>
      <c r="F657" t="n">
        <v>59157334.19</v>
      </c>
      <c r="G657" t="n">
        <v>14330.0069</v>
      </c>
      <c r="H657" t="n">
        <v>1876.6735</v>
      </c>
      <c r="I657" t="inlineStr"/>
      <c r="J657" t="n">
        <v>9426.6695</v>
      </c>
      <c r="K657" t="n">
        <v>2020</v>
      </c>
      <c r="L657" t="n">
        <v>2030</v>
      </c>
      <c r="M657" t="n">
        <v>0.339</v>
      </c>
      <c r="N657" t="n">
        <v>0.1901</v>
      </c>
      <c r="O657" t="n">
        <v>2018</v>
      </c>
      <c r="P657" t="n">
        <v>2040</v>
      </c>
      <c r="Q657" t="n">
        <v>0.3424</v>
      </c>
      <c r="R657" t="n">
        <v>635.1588</v>
      </c>
      <c r="S657" t="n">
        <v>0.00086105</v>
      </c>
      <c r="T657" t="n">
        <v>0.00013947</v>
      </c>
    </row>
    <row r="658">
      <c r="A658" t="inlineStr">
        <is>
          <t>SUP-0066</t>
        </is>
      </c>
      <c r="B658" t="inlineStr">
        <is>
          <t>Electronics Supplier 066</t>
        </is>
      </c>
      <c r="C658" t="inlineStr">
        <is>
          <t>Electronics</t>
        </is>
      </c>
      <c r="D658" t="n">
        <v>2021</v>
      </c>
      <c r="E658" t="n">
        <v>17205286.57</v>
      </c>
      <c r="F658" t="n">
        <v>65397722.56</v>
      </c>
      <c r="G658" t="n">
        <v>12422.9688</v>
      </c>
      <c r="H658" t="n">
        <v>1710.4388</v>
      </c>
      <c r="I658" t="n">
        <v>2404.479</v>
      </c>
      <c r="J658" t="n">
        <v>7536.226</v>
      </c>
      <c r="K658" t="n">
        <v>2020</v>
      </c>
      <c r="L658" t="n">
        <v>2030</v>
      </c>
      <c r="M658" t="n">
        <v>0.339</v>
      </c>
      <c r="N658" t="n">
        <v>0.1901</v>
      </c>
      <c r="O658" t="n">
        <v>2018</v>
      </c>
      <c r="P658" t="n">
        <v>2040</v>
      </c>
      <c r="Q658" t="n">
        <v>0.3424</v>
      </c>
      <c r="R658" t="n">
        <v>635.1588</v>
      </c>
      <c r="S658" t="n">
        <v>0.00086105</v>
      </c>
      <c r="T658" t="n">
        <v>0.00013947</v>
      </c>
    </row>
    <row r="659">
      <c r="A659" t="inlineStr">
        <is>
          <t>SUP-0066</t>
        </is>
      </c>
      <c r="B659" t="inlineStr">
        <is>
          <t>Electronics Supplier 066</t>
        </is>
      </c>
      <c r="C659" t="inlineStr">
        <is>
          <t>Electronics</t>
        </is>
      </c>
      <c r="D659" t="n">
        <v>2022</v>
      </c>
      <c r="E659" t="n">
        <v>14404001.76</v>
      </c>
      <c r="F659" t="n">
        <v>44114535.17</v>
      </c>
      <c r="G659" t="n">
        <v>19074.9408</v>
      </c>
      <c r="H659" t="n">
        <v>1914.703</v>
      </c>
      <c r="I659" t="n">
        <v>1826.3404</v>
      </c>
      <c r="J659" t="n">
        <v>15007.7074</v>
      </c>
      <c r="K659" t="n">
        <v>2020</v>
      </c>
      <c r="L659" t="n">
        <v>2030</v>
      </c>
      <c r="M659" t="n">
        <v>0.339</v>
      </c>
      <c r="N659" t="n">
        <v>0.1901</v>
      </c>
      <c r="O659" t="n">
        <v>2018</v>
      </c>
      <c r="P659" t="n">
        <v>2040</v>
      </c>
      <c r="Q659" t="n">
        <v>0.3424</v>
      </c>
      <c r="R659" t="n">
        <v>635.1588</v>
      </c>
      <c r="S659" t="n">
        <v>0.00086105</v>
      </c>
      <c r="T659" t="n">
        <v>0.00013947</v>
      </c>
    </row>
    <row r="660">
      <c r="A660" t="inlineStr">
        <is>
          <t>SUP-0066</t>
        </is>
      </c>
      <c r="B660" t="inlineStr">
        <is>
          <t>Electronics Supplier 066</t>
        </is>
      </c>
      <c r="C660" t="inlineStr">
        <is>
          <t>Electronics</t>
        </is>
      </c>
      <c r="D660" t="n">
        <v>2023</v>
      </c>
      <c r="E660" t="n">
        <v>17527289.07</v>
      </c>
      <c r="F660" t="n">
        <v>72702022.97</v>
      </c>
      <c r="G660" t="inlineStr"/>
      <c r="H660" t="n">
        <v>1628.248</v>
      </c>
      <c r="I660" t="n">
        <v>1066.3018</v>
      </c>
      <c r="J660" t="n">
        <v>10889.6079</v>
      </c>
      <c r="K660" t="n">
        <v>2020</v>
      </c>
      <c r="L660" t="n">
        <v>2030</v>
      </c>
      <c r="M660" t="n">
        <v>0.339</v>
      </c>
      <c r="N660" t="n">
        <v>0.1901</v>
      </c>
      <c r="O660" t="n">
        <v>2018</v>
      </c>
      <c r="P660" t="n">
        <v>2040</v>
      </c>
      <c r="Q660" t="n">
        <v>0.3424</v>
      </c>
      <c r="R660" t="n">
        <v>635.1588</v>
      </c>
      <c r="S660" t="n">
        <v>0.00086105</v>
      </c>
      <c r="T660" t="n">
        <v>0.00013947</v>
      </c>
    </row>
    <row r="661">
      <c r="A661" t="inlineStr">
        <is>
          <t>SUP-0066</t>
        </is>
      </c>
      <c r="B661" t="inlineStr">
        <is>
          <t>Electronics Supplier 066</t>
        </is>
      </c>
      <c r="C661" t="inlineStr">
        <is>
          <t>Electronics</t>
        </is>
      </c>
      <c r="D661" t="n">
        <v>2024</v>
      </c>
      <c r="E661" t="n">
        <v>18221953.51</v>
      </c>
      <c r="F661" t="n">
        <v>74041728.31999999</v>
      </c>
      <c r="G661" t="inlineStr"/>
      <c r="H661" t="n">
        <v>4979.1041</v>
      </c>
      <c r="I661" t="n">
        <v>2553.9998</v>
      </c>
      <c r="J661" t="n">
        <v>14364.8108</v>
      </c>
      <c r="K661" t="n">
        <v>2020</v>
      </c>
      <c r="L661" t="n">
        <v>2030</v>
      </c>
      <c r="M661" t="n">
        <v>0.339</v>
      </c>
      <c r="N661" t="n">
        <v>0.1901</v>
      </c>
      <c r="O661" t="n">
        <v>2018</v>
      </c>
      <c r="P661" t="n">
        <v>2040</v>
      </c>
      <c r="Q661" t="n">
        <v>0.3424</v>
      </c>
      <c r="R661" t="n">
        <v>635.1588</v>
      </c>
      <c r="S661" t="n">
        <v>0.00086105</v>
      </c>
      <c r="T661" t="n">
        <v>0.00013947</v>
      </c>
    </row>
    <row r="662">
      <c r="A662" t="inlineStr">
        <is>
          <t>SUP-0067</t>
        </is>
      </c>
      <c r="B662" t="inlineStr">
        <is>
          <t>Professional Supplier 067</t>
        </is>
      </c>
      <c r="C662" t="inlineStr">
        <is>
          <t>Professional Services</t>
        </is>
      </c>
      <c r="D662" t="n">
        <v>2015</v>
      </c>
      <c r="E662" t="n">
        <v>5519782.83</v>
      </c>
      <c r="F662" t="n">
        <v>11420493.9</v>
      </c>
      <c r="G662" t="n">
        <v>604.8328</v>
      </c>
      <c r="H662" t="n">
        <v>55.5247</v>
      </c>
      <c r="I662" t="n">
        <v>76.41</v>
      </c>
      <c r="J662" t="n">
        <v>499.8633</v>
      </c>
      <c r="K662" t="inlineStr"/>
      <c r="L662" t="inlineStr"/>
      <c r="M662" t="inlineStr"/>
      <c r="N662" t="inlineStr"/>
      <c r="O662" t="n">
        <v>2020</v>
      </c>
      <c r="P662" t="inlineStr"/>
      <c r="Q662" t="inlineStr"/>
      <c r="R662" t="n">
        <v>400.0326</v>
      </c>
      <c r="S662" t="n">
        <v>0.00012906</v>
      </c>
      <c r="T662" t="n">
        <v>0.00019658</v>
      </c>
    </row>
    <row r="663">
      <c r="A663" t="inlineStr">
        <is>
          <t>SUP-0067</t>
        </is>
      </c>
      <c r="B663" t="inlineStr">
        <is>
          <t>Professional Supplier 067</t>
        </is>
      </c>
      <c r="C663" t="inlineStr">
        <is>
          <t>Professional Services</t>
        </is>
      </c>
      <c r="D663" t="n">
        <v>2016</v>
      </c>
      <c r="E663" t="n">
        <v>6571879.91</v>
      </c>
      <c r="F663" t="n">
        <v>11807796.68</v>
      </c>
      <c r="G663" t="n">
        <v>953.8691</v>
      </c>
      <c r="H663" t="n">
        <v>191.1756</v>
      </c>
      <c r="I663" t="n">
        <v>77.3205</v>
      </c>
      <c r="J663" t="n">
        <v>649.5927</v>
      </c>
      <c r="K663" t="inlineStr"/>
      <c r="L663" t="inlineStr"/>
      <c r="M663" t="inlineStr"/>
      <c r="N663" t="inlineStr"/>
      <c r="O663" t="n">
        <v>2020</v>
      </c>
      <c r="P663" t="inlineStr"/>
      <c r="Q663" t="inlineStr"/>
      <c r="R663" t="n">
        <v>400.0326</v>
      </c>
      <c r="S663" t="n">
        <v>0.00012906</v>
      </c>
      <c r="T663" t="n">
        <v>0.00019658</v>
      </c>
    </row>
    <row r="664">
      <c r="A664" t="inlineStr">
        <is>
          <t>SUP-0067</t>
        </is>
      </c>
      <c r="B664" t="inlineStr">
        <is>
          <t>Professional Supplier 067</t>
        </is>
      </c>
      <c r="C664" t="inlineStr">
        <is>
          <t>Professional Services</t>
        </is>
      </c>
      <c r="D664" t="n">
        <v>2017</v>
      </c>
      <c r="E664" t="n">
        <v>6140750.99</v>
      </c>
      <c r="F664" t="n">
        <v>13582408.66</v>
      </c>
      <c r="G664" t="n">
        <v>747.1117</v>
      </c>
      <c r="H664" t="n">
        <v>62.8544</v>
      </c>
      <c r="I664" t="n">
        <v>78.1066</v>
      </c>
      <c r="J664" t="n">
        <v>662.0241</v>
      </c>
      <c r="K664" t="inlineStr"/>
      <c r="L664" t="inlineStr"/>
      <c r="M664" t="inlineStr"/>
      <c r="N664" t="inlineStr"/>
      <c r="O664" t="n">
        <v>2020</v>
      </c>
      <c r="P664" t="inlineStr"/>
      <c r="Q664" t="inlineStr"/>
      <c r="R664" t="n">
        <v>400.0326</v>
      </c>
      <c r="S664" t="n">
        <v>0.00012906</v>
      </c>
      <c r="T664" t="n">
        <v>0.00019658</v>
      </c>
    </row>
    <row r="665">
      <c r="A665" t="inlineStr">
        <is>
          <t>SUP-0067</t>
        </is>
      </c>
      <c r="B665" t="inlineStr">
        <is>
          <t>Professional Supplier 067</t>
        </is>
      </c>
      <c r="C665" t="inlineStr">
        <is>
          <t>Professional Services</t>
        </is>
      </c>
      <c r="D665" t="n">
        <v>2018</v>
      </c>
      <c r="E665" t="n">
        <v>6453009.8</v>
      </c>
      <c r="F665" t="n">
        <v>15534674.41</v>
      </c>
      <c r="G665" t="n">
        <v>787.4761999999999</v>
      </c>
      <c r="H665" t="n">
        <v>94.39100000000001</v>
      </c>
      <c r="I665" t="n">
        <v>147.6041</v>
      </c>
      <c r="J665" t="n">
        <v>579.7769</v>
      </c>
      <c r="K665" t="inlineStr"/>
      <c r="L665" t="inlineStr"/>
      <c r="M665" t="inlineStr"/>
      <c r="N665" t="inlineStr"/>
      <c r="O665" t="n">
        <v>2020</v>
      </c>
      <c r="P665" t="inlineStr"/>
      <c r="Q665" t="inlineStr"/>
      <c r="R665" t="n">
        <v>400.0326</v>
      </c>
      <c r="S665" t="n">
        <v>0.00012906</v>
      </c>
      <c r="T665" t="n">
        <v>0.00019658</v>
      </c>
    </row>
    <row r="666">
      <c r="A666" t="inlineStr">
        <is>
          <t>SUP-0067</t>
        </is>
      </c>
      <c r="B666" t="inlineStr">
        <is>
          <t>Professional Supplier 067</t>
        </is>
      </c>
      <c r="C666" t="inlineStr">
        <is>
          <t>Professional Services</t>
        </is>
      </c>
      <c r="D666" t="n">
        <v>2019</v>
      </c>
      <c r="E666" t="n">
        <v>6568523.5</v>
      </c>
      <c r="F666" t="n">
        <v>17689258.3</v>
      </c>
      <c r="G666" t="inlineStr"/>
      <c r="H666" t="n">
        <v>149.4942</v>
      </c>
      <c r="I666" t="n">
        <v>58.5556</v>
      </c>
      <c r="J666" t="n">
        <v>548.9559</v>
      </c>
      <c r="K666" t="inlineStr"/>
      <c r="L666" t="inlineStr"/>
      <c r="M666" t="inlineStr"/>
      <c r="N666" t="inlineStr"/>
      <c r="O666" t="n">
        <v>2020</v>
      </c>
      <c r="P666" t="inlineStr"/>
      <c r="Q666" t="inlineStr"/>
      <c r="R666" t="n">
        <v>400.0326</v>
      </c>
      <c r="S666" t="n">
        <v>0.00012906</v>
      </c>
      <c r="T666" t="n">
        <v>0.00019658</v>
      </c>
    </row>
    <row r="667">
      <c r="A667" t="inlineStr">
        <is>
          <t>SUP-0067</t>
        </is>
      </c>
      <c r="B667" t="inlineStr">
        <is>
          <t>Professional Supplier 067</t>
        </is>
      </c>
      <c r="C667" t="inlineStr">
        <is>
          <t>Professional Services</t>
        </is>
      </c>
      <c r="D667" t="n">
        <v>2020</v>
      </c>
      <c r="E667" t="n">
        <v>7928239.48</v>
      </c>
      <c r="F667" t="n">
        <v>13090446.06</v>
      </c>
      <c r="G667" t="n">
        <v>801.7508</v>
      </c>
      <c r="H667" t="n">
        <v>154.4144</v>
      </c>
      <c r="I667" t="n">
        <v>83.98180000000001</v>
      </c>
      <c r="J667" t="n">
        <v>565.4527</v>
      </c>
      <c r="K667" t="inlineStr"/>
      <c r="L667" t="inlineStr"/>
      <c r="M667" t="inlineStr"/>
      <c r="N667" t="inlineStr"/>
      <c r="O667" t="n">
        <v>2020</v>
      </c>
      <c r="P667" t="inlineStr"/>
      <c r="Q667" t="inlineStr"/>
      <c r="R667" t="n">
        <v>400.0326</v>
      </c>
      <c r="S667" t="n">
        <v>0.00012906</v>
      </c>
      <c r="T667" t="n">
        <v>0.00019658</v>
      </c>
    </row>
    <row r="668">
      <c r="A668" t="inlineStr">
        <is>
          <t>SUP-0067</t>
        </is>
      </c>
      <c r="B668" t="inlineStr">
        <is>
          <t>Professional Supplier 067</t>
        </is>
      </c>
      <c r="C668" t="inlineStr">
        <is>
          <t>Professional Services</t>
        </is>
      </c>
      <c r="D668" t="n">
        <v>2021</v>
      </c>
      <c r="E668" t="n">
        <v>6315773.03</v>
      </c>
      <c r="F668" t="n">
        <v>11035494.5</v>
      </c>
      <c r="G668" t="n">
        <v>586.5358</v>
      </c>
      <c r="H668" t="inlineStr"/>
      <c r="I668" t="n">
        <v>72.9413</v>
      </c>
      <c r="J668" t="n">
        <v>386.7516</v>
      </c>
      <c r="K668" t="inlineStr"/>
      <c r="L668" t="inlineStr"/>
      <c r="M668" t="inlineStr"/>
      <c r="N668" t="inlineStr"/>
      <c r="O668" t="n">
        <v>2020</v>
      </c>
      <c r="P668" t="inlineStr"/>
      <c r="Q668" t="inlineStr"/>
      <c r="R668" t="n">
        <v>400.0326</v>
      </c>
      <c r="S668" t="n">
        <v>0.00012906</v>
      </c>
      <c r="T668" t="n">
        <v>0.00019658</v>
      </c>
    </row>
    <row r="669">
      <c r="A669" t="inlineStr">
        <is>
          <t>SUP-0067</t>
        </is>
      </c>
      <c r="B669" t="inlineStr">
        <is>
          <t>Professional Supplier 067</t>
        </is>
      </c>
      <c r="C669" t="inlineStr">
        <is>
          <t>Professional Services</t>
        </is>
      </c>
      <c r="D669" t="n">
        <v>2022</v>
      </c>
      <c r="E669" t="n">
        <v>7444648.01</v>
      </c>
      <c r="F669" t="n">
        <v>13038403.11</v>
      </c>
      <c r="G669" t="inlineStr"/>
      <c r="H669" t="inlineStr"/>
      <c r="I669" t="n">
        <v>93.8408</v>
      </c>
      <c r="J669" t="inlineStr"/>
      <c r="K669" t="inlineStr"/>
      <c r="L669" t="inlineStr"/>
      <c r="M669" t="inlineStr"/>
      <c r="N669" t="inlineStr"/>
      <c r="O669" t="n">
        <v>2020</v>
      </c>
      <c r="P669" t="inlineStr"/>
      <c r="Q669" t="inlineStr"/>
      <c r="R669" t="n">
        <v>400.0326</v>
      </c>
      <c r="S669" t="n">
        <v>0.00012906</v>
      </c>
      <c r="T669" t="n">
        <v>0.00019658</v>
      </c>
    </row>
    <row r="670">
      <c r="A670" t="inlineStr">
        <is>
          <t>SUP-0067</t>
        </is>
      </c>
      <c r="B670" t="inlineStr">
        <is>
          <t>Professional Supplier 067</t>
        </is>
      </c>
      <c r="C670" t="inlineStr">
        <is>
          <t>Professional Services</t>
        </is>
      </c>
      <c r="D670" t="n">
        <v>2023</v>
      </c>
      <c r="E670" t="n">
        <v>8406250.460000001</v>
      </c>
      <c r="F670" t="n">
        <v>16453118.98</v>
      </c>
      <c r="G670" t="n">
        <v>879.5649</v>
      </c>
      <c r="H670" t="n">
        <v>118.5125</v>
      </c>
      <c r="I670" t="inlineStr"/>
      <c r="J670" t="n">
        <v>562.8231</v>
      </c>
      <c r="K670" t="inlineStr"/>
      <c r="L670" t="inlineStr"/>
      <c r="M670" t="inlineStr"/>
      <c r="N670" t="inlineStr"/>
      <c r="O670" t="n">
        <v>2020</v>
      </c>
      <c r="P670" t="inlineStr"/>
      <c r="Q670" t="inlineStr"/>
      <c r="R670" t="n">
        <v>400.0326</v>
      </c>
      <c r="S670" t="n">
        <v>0.00012906</v>
      </c>
      <c r="T670" t="n">
        <v>0.00019658</v>
      </c>
    </row>
    <row r="671">
      <c r="A671" t="inlineStr">
        <is>
          <t>SUP-0067</t>
        </is>
      </c>
      <c r="B671" t="inlineStr">
        <is>
          <t>Professional Supplier 067</t>
        </is>
      </c>
      <c r="C671" t="inlineStr">
        <is>
          <t>Professional Services</t>
        </is>
      </c>
      <c r="D671" t="n">
        <v>2024</v>
      </c>
      <c r="E671" t="n">
        <v>7629416.26</v>
      </c>
      <c r="F671" t="n">
        <v>17989140.65</v>
      </c>
      <c r="G671" t="n">
        <v>651.9724</v>
      </c>
      <c r="H671" t="n">
        <v>153.9712</v>
      </c>
      <c r="I671" t="n">
        <v>56.952</v>
      </c>
      <c r="J671" t="n">
        <v>421.5212</v>
      </c>
      <c r="K671" t="inlineStr"/>
      <c r="L671" t="inlineStr"/>
      <c r="M671" t="inlineStr"/>
      <c r="N671" t="inlineStr"/>
      <c r="O671" t="n">
        <v>2020</v>
      </c>
      <c r="P671" t="inlineStr"/>
      <c r="Q671" t="inlineStr"/>
      <c r="R671" t="n">
        <v>400.0326</v>
      </c>
      <c r="S671" t="n">
        <v>0.00012906</v>
      </c>
      <c r="T671" t="n">
        <v>0.00019658</v>
      </c>
    </row>
    <row r="672">
      <c r="A672" t="inlineStr">
        <is>
          <t>SUP-0068</t>
        </is>
      </c>
      <c r="B672" t="inlineStr">
        <is>
          <t>Agriculture Supplier 068</t>
        </is>
      </c>
      <c r="C672" t="inlineStr">
        <is>
          <t>Agriculture</t>
        </is>
      </c>
      <c r="D672" t="n">
        <v>2015</v>
      </c>
      <c r="E672" t="n">
        <v>22012855.62</v>
      </c>
      <c r="F672" t="n">
        <v>76959276.72</v>
      </c>
      <c r="G672" t="n">
        <v>22220.7311</v>
      </c>
      <c r="H672" t="n">
        <v>5555.2486</v>
      </c>
      <c r="I672" t="n">
        <v>4678.0531</v>
      </c>
      <c r="J672" t="inlineStr"/>
      <c r="K672" t="inlineStr"/>
      <c r="L672" t="inlineStr"/>
      <c r="M672" t="inlineStr"/>
      <c r="N672" t="inlineStr"/>
      <c r="O672" t="n">
        <v>2018</v>
      </c>
      <c r="P672" t="inlineStr"/>
      <c r="Q672" t="inlineStr"/>
      <c r="R672" t="n">
        <v>529.8294</v>
      </c>
      <c r="S672" t="n">
        <v>0.00091413</v>
      </c>
      <c r="T672" t="n">
        <v>0.00096913</v>
      </c>
    </row>
    <row r="673">
      <c r="A673" t="inlineStr">
        <is>
          <t>SUP-0068</t>
        </is>
      </c>
      <c r="B673" t="inlineStr">
        <is>
          <t>Agriculture Supplier 068</t>
        </is>
      </c>
      <c r="C673" t="inlineStr">
        <is>
          <t>Agriculture</t>
        </is>
      </c>
      <c r="D673" t="n">
        <v>2016</v>
      </c>
      <c r="E673" t="n">
        <v>19921828.59</v>
      </c>
      <c r="F673" t="n">
        <v>80479058.55</v>
      </c>
      <c r="G673" t="n">
        <v>21997.8004</v>
      </c>
      <c r="H673" t="n">
        <v>3198.9062</v>
      </c>
      <c r="I673" t="n">
        <v>3007.4282</v>
      </c>
      <c r="J673" t="n">
        <v>16416.0658</v>
      </c>
      <c r="K673" t="inlineStr"/>
      <c r="L673" t="inlineStr"/>
      <c r="M673" t="inlineStr"/>
      <c r="N673" t="inlineStr"/>
      <c r="O673" t="n">
        <v>2018</v>
      </c>
      <c r="P673" t="inlineStr"/>
      <c r="Q673" t="inlineStr"/>
      <c r="R673" t="n">
        <v>529.8294</v>
      </c>
      <c r="S673" t="n">
        <v>0.00091413</v>
      </c>
      <c r="T673" t="n">
        <v>0.00096913</v>
      </c>
    </row>
    <row r="674">
      <c r="A674" t="inlineStr">
        <is>
          <t>SUP-0068</t>
        </is>
      </c>
      <c r="B674" t="inlineStr">
        <is>
          <t>Agriculture Supplier 068</t>
        </is>
      </c>
      <c r="C674" t="inlineStr">
        <is>
          <t>Agriculture</t>
        </is>
      </c>
      <c r="D674" t="n">
        <v>2017</v>
      </c>
      <c r="E674" t="n">
        <v>21634735.8</v>
      </c>
      <c r="F674" t="n">
        <v>88643463.42</v>
      </c>
      <c r="G674" t="inlineStr"/>
      <c r="H674" t="inlineStr"/>
      <c r="I674" t="inlineStr"/>
      <c r="J674" t="n">
        <v>15672.263</v>
      </c>
      <c r="K674" t="inlineStr"/>
      <c r="L674" t="inlineStr"/>
      <c r="M674" t="inlineStr"/>
      <c r="N674" t="inlineStr"/>
      <c r="O674" t="n">
        <v>2018</v>
      </c>
      <c r="P674" t="inlineStr"/>
      <c r="Q674" t="inlineStr"/>
      <c r="R674" t="n">
        <v>529.8294</v>
      </c>
      <c r="S674" t="n">
        <v>0.00091413</v>
      </c>
      <c r="T674" t="n">
        <v>0.00096913</v>
      </c>
    </row>
    <row r="675">
      <c r="A675" t="inlineStr">
        <is>
          <t>SUP-0068</t>
        </is>
      </c>
      <c r="B675" t="inlineStr">
        <is>
          <t>Agriculture Supplier 068</t>
        </is>
      </c>
      <c r="C675" t="inlineStr">
        <is>
          <t>Agriculture</t>
        </is>
      </c>
      <c r="D675" t="n">
        <v>2018</v>
      </c>
      <c r="E675" t="inlineStr"/>
      <c r="F675" t="n">
        <v>90972881.84</v>
      </c>
      <c r="G675" t="n">
        <v>29018.1928</v>
      </c>
      <c r="H675" t="n">
        <v>5903.952</v>
      </c>
      <c r="I675" t="inlineStr"/>
      <c r="J675" t="inlineStr"/>
      <c r="K675" t="inlineStr"/>
      <c r="L675" t="inlineStr"/>
      <c r="M675" t="inlineStr"/>
      <c r="N675" t="inlineStr"/>
      <c r="O675" t="n">
        <v>2018</v>
      </c>
      <c r="P675" t="inlineStr"/>
      <c r="Q675" t="inlineStr"/>
      <c r="R675" t="n">
        <v>529.8294</v>
      </c>
      <c r="S675" t="n">
        <v>0.00091413</v>
      </c>
      <c r="T675" t="n">
        <v>0.00096913</v>
      </c>
    </row>
    <row r="676">
      <c r="A676" t="inlineStr">
        <is>
          <t>SUP-0068</t>
        </is>
      </c>
      <c r="B676" t="inlineStr">
        <is>
          <t>Agriculture Supplier 068</t>
        </is>
      </c>
      <c r="C676" t="inlineStr">
        <is>
          <t>Agriculture</t>
        </is>
      </c>
      <c r="D676" t="n">
        <v>2019</v>
      </c>
      <c r="E676" t="n">
        <v>23933988.56</v>
      </c>
      <c r="F676" t="n">
        <v>105272221.58</v>
      </c>
      <c r="G676" t="n">
        <v>22070.4387</v>
      </c>
      <c r="H676" t="n">
        <v>5398.8204</v>
      </c>
      <c r="I676" t="n">
        <v>1463.2315</v>
      </c>
      <c r="J676" t="n">
        <v>15796.7271</v>
      </c>
      <c r="K676" t="inlineStr"/>
      <c r="L676" t="inlineStr"/>
      <c r="M676" t="inlineStr"/>
      <c r="N676" t="inlineStr"/>
      <c r="O676" t="n">
        <v>2018</v>
      </c>
      <c r="P676" t="inlineStr"/>
      <c r="Q676" t="inlineStr"/>
      <c r="R676" t="n">
        <v>529.8294</v>
      </c>
      <c r="S676" t="n">
        <v>0.00091413</v>
      </c>
      <c r="T676" t="n">
        <v>0.00096913</v>
      </c>
    </row>
    <row r="677">
      <c r="A677" t="inlineStr">
        <is>
          <t>SUP-0068</t>
        </is>
      </c>
      <c r="B677" t="inlineStr">
        <is>
          <t>Agriculture Supplier 068</t>
        </is>
      </c>
      <c r="C677" t="inlineStr">
        <is>
          <t>Agriculture</t>
        </is>
      </c>
      <c r="D677" t="n">
        <v>2020</v>
      </c>
      <c r="E677" t="n">
        <v>25673417.89</v>
      </c>
      <c r="F677" t="n">
        <v>119409255.6</v>
      </c>
      <c r="G677" t="n">
        <v>24710.3582</v>
      </c>
      <c r="H677" t="inlineStr"/>
      <c r="I677" t="n">
        <v>4664.7115</v>
      </c>
      <c r="J677" t="n">
        <v>15228.4024</v>
      </c>
      <c r="K677" t="inlineStr"/>
      <c r="L677" t="inlineStr"/>
      <c r="M677" t="inlineStr"/>
      <c r="N677" t="inlineStr"/>
      <c r="O677" t="n">
        <v>2018</v>
      </c>
      <c r="P677" t="inlineStr"/>
      <c r="Q677" t="inlineStr"/>
      <c r="R677" t="n">
        <v>529.8294</v>
      </c>
      <c r="S677" t="n">
        <v>0.00091413</v>
      </c>
      <c r="T677" t="n">
        <v>0.00096913</v>
      </c>
    </row>
    <row r="678">
      <c r="A678" t="inlineStr">
        <is>
          <t>SUP-0068</t>
        </is>
      </c>
      <c r="B678" t="inlineStr">
        <is>
          <t>Agriculture Supplier 068</t>
        </is>
      </c>
      <c r="C678" t="inlineStr">
        <is>
          <t>Agriculture</t>
        </is>
      </c>
      <c r="D678" t="n">
        <v>2021</v>
      </c>
      <c r="E678" t="n">
        <v>22930072.1</v>
      </c>
      <c r="F678" t="n">
        <v>91536825.40000001</v>
      </c>
      <c r="G678" t="n">
        <v>18328.6477</v>
      </c>
      <c r="H678" t="n">
        <v>4122.5582</v>
      </c>
      <c r="I678" t="n">
        <v>4117.3304</v>
      </c>
      <c r="J678" t="n">
        <v>11740.9056</v>
      </c>
      <c r="K678" t="inlineStr"/>
      <c r="L678" t="inlineStr"/>
      <c r="M678" t="inlineStr"/>
      <c r="N678" t="inlineStr"/>
      <c r="O678" t="n">
        <v>2018</v>
      </c>
      <c r="P678" t="inlineStr"/>
      <c r="Q678" t="inlineStr"/>
      <c r="R678" t="n">
        <v>529.8294</v>
      </c>
      <c r="S678" t="n">
        <v>0.00091413</v>
      </c>
      <c r="T678" t="n">
        <v>0.00096913</v>
      </c>
    </row>
    <row r="679">
      <c r="A679" t="inlineStr">
        <is>
          <t>SUP-0068</t>
        </is>
      </c>
      <c r="B679" t="inlineStr">
        <is>
          <t>Agriculture Supplier 068</t>
        </is>
      </c>
      <c r="C679" t="inlineStr">
        <is>
          <t>Agriculture</t>
        </is>
      </c>
      <c r="D679" t="n">
        <v>2022</v>
      </c>
      <c r="E679" t="n">
        <v>29650813.88</v>
      </c>
      <c r="F679" t="n">
        <v>103894786.1</v>
      </c>
      <c r="G679" t="n">
        <v>21502.9929</v>
      </c>
      <c r="H679" t="inlineStr"/>
      <c r="I679" t="n">
        <v>2749.9322</v>
      </c>
      <c r="J679" t="n">
        <v>15846.338</v>
      </c>
      <c r="K679" t="inlineStr"/>
      <c r="L679" t="inlineStr"/>
      <c r="M679" t="inlineStr"/>
      <c r="N679" t="inlineStr"/>
      <c r="O679" t="n">
        <v>2018</v>
      </c>
      <c r="P679" t="inlineStr"/>
      <c r="Q679" t="inlineStr"/>
      <c r="R679" t="n">
        <v>529.8294</v>
      </c>
      <c r="S679" t="n">
        <v>0.00091413</v>
      </c>
      <c r="T679" t="n">
        <v>0.00096913</v>
      </c>
    </row>
    <row r="680">
      <c r="A680" t="inlineStr">
        <is>
          <t>SUP-0068</t>
        </is>
      </c>
      <c r="B680" t="inlineStr">
        <is>
          <t>Agriculture Supplier 068</t>
        </is>
      </c>
      <c r="C680" t="inlineStr">
        <is>
          <t>Agriculture</t>
        </is>
      </c>
      <c r="D680" t="n">
        <v>2023</v>
      </c>
      <c r="E680" t="n">
        <v>28453819.83</v>
      </c>
      <c r="F680" t="n">
        <v>104281606.85</v>
      </c>
      <c r="G680" t="n">
        <v>29507.5695</v>
      </c>
      <c r="H680" t="n">
        <v>3870.8777</v>
      </c>
      <c r="I680" t="n">
        <v>2652.42</v>
      </c>
      <c r="J680" t="inlineStr"/>
      <c r="K680" t="inlineStr"/>
      <c r="L680" t="inlineStr"/>
      <c r="M680" t="inlineStr"/>
      <c r="N680" t="inlineStr"/>
      <c r="O680" t="n">
        <v>2018</v>
      </c>
      <c r="P680" t="inlineStr"/>
      <c r="Q680" t="inlineStr"/>
      <c r="R680" t="n">
        <v>529.8294</v>
      </c>
      <c r="S680" t="n">
        <v>0.00091413</v>
      </c>
      <c r="T680" t="n">
        <v>0.00096913</v>
      </c>
    </row>
    <row r="681">
      <c r="A681" t="inlineStr">
        <is>
          <t>SUP-0068</t>
        </is>
      </c>
      <c r="B681" t="inlineStr">
        <is>
          <t>Agriculture Supplier 068</t>
        </is>
      </c>
      <c r="C681" t="inlineStr">
        <is>
          <t>Agriculture</t>
        </is>
      </c>
      <c r="D681" t="n">
        <v>2024</v>
      </c>
      <c r="E681" t="n">
        <v>31870058.85</v>
      </c>
      <c r="F681" t="n">
        <v>130860369.21</v>
      </c>
      <c r="G681" t="inlineStr"/>
      <c r="H681" t="n">
        <v>3224.8132</v>
      </c>
      <c r="I681" t="n">
        <v>3640.0194</v>
      </c>
      <c r="J681" t="n">
        <v>18773.2091</v>
      </c>
      <c r="K681" t="inlineStr"/>
      <c r="L681" t="inlineStr"/>
      <c r="M681" t="inlineStr"/>
      <c r="N681" t="inlineStr"/>
      <c r="O681" t="n">
        <v>2018</v>
      </c>
      <c r="P681" t="inlineStr"/>
      <c r="Q681" t="inlineStr"/>
      <c r="R681" t="n">
        <v>529.8294</v>
      </c>
      <c r="S681" t="n">
        <v>0.00091413</v>
      </c>
      <c r="T681" t="n">
        <v>0.00096913</v>
      </c>
    </row>
    <row r="682">
      <c r="A682" t="inlineStr">
        <is>
          <t>SUP-0069</t>
        </is>
      </c>
      <c r="B682" t="inlineStr">
        <is>
          <t>Chemicals Supplier 069</t>
        </is>
      </c>
      <c r="C682" t="inlineStr">
        <is>
          <t>Chemicals</t>
        </is>
      </c>
      <c r="D682" t="n">
        <v>2015</v>
      </c>
      <c r="E682" t="n">
        <v>6087276.37</v>
      </c>
      <c r="F682" t="n">
        <v>43884118.42</v>
      </c>
      <c r="G682" t="inlineStr"/>
      <c r="H682" t="n">
        <v>1091.756</v>
      </c>
      <c r="I682" t="n">
        <v>534.2703</v>
      </c>
      <c r="J682" t="n">
        <v>4166.4778</v>
      </c>
      <c r="K682" t="inlineStr"/>
      <c r="L682" t="inlineStr"/>
      <c r="M682" t="inlineStr"/>
      <c r="N682" t="inlineStr"/>
      <c r="O682" t="n">
        <v>2019</v>
      </c>
      <c r="P682" t="n">
        <v>2035</v>
      </c>
      <c r="Q682" t="n">
        <v>0.5229</v>
      </c>
      <c r="R682" t="n">
        <v>506.3191</v>
      </c>
      <c r="S682" t="n">
        <v>0.00100149</v>
      </c>
      <c r="T682" t="n">
        <v>0.00047124</v>
      </c>
    </row>
    <row r="683">
      <c r="A683" t="inlineStr">
        <is>
          <t>SUP-0069</t>
        </is>
      </c>
      <c r="B683" t="inlineStr">
        <is>
          <t>Chemicals Supplier 069</t>
        </is>
      </c>
      <c r="C683" t="inlineStr">
        <is>
          <t>Chemicals</t>
        </is>
      </c>
      <c r="D683" t="n">
        <v>2016</v>
      </c>
      <c r="E683" t="n">
        <v>6733079.09</v>
      </c>
      <c r="F683" t="n">
        <v>42498445.35</v>
      </c>
      <c r="G683" t="inlineStr"/>
      <c r="H683" t="n">
        <v>626.6138</v>
      </c>
      <c r="I683" t="inlineStr"/>
      <c r="J683" t="n">
        <v>5091.5635</v>
      </c>
      <c r="K683" t="inlineStr"/>
      <c r="L683" t="inlineStr"/>
      <c r="M683" t="inlineStr"/>
      <c r="N683" t="inlineStr"/>
      <c r="O683" t="n">
        <v>2019</v>
      </c>
      <c r="P683" t="n">
        <v>2035</v>
      </c>
      <c r="Q683" t="n">
        <v>0.5229</v>
      </c>
      <c r="R683" t="n">
        <v>506.3191</v>
      </c>
      <c r="S683" t="n">
        <v>0.00100149</v>
      </c>
      <c r="T683" t="n">
        <v>0.00047124</v>
      </c>
    </row>
    <row r="684">
      <c r="A684" t="inlineStr">
        <is>
          <t>SUP-0069</t>
        </is>
      </c>
      <c r="B684" t="inlineStr">
        <is>
          <t>Chemicals Supplier 069</t>
        </is>
      </c>
      <c r="C684" t="inlineStr">
        <is>
          <t>Chemicals</t>
        </is>
      </c>
      <c r="D684" t="n">
        <v>2017</v>
      </c>
      <c r="E684" t="n">
        <v>4970745.72</v>
      </c>
      <c r="F684" t="inlineStr"/>
      <c r="G684" t="n">
        <v>4270.0953</v>
      </c>
      <c r="H684" t="n">
        <v>1070.1965</v>
      </c>
      <c r="I684" t="n">
        <v>300.2114</v>
      </c>
      <c r="J684" t="n">
        <v>2991.3298</v>
      </c>
      <c r="K684" t="inlineStr"/>
      <c r="L684" t="inlineStr"/>
      <c r="M684" t="inlineStr"/>
      <c r="N684" t="inlineStr"/>
      <c r="O684" t="n">
        <v>2019</v>
      </c>
      <c r="P684" t="n">
        <v>2035</v>
      </c>
      <c r="Q684" t="n">
        <v>0.5229</v>
      </c>
      <c r="R684" t="n">
        <v>506.3191</v>
      </c>
      <c r="S684" t="n">
        <v>0.00100149</v>
      </c>
      <c r="T684" t="n">
        <v>0.00047124</v>
      </c>
    </row>
    <row r="685">
      <c r="A685" t="inlineStr">
        <is>
          <t>SUP-0069</t>
        </is>
      </c>
      <c r="B685" t="inlineStr">
        <is>
          <t>Chemicals Supplier 069</t>
        </is>
      </c>
      <c r="C685" t="inlineStr">
        <is>
          <t>Chemicals</t>
        </is>
      </c>
      <c r="D685" t="n">
        <v>2018</v>
      </c>
      <c r="E685" t="n">
        <v>4680989.11</v>
      </c>
      <c r="F685" t="n">
        <v>44343240.98</v>
      </c>
      <c r="G685" t="n">
        <v>3431.4383</v>
      </c>
      <c r="H685" t="n">
        <v>490.4121</v>
      </c>
      <c r="I685" t="n">
        <v>483.0836</v>
      </c>
      <c r="J685" t="n">
        <v>2425.9731</v>
      </c>
      <c r="K685" t="inlineStr"/>
      <c r="L685" t="inlineStr"/>
      <c r="M685" t="inlineStr"/>
      <c r="N685" t="inlineStr"/>
      <c r="O685" t="n">
        <v>2019</v>
      </c>
      <c r="P685" t="n">
        <v>2035</v>
      </c>
      <c r="Q685" t="n">
        <v>0.5229</v>
      </c>
      <c r="R685" t="n">
        <v>506.3191</v>
      </c>
      <c r="S685" t="n">
        <v>0.00100149</v>
      </c>
      <c r="T685" t="n">
        <v>0.00047124</v>
      </c>
    </row>
    <row r="686">
      <c r="A686" t="inlineStr">
        <is>
          <t>SUP-0069</t>
        </is>
      </c>
      <c r="B686" t="inlineStr">
        <is>
          <t>Chemicals Supplier 069</t>
        </is>
      </c>
      <c r="C686" t="inlineStr">
        <is>
          <t>Chemicals</t>
        </is>
      </c>
      <c r="D686" t="n">
        <v>2019</v>
      </c>
      <c r="E686" t="n">
        <v>5801137.67</v>
      </c>
      <c r="F686" t="n">
        <v>41578509.35</v>
      </c>
      <c r="G686" t="n">
        <v>4663.903</v>
      </c>
      <c r="H686" t="inlineStr"/>
      <c r="I686" t="inlineStr"/>
      <c r="J686" t="n">
        <v>3549.5771</v>
      </c>
      <c r="K686" t="inlineStr"/>
      <c r="L686" t="inlineStr"/>
      <c r="M686" t="inlineStr"/>
      <c r="N686" t="inlineStr"/>
      <c r="O686" t="n">
        <v>2019</v>
      </c>
      <c r="P686" t="n">
        <v>2035</v>
      </c>
      <c r="Q686" t="n">
        <v>0.5229</v>
      </c>
      <c r="R686" t="n">
        <v>506.3191</v>
      </c>
      <c r="S686" t="n">
        <v>0.00100149</v>
      </c>
      <c r="T686" t="n">
        <v>0.00047124</v>
      </c>
    </row>
    <row r="687">
      <c r="A687" t="inlineStr">
        <is>
          <t>SUP-0069</t>
        </is>
      </c>
      <c r="B687" t="inlineStr">
        <is>
          <t>Chemicals Supplier 069</t>
        </is>
      </c>
      <c r="C687" t="inlineStr">
        <is>
          <t>Chemicals</t>
        </is>
      </c>
      <c r="D687" t="n">
        <v>2020</v>
      </c>
      <c r="E687" t="n">
        <v>5512809.01</v>
      </c>
      <c r="F687" t="n">
        <v>36615300.49</v>
      </c>
      <c r="G687" t="inlineStr"/>
      <c r="H687" t="n">
        <v>481.2538</v>
      </c>
      <c r="I687" t="inlineStr"/>
      <c r="J687" t="n">
        <v>3546.157</v>
      </c>
      <c r="K687" t="inlineStr"/>
      <c r="L687" t="inlineStr"/>
      <c r="M687" t="inlineStr"/>
      <c r="N687" t="inlineStr"/>
      <c r="O687" t="n">
        <v>2019</v>
      </c>
      <c r="P687" t="n">
        <v>2035</v>
      </c>
      <c r="Q687" t="n">
        <v>0.5229</v>
      </c>
      <c r="R687" t="n">
        <v>506.3191</v>
      </c>
      <c r="S687" t="n">
        <v>0.00100149</v>
      </c>
      <c r="T687" t="n">
        <v>0.00047124</v>
      </c>
    </row>
    <row r="688">
      <c r="A688" t="inlineStr">
        <is>
          <t>SUP-0069</t>
        </is>
      </c>
      <c r="B688" t="inlineStr">
        <is>
          <t>Chemicals Supplier 069</t>
        </is>
      </c>
      <c r="C688" t="inlineStr">
        <is>
          <t>Chemicals</t>
        </is>
      </c>
      <c r="D688" t="n">
        <v>2021</v>
      </c>
      <c r="E688" t="n">
        <v>5065639.05</v>
      </c>
      <c r="F688" t="n">
        <v>32056905.54</v>
      </c>
      <c r="G688" t="n">
        <v>3738.3949</v>
      </c>
      <c r="H688" t="n">
        <v>620.4656</v>
      </c>
      <c r="I688" t="n">
        <v>809.6198000000001</v>
      </c>
      <c r="J688" t="n">
        <v>2333.3026</v>
      </c>
      <c r="K688" t="inlineStr"/>
      <c r="L688" t="inlineStr"/>
      <c r="M688" t="inlineStr"/>
      <c r="N688" t="inlineStr"/>
      <c r="O688" t="n">
        <v>2019</v>
      </c>
      <c r="P688" t="n">
        <v>2035</v>
      </c>
      <c r="Q688" t="n">
        <v>0.5229</v>
      </c>
      <c r="R688" t="n">
        <v>506.3191</v>
      </c>
      <c r="S688" t="n">
        <v>0.00100149</v>
      </c>
      <c r="T688" t="n">
        <v>0.00047124</v>
      </c>
    </row>
    <row r="689">
      <c r="A689" t="inlineStr">
        <is>
          <t>SUP-0069</t>
        </is>
      </c>
      <c r="B689" t="inlineStr">
        <is>
          <t>Chemicals Supplier 069</t>
        </is>
      </c>
      <c r="C689" t="inlineStr">
        <is>
          <t>Chemicals</t>
        </is>
      </c>
      <c r="D689" t="n">
        <v>2022</v>
      </c>
      <c r="E689" t="n">
        <v>5376695.46</v>
      </c>
      <c r="F689" t="n">
        <v>33003692.98</v>
      </c>
      <c r="G689" t="n">
        <v>5891.5566</v>
      </c>
      <c r="H689" t="n">
        <v>921.98</v>
      </c>
      <c r="I689" t="inlineStr"/>
      <c r="J689" t="n">
        <v>4521.8421</v>
      </c>
      <c r="K689" t="inlineStr"/>
      <c r="L689" t="inlineStr"/>
      <c r="M689" t="inlineStr"/>
      <c r="N689" t="inlineStr"/>
      <c r="O689" t="n">
        <v>2019</v>
      </c>
      <c r="P689" t="n">
        <v>2035</v>
      </c>
      <c r="Q689" t="n">
        <v>0.5229</v>
      </c>
      <c r="R689" t="n">
        <v>506.3191</v>
      </c>
      <c r="S689" t="n">
        <v>0.00100149</v>
      </c>
      <c r="T689" t="n">
        <v>0.00047124</v>
      </c>
    </row>
    <row r="690">
      <c r="A690" t="inlineStr">
        <is>
          <t>SUP-0069</t>
        </is>
      </c>
      <c r="B690" t="inlineStr">
        <is>
          <t>Chemicals Supplier 069</t>
        </is>
      </c>
      <c r="C690" t="inlineStr">
        <is>
          <t>Chemicals</t>
        </is>
      </c>
      <c r="D690" t="n">
        <v>2023</v>
      </c>
      <c r="E690" t="n">
        <v>4904025.52</v>
      </c>
      <c r="F690" t="n">
        <v>42306513.17</v>
      </c>
      <c r="G690" t="n">
        <v>5034.9492</v>
      </c>
      <c r="H690" t="n">
        <v>708.0733</v>
      </c>
      <c r="I690" t="n">
        <v>311.892</v>
      </c>
      <c r="J690" t="n">
        <v>3643.4952</v>
      </c>
      <c r="K690" t="inlineStr"/>
      <c r="L690" t="inlineStr"/>
      <c r="M690" t="inlineStr"/>
      <c r="N690" t="inlineStr"/>
      <c r="O690" t="n">
        <v>2019</v>
      </c>
      <c r="P690" t="n">
        <v>2035</v>
      </c>
      <c r="Q690" t="n">
        <v>0.5229</v>
      </c>
      <c r="R690" t="n">
        <v>506.3191</v>
      </c>
      <c r="S690" t="n">
        <v>0.00100149</v>
      </c>
      <c r="T690" t="n">
        <v>0.00047124</v>
      </c>
    </row>
    <row r="691">
      <c r="A691" t="inlineStr">
        <is>
          <t>SUP-0069</t>
        </is>
      </c>
      <c r="B691" t="inlineStr">
        <is>
          <t>Chemicals Supplier 069</t>
        </is>
      </c>
      <c r="C691" t="inlineStr">
        <is>
          <t>Chemicals</t>
        </is>
      </c>
      <c r="D691" t="n">
        <v>2024</v>
      </c>
      <c r="E691" t="n">
        <v>4989127.78</v>
      </c>
      <c r="F691" t="n">
        <v>41403627.46</v>
      </c>
      <c r="G691" t="inlineStr"/>
      <c r="H691" t="n">
        <v>934.7424</v>
      </c>
      <c r="I691" t="n">
        <v>405.3859</v>
      </c>
      <c r="J691" t="n">
        <v>2409.031</v>
      </c>
      <c r="K691" t="inlineStr"/>
      <c r="L691" t="inlineStr"/>
      <c r="M691" t="inlineStr"/>
      <c r="N691" t="inlineStr"/>
      <c r="O691" t="n">
        <v>2019</v>
      </c>
      <c r="P691" t="n">
        <v>2035</v>
      </c>
      <c r="Q691" t="n">
        <v>0.5229</v>
      </c>
      <c r="R691" t="n">
        <v>506.3191</v>
      </c>
      <c r="S691" t="n">
        <v>0.00100149</v>
      </c>
      <c r="T691" t="n">
        <v>0.00047124</v>
      </c>
    </row>
    <row r="692">
      <c r="A692" t="inlineStr">
        <is>
          <t>SUP-0070</t>
        </is>
      </c>
      <c r="B692" t="inlineStr">
        <is>
          <t>Agriculture Supplier 070</t>
        </is>
      </c>
      <c r="C692" t="inlineStr">
        <is>
          <t>Agriculture</t>
        </is>
      </c>
      <c r="D692" t="n">
        <v>2015</v>
      </c>
      <c r="E692" t="n">
        <v>19395262.94</v>
      </c>
      <c r="F692" t="n">
        <v>130269975.15</v>
      </c>
      <c r="G692" t="n">
        <v>24461.7334</v>
      </c>
      <c r="H692" t="n">
        <v>4131.291</v>
      </c>
      <c r="I692" t="n">
        <v>4506.9951</v>
      </c>
      <c r="J692" t="inlineStr"/>
      <c r="K692" t="n">
        <v>2020</v>
      </c>
      <c r="L692" t="n">
        <v>2035</v>
      </c>
      <c r="M692" t="n">
        <v>0.5262</v>
      </c>
      <c r="N692" t="n">
        <v>0.2341</v>
      </c>
      <c r="O692" t="n">
        <v>2018</v>
      </c>
      <c r="P692" t="inlineStr"/>
      <c r="Q692" t="inlineStr"/>
      <c r="R692" t="n">
        <v>529.8294</v>
      </c>
      <c r="S692" t="n">
        <v>0.00091413</v>
      </c>
      <c r="T692" t="n">
        <v>0.00096913</v>
      </c>
    </row>
    <row r="693">
      <c r="A693" t="inlineStr">
        <is>
          <t>SUP-0070</t>
        </is>
      </c>
      <c r="B693" t="inlineStr">
        <is>
          <t>Agriculture Supplier 070</t>
        </is>
      </c>
      <c r="C693" t="inlineStr">
        <is>
          <t>Agriculture</t>
        </is>
      </c>
      <c r="D693" t="n">
        <v>2016</v>
      </c>
      <c r="E693" t="n">
        <v>16936218.68</v>
      </c>
      <c r="F693" t="n">
        <v>123280443.97</v>
      </c>
      <c r="G693" t="inlineStr"/>
      <c r="H693" t="n">
        <v>2248.921</v>
      </c>
      <c r="I693" t="n">
        <v>3543.4012</v>
      </c>
      <c r="J693" t="n">
        <v>14027.048</v>
      </c>
      <c r="K693" t="n">
        <v>2020</v>
      </c>
      <c r="L693" t="n">
        <v>2035</v>
      </c>
      <c r="M693" t="n">
        <v>0.5262</v>
      </c>
      <c r="N693" t="n">
        <v>0.2341</v>
      </c>
      <c r="O693" t="n">
        <v>2018</v>
      </c>
      <c r="P693" t="inlineStr"/>
      <c r="Q693" t="inlineStr"/>
      <c r="R693" t="n">
        <v>529.8294</v>
      </c>
      <c r="S693" t="n">
        <v>0.00091413</v>
      </c>
      <c r="T693" t="n">
        <v>0.00096913</v>
      </c>
    </row>
    <row r="694">
      <c r="A694" t="inlineStr">
        <is>
          <t>SUP-0070</t>
        </is>
      </c>
      <c r="B694" t="inlineStr">
        <is>
          <t>Agriculture Supplier 070</t>
        </is>
      </c>
      <c r="C694" t="inlineStr">
        <is>
          <t>Agriculture</t>
        </is>
      </c>
      <c r="D694" t="n">
        <v>2017</v>
      </c>
      <c r="E694" t="n">
        <v>21240569.64</v>
      </c>
      <c r="F694" t="n">
        <v>127182717.81</v>
      </c>
      <c r="G694" t="n">
        <v>22341.1294</v>
      </c>
      <c r="H694" t="n">
        <v>3367.6473</v>
      </c>
      <c r="I694" t="inlineStr"/>
      <c r="J694" t="inlineStr"/>
      <c r="K694" t="n">
        <v>2020</v>
      </c>
      <c r="L694" t="n">
        <v>2035</v>
      </c>
      <c r="M694" t="n">
        <v>0.5262</v>
      </c>
      <c r="N694" t="n">
        <v>0.2341</v>
      </c>
      <c r="O694" t="n">
        <v>2018</v>
      </c>
      <c r="P694" t="inlineStr"/>
      <c r="Q694" t="inlineStr"/>
      <c r="R694" t="n">
        <v>529.8294</v>
      </c>
      <c r="S694" t="n">
        <v>0.00091413</v>
      </c>
      <c r="T694" t="n">
        <v>0.00096913</v>
      </c>
    </row>
    <row r="695">
      <c r="A695" t="inlineStr">
        <is>
          <t>SUP-0070</t>
        </is>
      </c>
      <c r="B695" t="inlineStr">
        <is>
          <t>Agriculture Supplier 070</t>
        </is>
      </c>
      <c r="C695" t="inlineStr">
        <is>
          <t>Agriculture</t>
        </is>
      </c>
      <c r="D695" t="n">
        <v>2018</v>
      </c>
      <c r="E695" t="n">
        <v>19326059.81</v>
      </c>
      <c r="F695" t="n">
        <v>113328465.47</v>
      </c>
      <c r="G695" t="n">
        <v>19991.8502</v>
      </c>
      <c r="H695" t="n">
        <v>2622.9707</v>
      </c>
      <c r="I695" t="n">
        <v>1676.6589</v>
      </c>
      <c r="J695" t="n">
        <v>15590.0871</v>
      </c>
      <c r="K695" t="n">
        <v>2020</v>
      </c>
      <c r="L695" t="n">
        <v>2035</v>
      </c>
      <c r="M695" t="n">
        <v>0.5262</v>
      </c>
      <c r="N695" t="n">
        <v>0.2341</v>
      </c>
      <c r="O695" t="n">
        <v>2018</v>
      </c>
      <c r="P695" t="inlineStr"/>
      <c r="Q695" t="inlineStr"/>
      <c r="R695" t="n">
        <v>529.8294</v>
      </c>
      <c r="S695" t="n">
        <v>0.00091413</v>
      </c>
      <c r="T695" t="n">
        <v>0.00096913</v>
      </c>
    </row>
    <row r="696">
      <c r="A696" t="inlineStr">
        <is>
          <t>SUP-0070</t>
        </is>
      </c>
      <c r="B696" t="inlineStr">
        <is>
          <t>Agriculture Supplier 070</t>
        </is>
      </c>
      <c r="C696" t="inlineStr">
        <is>
          <t>Agriculture</t>
        </is>
      </c>
      <c r="D696" t="n">
        <v>2019</v>
      </c>
      <c r="E696" t="n">
        <v>23932031.71</v>
      </c>
      <c r="F696" t="n">
        <v>135840358.84</v>
      </c>
      <c r="G696" t="n">
        <v>22948.0164</v>
      </c>
      <c r="H696" t="n">
        <v>2179.8962</v>
      </c>
      <c r="I696" t="n">
        <v>3857.8225</v>
      </c>
      <c r="J696" t="n">
        <v>17081.9953</v>
      </c>
      <c r="K696" t="n">
        <v>2020</v>
      </c>
      <c r="L696" t="n">
        <v>2035</v>
      </c>
      <c r="M696" t="n">
        <v>0.5262</v>
      </c>
      <c r="N696" t="n">
        <v>0.2341</v>
      </c>
      <c r="O696" t="n">
        <v>2018</v>
      </c>
      <c r="P696" t="inlineStr"/>
      <c r="Q696" t="inlineStr"/>
      <c r="R696" t="n">
        <v>529.8294</v>
      </c>
      <c r="S696" t="n">
        <v>0.00091413</v>
      </c>
      <c r="T696" t="n">
        <v>0.00096913</v>
      </c>
    </row>
    <row r="697">
      <c r="A697" t="inlineStr">
        <is>
          <t>SUP-0070</t>
        </is>
      </c>
      <c r="B697" t="inlineStr">
        <is>
          <t>Agriculture Supplier 070</t>
        </is>
      </c>
      <c r="C697" t="inlineStr">
        <is>
          <t>Agriculture</t>
        </is>
      </c>
      <c r="D697" t="n">
        <v>2020</v>
      </c>
      <c r="E697" t="n">
        <v>21226253.26</v>
      </c>
      <c r="F697" t="n">
        <v>180647163.17</v>
      </c>
      <c r="G697" t="inlineStr"/>
      <c r="H697" t="n">
        <v>3921.3942</v>
      </c>
      <c r="I697" t="n">
        <v>4122.3014</v>
      </c>
      <c r="J697" t="n">
        <v>12479.4447</v>
      </c>
      <c r="K697" t="n">
        <v>2020</v>
      </c>
      <c r="L697" t="n">
        <v>2035</v>
      </c>
      <c r="M697" t="n">
        <v>0.5262</v>
      </c>
      <c r="N697" t="n">
        <v>0.2341</v>
      </c>
      <c r="O697" t="n">
        <v>2018</v>
      </c>
      <c r="P697" t="inlineStr"/>
      <c r="Q697" t="inlineStr"/>
      <c r="R697" t="n">
        <v>529.8294</v>
      </c>
      <c r="S697" t="n">
        <v>0.00091413</v>
      </c>
      <c r="T697" t="n">
        <v>0.00096913</v>
      </c>
    </row>
    <row r="698">
      <c r="A698" t="inlineStr">
        <is>
          <t>SUP-0070</t>
        </is>
      </c>
      <c r="B698" t="inlineStr">
        <is>
          <t>Agriculture Supplier 070</t>
        </is>
      </c>
      <c r="C698" t="inlineStr">
        <is>
          <t>Agriculture</t>
        </is>
      </c>
      <c r="D698" t="n">
        <v>2021</v>
      </c>
      <c r="E698" t="inlineStr"/>
      <c r="F698" t="inlineStr"/>
      <c r="G698" t="n">
        <v>19564.68</v>
      </c>
      <c r="H698" t="inlineStr"/>
      <c r="I698" t="inlineStr"/>
      <c r="J698" t="n">
        <v>10513.4899</v>
      </c>
      <c r="K698" t="n">
        <v>2020</v>
      </c>
      <c r="L698" t="n">
        <v>2035</v>
      </c>
      <c r="M698" t="n">
        <v>0.5262</v>
      </c>
      <c r="N698" t="n">
        <v>0.2341</v>
      </c>
      <c r="O698" t="n">
        <v>2018</v>
      </c>
      <c r="P698" t="inlineStr"/>
      <c r="Q698" t="inlineStr"/>
      <c r="R698" t="n">
        <v>529.8294</v>
      </c>
      <c r="S698" t="n">
        <v>0.00091413</v>
      </c>
      <c r="T698" t="n">
        <v>0.00096913</v>
      </c>
    </row>
    <row r="699">
      <c r="A699" t="inlineStr">
        <is>
          <t>SUP-0070</t>
        </is>
      </c>
      <c r="B699" t="inlineStr">
        <is>
          <t>Agriculture Supplier 070</t>
        </is>
      </c>
      <c r="C699" t="inlineStr">
        <is>
          <t>Agriculture</t>
        </is>
      </c>
      <c r="D699" t="n">
        <v>2022</v>
      </c>
      <c r="E699" t="n">
        <v>22876604.92</v>
      </c>
      <c r="F699" t="n">
        <v>157272303.53</v>
      </c>
      <c r="G699" t="inlineStr"/>
      <c r="H699" t="n">
        <v>4182.2607</v>
      </c>
      <c r="I699" t="inlineStr"/>
      <c r="J699" t="inlineStr"/>
      <c r="K699" t="n">
        <v>2020</v>
      </c>
      <c r="L699" t="n">
        <v>2035</v>
      </c>
      <c r="M699" t="n">
        <v>0.5262</v>
      </c>
      <c r="N699" t="n">
        <v>0.2341</v>
      </c>
      <c r="O699" t="n">
        <v>2018</v>
      </c>
      <c r="P699" t="inlineStr"/>
      <c r="Q699" t="inlineStr"/>
      <c r="R699" t="n">
        <v>529.8294</v>
      </c>
      <c r="S699" t="n">
        <v>0.00091413</v>
      </c>
      <c r="T699" t="n">
        <v>0.00096913</v>
      </c>
    </row>
    <row r="700">
      <c r="A700" t="inlineStr">
        <is>
          <t>SUP-0070</t>
        </is>
      </c>
      <c r="B700" t="inlineStr">
        <is>
          <t>Agriculture Supplier 070</t>
        </is>
      </c>
      <c r="C700" t="inlineStr">
        <is>
          <t>Agriculture</t>
        </is>
      </c>
      <c r="D700" t="n">
        <v>2023</v>
      </c>
      <c r="E700" t="n">
        <v>20859072.28</v>
      </c>
      <c r="F700" t="n">
        <v>127574943.96</v>
      </c>
      <c r="G700" t="n">
        <v>16617.9675</v>
      </c>
      <c r="H700" t="n">
        <v>2684.4446</v>
      </c>
      <c r="I700" t="n">
        <v>3421.2089</v>
      </c>
      <c r="J700" t="n">
        <v>9929.484</v>
      </c>
      <c r="K700" t="n">
        <v>2020</v>
      </c>
      <c r="L700" t="n">
        <v>2035</v>
      </c>
      <c r="M700" t="n">
        <v>0.5262</v>
      </c>
      <c r="N700" t="n">
        <v>0.2341</v>
      </c>
      <c r="O700" t="n">
        <v>2018</v>
      </c>
      <c r="P700" t="inlineStr"/>
      <c r="Q700" t="inlineStr"/>
      <c r="R700" t="n">
        <v>529.8294</v>
      </c>
      <c r="S700" t="n">
        <v>0.00091413</v>
      </c>
      <c r="T700" t="n">
        <v>0.00096913</v>
      </c>
    </row>
    <row r="701">
      <c r="A701" t="inlineStr">
        <is>
          <t>SUP-0070</t>
        </is>
      </c>
      <c r="B701" t="inlineStr">
        <is>
          <t>Agriculture Supplier 070</t>
        </is>
      </c>
      <c r="C701" t="inlineStr">
        <is>
          <t>Agriculture</t>
        </is>
      </c>
      <c r="D701" t="n">
        <v>2024</v>
      </c>
      <c r="E701" t="n">
        <v>20402329.13</v>
      </c>
      <c r="F701" t="n">
        <v>136165393.76</v>
      </c>
      <c r="G701" t="inlineStr"/>
      <c r="H701" t="inlineStr"/>
      <c r="I701" t="inlineStr"/>
      <c r="J701" t="n">
        <v>13301.1313</v>
      </c>
      <c r="K701" t="n">
        <v>2020</v>
      </c>
      <c r="L701" t="n">
        <v>2035</v>
      </c>
      <c r="M701" t="n">
        <v>0.5262</v>
      </c>
      <c r="N701" t="n">
        <v>0.2341</v>
      </c>
      <c r="O701" t="n">
        <v>2018</v>
      </c>
      <c r="P701" t="inlineStr"/>
      <c r="Q701" t="inlineStr"/>
      <c r="R701" t="n">
        <v>529.8294</v>
      </c>
      <c r="S701" t="n">
        <v>0.00091413</v>
      </c>
      <c r="T701" t="n">
        <v>0.00096913</v>
      </c>
    </row>
    <row r="702">
      <c r="A702" t="inlineStr">
        <is>
          <t>SUP-0071</t>
        </is>
      </c>
      <c r="B702" t="inlineStr">
        <is>
          <t>Chemicals Supplier 071</t>
        </is>
      </c>
      <c r="C702" t="inlineStr">
        <is>
          <t>Chemicals</t>
        </is>
      </c>
      <c r="D702" t="n">
        <v>2015</v>
      </c>
      <c r="E702" t="n">
        <v>16291949.99</v>
      </c>
      <c r="F702" t="n">
        <v>80820761.01000001</v>
      </c>
      <c r="G702" t="n">
        <v>11565.1814</v>
      </c>
      <c r="H702" t="n">
        <v>2773.0663</v>
      </c>
      <c r="I702" t="inlineStr"/>
      <c r="J702" t="n">
        <v>8577.0934</v>
      </c>
      <c r="K702" t="n">
        <v>2021</v>
      </c>
      <c r="L702" t="n">
        <v>2040</v>
      </c>
      <c r="M702" t="n">
        <v>0.5246</v>
      </c>
      <c r="N702" t="n">
        <v>0.2891</v>
      </c>
      <c r="O702" t="n">
        <v>2019</v>
      </c>
      <c r="P702" t="n">
        <v>2035</v>
      </c>
      <c r="Q702" t="n">
        <v>0.5229</v>
      </c>
      <c r="R702" t="n">
        <v>506.3191</v>
      </c>
      <c r="S702" t="n">
        <v>0.00100149</v>
      </c>
      <c r="T702" t="n">
        <v>0.00047124</v>
      </c>
    </row>
    <row r="703">
      <c r="A703" t="inlineStr">
        <is>
          <t>SUP-0071</t>
        </is>
      </c>
      <c r="B703" t="inlineStr">
        <is>
          <t>Chemicals Supplier 071</t>
        </is>
      </c>
      <c r="C703" t="inlineStr">
        <is>
          <t>Chemicals</t>
        </is>
      </c>
      <c r="D703" t="n">
        <v>2016</v>
      </c>
      <c r="E703" t="n">
        <v>18391853.74</v>
      </c>
      <c r="F703" t="n">
        <v>70914475.59999999</v>
      </c>
      <c r="G703" t="n">
        <v>13368.8852</v>
      </c>
      <c r="H703" t="n">
        <v>1912.9416</v>
      </c>
      <c r="I703" t="n">
        <v>2355.0294</v>
      </c>
      <c r="J703" t="n">
        <v>9960.7168</v>
      </c>
      <c r="K703" t="n">
        <v>2021</v>
      </c>
      <c r="L703" t="n">
        <v>2040</v>
      </c>
      <c r="M703" t="n">
        <v>0.5246</v>
      </c>
      <c r="N703" t="n">
        <v>0.2891</v>
      </c>
      <c r="O703" t="n">
        <v>2019</v>
      </c>
      <c r="P703" t="n">
        <v>2035</v>
      </c>
      <c r="Q703" t="n">
        <v>0.5229</v>
      </c>
      <c r="R703" t="n">
        <v>506.3191</v>
      </c>
      <c r="S703" t="n">
        <v>0.00100149</v>
      </c>
      <c r="T703" t="n">
        <v>0.00047124</v>
      </c>
    </row>
    <row r="704">
      <c r="A704" t="inlineStr">
        <is>
          <t>SUP-0071</t>
        </is>
      </c>
      <c r="B704" t="inlineStr">
        <is>
          <t>Chemicals Supplier 071</t>
        </is>
      </c>
      <c r="C704" t="inlineStr">
        <is>
          <t>Chemicals</t>
        </is>
      </c>
      <c r="D704" t="n">
        <v>2017</v>
      </c>
      <c r="E704" t="n">
        <v>20625713.54</v>
      </c>
      <c r="F704" t="n">
        <v>71674210.15000001</v>
      </c>
      <c r="G704" t="n">
        <v>15923.4663</v>
      </c>
      <c r="H704" t="n">
        <v>1775.6846</v>
      </c>
      <c r="I704" t="n">
        <v>3554.7134</v>
      </c>
      <c r="J704" t="n">
        <v>11251.8644</v>
      </c>
      <c r="K704" t="n">
        <v>2021</v>
      </c>
      <c r="L704" t="n">
        <v>2040</v>
      </c>
      <c r="M704" t="n">
        <v>0.5246</v>
      </c>
      <c r="N704" t="n">
        <v>0.2891</v>
      </c>
      <c r="O704" t="n">
        <v>2019</v>
      </c>
      <c r="P704" t="n">
        <v>2035</v>
      </c>
      <c r="Q704" t="n">
        <v>0.5229</v>
      </c>
      <c r="R704" t="n">
        <v>506.3191</v>
      </c>
      <c r="S704" t="n">
        <v>0.00100149</v>
      </c>
      <c r="T704" t="n">
        <v>0.00047124</v>
      </c>
    </row>
    <row r="705">
      <c r="A705" t="inlineStr">
        <is>
          <t>SUP-0071</t>
        </is>
      </c>
      <c r="B705" t="inlineStr">
        <is>
          <t>Chemicals Supplier 071</t>
        </is>
      </c>
      <c r="C705" t="inlineStr">
        <is>
          <t>Chemicals</t>
        </is>
      </c>
      <c r="D705" t="n">
        <v>2018</v>
      </c>
      <c r="E705" t="inlineStr"/>
      <c r="F705" t="n">
        <v>73342617.52</v>
      </c>
      <c r="G705" t="inlineStr"/>
      <c r="H705" t="n">
        <v>3615.8135</v>
      </c>
      <c r="I705" t="inlineStr"/>
      <c r="J705" t="inlineStr"/>
      <c r="K705" t="n">
        <v>2021</v>
      </c>
      <c r="L705" t="n">
        <v>2040</v>
      </c>
      <c r="M705" t="n">
        <v>0.5246</v>
      </c>
      <c r="N705" t="n">
        <v>0.2891</v>
      </c>
      <c r="O705" t="n">
        <v>2019</v>
      </c>
      <c r="P705" t="n">
        <v>2035</v>
      </c>
      <c r="Q705" t="n">
        <v>0.5229</v>
      </c>
      <c r="R705" t="n">
        <v>506.3191</v>
      </c>
      <c r="S705" t="n">
        <v>0.00100149</v>
      </c>
      <c r="T705" t="n">
        <v>0.00047124</v>
      </c>
    </row>
    <row r="706">
      <c r="A706" t="inlineStr">
        <is>
          <t>SUP-0071</t>
        </is>
      </c>
      <c r="B706" t="inlineStr">
        <is>
          <t>Chemicals Supplier 071</t>
        </is>
      </c>
      <c r="C706" t="inlineStr">
        <is>
          <t>Chemicals</t>
        </is>
      </c>
      <c r="D706" t="n">
        <v>2019</v>
      </c>
      <c r="E706" t="n">
        <v>19751397.94</v>
      </c>
      <c r="F706" t="n">
        <v>68880771.25</v>
      </c>
      <c r="G706" t="n">
        <v>15583.5753</v>
      </c>
      <c r="H706" t="n">
        <v>2076.0099</v>
      </c>
      <c r="I706" t="n">
        <v>3015.7338</v>
      </c>
      <c r="J706" t="n">
        <v>11457.8471</v>
      </c>
      <c r="K706" t="n">
        <v>2021</v>
      </c>
      <c r="L706" t="n">
        <v>2040</v>
      </c>
      <c r="M706" t="n">
        <v>0.5246</v>
      </c>
      <c r="N706" t="n">
        <v>0.2891</v>
      </c>
      <c r="O706" t="n">
        <v>2019</v>
      </c>
      <c r="P706" t="n">
        <v>2035</v>
      </c>
      <c r="Q706" t="n">
        <v>0.5229</v>
      </c>
      <c r="R706" t="n">
        <v>506.3191</v>
      </c>
      <c r="S706" t="n">
        <v>0.00100149</v>
      </c>
      <c r="T706" t="n">
        <v>0.00047124</v>
      </c>
    </row>
    <row r="707">
      <c r="A707" t="inlineStr">
        <is>
          <t>SUP-0071</t>
        </is>
      </c>
      <c r="B707" t="inlineStr">
        <is>
          <t>Chemicals Supplier 071</t>
        </is>
      </c>
      <c r="C707" t="inlineStr">
        <is>
          <t>Chemicals</t>
        </is>
      </c>
      <c r="D707" t="n">
        <v>2020</v>
      </c>
      <c r="E707" t="n">
        <v>23580452.99</v>
      </c>
      <c r="F707" t="n">
        <v>96910142.92</v>
      </c>
      <c r="G707" t="n">
        <v>15821.2805</v>
      </c>
      <c r="H707" t="n">
        <v>2563.0061</v>
      </c>
      <c r="I707" t="n">
        <v>1545.2748</v>
      </c>
      <c r="J707" t="n">
        <v>11229.0888</v>
      </c>
      <c r="K707" t="n">
        <v>2021</v>
      </c>
      <c r="L707" t="n">
        <v>2040</v>
      </c>
      <c r="M707" t="n">
        <v>0.5246</v>
      </c>
      <c r="N707" t="n">
        <v>0.2891</v>
      </c>
      <c r="O707" t="n">
        <v>2019</v>
      </c>
      <c r="P707" t="n">
        <v>2035</v>
      </c>
      <c r="Q707" t="n">
        <v>0.5229</v>
      </c>
      <c r="R707" t="n">
        <v>506.3191</v>
      </c>
      <c r="S707" t="n">
        <v>0.00100149</v>
      </c>
      <c r="T707" t="n">
        <v>0.00047124</v>
      </c>
    </row>
    <row r="708">
      <c r="A708" t="inlineStr">
        <is>
          <t>SUP-0071</t>
        </is>
      </c>
      <c r="B708" t="inlineStr">
        <is>
          <t>Chemicals Supplier 071</t>
        </is>
      </c>
      <c r="C708" t="inlineStr">
        <is>
          <t>Chemicals</t>
        </is>
      </c>
      <c r="D708" t="n">
        <v>2021</v>
      </c>
      <c r="E708" t="n">
        <v>25981497.57</v>
      </c>
      <c r="F708" t="inlineStr"/>
      <c r="G708" t="n">
        <v>20288.1751</v>
      </c>
      <c r="H708" t="inlineStr"/>
      <c r="I708" t="n">
        <v>4515.1209</v>
      </c>
      <c r="J708" t="n">
        <v>10681.3642</v>
      </c>
      <c r="K708" t="n">
        <v>2021</v>
      </c>
      <c r="L708" t="n">
        <v>2040</v>
      </c>
      <c r="M708" t="n">
        <v>0.5246</v>
      </c>
      <c r="N708" t="n">
        <v>0.2891</v>
      </c>
      <c r="O708" t="n">
        <v>2019</v>
      </c>
      <c r="P708" t="n">
        <v>2035</v>
      </c>
      <c r="Q708" t="n">
        <v>0.5229</v>
      </c>
      <c r="R708" t="n">
        <v>506.3191</v>
      </c>
      <c r="S708" t="n">
        <v>0.00100149</v>
      </c>
      <c r="T708" t="n">
        <v>0.00047124</v>
      </c>
    </row>
    <row r="709">
      <c r="A709" t="inlineStr">
        <is>
          <t>SUP-0071</t>
        </is>
      </c>
      <c r="B709" t="inlineStr">
        <is>
          <t>Chemicals Supplier 071</t>
        </is>
      </c>
      <c r="C709" t="inlineStr">
        <is>
          <t>Chemicals</t>
        </is>
      </c>
      <c r="D709" t="n">
        <v>2022</v>
      </c>
      <c r="E709" t="n">
        <v>27167491.86</v>
      </c>
      <c r="F709" t="n">
        <v>100889970.21</v>
      </c>
      <c r="G709" t="n">
        <v>17977.059</v>
      </c>
      <c r="H709" t="n">
        <v>5342.5946</v>
      </c>
      <c r="I709" t="inlineStr"/>
      <c r="J709" t="inlineStr"/>
      <c r="K709" t="n">
        <v>2021</v>
      </c>
      <c r="L709" t="n">
        <v>2040</v>
      </c>
      <c r="M709" t="n">
        <v>0.5246</v>
      </c>
      <c r="N709" t="n">
        <v>0.2891</v>
      </c>
      <c r="O709" t="n">
        <v>2019</v>
      </c>
      <c r="P709" t="n">
        <v>2035</v>
      </c>
      <c r="Q709" t="n">
        <v>0.5229</v>
      </c>
      <c r="R709" t="n">
        <v>506.3191</v>
      </c>
      <c r="S709" t="n">
        <v>0.00100149</v>
      </c>
      <c r="T709" t="n">
        <v>0.00047124</v>
      </c>
    </row>
    <row r="710">
      <c r="A710" t="inlineStr">
        <is>
          <t>SUP-0071</t>
        </is>
      </c>
      <c r="B710" t="inlineStr">
        <is>
          <t>Chemicals Supplier 071</t>
        </is>
      </c>
      <c r="C710" t="inlineStr">
        <is>
          <t>Chemicals</t>
        </is>
      </c>
      <c r="D710" t="n">
        <v>2023</v>
      </c>
      <c r="E710" t="n">
        <v>28529757.38</v>
      </c>
      <c r="F710" t="n">
        <v>96909571.77</v>
      </c>
      <c r="G710" t="inlineStr"/>
      <c r="H710" t="n">
        <v>2656.8319</v>
      </c>
      <c r="I710" t="n">
        <v>1282.9998</v>
      </c>
      <c r="J710" t="n">
        <v>11645.9022</v>
      </c>
      <c r="K710" t="n">
        <v>2021</v>
      </c>
      <c r="L710" t="n">
        <v>2040</v>
      </c>
      <c r="M710" t="n">
        <v>0.5246</v>
      </c>
      <c r="N710" t="n">
        <v>0.2891</v>
      </c>
      <c r="O710" t="n">
        <v>2019</v>
      </c>
      <c r="P710" t="n">
        <v>2035</v>
      </c>
      <c r="Q710" t="n">
        <v>0.5229</v>
      </c>
      <c r="R710" t="n">
        <v>506.3191</v>
      </c>
      <c r="S710" t="n">
        <v>0.00100149</v>
      </c>
      <c r="T710" t="n">
        <v>0.00047124</v>
      </c>
    </row>
    <row r="711">
      <c r="A711" t="inlineStr">
        <is>
          <t>SUP-0071</t>
        </is>
      </c>
      <c r="B711" t="inlineStr">
        <is>
          <t>Chemicals Supplier 071</t>
        </is>
      </c>
      <c r="C711" t="inlineStr">
        <is>
          <t>Chemicals</t>
        </is>
      </c>
      <c r="D711" t="n">
        <v>2024</v>
      </c>
      <c r="E711" t="n">
        <v>28905379.05</v>
      </c>
      <c r="F711" t="n">
        <v>124165340.47</v>
      </c>
      <c r="G711" t="inlineStr"/>
      <c r="H711" t="n">
        <v>3148.1573</v>
      </c>
      <c r="I711" t="n">
        <v>1669.6424</v>
      </c>
      <c r="J711" t="n">
        <v>16694.465</v>
      </c>
      <c r="K711" t="n">
        <v>2021</v>
      </c>
      <c r="L711" t="n">
        <v>2040</v>
      </c>
      <c r="M711" t="n">
        <v>0.5246</v>
      </c>
      <c r="N711" t="n">
        <v>0.2891</v>
      </c>
      <c r="O711" t="n">
        <v>2019</v>
      </c>
      <c r="P711" t="n">
        <v>2035</v>
      </c>
      <c r="Q711" t="n">
        <v>0.5229</v>
      </c>
      <c r="R711" t="n">
        <v>506.3191</v>
      </c>
      <c r="S711" t="n">
        <v>0.00100149</v>
      </c>
      <c r="T711" t="n">
        <v>0.00047124</v>
      </c>
    </row>
    <row r="712">
      <c r="A712" t="inlineStr">
        <is>
          <t>SUP-0072</t>
        </is>
      </c>
      <c r="B712" t="inlineStr">
        <is>
          <t>Electronics Supplier 072</t>
        </is>
      </c>
      <c r="C712" t="inlineStr">
        <is>
          <t>Electronics</t>
        </is>
      </c>
      <c r="D712" t="n">
        <v>2015</v>
      </c>
      <c r="E712" t="n">
        <v>854714.88</v>
      </c>
      <c r="F712" t="n">
        <v>5658852.51</v>
      </c>
      <c r="G712" t="n">
        <v>912.7517</v>
      </c>
      <c r="H712" t="n">
        <v>95.9853</v>
      </c>
      <c r="I712" t="inlineStr"/>
      <c r="J712" t="n">
        <v>673.6884</v>
      </c>
      <c r="K712" t="n">
        <v>2018</v>
      </c>
      <c r="L712" t="n">
        <v>2040</v>
      </c>
      <c r="M712" t="n">
        <v>0.5726</v>
      </c>
      <c r="N712" t="n">
        <v>0.3086</v>
      </c>
      <c r="O712" t="n">
        <v>2018</v>
      </c>
      <c r="P712" t="n">
        <v>2040</v>
      </c>
      <c r="Q712" t="n">
        <v>0.3424</v>
      </c>
      <c r="R712" t="n">
        <v>635.1588</v>
      </c>
      <c r="S712" t="n">
        <v>0.00086105</v>
      </c>
      <c r="T712" t="n">
        <v>0.00013947</v>
      </c>
    </row>
    <row r="713">
      <c r="A713" t="inlineStr">
        <is>
          <t>SUP-0072</t>
        </is>
      </c>
      <c r="B713" t="inlineStr">
        <is>
          <t>Electronics Supplier 072</t>
        </is>
      </c>
      <c r="C713" t="inlineStr">
        <is>
          <t>Electronics</t>
        </is>
      </c>
      <c r="D713" t="n">
        <v>2016</v>
      </c>
      <c r="E713" t="n">
        <v>1100789.47</v>
      </c>
      <c r="F713" t="n">
        <v>5120720.4</v>
      </c>
      <c r="G713" t="n">
        <v>1090.1753</v>
      </c>
      <c r="H713" t="inlineStr"/>
      <c r="I713" t="n">
        <v>101.0171</v>
      </c>
      <c r="J713" t="n">
        <v>819.9851</v>
      </c>
      <c r="K713" t="n">
        <v>2018</v>
      </c>
      <c r="L713" t="n">
        <v>2040</v>
      </c>
      <c r="M713" t="n">
        <v>0.5726</v>
      </c>
      <c r="N713" t="n">
        <v>0.3086</v>
      </c>
      <c r="O713" t="n">
        <v>2018</v>
      </c>
      <c r="P713" t="n">
        <v>2040</v>
      </c>
      <c r="Q713" t="n">
        <v>0.3424</v>
      </c>
      <c r="R713" t="n">
        <v>635.1588</v>
      </c>
      <c r="S713" t="n">
        <v>0.00086105</v>
      </c>
      <c r="T713" t="n">
        <v>0.00013947</v>
      </c>
    </row>
    <row r="714">
      <c r="A714" t="inlineStr">
        <is>
          <t>SUP-0072</t>
        </is>
      </c>
      <c r="B714" t="inlineStr">
        <is>
          <t>Electronics Supplier 072</t>
        </is>
      </c>
      <c r="C714" t="inlineStr">
        <is>
          <t>Electronics</t>
        </is>
      </c>
      <c r="D714" t="n">
        <v>2017</v>
      </c>
      <c r="E714" t="n">
        <v>1135621</v>
      </c>
      <c r="F714" t="n">
        <v>5642431.13</v>
      </c>
      <c r="G714" t="n">
        <v>999.6864</v>
      </c>
      <c r="H714" t="n">
        <v>186.661</v>
      </c>
      <c r="I714" t="n">
        <v>182.8807</v>
      </c>
      <c r="J714" t="n">
        <v>639.7144</v>
      </c>
      <c r="K714" t="n">
        <v>2018</v>
      </c>
      <c r="L714" t="n">
        <v>2040</v>
      </c>
      <c r="M714" t="n">
        <v>0.5726</v>
      </c>
      <c r="N714" t="n">
        <v>0.3086</v>
      </c>
      <c r="O714" t="n">
        <v>2018</v>
      </c>
      <c r="P714" t="n">
        <v>2040</v>
      </c>
      <c r="Q714" t="n">
        <v>0.3424</v>
      </c>
      <c r="R714" t="n">
        <v>635.1588</v>
      </c>
      <c r="S714" t="n">
        <v>0.00086105</v>
      </c>
      <c r="T714" t="n">
        <v>0.00013947</v>
      </c>
    </row>
    <row r="715">
      <c r="A715" t="inlineStr">
        <is>
          <t>SUP-0072</t>
        </is>
      </c>
      <c r="B715" t="inlineStr">
        <is>
          <t>Electronics Supplier 072</t>
        </is>
      </c>
      <c r="C715" t="inlineStr">
        <is>
          <t>Electronics</t>
        </is>
      </c>
      <c r="D715" t="n">
        <v>2018</v>
      </c>
      <c r="E715" t="n">
        <v>1109698.95</v>
      </c>
      <c r="F715" t="n">
        <v>6154064.28</v>
      </c>
      <c r="G715" t="n">
        <v>1180.8962</v>
      </c>
      <c r="H715" t="n">
        <v>130.617</v>
      </c>
      <c r="I715" t="n">
        <v>163.8507</v>
      </c>
      <c r="J715" t="n">
        <v>820.9503</v>
      </c>
      <c r="K715" t="n">
        <v>2018</v>
      </c>
      <c r="L715" t="n">
        <v>2040</v>
      </c>
      <c r="M715" t="n">
        <v>0.5726</v>
      </c>
      <c r="N715" t="n">
        <v>0.3086</v>
      </c>
      <c r="O715" t="n">
        <v>2018</v>
      </c>
      <c r="P715" t="n">
        <v>2040</v>
      </c>
      <c r="Q715" t="n">
        <v>0.3424</v>
      </c>
      <c r="R715" t="n">
        <v>635.1588</v>
      </c>
      <c r="S715" t="n">
        <v>0.00086105</v>
      </c>
      <c r="T715" t="n">
        <v>0.00013947</v>
      </c>
    </row>
    <row r="716">
      <c r="A716" t="inlineStr">
        <is>
          <t>SUP-0072</t>
        </is>
      </c>
      <c r="B716" t="inlineStr">
        <is>
          <t>Electronics Supplier 072</t>
        </is>
      </c>
      <c r="C716" t="inlineStr">
        <is>
          <t>Electronics</t>
        </is>
      </c>
      <c r="D716" t="n">
        <v>2019</v>
      </c>
      <c r="E716" t="n">
        <v>1182392.99</v>
      </c>
      <c r="F716" t="n">
        <v>5948376.8</v>
      </c>
      <c r="G716" t="n">
        <v>1087.951</v>
      </c>
      <c r="H716" t="n">
        <v>286.6291</v>
      </c>
      <c r="I716" t="n">
        <v>98.81570000000001</v>
      </c>
      <c r="J716" t="n">
        <v>727.1558</v>
      </c>
      <c r="K716" t="n">
        <v>2018</v>
      </c>
      <c r="L716" t="n">
        <v>2040</v>
      </c>
      <c r="M716" t="n">
        <v>0.5726</v>
      </c>
      <c r="N716" t="n">
        <v>0.3086</v>
      </c>
      <c r="O716" t="n">
        <v>2018</v>
      </c>
      <c r="P716" t="n">
        <v>2040</v>
      </c>
      <c r="Q716" t="n">
        <v>0.3424</v>
      </c>
      <c r="R716" t="n">
        <v>635.1588</v>
      </c>
      <c r="S716" t="n">
        <v>0.00086105</v>
      </c>
      <c r="T716" t="n">
        <v>0.00013947</v>
      </c>
    </row>
    <row r="717">
      <c r="A717" t="inlineStr">
        <is>
          <t>SUP-0072</t>
        </is>
      </c>
      <c r="B717" t="inlineStr">
        <is>
          <t>Electronics Supplier 072</t>
        </is>
      </c>
      <c r="C717" t="inlineStr">
        <is>
          <t>Electronics</t>
        </is>
      </c>
      <c r="D717" t="n">
        <v>2020</v>
      </c>
      <c r="E717" t="n">
        <v>1215276.22</v>
      </c>
      <c r="F717" t="n">
        <v>6914183.41</v>
      </c>
      <c r="G717" t="n">
        <v>1225.7189</v>
      </c>
      <c r="H717" t="n">
        <v>284.037</v>
      </c>
      <c r="I717" t="n">
        <v>269.5042</v>
      </c>
      <c r="J717" t="n">
        <v>700.5804000000001</v>
      </c>
      <c r="K717" t="n">
        <v>2018</v>
      </c>
      <c r="L717" t="n">
        <v>2040</v>
      </c>
      <c r="M717" t="n">
        <v>0.5726</v>
      </c>
      <c r="N717" t="n">
        <v>0.3086</v>
      </c>
      <c r="O717" t="n">
        <v>2018</v>
      </c>
      <c r="P717" t="n">
        <v>2040</v>
      </c>
      <c r="Q717" t="n">
        <v>0.3424</v>
      </c>
      <c r="R717" t="n">
        <v>635.1588</v>
      </c>
      <c r="S717" t="n">
        <v>0.00086105</v>
      </c>
      <c r="T717" t="n">
        <v>0.00013947</v>
      </c>
    </row>
    <row r="718">
      <c r="A718" t="inlineStr">
        <is>
          <t>SUP-0072</t>
        </is>
      </c>
      <c r="B718" t="inlineStr">
        <is>
          <t>Electronics Supplier 072</t>
        </is>
      </c>
      <c r="C718" t="inlineStr">
        <is>
          <t>Electronics</t>
        </is>
      </c>
      <c r="D718" t="n">
        <v>2021</v>
      </c>
      <c r="E718" t="n">
        <v>1302243.73</v>
      </c>
      <c r="F718" t="n">
        <v>5086744.22</v>
      </c>
      <c r="G718" t="n">
        <v>819.5732</v>
      </c>
      <c r="H718" t="n">
        <v>109.0972</v>
      </c>
      <c r="I718" t="inlineStr"/>
      <c r="J718" t="n">
        <v>619.4827</v>
      </c>
      <c r="K718" t="n">
        <v>2018</v>
      </c>
      <c r="L718" t="n">
        <v>2040</v>
      </c>
      <c r="M718" t="n">
        <v>0.5726</v>
      </c>
      <c r="N718" t="n">
        <v>0.3086</v>
      </c>
      <c r="O718" t="n">
        <v>2018</v>
      </c>
      <c r="P718" t="n">
        <v>2040</v>
      </c>
      <c r="Q718" t="n">
        <v>0.3424</v>
      </c>
      <c r="R718" t="n">
        <v>635.1588</v>
      </c>
      <c r="S718" t="n">
        <v>0.00086105</v>
      </c>
      <c r="T718" t="n">
        <v>0.00013947</v>
      </c>
    </row>
    <row r="719">
      <c r="A719" t="inlineStr">
        <is>
          <t>SUP-0072</t>
        </is>
      </c>
      <c r="B719" t="inlineStr">
        <is>
          <t>Electronics Supplier 072</t>
        </is>
      </c>
      <c r="C719" t="inlineStr">
        <is>
          <t>Electronics</t>
        </is>
      </c>
      <c r="D719" t="n">
        <v>2022</v>
      </c>
      <c r="E719" t="n">
        <v>1557719.56</v>
      </c>
      <c r="F719" t="n">
        <v>7005732.48</v>
      </c>
      <c r="G719" t="n">
        <v>1595.7839</v>
      </c>
      <c r="H719" t="n">
        <v>315.5732</v>
      </c>
      <c r="I719" t="n">
        <v>286.5371</v>
      </c>
      <c r="J719" t="inlineStr"/>
      <c r="K719" t="n">
        <v>2018</v>
      </c>
      <c r="L719" t="n">
        <v>2040</v>
      </c>
      <c r="M719" t="n">
        <v>0.5726</v>
      </c>
      <c r="N719" t="n">
        <v>0.3086</v>
      </c>
      <c r="O719" t="n">
        <v>2018</v>
      </c>
      <c r="P719" t="n">
        <v>2040</v>
      </c>
      <c r="Q719" t="n">
        <v>0.3424</v>
      </c>
      <c r="R719" t="n">
        <v>635.1588</v>
      </c>
      <c r="S719" t="n">
        <v>0.00086105</v>
      </c>
      <c r="T719" t="n">
        <v>0.00013947</v>
      </c>
    </row>
    <row r="720">
      <c r="A720" t="inlineStr">
        <is>
          <t>SUP-0072</t>
        </is>
      </c>
      <c r="B720" t="inlineStr">
        <is>
          <t>Electronics Supplier 072</t>
        </is>
      </c>
      <c r="C720" t="inlineStr">
        <is>
          <t>Electronics</t>
        </is>
      </c>
      <c r="D720" t="n">
        <v>2023</v>
      </c>
      <c r="E720" t="n">
        <v>1368822.61</v>
      </c>
      <c r="F720" t="n">
        <v>6826464.75</v>
      </c>
      <c r="G720" t="n">
        <v>1258.4569</v>
      </c>
      <c r="H720" t="n">
        <v>282.1853</v>
      </c>
      <c r="I720" t="n">
        <v>121.09</v>
      </c>
      <c r="J720" t="n">
        <v>915.574</v>
      </c>
      <c r="K720" t="n">
        <v>2018</v>
      </c>
      <c r="L720" t="n">
        <v>2040</v>
      </c>
      <c r="M720" t="n">
        <v>0.5726</v>
      </c>
      <c r="N720" t="n">
        <v>0.3086</v>
      </c>
      <c r="O720" t="n">
        <v>2018</v>
      </c>
      <c r="P720" t="n">
        <v>2040</v>
      </c>
      <c r="Q720" t="n">
        <v>0.3424</v>
      </c>
      <c r="R720" t="n">
        <v>635.1588</v>
      </c>
      <c r="S720" t="n">
        <v>0.00086105</v>
      </c>
      <c r="T720" t="n">
        <v>0.00013947</v>
      </c>
    </row>
    <row r="721">
      <c r="A721" t="inlineStr">
        <is>
          <t>SUP-0072</t>
        </is>
      </c>
      <c r="B721" t="inlineStr">
        <is>
          <t>Electronics Supplier 072</t>
        </is>
      </c>
      <c r="C721" t="inlineStr">
        <is>
          <t>Electronics</t>
        </is>
      </c>
      <c r="D721" t="n">
        <v>2024</v>
      </c>
      <c r="E721" t="inlineStr"/>
      <c r="F721" t="n">
        <v>8856001.5</v>
      </c>
      <c r="G721" t="n">
        <v>972.736</v>
      </c>
      <c r="H721" t="n">
        <v>187.3418</v>
      </c>
      <c r="I721" t="inlineStr"/>
      <c r="J721" t="n">
        <v>717.5767</v>
      </c>
      <c r="K721" t="n">
        <v>2018</v>
      </c>
      <c r="L721" t="n">
        <v>2040</v>
      </c>
      <c r="M721" t="n">
        <v>0.5726</v>
      </c>
      <c r="N721" t="n">
        <v>0.3086</v>
      </c>
      <c r="O721" t="n">
        <v>2018</v>
      </c>
      <c r="P721" t="n">
        <v>2040</v>
      </c>
      <c r="Q721" t="n">
        <v>0.3424</v>
      </c>
      <c r="R721" t="n">
        <v>635.1588</v>
      </c>
      <c r="S721" t="n">
        <v>0.00086105</v>
      </c>
      <c r="T721" t="n">
        <v>0.00013947</v>
      </c>
    </row>
    <row r="722">
      <c r="A722" t="inlineStr">
        <is>
          <t>SUP-0073</t>
        </is>
      </c>
      <c r="B722" t="inlineStr">
        <is>
          <t>Packaging Supplier 073</t>
        </is>
      </c>
      <c r="C722" t="inlineStr">
        <is>
          <t>Packaging</t>
        </is>
      </c>
      <c r="D722" t="n">
        <v>2015</v>
      </c>
      <c r="E722" t="n">
        <v>12723662.66</v>
      </c>
      <c r="F722" t="n">
        <v>60962430.47</v>
      </c>
      <c r="G722" t="n">
        <v>13975.2804</v>
      </c>
      <c r="H722" t="n">
        <v>2220.6018</v>
      </c>
      <c r="I722" t="n">
        <v>1412.7686</v>
      </c>
      <c r="J722" t="inlineStr"/>
      <c r="K722" t="n">
        <v>2021</v>
      </c>
      <c r="L722" t="n">
        <v>2030</v>
      </c>
      <c r="M722" t="n">
        <v>0.6005</v>
      </c>
      <c r="N722" t="n">
        <v>0.3773</v>
      </c>
      <c r="O722" t="n">
        <v>2018</v>
      </c>
      <c r="P722" t="n">
        <v>2040</v>
      </c>
      <c r="Q722" t="n">
        <v>0.3112</v>
      </c>
      <c r="R722" t="n">
        <v>702.4188</v>
      </c>
      <c r="S722" t="n">
        <v>0.0010803</v>
      </c>
      <c r="T722" t="n">
        <v>0.00078946</v>
      </c>
    </row>
    <row r="723">
      <c r="A723" t="inlineStr">
        <is>
          <t>SUP-0073</t>
        </is>
      </c>
      <c r="B723" t="inlineStr">
        <is>
          <t>Packaging Supplier 073</t>
        </is>
      </c>
      <c r="C723" t="inlineStr">
        <is>
          <t>Packaging</t>
        </is>
      </c>
      <c r="D723" t="n">
        <v>2016</v>
      </c>
      <c r="E723" t="n">
        <v>12102183.55</v>
      </c>
      <c r="F723" t="n">
        <v>57031457.65</v>
      </c>
      <c r="G723" t="n">
        <v>15727.25</v>
      </c>
      <c r="H723" t="n">
        <v>3442.386</v>
      </c>
      <c r="I723" t="n">
        <v>1437.3559</v>
      </c>
      <c r="J723" t="inlineStr"/>
      <c r="K723" t="n">
        <v>2021</v>
      </c>
      <c r="L723" t="n">
        <v>2030</v>
      </c>
      <c r="M723" t="n">
        <v>0.6005</v>
      </c>
      <c r="N723" t="n">
        <v>0.3773</v>
      </c>
      <c r="O723" t="n">
        <v>2018</v>
      </c>
      <c r="P723" t="n">
        <v>2040</v>
      </c>
      <c r="Q723" t="n">
        <v>0.3112</v>
      </c>
      <c r="R723" t="n">
        <v>702.4188</v>
      </c>
      <c r="S723" t="n">
        <v>0.0010803</v>
      </c>
      <c r="T723" t="n">
        <v>0.00078946</v>
      </c>
    </row>
    <row r="724">
      <c r="A724" t="inlineStr">
        <is>
          <t>SUP-0073</t>
        </is>
      </c>
      <c r="B724" t="inlineStr">
        <is>
          <t>Packaging Supplier 073</t>
        </is>
      </c>
      <c r="C724" t="inlineStr">
        <is>
          <t>Packaging</t>
        </is>
      </c>
      <c r="D724" t="n">
        <v>2017</v>
      </c>
      <c r="E724" t="n">
        <v>15404153.3</v>
      </c>
      <c r="F724" t="n">
        <v>68326631.58</v>
      </c>
      <c r="G724" t="n">
        <v>20319.7128</v>
      </c>
      <c r="H724" t="n">
        <v>4345.8719</v>
      </c>
      <c r="I724" t="n">
        <v>4629.1702</v>
      </c>
      <c r="J724" t="inlineStr"/>
      <c r="K724" t="n">
        <v>2021</v>
      </c>
      <c r="L724" t="n">
        <v>2030</v>
      </c>
      <c r="M724" t="n">
        <v>0.6005</v>
      </c>
      <c r="N724" t="n">
        <v>0.3773</v>
      </c>
      <c r="O724" t="n">
        <v>2018</v>
      </c>
      <c r="P724" t="n">
        <v>2040</v>
      </c>
      <c r="Q724" t="n">
        <v>0.3112</v>
      </c>
      <c r="R724" t="n">
        <v>702.4188</v>
      </c>
      <c r="S724" t="n">
        <v>0.0010803</v>
      </c>
      <c r="T724" t="n">
        <v>0.00078946</v>
      </c>
    </row>
    <row r="725">
      <c r="A725" t="inlineStr">
        <is>
          <t>SUP-0073</t>
        </is>
      </c>
      <c r="B725" t="inlineStr">
        <is>
          <t>Packaging Supplier 073</t>
        </is>
      </c>
      <c r="C725" t="inlineStr">
        <is>
          <t>Packaging</t>
        </is>
      </c>
      <c r="D725" t="n">
        <v>2018</v>
      </c>
      <c r="E725" t="n">
        <v>12636203.07</v>
      </c>
      <c r="F725" t="n">
        <v>73324776.2</v>
      </c>
      <c r="G725" t="n">
        <v>14685.0621</v>
      </c>
      <c r="H725" t="n">
        <v>3568.0332</v>
      </c>
      <c r="I725" t="n">
        <v>2540.2809</v>
      </c>
      <c r="J725" t="n">
        <v>8517.175499999999</v>
      </c>
      <c r="K725" t="n">
        <v>2021</v>
      </c>
      <c r="L725" t="n">
        <v>2030</v>
      </c>
      <c r="M725" t="n">
        <v>0.6005</v>
      </c>
      <c r="N725" t="n">
        <v>0.3773</v>
      </c>
      <c r="O725" t="n">
        <v>2018</v>
      </c>
      <c r="P725" t="n">
        <v>2040</v>
      </c>
      <c r="Q725" t="n">
        <v>0.3112</v>
      </c>
      <c r="R725" t="n">
        <v>702.4188</v>
      </c>
      <c r="S725" t="n">
        <v>0.0010803</v>
      </c>
      <c r="T725" t="n">
        <v>0.00078946</v>
      </c>
    </row>
    <row r="726">
      <c r="A726" t="inlineStr">
        <is>
          <t>SUP-0073</t>
        </is>
      </c>
      <c r="B726" t="inlineStr">
        <is>
          <t>Packaging Supplier 073</t>
        </is>
      </c>
      <c r="C726" t="inlineStr">
        <is>
          <t>Packaging</t>
        </is>
      </c>
      <c r="D726" t="n">
        <v>2019</v>
      </c>
      <c r="E726" t="n">
        <v>16721386.24</v>
      </c>
      <c r="F726" t="inlineStr"/>
      <c r="G726" t="n">
        <v>19645.1482</v>
      </c>
      <c r="H726" t="n">
        <v>2469.4281</v>
      </c>
      <c r="I726" t="n">
        <v>3156.0531</v>
      </c>
      <c r="J726" t="n">
        <v>13904.2493</v>
      </c>
      <c r="K726" t="n">
        <v>2021</v>
      </c>
      <c r="L726" t="n">
        <v>2030</v>
      </c>
      <c r="M726" t="n">
        <v>0.6005</v>
      </c>
      <c r="N726" t="n">
        <v>0.3773</v>
      </c>
      <c r="O726" t="n">
        <v>2018</v>
      </c>
      <c r="P726" t="n">
        <v>2040</v>
      </c>
      <c r="Q726" t="n">
        <v>0.3112</v>
      </c>
      <c r="R726" t="n">
        <v>702.4188</v>
      </c>
      <c r="S726" t="n">
        <v>0.0010803</v>
      </c>
      <c r="T726" t="n">
        <v>0.00078946</v>
      </c>
    </row>
    <row r="727">
      <c r="A727" t="inlineStr">
        <is>
          <t>SUP-0073</t>
        </is>
      </c>
      <c r="B727" t="inlineStr">
        <is>
          <t>Packaging Supplier 073</t>
        </is>
      </c>
      <c r="C727" t="inlineStr">
        <is>
          <t>Packaging</t>
        </is>
      </c>
      <c r="D727" t="n">
        <v>2020</v>
      </c>
      <c r="E727" t="n">
        <v>13946761.91</v>
      </c>
      <c r="F727" t="n">
        <v>81720585.3</v>
      </c>
      <c r="G727" t="n">
        <v>14756.1996</v>
      </c>
      <c r="H727" t="n">
        <v>2985.2981</v>
      </c>
      <c r="I727" t="n">
        <v>3172.5906</v>
      </c>
      <c r="J727" t="n">
        <v>8048.9812</v>
      </c>
      <c r="K727" t="n">
        <v>2021</v>
      </c>
      <c r="L727" t="n">
        <v>2030</v>
      </c>
      <c r="M727" t="n">
        <v>0.6005</v>
      </c>
      <c r="N727" t="n">
        <v>0.3773</v>
      </c>
      <c r="O727" t="n">
        <v>2018</v>
      </c>
      <c r="P727" t="n">
        <v>2040</v>
      </c>
      <c r="Q727" t="n">
        <v>0.3112</v>
      </c>
      <c r="R727" t="n">
        <v>702.4188</v>
      </c>
      <c r="S727" t="n">
        <v>0.0010803</v>
      </c>
      <c r="T727" t="n">
        <v>0.00078946</v>
      </c>
    </row>
    <row r="728">
      <c r="A728" t="inlineStr">
        <is>
          <t>SUP-0073</t>
        </is>
      </c>
      <c r="B728" t="inlineStr">
        <is>
          <t>Packaging Supplier 073</t>
        </is>
      </c>
      <c r="C728" t="inlineStr">
        <is>
          <t>Packaging</t>
        </is>
      </c>
      <c r="D728" t="n">
        <v>2021</v>
      </c>
      <c r="E728" t="n">
        <v>14334694.51</v>
      </c>
      <c r="F728" t="n">
        <v>69539852.81</v>
      </c>
      <c r="G728" t="inlineStr"/>
      <c r="H728" t="n">
        <v>1346.06</v>
      </c>
      <c r="I728" t="inlineStr"/>
      <c r="J728" t="n">
        <v>9888.5327</v>
      </c>
      <c r="K728" t="n">
        <v>2021</v>
      </c>
      <c r="L728" t="n">
        <v>2030</v>
      </c>
      <c r="M728" t="n">
        <v>0.6005</v>
      </c>
      <c r="N728" t="n">
        <v>0.3773</v>
      </c>
      <c r="O728" t="n">
        <v>2018</v>
      </c>
      <c r="P728" t="n">
        <v>2040</v>
      </c>
      <c r="Q728" t="n">
        <v>0.3112</v>
      </c>
      <c r="R728" t="n">
        <v>702.4188</v>
      </c>
      <c r="S728" t="n">
        <v>0.0010803</v>
      </c>
      <c r="T728" t="n">
        <v>0.00078946</v>
      </c>
    </row>
    <row r="729">
      <c r="A729" t="inlineStr">
        <is>
          <t>SUP-0073</t>
        </is>
      </c>
      <c r="B729" t="inlineStr">
        <is>
          <t>Packaging Supplier 073</t>
        </is>
      </c>
      <c r="C729" t="inlineStr">
        <is>
          <t>Packaging</t>
        </is>
      </c>
      <c r="D729" t="n">
        <v>2022</v>
      </c>
      <c r="E729" t="n">
        <v>16345874.01</v>
      </c>
      <c r="F729" t="n">
        <v>77002850.01000001</v>
      </c>
      <c r="G729" t="n">
        <v>15619.7973</v>
      </c>
      <c r="H729" t="n">
        <v>2881.7241</v>
      </c>
      <c r="I729" t="inlineStr"/>
      <c r="J729" t="n">
        <v>10287.8174</v>
      </c>
      <c r="K729" t="n">
        <v>2021</v>
      </c>
      <c r="L729" t="n">
        <v>2030</v>
      </c>
      <c r="M729" t="n">
        <v>0.6005</v>
      </c>
      <c r="N729" t="n">
        <v>0.3773</v>
      </c>
      <c r="O729" t="n">
        <v>2018</v>
      </c>
      <c r="P729" t="n">
        <v>2040</v>
      </c>
      <c r="Q729" t="n">
        <v>0.3112</v>
      </c>
      <c r="R729" t="n">
        <v>702.4188</v>
      </c>
      <c r="S729" t="n">
        <v>0.0010803</v>
      </c>
      <c r="T729" t="n">
        <v>0.00078946</v>
      </c>
    </row>
    <row r="730">
      <c r="A730" t="inlineStr">
        <is>
          <t>SUP-0073</t>
        </is>
      </c>
      <c r="B730" t="inlineStr">
        <is>
          <t>Packaging Supplier 073</t>
        </is>
      </c>
      <c r="C730" t="inlineStr">
        <is>
          <t>Packaging</t>
        </is>
      </c>
      <c r="D730" t="n">
        <v>2023</v>
      </c>
      <c r="E730" t="n">
        <v>17592729.37</v>
      </c>
      <c r="F730" t="n">
        <v>66477796.04</v>
      </c>
      <c r="G730" t="n">
        <v>20124.0128</v>
      </c>
      <c r="H730" t="n">
        <v>1735.7221</v>
      </c>
      <c r="I730" t="n">
        <v>2918.8482</v>
      </c>
      <c r="J730" t="n">
        <v>15816.8306</v>
      </c>
      <c r="K730" t="n">
        <v>2021</v>
      </c>
      <c r="L730" t="n">
        <v>2030</v>
      </c>
      <c r="M730" t="n">
        <v>0.6005</v>
      </c>
      <c r="N730" t="n">
        <v>0.3773</v>
      </c>
      <c r="O730" t="n">
        <v>2018</v>
      </c>
      <c r="P730" t="n">
        <v>2040</v>
      </c>
      <c r="Q730" t="n">
        <v>0.3112</v>
      </c>
      <c r="R730" t="n">
        <v>702.4188</v>
      </c>
      <c r="S730" t="n">
        <v>0.0010803</v>
      </c>
      <c r="T730" t="n">
        <v>0.00078946</v>
      </c>
    </row>
    <row r="731">
      <c r="A731" t="inlineStr">
        <is>
          <t>SUP-0073</t>
        </is>
      </c>
      <c r="B731" t="inlineStr">
        <is>
          <t>Packaging Supplier 073</t>
        </is>
      </c>
      <c r="C731" t="inlineStr">
        <is>
          <t>Packaging</t>
        </is>
      </c>
      <c r="D731" t="n">
        <v>2024</v>
      </c>
      <c r="E731" t="n">
        <v>16909834.93</v>
      </c>
      <c r="F731" t="n">
        <v>82051194.03</v>
      </c>
      <c r="G731" t="n">
        <v>14596.7449</v>
      </c>
      <c r="H731" t="n">
        <v>1180.2512</v>
      </c>
      <c r="I731" t="inlineStr"/>
      <c r="J731" t="inlineStr"/>
      <c r="K731" t="n">
        <v>2021</v>
      </c>
      <c r="L731" t="n">
        <v>2030</v>
      </c>
      <c r="M731" t="n">
        <v>0.6005</v>
      </c>
      <c r="N731" t="n">
        <v>0.3773</v>
      </c>
      <c r="O731" t="n">
        <v>2018</v>
      </c>
      <c r="P731" t="n">
        <v>2040</v>
      </c>
      <c r="Q731" t="n">
        <v>0.3112</v>
      </c>
      <c r="R731" t="n">
        <v>702.4188</v>
      </c>
      <c r="S731" t="n">
        <v>0.0010803</v>
      </c>
      <c r="T731" t="n">
        <v>0.00078946</v>
      </c>
    </row>
    <row r="732">
      <c r="A732" t="inlineStr">
        <is>
          <t>SUP-0074</t>
        </is>
      </c>
      <c r="B732" t="inlineStr">
        <is>
          <t>Agriculture Supplier 074</t>
        </is>
      </c>
      <c r="C732" t="inlineStr">
        <is>
          <t>Agriculture</t>
        </is>
      </c>
      <c r="D732" t="n">
        <v>2015</v>
      </c>
      <c r="E732" t="n">
        <v>24225111.09</v>
      </c>
      <c r="F732" t="n">
        <v>170087280.03</v>
      </c>
      <c r="G732" t="inlineStr"/>
      <c r="H732" t="n">
        <v>5049.4277</v>
      </c>
      <c r="I732" t="n">
        <v>7371.6242</v>
      </c>
      <c r="J732" t="n">
        <v>21285.8071</v>
      </c>
      <c r="K732" t="n">
        <v>2020</v>
      </c>
      <c r="L732" t="n">
        <v>2040</v>
      </c>
      <c r="M732" t="n">
        <v>0.5813</v>
      </c>
      <c r="N732" t="n">
        <v>0.2506</v>
      </c>
      <c r="O732" t="n">
        <v>2018</v>
      </c>
      <c r="P732" t="inlineStr"/>
      <c r="Q732" t="inlineStr"/>
      <c r="R732" t="n">
        <v>529.8294</v>
      </c>
      <c r="S732" t="n">
        <v>0.00091413</v>
      </c>
      <c r="T732" t="n">
        <v>0.00096913</v>
      </c>
    </row>
    <row r="733">
      <c r="A733" t="inlineStr">
        <is>
          <t>SUP-0074</t>
        </is>
      </c>
      <c r="B733" t="inlineStr">
        <is>
          <t>Agriculture Supplier 074</t>
        </is>
      </c>
      <c r="C733" t="inlineStr">
        <is>
          <t>Agriculture</t>
        </is>
      </c>
      <c r="D733" t="n">
        <v>2016</v>
      </c>
      <c r="E733" t="n">
        <v>23511649.85</v>
      </c>
      <c r="F733" t="n">
        <v>199756289.48</v>
      </c>
      <c r="G733" t="n">
        <v>31735.8689</v>
      </c>
      <c r="H733" t="n">
        <v>2799.0406</v>
      </c>
      <c r="I733" t="n">
        <v>2607.2988</v>
      </c>
      <c r="J733" t="n">
        <v>25620.3061</v>
      </c>
      <c r="K733" t="n">
        <v>2020</v>
      </c>
      <c r="L733" t="n">
        <v>2040</v>
      </c>
      <c r="M733" t="n">
        <v>0.5813</v>
      </c>
      <c r="N733" t="n">
        <v>0.2506</v>
      </c>
      <c r="O733" t="n">
        <v>2018</v>
      </c>
      <c r="P733" t="inlineStr"/>
      <c r="Q733" t="inlineStr"/>
      <c r="R733" t="n">
        <v>529.8294</v>
      </c>
      <c r="S733" t="n">
        <v>0.00091413</v>
      </c>
      <c r="T733" t="n">
        <v>0.00096913</v>
      </c>
    </row>
    <row r="734">
      <c r="A734" t="inlineStr">
        <is>
          <t>SUP-0074</t>
        </is>
      </c>
      <c r="B734" t="inlineStr">
        <is>
          <t>Agriculture Supplier 074</t>
        </is>
      </c>
      <c r="C734" t="inlineStr">
        <is>
          <t>Agriculture</t>
        </is>
      </c>
      <c r="D734" t="n">
        <v>2017</v>
      </c>
      <c r="E734" t="n">
        <v>22402266.41</v>
      </c>
      <c r="F734" t="n">
        <v>161775889.79</v>
      </c>
      <c r="G734" t="inlineStr"/>
      <c r="H734" t="inlineStr"/>
      <c r="I734" t="n">
        <v>4036.8737</v>
      </c>
      <c r="J734" t="n">
        <v>18298.8146</v>
      </c>
      <c r="K734" t="n">
        <v>2020</v>
      </c>
      <c r="L734" t="n">
        <v>2040</v>
      </c>
      <c r="M734" t="n">
        <v>0.5813</v>
      </c>
      <c r="N734" t="n">
        <v>0.2506</v>
      </c>
      <c r="O734" t="n">
        <v>2018</v>
      </c>
      <c r="P734" t="inlineStr"/>
      <c r="Q734" t="inlineStr"/>
      <c r="R734" t="n">
        <v>529.8294</v>
      </c>
      <c r="S734" t="n">
        <v>0.00091413</v>
      </c>
      <c r="T734" t="n">
        <v>0.00096913</v>
      </c>
    </row>
    <row r="735">
      <c r="A735" t="inlineStr">
        <is>
          <t>SUP-0074</t>
        </is>
      </c>
      <c r="B735" t="inlineStr">
        <is>
          <t>Agriculture Supplier 074</t>
        </is>
      </c>
      <c r="C735" t="inlineStr">
        <is>
          <t>Agriculture</t>
        </is>
      </c>
      <c r="D735" t="n">
        <v>2018</v>
      </c>
      <c r="E735" t="n">
        <v>23021681.88</v>
      </c>
      <c r="F735" t="n">
        <v>143262602.92</v>
      </c>
      <c r="G735" t="inlineStr"/>
      <c r="H735" t="n">
        <v>3585.1318</v>
      </c>
      <c r="I735" t="n">
        <v>4577.7806</v>
      </c>
      <c r="J735" t="n">
        <v>18815.0587</v>
      </c>
      <c r="K735" t="n">
        <v>2020</v>
      </c>
      <c r="L735" t="n">
        <v>2040</v>
      </c>
      <c r="M735" t="n">
        <v>0.5813</v>
      </c>
      <c r="N735" t="n">
        <v>0.2506</v>
      </c>
      <c r="O735" t="n">
        <v>2018</v>
      </c>
      <c r="P735" t="inlineStr"/>
      <c r="Q735" t="inlineStr"/>
      <c r="R735" t="n">
        <v>529.8294</v>
      </c>
      <c r="S735" t="n">
        <v>0.00091413</v>
      </c>
      <c r="T735" t="n">
        <v>0.00096913</v>
      </c>
    </row>
    <row r="736">
      <c r="A736" t="inlineStr">
        <is>
          <t>SUP-0074</t>
        </is>
      </c>
      <c r="B736" t="inlineStr">
        <is>
          <t>Agriculture Supplier 074</t>
        </is>
      </c>
      <c r="C736" t="inlineStr">
        <is>
          <t>Agriculture</t>
        </is>
      </c>
      <c r="D736" t="n">
        <v>2019</v>
      </c>
      <c r="E736" t="n">
        <v>25878259.23</v>
      </c>
      <c r="F736" t="n">
        <v>199235189.88</v>
      </c>
      <c r="G736" t="n">
        <v>35261.6891</v>
      </c>
      <c r="H736" t="n">
        <v>4721.5609</v>
      </c>
      <c r="I736" t="n">
        <v>7072.1646</v>
      </c>
      <c r="J736" t="n">
        <v>22515.7357</v>
      </c>
      <c r="K736" t="n">
        <v>2020</v>
      </c>
      <c r="L736" t="n">
        <v>2040</v>
      </c>
      <c r="M736" t="n">
        <v>0.5813</v>
      </c>
      <c r="N736" t="n">
        <v>0.2506</v>
      </c>
      <c r="O736" t="n">
        <v>2018</v>
      </c>
      <c r="P736" t="inlineStr"/>
      <c r="Q736" t="inlineStr"/>
      <c r="R736" t="n">
        <v>529.8294</v>
      </c>
      <c r="S736" t="n">
        <v>0.00091413</v>
      </c>
      <c r="T736" t="n">
        <v>0.00096913</v>
      </c>
    </row>
    <row r="737">
      <c r="A737" t="inlineStr">
        <is>
          <t>SUP-0074</t>
        </is>
      </c>
      <c r="B737" t="inlineStr">
        <is>
          <t>Agriculture Supplier 074</t>
        </is>
      </c>
      <c r="C737" t="inlineStr">
        <is>
          <t>Agriculture</t>
        </is>
      </c>
      <c r="D737" t="n">
        <v>2020</v>
      </c>
      <c r="E737" t="n">
        <v>22267786.8</v>
      </c>
      <c r="F737" t="n">
        <v>175418493.96</v>
      </c>
      <c r="G737" t="n">
        <v>32381.1012</v>
      </c>
      <c r="H737" t="n">
        <v>4199.1937</v>
      </c>
      <c r="I737" t="n">
        <v>5794.3482</v>
      </c>
      <c r="J737" t="inlineStr"/>
      <c r="K737" t="n">
        <v>2020</v>
      </c>
      <c r="L737" t="n">
        <v>2040</v>
      </c>
      <c r="M737" t="n">
        <v>0.5813</v>
      </c>
      <c r="N737" t="n">
        <v>0.2506</v>
      </c>
      <c r="O737" t="n">
        <v>2018</v>
      </c>
      <c r="P737" t="inlineStr"/>
      <c r="Q737" t="inlineStr"/>
      <c r="R737" t="n">
        <v>529.8294</v>
      </c>
      <c r="S737" t="n">
        <v>0.00091413</v>
      </c>
      <c r="T737" t="n">
        <v>0.00096913</v>
      </c>
    </row>
    <row r="738">
      <c r="A738" t="inlineStr">
        <is>
          <t>SUP-0074</t>
        </is>
      </c>
      <c r="B738" t="inlineStr">
        <is>
          <t>Agriculture Supplier 074</t>
        </is>
      </c>
      <c r="C738" t="inlineStr">
        <is>
          <t>Agriculture</t>
        </is>
      </c>
      <c r="D738" t="n">
        <v>2021</v>
      </c>
      <c r="E738" t="inlineStr"/>
      <c r="F738" t="inlineStr"/>
      <c r="G738" t="inlineStr"/>
      <c r="H738" t="n">
        <v>6042.0148</v>
      </c>
      <c r="I738" t="inlineStr"/>
      <c r="J738" t="n">
        <v>15969.9056</v>
      </c>
      <c r="K738" t="n">
        <v>2020</v>
      </c>
      <c r="L738" t="n">
        <v>2040</v>
      </c>
      <c r="M738" t="n">
        <v>0.5813</v>
      </c>
      <c r="N738" t="n">
        <v>0.2506</v>
      </c>
      <c r="O738" t="n">
        <v>2018</v>
      </c>
      <c r="P738" t="inlineStr"/>
      <c r="Q738" t="inlineStr"/>
      <c r="R738" t="n">
        <v>529.8294</v>
      </c>
      <c r="S738" t="n">
        <v>0.00091413</v>
      </c>
      <c r="T738" t="n">
        <v>0.00096913</v>
      </c>
    </row>
    <row r="739">
      <c r="A739" t="inlineStr">
        <is>
          <t>SUP-0074</t>
        </is>
      </c>
      <c r="B739" t="inlineStr">
        <is>
          <t>Agriculture Supplier 074</t>
        </is>
      </c>
      <c r="C739" t="inlineStr">
        <is>
          <t>Agriculture</t>
        </is>
      </c>
      <c r="D739" t="n">
        <v>2022</v>
      </c>
      <c r="E739" t="n">
        <v>22663488.64</v>
      </c>
      <c r="F739" t="n">
        <v>219150609.37</v>
      </c>
      <c r="G739" t="n">
        <v>27276.1433</v>
      </c>
      <c r="H739" t="n">
        <v>6360.7514</v>
      </c>
      <c r="I739" t="n">
        <v>5942.1857</v>
      </c>
      <c r="J739" t="n">
        <v>14805.8279</v>
      </c>
      <c r="K739" t="n">
        <v>2020</v>
      </c>
      <c r="L739" t="n">
        <v>2040</v>
      </c>
      <c r="M739" t="n">
        <v>0.5813</v>
      </c>
      <c r="N739" t="n">
        <v>0.2506</v>
      </c>
      <c r="O739" t="n">
        <v>2018</v>
      </c>
      <c r="P739" t="inlineStr"/>
      <c r="Q739" t="inlineStr"/>
      <c r="R739" t="n">
        <v>529.8294</v>
      </c>
      <c r="S739" t="n">
        <v>0.00091413</v>
      </c>
      <c r="T739" t="n">
        <v>0.00096913</v>
      </c>
    </row>
    <row r="740">
      <c r="A740" t="inlineStr">
        <is>
          <t>SUP-0074</t>
        </is>
      </c>
      <c r="B740" t="inlineStr">
        <is>
          <t>Agriculture Supplier 074</t>
        </is>
      </c>
      <c r="C740" t="inlineStr">
        <is>
          <t>Agriculture</t>
        </is>
      </c>
      <c r="D740" t="n">
        <v>2023</v>
      </c>
      <c r="E740" t="n">
        <v>23563570.07</v>
      </c>
      <c r="F740" t="n">
        <v>177533355.59</v>
      </c>
      <c r="G740" t="n">
        <v>23245.1448</v>
      </c>
      <c r="H740" t="n">
        <v>5641.8627</v>
      </c>
      <c r="I740" t="n">
        <v>2681.72</v>
      </c>
      <c r="J740" t="n">
        <v>14167.888</v>
      </c>
      <c r="K740" t="n">
        <v>2020</v>
      </c>
      <c r="L740" t="n">
        <v>2040</v>
      </c>
      <c r="M740" t="n">
        <v>0.5813</v>
      </c>
      <c r="N740" t="n">
        <v>0.2506</v>
      </c>
      <c r="O740" t="n">
        <v>2018</v>
      </c>
      <c r="P740" t="inlineStr"/>
      <c r="Q740" t="inlineStr"/>
      <c r="R740" t="n">
        <v>529.8294</v>
      </c>
      <c r="S740" t="n">
        <v>0.00091413</v>
      </c>
      <c r="T740" t="n">
        <v>0.00096913</v>
      </c>
    </row>
    <row r="741">
      <c r="A741" t="inlineStr">
        <is>
          <t>SUP-0074</t>
        </is>
      </c>
      <c r="B741" t="inlineStr">
        <is>
          <t>Agriculture Supplier 074</t>
        </is>
      </c>
      <c r="C741" t="inlineStr">
        <is>
          <t>Agriculture</t>
        </is>
      </c>
      <c r="D741" t="n">
        <v>2024</v>
      </c>
      <c r="E741" t="inlineStr"/>
      <c r="F741" t="n">
        <v>233834556.23</v>
      </c>
      <c r="G741" t="n">
        <v>26707.7815</v>
      </c>
      <c r="H741" t="n">
        <v>6494.2756</v>
      </c>
      <c r="I741" t="n">
        <v>4060.4651</v>
      </c>
      <c r="J741" t="inlineStr"/>
      <c r="K741" t="n">
        <v>2020</v>
      </c>
      <c r="L741" t="n">
        <v>2040</v>
      </c>
      <c r="M741" t="n">
        <v>0.5813</v>
      </c>
      <c r="N741" t="n">
        <v>0.2506</v>
      </c>
      <c r="O741" t="n">
        <v>2018</v>
      </c>
      <c r="P741" t="inlineStr"/>
      <c r="Q741" t="inlineStr"/>
      <c r="R741" t="n">
        <v>529.8294</v>
      </c>
      <c r="S741" t="n">
        <v>0.00091413</v>
      </c>
      <c r="T741" t="n">
        <v>0.00096913</v>
      </c>
    </row>
    <row r="742">
      <c r="A742" t="inlineStr">
        <is>
          <t>SUP-0075</t>
        </is>
      </c>
      <c r="B742" t="inlineStr">
        <is>
          <t>Metals Supplier 075</t>
        </is>
      </c>
      <c r="C742" t="inlineStr">
        <is>
          <t>Metals</t>
        </is>
      </c>
      <c r="D742" t="n">
        <v>2015</v>
      </c>
      <c r="E742" t="n">
        <v>12326175.85</v>
      </c>
      <c r="F742" t="n">
        <v>31625793.45</v>
      </c>
      <c r="G742" t="inlineStr"/>
      <c r="H742" t="n">
        <v>1384.2462</v>
      </c>
      <c r="I742" t="n">
        <v>2344.6095</v>
      </c>
      <c r="J742" t="n">
        <v>11805.0781</v>
      </c>
      <c r="K742" t="n">
        <v>2021</v>
      </c>
      <c r="L742" t="n">
        <v>2030</v>
      </c>
      <c r="M742" t="n">
        <v>0.5861</v>
      </c>
      <c r="N742" t="n">
        <v>0.2598</v>
      </c>
      <c r="O742" t="n">
        <v>2019</v>
      </c>
      <c r="P742" t="n">
        <v>2030</v>
      </c>
      <c r="Q742" t="n">
        <v>0.3852</v>
      </c>
      <c r="R742" t="n">
        <v>158.2904</v>
      </c>
      <c r="S742" t="n">
        <v>0.00100695</v>
      </c>
      <c r="T742" t="n">
        <v>0.00065008</v>
      </c>
    </row>
    <row r="743">
      <c r="A743" t="inlineStr">
        <is>
          <t>SUP-0075</t>
        </is>
      </c>
      <c r="B743" t="inlineStr">
        <is>
          <t>Metals Supplier 075</t>
        </is>
      </c>
      <c r="C743" t="inlineStr">
        <is>
          <t>Metals</t>
        </is>
      </c>
      <c r="D743" t="n">
        <v>2016</v>
      </c>
      <c r="E743" t="n">
        <v>12654595.27</v>
      </c>
      <c r="F743" t="n">
        <v>25508865.47</v>
      </c>
      <c r="G743" t="n">
        <v>16074.023</v>
      </c>
      <c r="H743" t="n">
        <v>2896.5863</v>
      </c>
      <c r="I743" t="n">
        <v>2081.8162</v>
      </c>
      <c r="J743" t="n">
        <v>11041.0334</v>
      </c>
      <c r="K743" t="n">
        <v>2021</v>
      </c>
      <c r="L743" t="n">
        <v>2030</v>
      </c>
      <c r="M743" t="n">
        <v>0.5861</v>
      </c>
      <c r="N743" t="n">
        <v>0.2598</v>
      </c>
      <c r="O743" t="n">
        <v>2019</v>
      </c>
      <c r="P743" t="n">
        <v>2030</v>
      </c>
      <c r="Q743" t="n">
        <v>0.3852</v>
      </c>
      <c r="R743" t="n">
        <v>158.2904</v>
      </c>
      <c r="S743" t="n">
        <v>0.00100695</v>
      </c>
      <c r="T743" t="n">
        <v>0.00065008</v>
      </c>
    </row>
    <row r="744">
      <c r="A744" t="inlineStr">
        <is>
          <t>SUP-0075</t>
        </is>
      </c>
      <c r="B744" t="inlineStr">
        <is>
          <t>Metals Supplier 075</t>
        </is>
      </c>
      <c r="C744" t="inlineStr">
        <is>
          <t>Metals</t>
        </is>
      </c>
      <c r="D744" t="n">
        <v>2017</v>
      </c>
      <c r="E744" t="inlineStr"/>
      <c r="F744" t="n">
        <v>26088748.07</v>
      </c>
      <c r="G744" t="n">
        <v>19399.9048</v>
      </c>
      <c r="H744" t="n">
        <v>4971.0994</v>
      </c>
      <c r="I744" t="n">
        <v>2678.466</v>
      </c>
      <c r="J744" t="n">
        <v>12446.9877</v>
      </c>
      <c r="K744" t="n">
        <v>2021</v>
      </c>
      <c r="L744" t="n">
        <v>2030</v>
      </c>
      <c r="M744" t="n">
        <v>0.5861</v>
      </c>
      <c r="N744" t="n">
        <v>0.2598</v>
      </c>
      <c r="O744" t="n">
        <v>2019</v>
      </c>
      <c r="P744" t="n">
        <v>2030</v>
      </c>
      <c r="Q744" t="n">
        <v>0.3852</v>
      </c>
      <c r="R744" t="n">
        <v>158.2904</v>
      </c>
      <c r="S744" t="n">
        <v>0.00100695</v>
      </c>
      <c r="T744" t="n">
        <v>0.00065008</v>
      </c>
    </row>
    <row r="745">
      <c r="A745" t="inlineStr">
        <is>
          <t>SUP-0075</t>
        </is>
      </c>
      <c r="B745" t="inlineStr">
        <is>
          <t>Metals Supplier 075</t>
        </is>
      </c>
      <c r="C745" t="inlineStr">
        <is>
          <t>Metals</t>
        </is>
      </c>
      <c r="D745" t="n">
        <v>2018</v>
      </c>
      <c r="E745" t="n">
        <v>12388184.24</v>
      </c>
      <c r="F745" t="n">
        <v>30946350.42</v>
      </c>
      <c r="G745" t="inlineStr"/>
      <c r="H745" t="n">
        <v>3876.8327</v>
      </c>
      <c r="I745" t="n">
        <v>2304.6983</v>
      </c>
      <c r="J745" t="n">
        <v>9038.167799999999</v>
      </c>
      <c r="K745" t="n">
        <v>2021</v>
      </c>
      <c r="L745" t="n">
        <v>2030</v>
      </c>
      <c r="M745" t="n">
        <v>0.5861</v>
      </c>
      <c r="N745" t="n">
        <v>0.2598</v>
      </c>
      <c r="O745" t="n">
        <v>2019</v>
      </c>
      <c r="P745" t="n">
        <v>2030</v>
      </c>
      <c r="Q745" t="n">
        <v>0.3852</v>
      </c>
      <c r="R745" t="n">
        <v>158.2904</v>
      </c>
      <c r="S745" t="n">
        <v>0.00100695</v>
      </c>
      <c r="T745" t="n">
        <v>0.00065008</v>
      </c>
    </row>
    <row r="746">
      <c r="A746" t="inlineStr">
        <is>
          <t>SUP-0075</t>
        </is>
      </c>
      <c r="B746" t="inlineStr">
        <is>
          <t>Metals Supplier 075</t>
        </is>
      </c>
      <c r="C746" t="inlineStr">
        <is>
          <t>Metals</t>
        </is>
      </c>
      <c r="D746" t="n">
        <v>2019</v>
      </c>
      <c r="E746" t="n">
        <v>11477040.48</v>
      </c>
      <c r="F746" t="n">
        <v>29875006.67</v>
      </c>
      <c r="G746" t="n">
        <v>13980.3941</v>
      </c>
      <c r="H746" t="n">
        <v>1466.8342</v>
      </c>
      <c r="I746" t="n">
        <v>1559.7563</v>
      </c>
      <c r="J746" t="n">
        <v>10283.1267</v>
      </c>
      <c r="K746" t="n">
        <v>2021</v>
      </c>
      <c r="L746" t="n">
        <v>2030</v>
      </c>
      <c r="M746" t="n">
        <v>0.5861</v>
      </c>
      <c r="N746" t="n">
        <v>0.2598</v>
      </c>
      <c r="O746" t="n">
        <v>2019</v>
      </c>
      <c r="P746" t="n">
        <v>2030</v>
      </c>
      <c r="Q746" t="n">
        <v>0.3852</v>
      </c>
      <c r="R746" t="n">
        <v>158.2904</v>
      </c>
      <c r="S746" t="n">
        <v>0.00100695</v>
      </c>
      <c r="T746" t="n">
        <v>0.00065008</v>
      </c>
    </row>
    <row r="747">
      <c r="A747" t="inlineStr">
        <is>
          <t>SUP-0075</t>
        </is>
      </c>
      <c r="B747" t="inlineStr">
        <is>
          <t>Metals Supplier 075</t>
        </is>
      </c>
      <c r="C747" t="inlineStr">
        <is>
          <t>Metals</t>
        </is>
      </c>
      <c r="D747" t="n">
        <v>2020</v>
      </c>
      <c r="E747" t="n">
        <v>12370599.7</v>
      </c>
      <c r="F747" t="n">
        <v>30591548.3</v>
      </c>
      <c r="G747" t="inlineStr"/>
      <c r="H747" t="n">
        <v>1361.1582</v>
      </c>
      <c r="I747" t="n">
        <v>2436.4698</v>
      </c>
      <c r="J747" t="n">
        <v>11431.9705</v>
      </c>
      <c r="K747" t="n">
        <v>2021</v>
      </c>
      <c r="L747" t="n">
        <v>2030</v>
      </c>
      <c r="M747" t="n">
        <v>0.5861</v>
      </c>
      <c r="N747" t="n">
        <v>0.2598</v>
      </c>
      <c r="O747" t="n">
        <v>2019</v>
      </c>
      <c r="P747" t="n">
        <v>2030</v>
      </c>
      <c r="Q747" t="n">
        <v>0.3852</v>
      </c>
      <c r="R747" t="n">
        <v>158.2904</v>
      </c>
      <c r="S747" t="n">
        <v>0.00100695</v>
      </c>
      <c r="T747" t="n">
        <v>0.00065008</v>
      </c>
    </row>
    <row r="748">
      <c r="A748" t="inlineStr">
        <is>
          <t>SUP-0075</t>
        </is>
      </c>
      <c r="B748" t="inlineStr">
        <is>
          <t>Metals Supplier 075</t>
        </is>
      </c>
      <c r="C748" t="inlineStr">
        <is>
          <t>Metals</t>
        </is>
      </c>
      <c r="D748" t="n">
        <v>2021</v>
      </c>
      <c r="E748" t="n">
        <v>12983546</v>
      </c>
      <c r="F748" t="n">
        <v>24956274.81</v>
      </c>
      <c r="G748" t="n">
        <v>17179.8672</v>
      </c>
      <c r="H748" t="n">
        <v>3172.7517</v>
      </c>
      <c r="I748" t="n">
        <v>3085.877</v>
      </c>
      <c r="J748" t="n">
        <v>12105.0269</v>
      </c>
      <c r="K748" t="n">
        <v>2021</v>
      </c>
      <c r="L748" t="n">
        <v>2030</v>
      </c>
      <c r="M748" t="n">
        <v>0.5861</v>
      </c>
      <c r="N748" t="n">
        <v>0.2598</v>
      </c>
      <c r="O748" t="n">
        <v>2019</v>
      </c>
      <c r="P748" t="n">
        <v>2030</v>
      </c>
      <c r="Q748" t="n">
        <v>0.3852</v>
      </c>
      <c r="R748" t="n">
        <v>158.2904</v>
      </c>
      <c r="S748" t="n">
        <v>0.00100695</v>
      </c>
      <c r="T748" t="n">
        <v>0.00065008</v>
      </c>
    </row>
    <row r="749">
      <c r="A749" t="inlineStr">
        <is>
          <t>SUP-0075</t>
        </is>
      </c>
      <c r="B749" t="inlineStr">
        <is>
          <t>Metals Supplier 075</t>
        </is>
      </c>
      <c r="C749" t="inlineStr">
        <is>
          <t>Metals</t>
        </is>
      </c>
      <c r="D749" t="n">
        <v>2022</v>
      </c>
      <c r="E749" t="n">
        <v>11455508.37</v>
      </c>
      <c r="F749" t="n">
        <v>27741305.35</v>
      </c>
      <c r="G749" t="n">
        <v>17121.6806</v>
      </c>
      <c r="H749" t="n">
        <v>1312.0646</v>
      </c>
      <c r="I749" t="n">
        <v>1267.9731</v>
      </c>
      <c r="J749" t="inlineStr"/>
      <c r="K749" t="n">
        <v>2021</v>
      </c>
      <c r="L749" t="n">
        <v>2030</v>
      </c>
      <c r="M749" t="n">
        <v>0.5861</v>
      </c>
      <c r="N749" t="n">
        <v>0.2598</v>
      </c>
      <c r="O749" t="n">
        <v>2019</v>
      </c>
      <c r="P749" t="n">
        <v>2030</v>
      </c>
      <c r="Q749" t="n">
        <v>0.3852</v>
      </c>
      <c r="R749" t="n">
        <v>158.2904</v>
      </c>
      <c r="S749" t="n">
        <v>0.00100695</v>
      </c>
      <c r="T749" t="n">
        <v>0.00065008</v>
      </c>
    </row>
    <row r="750">
      <c r="A750" t="inlineStr">
        <is>
          <t>SUP-0075</t>
        </is>
      </c>
      <c r="B750" t="inlineStr">
        <is>
          <t>Metals Supplier 075</t>
        </is>
      </c>
      <c r="C750" t="inlineStr">
        <is>
          <t>Metals</t>
        </is>
      </c>
      <c r="D750" t="n">
        <v>2023</v>
      </c>
      <c r="E750" t="n">
        <v>13467982.93</v>
      </c>
      <c r="F750" t="n">
        <v>27956654.66</v>
      </c>
      <c r="G750" t="n">
        <v>16384.4305</v>
      </c>
      <c r="H750" t="n">
        <v>2992.5583</v>
      </c>
      <c r="I750" t="n">
        <v>3421.4277</v>
      </c>
      <c r="J750" t="inlineStr"/>
      <c r="K750" t="n">
        <v>2021</v>
      </c>
      <c r="L750" t="n">
        <v>2030</v>
      </c>
      <c r="M750" t="n">
        <v>0.5861</v>
      </c>
      <c r="N750" t="n">
        <v>0.2598</v>
      </c>
      <c r="O750" t="n">
        <v>2019</v>
      </c>
      <c r="P750" t="n">
        <v>2030</v>
      </c>
      <c r="Q750" t="n">
        <v>0.3852</v>
      </c>
      <c r="R750" t="n">
        <v>158.2904</v>
      </c>
      <c r="S750" t="n">
        <v>0.00100695</v>
      </c>
      <c r="T750" t="n">
        <v>0.00065008</v>
      </c>
    </row>
    <row r="751">
      <c r="A751" t="inlineStr">
        <is>
          <t>SUP-0075</t>
        </is>
      </c>
      <c r="B751" t="inlineStr">
        <is>
          <t>Metals Supplier 075</t>
        </is>
      </c>
      <c r="C751" t="inlineStr">
        <is>
          <t>Metals</t>
        </is>
      </c>
      <c r="D751" t="n">
        <v>2024</v>
      </c>
      <c r="E751" t="n">
        <v>10788085.25</v>
      </c>
      <c r="F751" t="n">
        <v>32921816.64</v>
      </c>
      <c r="G751" t="n">
        <v>16503.6871</v>
      </c>
      <c r="H751" t="n">
        <v>2515.0455</v>
      </c>
      <c r="I751" t="n">
        <v>2326.5687</v>
      </c>
      <c r="J751" t="inlineStr"/>
      <c r="K751" t="n">
        <v>2021</v>
      </c>
      <c r="L751" t="n">
        <v>2030</v>
      </c>
      <c r="M751" t="n">
        <v>0.5861</v>
      </c>
      <c r="N751" t="n">
        <v>0.2598</v>
      </c>
      <c r="O751" t="n">
        <v>2019</v>
      </c>
      <c r="P751" t="n">
        <v>2030</v>
      </c>
      <c r="Q751" t="n">
        <v>0.3852</v>
      </c>
      <c r="R751" t="n">
        <v>158.2904</v>
      </c>
      <c r="S751" t="n">
        <v>0.00100695</v>
      </c>
      <c r="T751" t="n">
        <v>0.00065008</v>
      </c>
    </row>
    <row r="752">
      <c r="A752" t="inlineStr">
        <is>
          <t>SUP-0076</t>
        </is>
      </c>
      <c r="B752" t="inlineStr">
        <is>
          <t>Chemicals Supplier 076</t>
        </is>
      </c>
      <c r="C752" t="inlineStr">
        <is>
          <t>Chemicals</t>
        </is>
      </c>
      <c r="D752" t="n">
        <v>2015</v>
      </c>
      <c r="E752" t="n">
        <v>10994338.4</v>
      </c>
      <c r="F752" t="n">
        <v>13790421.39</v>
      </c>
      <c r="G752" t="inlineStr"/>
      <c r="H752" t="inlineStr"/>
      <c r="I752" t="n">
        <v>3248.4172</v>
      </c>
      <c r="J752" t="n">
        <v>9585.9602</v>
      </c>
      <c r="K752" t="n">
        <v>2018</v>
      </c>
      <c r="L752" t="n">
        <v>2035</v>
      </c>
      <c r="M752" t="n">
        <v>0.4347</v>
      </c>
      <c r="N752" t="n">
        <v>0.1718</v>
      </c>
      <c r="O752" t="n">
        <v>2019</v>
      </c>
      <c r="P752" t="n">
        <v>2035</v>
      </c>
      <c r="Q752" t="n">
        <v>0.5229</v>
      </c>
      <c r="R752" t="n">
        <v>506.3191</v>
      </c>
      <c r="S752" t="n">
        <v>0.00100149</v>
      </c>
      <c r="T752" t="n">
        <v>0.00047124</v>
      </c>
    </row>
    <row r="753">
      <c r="A753" t="inlineStr">
        <is>
          <t>SUP-0076</t>
        </is>
      </c>
      <c r="B753" t="inlineStr">
        <is>
          <t>Chemicals Supplier 076</t>
        </is>
      </c>
      <c r="C753" t="inlineStr">
        <is>
          <t>Chemicals</t>
        </is>
      </c>
      <c r="D753" t="n">
        <v>2016</v>
      </c>
      <c r="E753" t="n">
        <v>9452563</v>
      </c>
      <c r="F753" t="n">
        <v>12463519.77</v>
      </c>
      <c r="G753" t="inlineStr"/>
      <c r="H753" t="n">
        <v>1205.0764</v>
      </c>
      <c r="I753" t="n">
        <v>2263.2144</v>
      </c>
      <c r="J753" t="n">
        <v>6492.9626</v>
      </c>
      <c r="K753" t="n">
        <v>2018</v>
      </c>
      <c r="L753" t="n">
        <v>2035</v>
      </c>
      <c r="M753" t="n">
        <v>0.4347</v>
      </c>
      <c r="N753" t="n">
        <v>0.1718</v>
      </c>
      <c r="O753" t="n">
        <v>2019</v>
      </c>
      <c r="P753" t="n">
        <v>2035</v>
      </c>
      <c r="Q753" t="n">
        <v>0.5229</v>
      </c>
      <c r="R753" t="n">
        <v>506.3191</v>
      </c>
      <c r="S753" t="n">
        <v>0.00100149</v>
      </c>
      <c r="T753" t="n">
        <v>0.00047124</v>
      </c>
    </row>
    <row r="754">
      <c r="A754" t="inlineStr">
        <is>
          <t>SUP-0076</t>
        </is>
      </c>
      <c r="B754" t="inlineStr">
        <is>
          <t>Chemicals Supplier 076</t>
        </is>
      </c>
      <c r="C754" t="inlineStr">
        <is>
          <t>Chemicals</t>
        </is>
      </c>
      <c r="D754" t="n">
        <v>2017</v>
      </c>
      <c r="E754" t="n">
        <v>9266943.27</v>
      </c>
      <c r="F754" t="n">
        <v>15078824.7</v>
      </c>
      <c r="G754" t="n">
        <v>15327.6885</v>
      </c>
      <c r="H754" t="n">
        <v>2109.8668</v>
      </c>
      <c r="I754" t="n">
        <v>1308.6603</v>
      </c>
      <c r="J754" t="n">
        <v>11702.7346</v>
      </c>
      <c r="K754" t="n">
        <v>2018</v>
      </c>
      <c r="L754" t="n">
        <v>2035</v>
      </c>
      <c r="M754" t="n">
        <v>0.4347</v>
      </c>
      <c r="N754" t="n">
        <v>0.1718</v>
      </c>
      <c r="O754" t="n">
        <v>2019</v>
      </c>
      <c r="P754" t="n">
        <v>2035</v>
      </c>
      <c r="Q754" t="n">
        <v>0.5229</v>
      </c>
      <c r="R754" t="n">
        <v>506.3191</v>
      </c>
      <c r="S754" t="n">
        <v>0.00100149</v>
      </c>
      <c r="T754" t="n">
        <v>0.00047124</v>
      </c>
    </row>
    <row r="755">
      <c r="A755" t="inlineStr">
        <is>
          <t>SUP-0076</t>
        </is>
      </c>
      <c r="B755" t="inlineStr">
        <is>
          <t>Chemicals Supplier 076</t>
        </is>
      </c>
      <c r="C755" t="inlineStr">
        <is>
          <t>Chemicals</t>
        </is>
      </c>
      <c r="D755" t="n">
        <v>2018</v>
      </c>
      <c r="E755" t="n">
        <v>9917661.84</v>
      </c>
      <c r="F755" t="n">
        <v>14824322.82</v>
      </c>
      <c r="G755" t="n">
        <v>12116.7137</v>
      </c>
      <c r="H755" t="n">
        <v>974.3827</v>
      </c>
      <c r="I755" t="n">
        <v>1797.0218</v>
      </c>
      <c r="J755" t="n">
        <v>9342.0669</v>
      </c>
      <c r="K755" t="n">
        <v>2018</v>
      </c>
      <c r="L755" t="n">
        <v>2035</v>
      </c>
      <c r="M755" t="n">
        <v>0.4347</v>
      </c>
      <c r="N755" t="n">
        <v>0.1718</v>
      </c>
      <c r="O755" t="n">
        <v>2019</v>
      </c>
      <c r="P755" t="n">
        <v>2035</v>
      </c>
      <c r="Q755" t="n">
        <v>0.5229</v>
      </c>
      <c r="R755" t="n">
        <v>506.3191</v>
      </c>
      <c r="S755" t="n">
        <v>0.00100149</v>
      </c>
      <c r="T755" t="n">
        <v>0.00047124</v>
      </c>
    </row>
    <row r="756">
      <c r="A756" t="inlineStr">
        <is>
          <t>SUP-0076</t>
        </is>
      </c>
      <c r="B756" t="inlineStr">
        <is>
          <t>Chemicals Supplier 076</t>
        </is>
      </c>
      <c r="C756" t="inlineStr">
        <is>
          <t>Chemicals</t>
        </is>
      </c>
      <c r="D756" t="n">
        <v>2019</v>
      </c>
      <c r="E756" t="n">
        <v>10184845.18</v>
      </c>
      <c r="F756" t="n">
        <v>14791767.42</v>
      </c>
      <c r="G756" t="inlineStr"/>
      <c r="H756" t="n">
        <v>2350.4086</v>
      </c>
      <c r="I756" t="n">
        <v>1946.5987</v>
      </c>
      <c r="J756" t="n">
        <v>7665.0034</v>
      </c>
      <c r="K756" t="n">
        <v>2018</v>
      </c>
      <c r="L756" t="n">
        <v>2035</v>
      </c>
      <c r="M756" t="n">
        <v>0.4347</v>
      </c>
      <c r="N756" t="n">
        <v>0.1718</v>
      </c>
      <c r="O756" t="n">
        <v>2019</v>
      </c>
      <c r="P756" t="n">
        <v>2035</v>
      </c>
      <c r="Q756" t="n">
        <v>0.5229</v>
      </c>
      <c r="R756" t="n">
        <v>506.3191</v>
      </c>
      <c r="S756" t="n">
        <v>0.00100149</v>
      </c>
      <c r="T756" t="n">
        <v>0.00047124</v>
      </c>
    </row>
    <row r="757">
      <c r="A757" t="inlineStr">
        <is>
          <t>SUP-0076</t>
        </is>
      </c>
      <c r="B757" t="inlineStr">
        <is>
          <t>Chemicals Supplier 076</t>
        </is>
      </c>
      <c r="C757" t="inlineStr">
        <is>
          <t>Chemicals</t>
        </is>
      </c>
      <c r="D757" t="n">
        <v>2020</v>
      </c>
      <c r="E757" t="n">
        <v>8819115.789999999</v>
      </c>
      <c r="F757" t="n">
        <v>11309728.75</v>
      </c>
      <c r="G757" t="inlineStr"/>
      <c r="H757" t="inlineStr"/>
      <c r="I757" t="n">
        <v>1933.7298</v>
      </c>
      <c r="J757" t="n">
        <v>6446.3563</v>
      </c>
      <c r="K757" t="n">
        <v>2018</v>
      </c>
      <c r="L757" t="n">
        <v>2035</v>
      </c>
      <c r="M757" t="n">
        <v>0.4347</v>
      </c>
      <c r="N757" t="n">
        <v>0.1718</v>
      </c>
      <c r="O757" t="n">
        <v>2019</v>
      </c>
      <c r="P757" t="n">
        <v>2035</v>
      </c>
      <c r="Q757" t="n">
        <v>0.5229</v>
      </c>
      <c r="R757" t="n">
        <v>506.3191</v>
      </c>
      <c r="S757" t="n">
        <v>0.00100149</v>
      </c>
      <c r="T757" t="n">
        <v>0.00047124</v>
      </c>
    </row>
    <row r="758">
      <c r="A758" t="inlineStr">
        <is>
          <t>SUP-0076</t>
        </is>
      </c>
      <c r="B758" t="inlineStr">
        <is>
          <t>Chemicals Supplier 076</t>
        </is>
      </c>
      <c r="C758" t="inlineStr">
        <is>
          <t>Chemicals</t>
        </is>
      </c>
      <c r="D758" t="n">
        <v>2021</v>
      </c>
      <c r="E758" t="n">
        <v>10146040.79</v>
      </c>
      <c r="F758" t="n">
        <v>12130047.16</v>
      </c>
      <c r="G758" t="inlineStr"/>
      <c r="H758" t="n">
        <v>1352.8704</v>
      </c>
      <c r="I758" t="n">
        <v>2251.5609</v>
      </c>
      <c r="J758" t="inlineStr"/>
      <c r="K758" t="n">
        <v>2018</v>
      </c>
      <c r="L758" t="n">
        <v>2035</v>
      </c>
      <c r="M758" t="n">
        <v>0.4347</v>
      </c>
      <c r="N758" t="n">
        <v>0.1718</v>
      </c>
      <c r="O758" t="n">
        <v>2019</v>
      </c>
      <c r="P758" t="n">
        <v>2035</v>
      </c>
      <c r="Q758" t="n">
        <v>0.5229</v>
      </c>
      <c r="R758" t="n">
        <v>506.3191</v>
      </c>
      <c r="S758" t="n">
        <v>0.00100149</v>
      </c>
      <c r="T758" t="n">
        <v>0.00047124</v>
      </c>
    </row>
    <row r="759">
      <c r="A759" t="inlineStr">
        <is>
          <t>SUP-0076</t>
        </is>
      </c>
      <c r="B759" t="inlineStr">
        <is>
          <t>Chemicals Supplier 076</t>
        </is>
      </c>
      <c r="C759" t="inlineStr">
        <is>
          <t>Chemicals</t>
        </is>
      </c>
      <c r="D759" t="n">
        <v>2022</v>
      </c>
      <c r="E759" t="n">
        <v>8770199.84</v>
      </c>
      <c r="F759" t="n">
        <v>12746328.96</v>
      </c>
      <c r="G759" t="n">
        <v>12177.9956</v>
      </c>
      <c r="H759" t="n">
        <v>2236.5277</v>
      </c>
      <c r="I759" t="n">
        <v>1901.3504</v>
      </c>
      <c r="J759" t="n">
        <v>7788.7074</v>
      </c>
      <c r="K759" t="n">
        <v>2018</v>
      </c>
      <c r="L759" t="n">
        <v>2035</v>
      </c>
      <c r="M759" t="n">
        <v>0.4347</v>
      </c>
      <c r="N759" t="n">
        <v>0.1718</v>
      </c>
      <c r="O759" t="n">
        <v>2019</v>
      </c>
      <c r="P759" t="n">
        <v>2035</v>
      </c>
      <c r="Q759" t="n">
        <v>0.5229</v>
      </c>
      <c r="R759" t="n">
        <v>506.3191</v>
      </c>
      <c r="S759" t="n">
        <v>0.00100149</v>
      </c>
      <c r="T759" t="n">
        <v>0.00047124</v>
      </c>
    </row>
    <row r="760">
      <c r="A760" t="inlineStr">
        <is>
          <t>SUP-0076</t>
        </is>
      </c>
      <c r="B760" t="inlineStr">
        <is>
          <t>Chemicals Supplier 076</t>
        </is>
      </c>
      <c r="C760" t="inlineStr">
        <is>
          <t>Chemicals</t>
        </is>
      </c>
      <c r="D760" t="n">
        <v>2023</v>
      </c>
      <c r="E760" t="n">
        <v>9182095.43</v>
      </c>
      <c r="F760" t="n">
        <v>9253879.960000001</v>
      </c>
      <c r="G760" t="n">
        <v>10392.7976</v>
      </c>
      <c r="H760" t="n">
        <v>3121.4546</v>
      </c>
      <c r="I760" t="n">
        <v>1073.0809</v>
      </c>
      <c r="J760" t="n">
        <v>6638.3304</v>
      </c>
      <c r="K760" t="n">
        <v>2018</v>
      </c>
      <c r="L760" t="n">
        <v>2035</v>
      </c>
      <c r="M760" t="n">
        <v>0.4347</v>
      </c>
      <c r="N760" t="n">
        <v>0.1718</v>
      </c>
      <c r="O760" t="n">
        <v>2019</v>
      </c>
      <c r="P760" t="n">
        <v>2035</v>
      </c>
      <c r="Q760" t="n">
        <v>0.5229</v>
      </c>
      <c r="R760" t="n">
        <v>506.3191</v>
      </c>
      <c r="S760" t="n">
        <v>0.00100149</v>
      </c>
      <c r="T760" t="n">
        <v>0.00047124</v>
      </c>
    </row>
    <row r="761">
      <c r="A761" t="inlineStr">
        <is>
          <t>SUP-0076</t>
        </is>
      </c>
      <c r="B761" t="inlineStr">
        <is>
          <t>Chemicals Supplier 076</t>
        </is>
      </c>
      <c r="C761" t="inlineStr">
        <is>
          <t>Chemicals</t>
        </is>
      </c>
      <c r="D761" t="n">
        <v>2024</v>
      </c>
      <c r="E761" t="n">
        <v>9191923.93</v>
      </c>
      <c r="F761" t="n">
        <v>11025423.11</v>
      </c>
      <c r="G761" t="n">
        <v>10193.2261</v>
      </c>
      <c r="H761" t="n">
        <v>1825.6608</v>
      </c>
      <c r="I761" t="n">
        <v>1691.3593</v>
      </c>
      <c r="J761" t="inlineStr"/>
      <c r="K761" t="n">
        <v>2018</v>
      </c>
      <c r="L761" t="n">
        <v>2035</v>
      </c>
      <c r="M761" t="n">
        <v>0.4347</v>
      </c>
      <c r="N761" t="n">
        <v>0.1718</v>
      </c>
      <c r="O761" t="n">
        <v>2019</v>
      </c>
      <c r="P761" t="n">
        <v>2035</v>
      </c>
      <c r="Q761" t="n">
        <v>0.5229</v>
      </c>
      <c r="R761" t="n">
        <v>506.3191</v>
      </c>
      <c r="S761" t="n">
        <v>0.00100149</v>
      </c>
      <c r="T761" t="n">
        <v>0.00047124</v>
      </c>
    </row>
    <row r="762">
      <c r="A762" t="inlineStr">
        <is>
          <t>SUP-0077</t>
        </is>
      </c>
      <c r="B762" t="inlineStr">
        <is>
          <t>Packaging Supplier 077</t>
        </is>
      </c>
      <c r="C762" t="inlineStr">
        <is>
          <t>Packaging</t>
        </is>
      </c>
      <c r="D762" t="n">
        <v>2015</v>
      </c>
      <c r="E762" t="n">
        <v>15574643.72</v>
      </c>
      <c r="F762" t="n">
        <v>89726962.16</v>
      </c>
      <c r="G762" t="n">
        <v>11508.7252</v>
      </c>
      <c r="H762" t="n">
        <v>1001.9607</v>
      </c>
      <c r="I762" t="n">
        <v>1042.0958</v>
      </c>
      <c r="J762" t="inlineStr"/>
      <c r="K762" t="n">
        <v>2018</v>
      </c>
      <c r="L762" t="n">
        <v>2030</v>
      </c>
      <c r="M762" t="n">
        <v>0.6421</v>
      </c>
      <c r="N762" t="n">
        <v>0.3614</v>
      </c>
      <c r="O762" t="n">
        <v>2018</v>
      </c>
      <c r="P762" t="n">
        <v>2040</v>
      </c>
      <c r="Q762" t="n">
        <v>0.3112</v>
      </c>
      <c r="R762" t="n">
        <v>702.4188</v>
      </c>
      <c r="S762" t="n">
        <v>0.0010803</v>
      </c>
      <c r="T762" t="n">
        <v>0.00078946</v>
      </c>
    </row>
    <row r="763">
      <c r="A763" t="inlineStr">
        <is>
          <t>SUP-0077</t>
        </is>
      </c>
      <c r="B763" t="inlineStr">
        <is>
          <t>Packaging Supplier 077</t>
        </is>
      </c>
      <c r="C763" t="inlineStr">
        <is>
          <t>Packaging</t>
        </is>
      </c>
      <c r="D763" t="n">
        <v>2016</v>
      </c>
      <c r="E763" t="n">
        <v>16012743.56</v>
      </c>
      <c r="F763" t="n">
        <v>81772187.13</v>
      </c>
      <c r="G763" t="inlineStr"/>
      <c r="H763" t="inlineStr"/>
      <c r="I763" t="inlineStr"/>
      <c r="J763" t="inlineStr"/>
      <c r="K763" t="n">
        <v>2018</v>
      </c>
      <c r="L763" t="n">
        <v>2030</v>
      </c>
      <c r="M763" t="n">
        <v>0.6421</v>
      </c>
      <c r="N763" t="n">
        <v>0.3614</v>
      </c>
      <c r="O763" t="n">
        <v>2018</v>
      </c>
      <c r="P763" t="n">
        <v>2040</v>
      </c>
      <c r="Q763" t="n">
        <v>0.3112</v>
      </c>
      <c r="R763" t="n">
        <v>702.4188</v>
      </c>
      <c r="S763" t="n">
        <v>0.0010803</v>
      </c>
      <c r="T763" t="n">
        <v>0.00078946</v>
      </c>
    </row>
    <row r="764">
      <c r="A764" t="inlineStr">
        <is>
          <t>SUP-0077</t>
        </is>
      </c>
      <c r="B764" t="inlineStr">
        <is>
          <t>Packaging Supplier 077</t>
        </is>
      </c>
      <c r="C764" t="inlineStr">
        <is>
          <t>Packaging</t>
        </is>
      </c>
      <c r="D764" t="n">
        <v>2017</v>
      </c>
      <c r="E764" t="inlineStr"/>
      <c r="F764" t="n">
        <v>80108712.06</v>
      </c>
      <c r="G764" t="inlineStr"/>
      <c r="H764" t="n">
        <v>3385.7245</v>
      </c>
      <c r="I764" t="inlineStr"/>
      <c r="J764" t="inlineStr"/>
      <c r="K764" t="n">
        <v>2018</v>
      </c>
      <c r="L764" t="n">
        <v>2030</v>
      </c>
      <c r="M764" t="n">
        <v>0.6421</v>
      </c>
      <c r="N764" t="n">
        <v>0.3614</v>
      </c>
      <c r="O764" t="n">
        <v>2018</v>
      </c>
      <c r="P764" t="n">
        <v>2040</v>
      </c>
      <c r="Q764" t="n">
        <v>0.3112</v>
      </c>
      <c r="R764" t="n">
        <v>702.4188</v>
      </c>
      <c r="S764" t="n">
        <v>0.0010803</v>
      </c>
      <c r="T764" t="n">
        <v>0.00078946</v>
      </c>
    </row>
    <row r="765">
      <c r="A765" t="inlineStr">
        <is>
          <t>SUP-0077</t>
        </is>
      </c>
      <c r="B765" t="inlineStr">
        <is>
          <t>Packaging Supplier 077</t>
        </is>
      </c>
      <c r="C765" t="inlineStr">
        <is>
          <t>Packaging</t>
        </is>
      </c>
      <c r="D765" t="n">
        <v>2018</v>
      </c>
      <c r="E765" t="n">
        <v>17392241.98</v>
      </c>
      <c r="F765" t="n">
        <v>83774964.59999999</v>
      </c>
      <c r="G765" t="n">
        <v>12101.4565</v>
      </c>
      <c r="H765" t="n">
        <v>1683.9622</v>
      </c>
      <c r="I765" t="n">
        <v>2014.4782</v>
      </c>
      <c r="J765" t="inlineStr"/>
      <c r="K765" t="n">
        <v>2018</v>
      </c>
      <c r="L765" t="n">
        <v>2030</v>
      </c>
      <c r="M765" t="n">
        <v>0.6421</v>
      </c>
      <c r="N765" t="n">
        <v>0.3614</v>
      </c>
      <c r="O765" t="n">
        <v>2018</v>
      </c>
      <c r="P765" t="n">
        <v>2040</v>
      </c>
      <c r="Q765" t="n">
        <v>0.3112</v>
      </c>
      <c r="R765" t="n">
        <v>702.4188</v>
      </c>
      <c r="S765" t="n">
        <v>0.0010803</v>
      </c>
      <c r="T765" t="n">
        <v>0.00078946</v>
      </c>
    </row>
    <row r="766">
      <c r="A766" t="inlineStr">
        <is>
          <t>SUP-0077</t>
        </is>
      </c>
      <c r="B766" t="inlineStr">
        <is>
          <t>Packaging Supplier 077</t>
        </is>
      </c>
      <c r="C766" t="inlineStr">
        <is>
          <t>Packaging</t>
        </is>
      </c>
      <c r="D766" t="n">
        <v>2019</v>
      </c>
      <c r="E766" t="n">
        <v>18323413.51</v>
      </c>
      <c r="F766" t="inlineStr"/>
      <c r="G766" t="n">
        <v>15246.5647</v>
      </c>
      <c r="H766" t="n">
        <v>1203.0742</v>
      </c>
      <c r="I766" t="n">
        <v>2480.6388</v>
      </c>
      <c r="J766" t="n">
        <v>10633.167</v>
      </c>
      <c r="K766" t="n">
        <v>2018</v>
      </c>
      <c r="L766" t="n">
        <v>2030</v>
      </c>
      <c r="M766" t="n">
        <v>0.6421</v>
      </c>
      <c r="N766" t="n">
        <v>0.3614</v>
      </c>
      <c r="O766" t="n">
        <v>2018</v>
      </c>
      <c r="P766" t="n">
        <v>2040</v>
      </c>
      <c r="Q766" t="n">
        <v>0.3112</v>
      </c>
      <c r="R766" t="n">
        <v>702.4188</v>
      </c>
      <c r="S766" t="n">
        <v>0.0010803</v>
      </c>
      <c r="T766" t="n">
        <v>0.00078946</v>
      </c>
    </row>
    <row r="767">
      <c r="A767" t="inlineStr">
        <is>
          <t>SUP-0077</t>
        </is>
      </c>
      <c r="B767" t="inlineStr">
        <is>
          <t>Packaging Supplier 077</t>
        </is>
      </c>
      <c r="C767" t="inlineStr">
        <is>
          <t>Packaging</t>
        </is>
      </c>
      <c r="D767" t="n">
        <v>2020</v>
      </c>
      <c r="E767" t="n">
        <v>19161967.33</v>
      </c>
      <c r="F767" t="n">
        <v>123513445.98</v>
      </c>
      <c r="G767" t="n">
        <v>17229.651</v>
      </c>
      <c r="H767" t="inlineStr"/>
      <c r="I767" t="n">
        <v>1523.9448</v>
      </c>
      <c r="J767" t="inlineStr"/>
      <c r="K767" t="n">
        <v>2018</v>
      </c>
      <c r="L767" t="n">
        <v>2030</v>
      </c>
      <c r="M767" t="n">
        <v>0.6421</v>
      </c>
      <c r="N767" t="n">
        <v>0.3614</v>
      </c>
      <c r="O767" t="n">
        <v>2018</v>
      </c>
      <c r="P767" t="n">
        <v>2040</v>
      </c>
      <c r="Q767" t="n">
        <v>0.3112</v>
      </c>
      <c r="R767" t="n">
        <v>702.4188</v>
      </c>
      <c r="S767" t="n">
        <v>0.0010803</v>
      </c>
      <c r="T767" t="n">
        <v>0.00078946</v>
      </c>
    </row>
    <row r="768">
      <c r="A768" t="inlineStr">
        <is>
          <t>SUP-0077</t>
        </is>
      </c>
      <c r="B768" t="inlineStr">
        <is>
          <t>Packaging Supplier 077</t>
        </is>
      </c>
      <c r="C768" t="inlineStr">
        <is>
          <t>Packaging</t>
        </is>
      </c>
      <c r="D768" t="n">
        <v>2021</v>
      </c>
      <c r="E768" t="n">
        <v>21722290.29</v>
      </c>
      <c r="F768" t="n">
        <v>136554926.49</v>
      </c>
      <c r="G768" t="n">
        <v>13278.585</v>
      </c>
      <c r="H768" t="n">
        <v>1864.3748</v>
      </c>
      <c r="I768" t="n">
        <v>2494.5464</v>
      </c>
      <c r="J768" t="n">
        <v>8685.9197</v>
      </c>
      <c r="K768" t="n">
        <v>2018</v>
      </c>
      <c r="L768" t="n">
        <v>2030</v>
      </c>
      <c r="M768" t="n">
        <v>0.6421</v>
      </c>
      <c r="N768" t="n">
        <v>0.3614</v>
      </c>
      <c r="O768" t="n">
        <v>2018</v>
      </c>
      <c r="P768" t="n">
        <v>2040</v>
      </c>
      <c r="Q768" t="n">
        <v>0.3112</v>
      </c>
      <c r="R768" t="n">
        <v>702.4188</v>
      </c>
      <c r="S768" t="n">
        <v>0.0010803</v>
      </c>
      <c r="T768" t="n">
        <v>0.00078946</v>
      </c>
    </row>
    <row r="769">
      <c r="A769" t="inlineStr">
        <is>
          <t>SUP-0077</t>
        </is>
      </c>
      <c r="B769" t="inlineStr">
        <is>
          <t>Packaging Supplier 077</t>
        </is>
      </c>
      <c r="C769" t="inlineStr">
        <is>
          <t>Packaging</t>
        </is>
      </c>
      <c r="D769" t="n">
        <v>2022</v>
      </c>
      <c r="E769" t="n">
        <v>23679612.43</v>
      </c>
      <c r="F769" t="n">
        <v>137229540.74</v>
      </c>
      <c r="G769" t="n">
        <v>12938.0289</v>
      </c>
      <c r="H769" t="n">
        <v>2348.9196</v>
      </c>
      <c r="I769" t="inlineStr"/>
      <c r="J769" t="n">
        <v>9528.7706</v>
      </c>
      <c r="K769" t="n">
        <v>2018</v>
      </c>
      <c r="L769" t="n">
        <v>2030</v>
      </c>
      <c r="M769" t="n">
        <v>0.6421</v>
      </c>
      <c r="N769" t="n">
        <v>0.3614</v>
      </c>
      <c r="O769" t="n">
        <v>2018</v>
      </c>
      <c r="P769" t="n">
        <v>2040</v>
      </c>
      <c r="Q769" t="n">
        <v>0.3112</v>
      </c>
      <c r="R769" t="n">
        <v>702.4188</v>
      </c>
      <c r="S769" t="n">
        <v>0.0010803</v>
      </c>
      <c r="T769" t="n">
        <v>0.00078946</v>
      </c>
    </row>
    <row r="770">
      <c r="A770" t="inlineStr">
        <is>
          <t>SUP-0077</t>
        </is>
      </c>
      <c r="B770" t="inlineStr">
        <is>
          <t>Packaging Supplier 077</t>
        </is>
      </c>
      <c r="C770" t="inlineStr">
        <is>
          <t>Packaging</t>
        </is>
      </c>
      <c r="D770" t="n">
        <v>2023</v>
      </c>
      <c r="E770" t="n">
        <v>22859533.12</v>
      </c>
      <c r="F770" t="n">
        <v>130059952.42</v>
      </c>
      <c r="G770" t="inlineStr"/>
      <c r="H770" t="n">
        <v>4224.3786</v>
      </c>
      <c r="I770" t="inlineStr"/>
      <c r="J770" t="n">
        <v>11194.6811</v>
      </c>
      <c r="K770" t="n">
        <v>2018</v>
      </c>
      <c r="L770" t="n">
        <v>2030</v>
      </c>
      <c r="M770" t="n">
        <v>0.6421</v>
      </c>
      <c r="N770" t="n">
        <v>0.3614</v>
      </c>
      <c r="O770" t="n">
        <v>2018</v>
      </c>
      <c r="P770" t="n">
        <v>2040</v>
      </c>
      <c r="Q770" t="n">
        <v>0.3112</v>
      </c>
      <c r="R770" t="n">
        <v>702.4188</v>
      </c>
      <c r="S770" t="n">
        <v>0.0010803</v>
      </c>
      <c r="T770" t="n">
        <v>0.00078946</v>
      </c>
    </row>
    <row r="771">
      <c r="A771" t="inlineStr">
        <is>
          <t>SUP-0077</t>
        </is>
      </c>
      <c r="B771" t="inlineStr">
        <is>
          <t>Packaging Supplier 077</t>
        </is>
      </c>
      <c r="C771" t="inlineStr">
        <is>
          <t>Packaging</t>
        </is>
      </c>
      <c r="D771" t="n">
        <v>2024</v>
      </c>
      <c r="E771" t="n">
        <v>24462208.69</v>
      </c>
      <c r="F771" t="n">
        <v>153737356.39</v>
      </c>
      <c r="G771" t="inlineStr"/>
      <c r="H771" t="inlineStr"/>
      <c r="I771" t="n">
        <v>3645.0803</v>
      </c>
      <c r="J771" t="n">
        <v>13559.917</v>
      </c>
      <c r="K771" t="n">
        <v>2018</v>
      </c>
      <c r="L771" t="n">
        <v>2030</v>
      </c>
      <c r="M771" t="n">
        <v>0.6421</v>
      </c>
      <c r="N771" t="n">
        <v>0.3614</v>
      </c>
      <c r="O771" t="n">
        <v>2018</v>
      </c>
      <c r="P771" t="n">
        <v>2040</v>
      </c>
      <c r="Q771" t="n">
        <v>0.3112</v>
      </c>
      <c r="R771" t="n">
        <v>702.4188</v>
      </c>
      <c r="S771" t="n">
        <v>0.0010803</v>
      </c>
      <c r="T771" t="n">
        <v>0.00078946</v>
      </c>
    </row>
    <row r="772">
      <c r="A772" t="inlineStr">
        <is>
          <t>SUP-0078</t>
        </is>
      </c>
      <c r="B772" t="inlineStr">
        <is>
          <t>Metals Supplier 078</t>
        </is>
      </c>
      <c r="C772" t="inlineStr">
        <is>
          <t>Metals</t>
        </is>
      </c>
      <c r="D772" t="n">
        <v>2015</v>
      </c>
      <c r="E772" t="n">
        <v>19064510.03</v>
      </c>
      <c r="F772" t="n">
        <v>133564614.2</v>
      </c>
      <c r="G772" t="n">
        <v>16765.0561</v>
      </c>
      <c r="H772" t="n">
        <v>1987.7101</v>
      </c>
      <c r="I772" t="n">
        <v>2558.8843</v>
      </c>
      <c r="J772" t="n">
        <v>13023.4723</v>
      </c>
      <c r="K772" t="n">
        <v>2021</v>
      </c>
      <c r="L772" t="n">
        <v>2040</v>
      </c>
      <c r="M772" t="n">
        <v>0.2592</v>
      </c>
      <c r="N772" t="n">
        <v>0.1569</v>
      </c>
      <c r="O772" t="n">
        <v>2019</v>
      </c>
      <c r="P772" t="n">
        <v>2030</v>
      </c>
      <c r="Q772" t="n">
        <v>0.3852</v>
      </c>
      <c r="R772" t="n">
        <v>158.2904</v>
      </c>
      <c r="S772" t="n">
        <v>0.00100695</v>
      </c>
      <c r="T772" t="n">
        <v>0.00065008</v>
      </c>
    </row>
    <row r="773">
      <c r="A773" t="inlineStr">
        <is>
          <t>SUP-0078</t>
        </is>
      </c>
      <c r="B773" t="inlineStr">
        <is>
          <t>Metals Supplier 078</t>
        </is>
      </c>
      <c r="C773" t="inlineStr">
        <is>
          <t>Metals</t>
        </is>
      </c>
      <c r="D773" t="n">
        <v>2016</v>
      </c>
      <c r="E773" t="n">
        <v>17562313.45</v>
      </c>
      <c r="F773" t="n">
        <v>133853617.91</v>
      </c>
      <c r="G773" t="n">
        <v>14730.9798</v>
      </c>
      <c r="H773" t="n">
        <v>1858.7901</v>
      </c>
      <c r="I773" t="n">
        <v>1204.6839</v>
      </c>
      <c r="J773" t="n">
        <v>12084.9951</v>
      </c>
      <c r="K773" t="n">
        <v>2021</v>
      </c>
      <c r="L773" t="n">
        <v>2040</v>
      </c>
      <c r="M773" t="n">
        <v>0.2592</v>
      </c>
      <c r="N773" t="n">
        <v>0.1569</v>
      </c>
      <c r="O773" t="n">
        <v>2019</v>
      </c>
      <c r="P773" t="n">
        <v>2030</v>
      </c>
      <c r="Q773" t="n">
        <v>0.3852</v>
      </c>
      <c r="R773" t="n">
        <v>158.2904</v>
      </c>
      <c r="S773" t="n">
        <v>0.00100695</v>
      </c>
      <c r="T773" t="n">
        <v>0.00065008</v>
      </c>
    </row>
    <row r="774">
      <c r="A774" t="inlineStr">
        <is>
          <t>SUP-0078</t>
        </is>
      </c>
      <c r="B774" t="inlineStr">
        <is>
          <t>Metals Supplier 078</t>
        </is>
      </c>
      <c r="C774" t="inlineStr">
        <is>
          <t>Metals</t>
        </is>
      </c>
      <c r="D774" t="n">
        <v>2017</v>
      </c>
      <c r="E774" t="n">
        <v>16071083</v>
      </c>
      <c r="F774" t="n">
        <v>126661852.94</v>
      </c>
      <c r="G774" t="inlineStr"/>
      <c r="H774" t="n">
        <v>3008.8714</v>
      </c>
      <c r="I774" t="inlineStr"/>
      <c r="J774" t="n">
        <v>10177.4644</v>
      </c>
      <c r="K774" t="n">
        <v>2021</v>
      </c>
      <c r="L774" t="n">
        <v>2040</v>
      </c>
      <c r="M774" t="n">
        <v>0.2592</v>
      </c>
      <c r="N774" t="n">
        <v>0.1569</v>
      </c>
      <c r="O774" t="n">
        <v>2019</v>
      </c>
      <c r="P774" t="n">
        <v>2030</v>
      </c>
      <c r="Q774" t="n">
        <v>0.3852</v>
      </c>
      <c r="R774" t="n">
        <v>158.2904</v>
      </c>
      <c r="S774" t="n">
        <v>0.00100695</v>
      </c>
      <c r="T774" t="n">
        <v>0.00065008</v>
      </c>
    </row>
    <row r="775">
      <c r="A775" t="inlineStr">
        <is>
          <t>SUP-0078</t>
        </is>
      </c>
      <c r="B775" t="inlineStr">
        <is>
          <t>Metals Supplier 078</t>
        </is>
      </c>
      <c r="C775" t="inlineStr">
        <is>
          <t>Metals</t>
        </is>
      </c>
      <c r="D775" t="n">
        <v>2018</v>
      </c>
      <c r="E775" t="n">
        <v>19613853.26</v>
      </c>
      <c r="F775" t="n">
        <v>142040757.4</v>
      </c>
      <c r="G775" t="n">
        <v>20092.0793</v>
      </c>
      <c r="H775" t="inlineStr"/>
      <c r="I775" t="n">
        <v>3829.2066</v>
      </c>
      <c r="J775" t="inlineStr"/>
      <c r="K775" t="n">
        <v>2021</v>
      </c>
      <c r="L775" t="n">
        <v>2040</v>
      </c>
      <c r="M775" t="n">
        <v>0.2592</v>
      </c>
      <c r="N775" t="n">
        <v>0.1569</v>
      </c>
      <c r="O775" t="n">
        <v>2019</v>
      </c>
      <c r="P775" t="n">
        <v>2030</v>
      </c>
      <c r="Q775" t="n">
        <v>0.3852</v>
      </c>
      <c r="R775" t="n">
        <v>158.2904</v>
      </c>
      <c r="S775" t="n">
        <v>0.00100695</v>
      </c>
      <c r="T775" t="n">
        <v>0.00065008</v>
      </c>
    </row>
    <row r="776">
      <c r="A776" t="inlineStr">
        <is>
          <t>SUP-0078</t>
        </is>
      </c>
      <c r="B776" t="inlineStr">
        <is>
          <t>Metals Supplier 078</t>
        </is>
      </c>
      <c r="C776" t="inlineStr">
        <is>
          <t>Metals</t>
        </is>
      </c>
      <c r="D776" t="n">
        <v>2019</v>
      </c>
      <c r="E776" t="inlineStr"/>
      <c r="F776" t="n">
        <v>149518967.83</v>
      </c>
      <c r="G776" t="n">
        <v>15377.0875</v>
      </c>
      <c r="H776" t="n">
        <v>3672.3008</v>
      </c>
      <c r="I776" t="n">
        <v>1077.0248</v>
      </c>
      <c r="J776" t="inlineStr"/>
      <c r="K776" t="n">
        <v>2021</v>
      </c>
      <c r="L776" t="n">
        <v>2040</v>
      </c>
      <c r="M776" t="n">
        <v>0.2592</v>
      </c>
      <c r="N776" t="n">
        <v>0.1569</v>
      </c>
      <c r="O776" t="n">
        <v>2019</v>
      </c>
      <c r="P776" t="n">
        <v>2030</v>
      </c>
      <c r="Q776" t="n">
        <v>0.3852</v>
      </c>
      <c r="R776" t="n">
        <v>158.2904</v>
      </c>
      <c r="S776" t="n">
        <v>0.00100695</v>
      </c>
      <c r="T776" t="n">
        <v>0.00065008</v>
      </c>
    </row>
    <row r="777">
      <c r="A777" t="inlineStr">
        <is>
          <t>SUP-0078</t>
        </is>
      </c>
      <c r="B777" t="inlineStr">
        <is>
          <t>Metals Supplier 078</t>
        </is>
      </c>
      <c r="C777" t="inlineStr">
        <is>
          <t>Metals</t>
        </is>
      </c>
      <c r="D777" t="n">
        <v>2020</v>
      </c>
      <c r="E777" t="n">
        <v>17209387.13</v>
      </c>
      <c r="F777" t="n">
        <v>157438736.51</v>
      </c>
      <c r="G777" t="n">
        <v>15533.6997</v>
      </c>
      <c r="H777" t="n">
        <v>1798.8935</v>
      </c>
      <c r="I777" t="n">
        <v>1999.1563</v>
      </c>
      <c r="J777" t="n">
        <v>11867.2091</v>
      </c>
      <c r="K777" t="n">
        <v>2021</v>
      </c>
      <c r="L777" t="n">
        <v>2040</v>
      </c>
      <c r="M777" t="n">
        <v>0.2592</v>
      </c>
      <c r="N777" t="n">
        <v>0.1569</v>
      </c>
      <c r="O777" t="n">
        <v>2019</v>
      </c>
      <c r="P777" t="n">
        <v>2030</v>
      </c>
      <c r="Q777" t="n">
        <v>0.3852</v>
      </c>
      <c r="R777" t="n">
        <v>158.2904</v>
      </c>
      <c r="S777" t="n">
        <v>0.00100695</v>
      </c>
      <c r="T777" t="n">
        <v>0.00065008</v>
      </c>
    </row>
    <row r="778">
      <c r="A778" t="inlineStr">
        <is>
          <t>SUP-0078</t>
        </is>
      </c>
      <c r="B778" t="inlineStr">
        <is>
          <t>Metals Supplier 078</t>
        </is>
      </c>
      <c r="C778" t="inlineStr">
        <is>
          <t>Metals</t>
        </is>
      </c>
      <c r="D778" t="n">
        <v>2021</v>
      </c>
      <c r="E778" t="n">
        <v>16171890.73</v>
      </c>
      <c r="F778" t="n">
        <v>140738154.29</v>
      </c>
      <c r="G778" t="n">
        <v>13707.4562</v>
      </c>
      <c r="H778" t="inlineStr"/>
      <c r="I778" t="n">
        <v>1864.7196</v>
      </c>
      <c r="J778" t="n">
        <v>8933.865299999999</v>
      </c>
      <c r="K778" t="n">
        <v>2021</v>
      </c>
      <c r="L778" t="n">
        <v>2040</v>
      </c>
      <c r="M778" t="n">
        <v>0.2592</v>
      </c>
      <c r="N778" t="n">
        <v>0.1569</v>
      </c>
      <c r="O778" t="n">
        <v>2019</v>
      </c>
      <c r="P778" t="n">
        <v>2030</v>
      </c>
      <c r="Q778" t="n">
        <v>0.3852</v>
      </c>
      <c r="R778" t="n">
        <v>158.2904</v>
      </c>
      <c r="S778" t="n">
        <v>0.00100695</v>
      </c>
      <c r="T778" t="n">
        <v>0.00065008</v>
      </c>
    </row>
    <row r="779">
      <c r="A779" t="inlineStr">
        <is>
          <t>SUP-0078</t>
        </is>
      </c>
      <c r="B779" t="inlineStr">
        <is>
          <t>Metals Supplier 078</t>
        </is>
      </c>
      <c r="C779" t="inlineStr">
        <is>
          <t>Metals</t>
        </is>
      </c>
      <c r="D779" t="n">
        <v>2022</v>
      </c>
      <c r="E779" t="n">
        <v>19250192.82</v>
      </c>
      <c r="F779" t="n">
        <v>185631261.01</v>
      </c>
      <c r="G779" t="n">
        <v>15321.5289</v>
      </c>
      <c r="H779" t="inlineStr"/>
      <c r="I779" t="n">
        <v>2510.3701</v>
      </c>
      <c r="J779" t="n">
        <v>9789.530699999999</v>
      </c>
      <c r="K779" t="n">
        <v>2021</v>
      </c>
      <c r="L779" t="n">
        <v>2040</v>
      </c>
      <c r="M779" t="n">
        <v>0.2592</v>
      </c>
      <c r="N779" t="n">
        <v>0.1569</v>
      </c>
      <c r="O779" t="n">
        <v>2019</v>
      </c>
      <c r="P779" t="n">
        <v>2030</v>
      </c>
      <c r="Q779" t="n">
        <v>0.3852</v>
      </c>
      <c r="R779" t="n">
        <v>158.2904</v>
      </c>
      <c r="S779" t="n">
        <v>0.00100695</v>
      </c>
      <c r="T779" t="n">
        <v>0.00065008</v>
      </c>
    </row>
    <row r="780">
      <c r="A780" t="inlineStr">
        <is>
          <t>SUP-0078</t>
        </is>
      </c>
      <c r="B780" t="inlineStr">
        <is>
          <t>Metals Supplier 078</t>
        </is>
      </c>
      <c r="C780" t="inlineStr">
        <is>
          <t>Metals</t>
        </is>
      </c>
      <c r="D780" t="n">
        <v>2023</v>
      </c>
      <c r="E780" t="n">
        <v>14502173.06</v>
      </c>
      <c r="F780" t="n">
        <v>137073786.13</v>
      </c>
      <c r="G780" t="n">
        <v>12683.1411</v>
      </c>
      <c r="H780" t="n">
        <v>1175.1622</v>
      </c>
      <c r="I780" t="inlineStr"/>
      <c r="J780" t="n">
        <v>7901.5975</v>
      </c>
      <c r="K780" t="n">
        <v>2021</v>
      </c>
      <c r="L780" t="n">
        <v>2040</v>
      </c>
      <c r="M780" t="n">
        <v>0.2592</v>
      </c>
      <c r="N780" t="n">
        <v>0.1569</v>
      </c>
      <c r="O780" t="n">
        <v>2019</v>
      </c>
      <c r="P780" t="n">
        <v>2030</v>
      </c>
      <c r="Q780" t="n">
        <v>0.3852</v>
      </c>
      <c r="R780" t="n">
        <v>158.2904</v>
      </c>
      <c r="S780" t="n">
        <v>0.00100695</v>
      </c>
      <c r="T780" t="n">
        <v>0.00065008</v>
      </c>
    </row>
    <row r="781">
      <c r="A781" t="inlineStr">
        <is>
          <t>SUP-0078</t>
        </is>
      </c>
      <c r="B781" t="inlineStr">
        <is>
          <t>Metals Supplier 078</t>
        </is>
      </c>
      <c r="C781" t="inlineStr">
        <is>
          <t>Metals</t>
        </is>
      </c>
      <c r="D781" t="n">
        <v>2024</v>
      </c>
      <c r="E781" t="n">
        <v>18295020.38</v>
      </c>
      <c r="F781" t="n">
        <v>140143212.12</v>
      </c>
      <c r="G781" t="n">
        <v>17796.3863</v>
      </c>
      <c r="H781" t="inlineStr"/>
      <c r="I781" t="inlineStr"/>
      <c r="J781" t="n">
        <v>11557.1335</v>
      </c>
      <c r="K781" t="n">
        <v>2021</v>
      </c>
      <c r="L781" t="n">
        <v>2040</v>
      </c>
      <c r="M781" t="n">
        <v>0.2592</v>
      </c>
      <c r="N781" t="n">
        <v>0.1569</v>
      </c>
      <c r="O781" t="n">
        <v>2019</v>
      </c>
      <c r="P781" t="n">
        <v>2030</v>
      </c>
      <c r="Q781" t="n">
        <v>0.3852</v>
      </c>
      <c r="R781" t="n">
        <v>158.2904</v>
      </c>
      <c r="S781" t="n">
        <v>0.00100695</v>
      </c>
      <c r="T781" t="n">
        <v>0.00065008</v>
      </c>
    </row>
    <row r="782">
      <c r="A782" t="inlineStr">
        <is>
          <t>SUP-0079</t>
        </is>
      </c>
      <c r="B782" t="inlineStr">
        <is>
          <t>Logistics Supplier 079</t>
        </is>
      </c>
      <c r="C782" t="inlineStr">
        <is>
          <t>Logistics</t>
        </is>
      </c>
      <c r="D782" t="n">
        <v>2015</v>
      </c>
      <c r="E782" t="n">
        <v>5556661.32</v>
      </c>
      <c r="F782" t="n">
        <v>37431841.8</v>
      </c>
      <c r="G782" t="inlineStr"/>
      <c r="H782" t="n">
        <v>200.301</v>
      </c>
      <c r="I782" t="n">
        <v>147.9642</v>
      </c>
      <c r="J782" t="n">
        <v>957.2661000000001</v>
      </c>
      <c r="K782" t="inlineStr"/>
      <c r="L782" t="inlineStr"/>
      <c r="M782" t="inlineStr"/>
      <c r="N782" t="inlineStr"/>
      <c r="O782" t="n">
        <v>2019</v>
      </c>
      <c r="P782" t="n">
        <v>2040</v>
      </c>
      <c r="Q782" t="n">
        <v>0.4616</v>
      </c>
      <c r="R782" t="n">
        <v>591.6386</v>
      </c>
      <c r="S782" t="n">
        <v>0.00022349</v>
      </c>
      <c r="T782" t="n">
        <v>0.00047787</v>
      </c>
    </row>
    <row r="783">
      <c r="A783" t="inlineStr">
        <is>
          <t>SUP-0079</t>
        </is>
      </c>
      <c r="B783" t="inlineStr">
        <is>
          <t>Logistics Supplier 079</t>
        </is>
      </c>
      <c r="C783" t="inlineStr">
        <is>
          <t>Logistics</t>
        </is>
      </c>
      <c r="D783" t="n">
        <v>2016</v>
      </c>
      <c r="E783" t="inlineStr"/>
      <c r="F783" t="n">
        <v>36334062.03</v>
      </c>
      <c r="G783" t="n">
        <v>1371.8738</v>
      </c>
      <c r="H783" t="n">
        <v>306.6605</v>
      </c>
      <c r="I783" t="n">
        <v>264.6862</v>
      </c>
      <c r="J783" t="n">
        <v>839.7771</v>
      </c>
      <c r="K783" t="inlineStr"/>
      <c r="L783" t="inlineStr"/>
      <c r="M783" t="inlineStr"/>
      <c r="N783" t="inlineStr"/>
      <c r="O783" t="n">
        <v>2019</v>
      </c>
      <c r="P783" t="n">
        <v>2040</v>
      </c>
      <c r="Q783" t="n">
        <v>0.4616</v>
      </c>
      <c r="R783" t="n">
        <v>591.6386</v>
      </c>
      <c r="S783" t="n">
        <v>0.00022349</v>
      </c>
      <c r="T783" t="n">
        <v>0.00047787</v>
      </c>
    </row>
    <row r="784">
      <c r="A784" t="inlineStr">
        <is>
          <t>SUP-0079</t>
        </is>
      </c>
      <c r="B784" t="inlineStr">
        <is>
          <t>Logistics Supplier 079</t>
        </is>
      </c>
      <c r="C784" t="inlineStr">
        <is>
          <t>Logistics</t>
        </is>
      </c>
      <c r="D784" t="n">
        <v>2017</v>
      </c>
      <c r="E784" t="n">
        <v>6476545.6</v>
      </c>
      <c r="F784" t="n">
        <v>54162052.11</v>
      </c>
      <c r="G784" t="n">
        <v>1337.307</v>
      </c>
      <c r="H784" t="inlineStr"/>
      <c r="I784" t="n">
        <v>189.6533</v>
      </c>
      <c r="J784" t="inlineStr"/>
      <c r="K784" t="inlineStr"/>
      <c r="L784" t="inlineStr"/>
      <c r="M784" t="inlineStr"/>
      <c r="N784" t="inlineStr"/>
      <c r="O784" t="n">
        <v>2019</v>
      </c>
      <c r="P784" t="n">
        <v>2040</v>
      </c>
      <c r="Q784" t="n">
        <v>0.4616</v>
      </c>
      <c r="R784" t="n">
        <v>591.6386</v>
      </c>
      <c r="S784" t="n">
        <v>0.00022349</v>
      </c>
      <c r="T784" t="n">
        <v>0.00047787</v>
      </c>
    </row>
    <row r="785">
      <c r="A785" t="inlineStr">
        <is>
          <t>SUP-0079</t>
        </is>
      </c>
      <c r="B785" t="inlineStr">
        <is>
          <t>Logistics Supplier 079</t>
        </is>
      </c>
      <c r="C785" t="inlineStr">
        <is>
          <t>Logistics</t>
        </is>
      </c>
      <c r="D785" t="n">
        <v>2018</v>
      </c>
      <c r="E785" t="n">
        <v>5936783.48</v>
      </c>
      <c r="F785" t="n">
        <v>53927462.71</v>
      </c>
      <c r="G785" t="n">
        <v>1687.4775</v>
      </c>
      <c r="H785" t="n">
        <v>246.6349</v>
      </c>
      <c r="I785" t="inlineStr"/>
      <c r="J785" t="inlineStr"/>
      <c r="K785" t="inlineStr"/>
      <c r="L785" t="inlineStr"/>
      <c r="M785" t="inlineStr"/>
      <c r="N785" t="inlineStr"/>
      <c r="O785" t="n">
        <v>2019</v>
      </c>
      <c r="P785" t="n">
        <v>2040</v>
      </c>
      <c r="Q785" t="n">
        <v>0.4616</v>
      </c>
      <c r="R785" t="n">
        <v>591.6386</v>
      </c>
      <c r="S785" t="n">
        <v>0.00022349</v>
      </c>
      <c r="T785" t="n">
        <v>0.00047787</v>
      </c>
    </row>
    <row r="786">
      <c r="A786" t="inlineStr">
        <is>
          <t>SUP-0079</t>
        </is>
      </c>
      <c r="B786" t="inlineStr">
        <is>
          <t>Logistics Supplier 079</t>
        </is>
      </c>
      <c r="C786" t="inlineStr">
        <is>
          <t>Logistics</t>
        </is>
      </c>
      <c r="D786" t="n">
        <v>2019</v>
      </c>
      <c r="E786" t="n">
        <v>7749527.98</v>
      </c>
      <c r="F786" t="inlineStr"/>
      <c r="G786" t="n">
        <v>1860.5375</v>
      </c>
      <c r="H786" t="n">
        <v>235.9659</v>
      </c>
      <c r="I786" t="n">
        <v>308.5667</v>
      </c>
      <c r="J786" t="n">
        <v>1295.9884</v>
      </c>
      <c r="K786" t="inlineStr"/>
      <c r="L786" t="inlineStr"/>
      <c r="M786" t="inlineStr"/>
      <c r="N786" t="inlineStr"/>
      <c r="O786" t="n">
        <v>2019</v>
      </c>
      <c r="P786" t="n">
        <v>2040</v>
      </c>
      <c r="Q786" t="n">
        <v>0.4616</v>
      </c>
      <c r="R786" t="n">
        <v>591.6386</v>
      </c>
      <c r="S786" t="n">
        <v>0.00022349</v>
      </c>
      <c r="T786" t="n">
        <v>0.00047787</v>
      </c>
    </row>
    <row r="787">
      <c r="A787" t="inlineStr">
        <is>
          <t>SUP-0079</t>
        </is>
      </c>
      <c r="B787" t="inlineStr">
        <is>
          <t>Logistics Supplier 079</t>
        </is>
      </c>
      <c r="C787" t="inlineStr">
        <is>
          <t>Logistics</t>
        </is>
      </c>
      <c r="D787" t="n">
        <v>2020</v>
      </c>
      <c r="E787" t="n">
        <v>7066607.09</v>
      </c>
      <c r="F787" t="n">
        <v>48812822.88</v>
      </c>
      <c r="G787" t="n">
        <v>1872.342</v>
      </c>
      <c r="H787" t="n">
        <v>460.1133</v>
      </c>
      <c r="I787" t="n">
        <v>370.5013</v>
      </c>
      <c r="J787" t="n">
        <v>1048.59</v>
      </c>
      <c r="K787" t="inlineStr"/>
      <c r="L787" t="inlineStr"/>
      <c r="M787" t="inlineStr"/>
      <c r="N787" t="inlineStr"/>
      <c r="O787" t="n">
        <v>2019</v>
      </c>
      <c r="P787" t="n">
        <v>2040</v>
      </c>
      <c r="Q787" t="n">
        <v>0.4616</v>
      </c>
      <c r="R787" t="n">
        <v>591.6386</v>
      </c>
      <c r="S787" t="n">
        <v>0.00022349</v>
      </c>
      <c r="T787" t="n">
        <v>0.00047787</v>
      </c>
    </row>
    <row r="788">
      <c r="A788" t="inlineStr">
        <is>
          <t>SUP-0079</t>
        </is>
      </c>
      <c r="B788" t="inlineStr">
        <is>
          <t>Logistics Supplier 079</t>
        </is>
      </c>
      <c r="C788" t="inlineStr">
        <is>
          <t>Logistics</t>
        </is>
      </c>
      <c r="D788" t="n">
        <v>2021</v>
      </c>
      <c r="E788" t="n">
        <v>7502463.45</v>
      </c>
      <c r="F788" t="n">
        <v>63994850.22</v>
      </c>
      <c r="G788" t="n">
        <v>2230.0856</v>
      </c>
      <c r="H788" t="n">
        <v>419.4058</v>
      </c>
      <c r="I788" t="n">
        <v>343.3795</v>
      </c>
      <c r="J788" t="inlineStr"/>
      <c r="K788" t="inlineStr"/>
      <c r="L788" t="inlineStr"/>
      <c r="M788" t="inlineStr"/>
      <c r="N788" t="inlineStr"/>
      <c r="O788" t="n">
        <v>2019</v>
      </c>
      <c r="P788" t="n">
        <v>2040</v>
      </c>
      <c r="Q788" t="n">
        <v>0.4616</v>
      </c>
      <c r="R788" t="n">
        <v>591.6386</v>
      </c>
      <c r="S788" t="n">
        <v>0.00022349</v>
      </c>
      <c r="T788" t="n">
        <v>0.00047787</v>
      </c>
    </row>
    <row r="789">
      <c r="A789" t="inlineStr">
        <is>
          <t>SUP-0079</t>
        </is>
      </c>
      <c r="B789" t="inlineStr">
        <is>
          <t>Logistics Supplier 079</t>
        </is>
      </c>
      <c r="C789" t="inlineStr">
        <is>
          <t>Logistics</t>
        </is>
      </c>
      <c r="D789" t="n">
        <v>2022</v>
      </c>
      <c r="E789" t="n">
        <v>9046126.85</v>
      </c>
      <c r="F789" t="n">
        <v>64941804.77</v>
      </c>
      <c r="G789" t="n">
        <v>2639.8012</v>
      </c>
      <c r="H789" t="n">
        <v>520.7754</v>
      </c>
      <c r="I789" t="n">
        <v>437.1248</v>
      </c>
      <c r="J789" t="n">
        <v>1711.4929</v>
      </c>
      <c r="K789" t="inlineStr"/>
      <c r="L789" t="inlineStr"/>
      <c r="M789" t="inlineStr"/>
      <c r="N789" t="inlineStr"/>
      <c r="O789" t="n">
        <v>2019</v>
      </c>
      <c r="P789" t="n">
        <v>2040</v>
      </c>
      <c r="Q789" t="n">
        <v>0.4616</v>
      </c>
      <c r="R789" t="n">
        <v>591.6386</v>
      </c>
      <c r="S789" t="n">
        <v>0.00022349</v>
      </c>
      <c r="T789" t="n">
        <v>0.00047787</v>
      </c>
    </row>
    <row r="790">
      <c r="A790" t="inlineStr">
        <is>
          <t>SUP-0079</t>
        </is>
      </c>
      <c r="B790" t="inlineStr">
        <is>
          <t>Logistics Supplier 079</t>
        </is>
      </c>
      <c r="C790" t="inlineStr">
        <is>
          <t>Logistics</t>
        </is>
      </c>
      <c r="D790" t="n">
        <v>2023</v>
      </c>
      <c r="E790" t="n">
        <v>9346600.01</v>
      </c>
      <c r="F790" t="n">
        <v>64363510.73</v>
      </c>
      <c r="G790" t="inlineStr"/>
      <c r="H790" t="inlineStr"/>
      <c r="I790" t="n">
        <v>410.5424</v>
      </c>
      <c r="J790" t="n">
        <v>1379.9871</v>
      </c>
      <c r="K790" t="inlineStr"/>
      <c r="L790" t="inlineStr"/>
      <c r="M790" t="inlineStr"/>
      <c r="N790" t="inlineStr"/>
      <c r="O790" t="n">
        <v>2019</v>
      </c>
      <c r="P790" t="n">
        <v>2040</v>
      </c>
      <c r="Q790" t="n">
        <v>0.4616</v>
      </c>
      <c r="R790" t="n">
        <v>591.6386</v>
      </c>
      <c r="S790" t="n">
        <v>0.00022349</v>
      </c>
      <c r="T790" t="n">
        <v>0.00047787</v>
      </c>
    </row>
    <row r="791">
      <c r="A791" t="inlineStr">
        <is>
          <t>SUP-0079</t>
        </is>
      </c>
      <c r="B791" t="inlineStr">
        <is>
          <t>Logistics Supplier 079</t>
        </is>
      </c>
      <c r="C791" t="inlineStr">
        <is>
          <t>Logistics</t>
        </is>
      </c>
      <c r="D791" t="n">
        <v>2024</v>
      </c>
      <c r="E791" t="n">
        <v>8849317.130000001</v>
      </c>
      <c r="F791" t="n">
        <v>68063579.62</v>
      </c>
      <c r="G791" t="n">
        <v>2155.0259</v>
      </c>
      <c r="H791" t="n">
        <v>365.4405</v>
      </c>
      <c r="I791" t="inlineStr"/>
      <c r="J791" t="inlineStr"/>
      <c r="K791" t="inlineStr"/>
      <c r="L791" t="inlineStr"/>
      <c r="M791" t="inlineStr"/>
      <c r="N791" t="inlineStr"/>
      <c r="O791" t="n">
        <v>2019</v>
      </c>
      <c r="P791" t="n">
        <v>2040</v>
      </c>
      <c r="Q791" t="n">
        <v>0.4616</v>
      </c>
      <c r="R791" t="n">
        <v>591.6386</v>
      </c>
      <c r="S791" t="n">
        <v>0.00022349</v>
      </c>
      <c r="T791" t="n">
        <v>0.00047787</v>
      </c>
    </row>
    <row r="792">
      <c r="A792" t="inlineStr">
        <is>
          <t>SUP-0080</t>
        </is>
      </c>
      <c r="B792" t="inlineStr">
        <is>
          <t>Packaging Supplier 080</t>
        </is>
      </c>
      <c r="C792" t="inlineStr">
        <is>
          <t>Packaging</t>
        </is>
      </c>
      <c r="D792" t="n">
        <v>2015</v>
      </c>
      <c r="E792" t="n">
        <v>24760913.14</v>
      </c>
      <c r="F792" t="inlineStr"/>
      <c r="G792" t="inlineStr"/>
      <c r="H792" t="n">
        <v>4300.5031</v>
      </c>
      <c r="I792" t="n">
        <v>6634.654</v>
      </c>
      <c r="J792" t="n">
        <v>23182.7837</v>
      </c>
      <c r="K792" t="n">
        <v>2019</v>
      </c>
      <c r="L792" t="n">
        <v>2040</v>
      </c>
      <c r="M792" t="n">
        <v>0.6923</v>
      </c>
      <c r="N792" t="n">
        <v>0.3022</v>
      </c>
      <c r="O792" t="n">
        <v>2018</v>
      </c>
      <c r="P792" t="n">
        <v>2040</v>
      </c>
      <c r="Q792" t="n">
        <v>0.3112</v>
      </c>
      <c r="R792" t="n">
        <v>702.4188</v>
      </c>
      <c r="S792" t="n">
        <v>0.0010803</v>
      </c>
      <c r="T792" t="n">
        <v>0.00078946</v>
      </c>
    </row>
    <row r="793">
      <c r="A793" t="inlineStr">
        <is>
          <t>SUP-0080</t>
        </is>
      </c>
      <c r="B793" t="inlineStr">
        <is>
          <t>Packaging Supplier 080</t>
        </is>
      </c>
      <c r="C793" t="inlineStr">
        <is>
          <t>Packaging</t>
        </is>
      </c>
      <c r="D793" t="n">
        <v>2016</v>
      </c>
      <c r="E793" t="n">
        <v>23903654.08</v>
      </c>
      <c r="F793" t="n">
        <v>46077579.48</v>
      </c>
      <c r="G793" t="n">
        <v>24479.3818</v>
      </c>
      <c r="H793" t="n">
        <v>5782.2138</v>
      </c>
      <c r="I793" t="n">
        <v>4724.361</v>
      </c>
      <c r="J793" t="n">
        <v>15133.3204</v>
      </c>
      <c r="K793" t="n">
        <v>2019</v>
      </c>
      <c r="L793" t="n">
        <v>2040</v>
      </c>
      <c r="M793" t="n">
        <v>0.6923</v>
      </c>
      <c r="N793" t="n">
        <v>0.3022</v>
      </c>
      <c r="O793" t="n">
        <v>2018</v>
      </c>
      <c r="P793" t="n">
        <v>2040</v>
      </c>
      <c r="Q793" t="n">
        <v>0.3112</v>
      </c>
      <c r="R793" t="n">
        <v>702.4188</v>
      </c>
      <c r="S793" t="n">
        <v>0.0010803</v>
      </c>
      <c r="T793" t="n">
        <v>0.00078946</v>
      </c>
    </row>
    <row r="794">
      <c r="A794" t="inlineStr">
        <is>
          <t>SUP-0080</t>
        </is>
      </c>
      <c r="B794" t="inlineStr">
        <is>
          <t>Packaging Supplier 080</t>
        </is>
      </c>
      <c r="C794" t="inlineStr">
        <is>
          <t>Packaging</t>
        </is>
      </c>
      <c r="D794" t="n">
        <v>2017</v>
      </c>
      <c r="E794" t="n">
        <v>26645114.3</v>
      </c>
      <c r="F794" t="n">
        <v>59351261.63</v>
      </c>
      <c r="G794" t="n">
        <v>31222.5829</v>
      </c>
      <c r="H794" t="n">
        <v>5748.8091</v>
      </c>
      <c r="I794" t="n">
        <v>3225.6115</v>
      </c>
      <c r="J794" t="n">
        <v>21831.0844</v>
      </c>
      <c r="K794" t="n">
        <v>2019</v>
      </c>
      <c r="L794" t="n">
        <v>2040</v>
      </c>
      <c r="M794" t="n">
        <v>0.6923</v>
      </c>
      <c r="N794" t="n">
        <v>0.3022</v>
      </c>
      <c r="O794" t="n">
        <v>2018</v>
      </c>
      <c r="P794" t="n">
        <v>2040</v>
      </c>
      <c r="Q794" t="n">
        <v>0.3112</v>
      </c>
      <c r="R794" t="n">
        <v>702.4188</v>
      </c>
      <c r="S794" t="n">
        <v>0.0010803</v>
      </c>
      <c r="T794" t="n">
        <v>0.00078946</v>
      </c>
    </row>
    <row r="795">
      <c r="A795" t="inlineStr">
        <is>
          <t>SUP-0080</t>
        </is>
      </c>
      <c r="B795" t="inlineStr">
        <is>
          <t>Packaging Supplier 080</t>
        </is>
      </c>
      <c r="C795" t="inlineStr">
        <is>
          <t>Packaging</t>
        </is>
      </c>
      <c r="D795" t="n">
        <v>2018</v>
      </c>
      <c r="E795" t="n">
        <v>27160560.38</v>
      </c>
      <c r="F795" t="n">
        <v>55086957.78</v>
      </c>
      <c r="G795" t="inlineStr"/>
      <c r="H795" t="inlineStr"/>
      <c r="I795" t="n">
        <v>3870.0164</v>
      </c>
      <c r="J795" t="n">
        <v>20239.1094</v>
      </c>
      <c r="K795" t="n">
        <v>2019</v>
      </c>
      <c r="L795" t="n">
        <v>2040</v>
      </c>
      <c r="M795" t="n">
        <v>0.6923</v>
      </c>
      <c r="N795" t="n">
        <v>0.3022</v>
      </c>
      <c r="O795" t="n">
        <v>2018</v>
      </c>
      <c r="P795" t="n">
        <v>2040</v>
      </c>
      <c r="Q795" t="n">
        <v>0.3112</v>
      </c>
      <c r="R795" t="n">
        <v>702.4188</v>
      </c>
      <c r="S795" t="n">
        <v>0.0010803</v>
      </c>
      <c r="T795" t="n">
        <v>0.00078946</v>
      </c>
    </row>
    <row r="796">
      <c r="A796" t="inlineStr">
        <is>
          <t>SUP-0080</t>
        </is>
      </c>
      <c r="B796" t="inlineStr">
        <is>
          <t>Packaging Supplier 080</t>
        </is>
      </c>
      <c r="C796" t="inlineStr">
        <is>
          <t>Packaging</t>
        </is>
      </c>
      <c r="D796" t="n">
        <v>2019</v>
      </c>
      <c r="E796" t="n">
        <v>34432259.41</v>
      </c>
      <c r="F796" t="n">
        <v>49091632.25</v>
      </c>
      <c r="G796" t="n">
        <v>40076.9936</v>
      </c>
      <c r="H796" t="n">
        <v>7606.6224</v>
      </c>
      <c r="I796" t="n">
        <v>8482.599700000001</v>
      </c>
      <c r="J796" t="inlineStr"/>
      <c r="K796" t="n">
        <v>2019</v>
      </c>
      <c r="L796" t="n">
        <v>2040</v>
      </c>
      <c r="M796" t="n">
        <v>0.6923</v>
      </c>
      <c r="N796" t="n">
        <v>0.3022</v>
      </c>
      <c r="O796" t="n">
        <v>2018</v>
      </c>
      <c r="P796" t="n">
        <v>2040</v>
      </c>
      <c r="Q796" t="n">
        <v>0.3112</v>
      </c>
      <c r="R796" t="n">
        <v>702.4188</v>
      </c>
      <c r="S796" t="n">
        <v>0.0010803</v>
      </c>
      <c r="T796" t="n">
        <v>0.00078946</v>
      </c>
    </row>
    <row r="797">
      <c r="A797" t="inlineStr">
        <is>
          <t>SUP-0080</t>
        </is>
      </c>
      <c r="B797" t="inlineStr">
        <is>
          <t>Packaging Supplier 080</t>
        </is>
      </c>
      <c r="C797" t="inlineStr">
        <is>
          <t>Packaging</t>
        </is>
      </c>
      <c r="D797" t="n">
        <v>2020</v>
      </c>
      <c r="E797" t="inlineStr"/>
      <c r="F797" t="n">
        <v>64189258.26</v>
      </c>
      <c r="G797" t="n">
        <v>26308.1537</v>
      </c>
      <c r="H797" t="n">
        <v>5849.1253</v>
      </c>
      <c r="I797" t="n">
        <v>4331.7025</v>
      </c>
      <c r="J797" t="n">
        <v>16822.3607</v>
      </c>
      <c r="K797" t="n">
        <v>2019</v>
      </c>
      <c r="L797" t="n">
        <v>2040</v>
      </c>
      <c r="M797" t="n">
        <v>0.6923</v>
      </c>
      <c r="N797" t="n">
        <v>0.3022</v>
      </c>
      <c r="O797" t="n">
        <v>2018</v>
      </c>
      <c r="P797" t="n">
        <v>2040</v>
      </c>
      <c r="Q797" t="n">
        <v>0.3112</v>
      </c>
      <c r="R797" t="n">
        <v>702.4188</v>
      </c>
      <c r="S797" t="n">
        <v>0.0010803</v>
      </c>
      <c r="T797" t="n">
        <v>0.00078946</v>
      </c>
    </row>
    <row r="798">
      <c r="A798" t="inlineStr">
        <is>
          <t>SUP-0080</t>
        </is>
      </c>
      <c r="B798" t="inlineStr">
        <is>
          <t>Packaging Supplier 080</t>
        </is>
      </c>
      <c r="C798" t="inlineStr">
        <is>
          <t>Packaging</t>
        </is>
      </c>
      <c r="D798" t="n">
        <v>2021</v>
      </c>
      <c r="E798" t="n">
        <v>31291698.89</v>
      </c>
      <c r="F798" t="n">
        <v>58701442.23</v>
      </c>
      <c r="G798" t="n">
        <v>29963.6274</v>
      </c>
      <c r="H798" t="n">
        <v>8204.5245</v>
      </c>
      <c r="I798" t="n">
        <v>5348.8021</v>
      </c>
      <c r="J798" t="n">
        <v>17601.7008</v>
      </c>
      <c r="K798" t="n">
        <v>2019</v>
      </c>
      <c r="L798" t="n">
        <v>2040</v>
      </c>
      <c r="M798" t="n">
        <v>0.6923</v>
      </c>
      <c r="N798" t="n">
        <v>0.3022</v>
      </c>
      <c r="O798" t="n">
        <v>2018</v>
      </c>
      <c r="P798" t="n">
        <v>2040</v>
      </c>
      <c r="Q798" t="n">
        <v>0.3112</v>
      </c>
      <c r="R798" t="n">
        <v>702.4188</v>
      </c>
      <c r="S798" t="n">
        <v>0.0010803</v>
      </c>
      <c r="T798" t="n">
        <v>0.00078946</v>
      </c>
    </row>
    <row r="799">
      <c r="A799" t="inlineStr">
        <is>
          <t>SUP-0080</t>
        </is>
      </c>
      <c r="B799" t="inlineStr">
        <is>
          <t>Packaging Supplier 080</t>
        </is>
      </c>
      <c r="C799" t="inlineStr">
        <is>
          <t>Packaging</t>
        </is>
      </c>
      <c r="D799" t="n">
        <v>2022</v>
      </c>
      <c r="E799" t="n">
        <v>36103771.93</v>
      </c>
      <c r="F799" t="n">
        <v>81186316.43000001</v>
      </c>
      <c r="G799" t="n">
        <v>36683.9896</v>
      </c>
      <c r="H799" t="n">
        <v>6177.1054</v>
      </c>
      <c r="I799" t="n">
        <v>7572.0926</v>
      </c>
      <c r="J799" t="inlineStr"/>
      <c r="K799" t="n">
        <v>2019</v>
      </c>
      <c r="L799" t="n">
        <v>2040</v>
      </c>
      <c r="M799" t="n">
        <v>0.6923</v>
      </c>
      <c r="N799" t="n">
        <v>0.3022</v>
      </c>
      <c r="O799" t="n">
        <v>2018</v>
      </c>
      <c r="P799" t="n">
        <v>2040</v>
      </c>
      <c r="Q799" t="n">
        <v>0.3112</v>
      </c>
      <c r="R799" t="n">
        <v>702.4188</v>
      </c>
      <c r="S799" t="n">
        <v>0.0010803</v>
      </c>
      <c r="T799" t="n">
        <v>0.00078946</v>
      </c>
    </row>
    <row r="800">
      <c r="A800" t="inlineStr">
        <is>
          <t>SUP-0080</t>
        </is>
      </c>
      <c r="B800" t="inlineStr">
        <is>
          <t>Packaging Supplier 080</t>
        </is>
      </c>
      <c r="C800" t="inlineStr">
        <is>
          <t>Packaging</t>
        </is>
      </c>
      <c r="D800" t="n">
        <v>2023</v>
      </c>
      <c r="E800" t="n">
        <v>35074087.31</v>
      </c>
      <c r="F800" t="n">
        <v>71924850.23999999</v>
      </c>
      <c r="G800" t="n">
        <v>30223.9574</v>
      </c>
      <c r="H800" t="n">
        <v>7913.867</v>
      </c>
      <c r="I800" t="inlineStr"/>
      <c r="J800" t="n">
        <v>18082.8705</v>
      </c>
      <c r="K800" t="n">
        <v>2019</v>
      </c>
      <c r="L800" t="n">
        <v>2040</v>
      </c>
      <c r="M800" t="n">
        <v>0.6923</v>
      </c>
      <c r="N800" t="n">
        <v>0.3022</v>
      </c>
      <c r="O800" t="n">
        <v>2018</v>
      </c>
      <c r="P800" t="n">
        <v>2040</v>
      </c>
      <c r="Q800" t="n">
        <v>0.3112</v>
      </c>
      <c r="R800" t="n">
        <v>702.4188</v>
      </c>
      <c r="S800" t="n">
        <v>0.0010803</v>
      </c>
      <c r="T800" t="n">
        <v>0.00078946</v>
      </c>
    </row>
    <row r="801">
      <c r="A801" t="inlineStr">
        <is>
          <t>SUP-0080</t>
        </is>
      </c>
      <c r="B801" t="inlineStr">
        <is>
          <t>Packaging Supplier 080</t>
        </is>
      </c>
      <c r="C801" t="inlineStr">
        <is>
          <t>Packaging</t>
        </is>
      </c>
      <c r="D801" t="n">
        <v>2024</v>
      </c>
      <c r="E801" t="n">
        <v>36949086.81</v>
      </c>
      <c r="F801" t="n">
        <v>75278079.55</v>
      </c>
      <c r="G801" t="n">
        <v>38183.2936</v>
      </c>
      <c r="H801" t="inlineStr"/>
      <c r="I801" t="n">
        <v>3626.179</v>
      </c>
      <c r="J801" t="n">
        <v>26461.5454</v>
      </c>
      <c r="K801" t="n">
        <v>2019</v>
      </c>
      <c r="L801" t="n">
        <v>2040</v>
      </c>
      <c r="M801" t="n">
        <v>0.6923</v>
      </c>
      <c r="N801" t="n">
        <v>0.3022</v>
      </c>
      <c r="O801" t="n">
        <v>2018</v>
      </c>
      <c r="P801" t="n">
        <v>2040</v>
      </c>
      <c r="Q801" t="n">
        <v>0.3112</v>
      </c>
      <c r="R801" t="n">
        <v>702.4188</v>
      </c>
      <c r="S801" t="n">
        <v>0.0010803</v>
      </c>
      <c r="T801" t="n">
        <v>0.00078946</v>
      </c>
    </row>
    <row r="802">
      <c r="A802" t="inlineStr">
        <is>
          <t>SUP-0081</t>
        </is>
      </c>
      <c r="B802" t="inlineStr">
        <is>
          <t>Textiles Supplier 081</t>
        </is>
      </c>
      <c r="C802" t="inlineStr">
        <is>
          <t>Textiles</t>
        </is>
      </c>
      <c r="D802" t="n">
        <v>2015</v>
      </c>
      <c r="E802" t="n">
        <v>22693302.13</v>
      </c>
      <c r="F802" t="n">
        <v>107503004.35</v>
      </c>
      <c r="G802" t="n">
        <v>4772.8928</v>
      </c>
      <c r="H802" t="n">
        <v>1058.6955</v>
      </c>
      <c r="I802" t="n">
        <v>423.9156</v>
      </c>
      <c r="J802" t="n">
        <v>3016.5017</v>
      </c>
      <c r="K802" t="inlineStr"/>
      <c r="L802" t="inlineStr"/>
      <c r="M802" t="inlineStr"/>
      <c r="N802" t="inlineStr"/>
      <c r="O802" t="n">
        <v>2019</v>
      </c>
      <c r="P802" t="n">
        <v>2030</v>
      </c>
      <c r="Q802" t="n">
        <v>0.3171</v>
      </c>
      <c r="R802" t="n">
        <v>401.7335</v>
      </c>
      <c r="S802" t="n">
        <v>0.00029221</v>
      </c>
      <c r="T802" t="n">
        <v>0.00017343</v>
      </c>
    </row>
    <row r="803">
      <c r="A803" t="inlineStr">
        <is>
          <t>SUP-0081</t>
        </is>
      </c>
      <c r="B803" t="inlineStr">
        <is>
          <t>Textiles Supplier 081</t>
        </is>
      </c>
      <c r="C803" t="inlineStr">
        <is>
          <t>Textiles</t>
        </is>
      </c>
      <c r="D803" t="n">
        <v>2016</v>
      </c>
      <c r="E803" t="n">
        <v>26937969.35</v>
      </c>
      <c r="F803" t="n">
        <v>133118117.19</v>
      </c>
      <c r="G803" t="n">
        <v>5813.5109</v>
      </c>
      <c r="H803" t="n">
        <v>532.0394</v>
      </c>
      <c r="I803" t="n">
        <v>1101.6452</v>
      </c>
      <c r="J803" t="n">
        <v>4073.9229</v>
      </c>
      <c r="K803" t="inlineStr"/>
      <c r="L803" t="inlineStr"/>
      <c r="M803" t="inlineStr"/>
      <c r="N803" t="inlineStr"/>
      <c r="O803" t="n">
        <v>2019</v>
      </c>
      <c r="P803" t="n">
        <v>2030</v>
      </c>
      <c r="Q803" t="n">
        <v>0.3171</v>
      </c>
      <c r="R803" t="n">
        <v>401.7335</v>
      </c>
      <c r="S803" t="n">
        <v>0.00029221</v>
      </c>
      <c r="T803" t="n">
        <v>0.00017343</v>
      </c>
    </row>
    <row r="804">
      <c r="A804" t="inlineStr">
        <is>
          <t>SUP-0081</t>
        </is>
      </c>
      <c r="B804" t="inlineStr">
        <is>
          <t>Textiles Supplier 081</t>
        </is>
      </c>
      <c r="C804" t="inlineStr">
        <is>
          <t>Textiles</t>
        </is>
      </c>
      <c r="D804" t="n">
        <v>2017</v>
      </c>
      <c r="E804" t="n">
        <v>26392151.25</v>
      </c>
      <c r="F804" t="n">
        <v>154561000.93</v>
      </c>
      <c r="G804" t="n">
        <v>6458.0789</v>
      </c>
      <c r="H804" t="n">
        <v>1543.8499</v>
      </c>
      <c r="I804" t="n">
        <v>691.0364</v>
      </c>
      <c r="J804" t="n">
        <v>4642.9648</v>
      </c>
      <c r="K804" t="inlineStr"/>
      <c r="L804" t="inlineStr"/>
      <c r="M804" t="inlineStr"/>
      <c r="N804" t="inlineStr"/>
      <c r="O804" t="n">
        <v>2019</v>
      </c>
      <c r="P804" t="n">
        <v>2030</v>
      </c>
      <c r="Q804" t="n">
        <v>0.3171</v>
      </c>
      <c r="R804" t="n">
        <v>401.7335</v>
      </c>
      <c r="S804" t="n">
        <v>0.00029221</v>
      </c>
      <c r="T804" t="n">
        <v>0.00017343</v>
      </c>
    </row>
    <row r="805">
      <c r="A805" t="inlineStr">
        <is>
          <t>SUP-0081</t>
        </is>
      </c>
      <c r="B805" t="inlineStr">
        <is>
          <t>Textiles Supplier 081</t>
        </is>
      </c>
      <c r="C805" t="inlineStr">
        <is>
          <t>Textiles</t>
        </is>
      </c>
      <c r="D805" t="n">
        <v>2018</v>
      </c>
      <c r="E805" t="n">
        <v>24459744.93</v>
      </c>
      <c r="F805" t="n">
        <v>121303838.57</v>
      </c>
      <c r="G805" t="n">
        <v>6696.4786</v>
      </c>
      <c r="H805" t="n">
        <v>1791.8478</v>
      </c>
      <c r="I805" t="n">
        <v>683.2132</v>
      </c>
      <c r="J805" t="n">
        <v>4080.6141</v>
      </c>
      <c r="K805" t="inlineStr"/>
      <c r="L805" t="inlineStr"/>
      <c r="M805" t="inlineStr"/>
      <c r="N805" t="inlineStr"/>
      <c r="O805" t="n">
        <v>2019</v>
      </c>
      <c r="P805" t="n">
        <v>2030</v>
      </c>
      <c r="Q805" t="n">
        <v>0.3171</v>
      </c>
      <c r="R805" t="n">
        <v>401.7335</v>
      </c>
      <c r="S805" t="n">
        <v>0.00029221</v>
      </c>
      <c r="T805" t="n">
        <v>0.00017343</v>
      </c>
    </row>
    <row r="806">
      <c r="A806" t="inlineStr">
        <is>
          <t>SUP-0081</t>
        </is>
      </c>
      <c r="B806" t="inlineStr">
        <is>
          <t>Textiles Supplier 081</t>
        </is>
      </c>
      <c r="C806" t="inlineStr">
        <is>
          <t>Textiles</t>
        </is>
      </c>
      <c r="D806" t="n">
        <v>2019</v>
      </c>
      <c r="E806" t="n">
        <v>30441962.58</v>
      </c>
      <c r="F806" t="n">
        <v>162676835.34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n">
        <v>2019</v>
      </c>
      <c r="P806" t="n">
        <v>2030</v>
      </c>
      <c r="Q806" t="n">
        <v>0.3171</v>
      </c>
      <c r="R806" t="n">
        <v>401.7335</v>
      </c>
      <c r="S806" t="n">
        <v>0.00029221</v>
      </c>
      <c r="T806" t="n">
        <v>0.00017343</v>
      </c>
    </row>
    <row r="807">
      <c r="A807" t="inlineStr">
        <is>
          <t>SUP-0081</t>
        </is>
      </c>
      <c r="B807" t="inlineStr">
        <is>
          <t>Textiles Supplier 081</t>
        </is>
      </c>
      <c r="C807" t="inlineStr">
        <is>
          <t>Textiles</t>
        </is>
      </c>
      <c r="D807" t="n">
        <v>2020</v>
      </c>
      <c r="E807" t="n">
        <v>26016252.2</v>
      </c>
      <c r="F807" t="n">
        <v>168125250.33</v>
      </c>
      <c r="G807" t="n">
        <v>5392.9</v>
      </c>
      <c r="H807" t="n">
        <v>1125.2928</v>
      </c>
      <c r="I807" t="n">
        <v>1021.5529</v>
      </c>
      <c r="J807" t="n">
        <v>3560.3475</v>
      </c>
      <c r="K807" t="inlineStr"/>
      <c r="L807" t="inlineStr"/>
      <c r="M807" t="inlineStr"/>
      <c r="N807" t="inlineStr"/>
      <c r="O807" t="n">
        <v>2019</v>
      </c>
      <c r="P807" t="n">
        <v>2030</v>
      </c>
      <c r="Q807" t="n">
        <v>0.3171</v>
      </c>
      <c r="R807" t="n">
        <v>401.7335</v>
      </c>
      <c r="S807" t="n">
        <v>0.00029221</v>
      </c>
      <c r="T807" t="n">
        <v>0.00017343</v>
      </c>
    </row>
    <row r="808">
      <c r="A808" t="inlineStr">
        <is>
          <t>SUP-0081</t>
        </is>
      </c>
      <c r="B808" t="inlineStr">
        <is>
          <t>Textiles Supplier 081</t>
        </is>
      </c>
      <c r="C808" t="inlineStr">
        <is>
          <t>Textiles</t>
        </is>
      </c>
      <c r="D808" t="n">
        <v>2021</v>
      </c>
      <c r="E808" t="n">
        <v>33478892.99</v>
      </c>
      <c r="F808" t="n">
        <v>214998335.35</v>
      </c>
      <c r="G808" t="inlineStr"/>
      <c r="H808" t="n">
        <v>595.6201</v>
      </c>
      <c r="I808" t="n">
        <v>535.7755</v>
      </c>
      <c r="J808" t="n">
        <v>5251.713</v>
      </c>
      <c r="K808" t="inlineStr"/>
      <c r="L808" t="inlineStr"/>
      <c r="M808" t="inlineStr"/>
      <c r="N808" t="inlineStr"/>
      <c r="O808" t="n">
        <v>2019</v>
      </c>
      <c r="P808" t="n">
        <v>2030</v>
      </c>
      <c r="Q808" t="n">
        <v>0.3171</v>
      </c>
      <c r="R808" t="n">
        <v>401.7335</v>
      </c>
      <c r="S808" t="n">
        <v>0.00029221</v>
      </c>
      <c r="T808" t="n">
        <v>0.00017343</v>
      </c>
    </row>
    <row r="809">
      <c r="A809" t="inlineStr">
        <is>
          <t>SUP-0081</t>
        </is>
      </c>
      <c r="B809" t="inlineStr">
        <is>
          <t>Textiles Supplier 081</t>
        </is>
      </c>
      <c r="C809" t="inlineStr">
        <is>
          <t>Textiles</t>
        </is>
      </c>
      <c r="D809" t="n">
        <v>2022</v>
      </c>
      <c r="E809" t="n">
        <v>37994761.96</v>
      </c>
      <c r="F809" t="inlineStr"/>
      <c r="G809" t="n">
        <v>8487.3884</v>
      </c>
      <c r="H809" t="n">
        <v>1984.5207</v>
      </c>
      <c r="I809" t="n">
        <v>903.5053</v>
      </c>
      <c r="J809" t="n">
        <v>5040.4347</v>
      </c>
      <c r="K809" t="inlineStr"/>
      <c r="L809" t="inlineStr"/>
      <c r="M809" t="inlineStr"/>
      <c r="N809" t="inlineStr"/>
      <c r="O809" t="n">
        <v>2019</v>
      </c>
      <c r="P809" t="n">
        <v>2030</v>
      </c>
      <c r="Q809" t="n">
        <v>0.3171</v>
      </c>
      <c r="R809" t="n">
        <v>401.7335</v>
      </c>
      <c r="S809" t="n">
        <v>0.00029221</v>
      </c>
      <c r="T809" t="n">
        <v>0.00017343</v>
      </c>
    </row>
    <row r="810">
      <c r="A810" t="inlineStr">
        <is>
          <t>SUP-0081</t>
        </is>
      </c>
      <c r="B810" t="inlineStr">
        <is>
          <t>Textiles Supplier 081</t>
        </is>
      </c>
      <c r="C810" t="inlineStr">
        <is>
          <t>Textiles</t>
        </is>
      </c>
      <c r="D810" t="n">
        <v>2023</v>
      </c>
      <c r="E810" t="n">
        <v>38929412.69</v>
      </c>
      <c r="F810" t="n">
        <v>246855063.89</v>
      </c>
      <c r="G810" t="n">
        <v>7229.866</v>
      </c>
      <c r="H810" t="n">
        <v>1235.0138</v>
      </c>
      <c r="I810" t="n">
        <v>730.9394</v>
      </c>
      <c r="J810" t="n">
        <v>5164.8762</v>
      </c>
      <c r="K810" t="inlineStr"/>
      <c r="L810" t="inlineStr"/>
      <c r="M810" t="inlineStr"/>
      <c r="N810" t="inlineStr"/>
      <c r="O810" t="n">
        <v>2019</v>
      </c>
      <c r="P810" t="n">
        <v>2030</v>
      </c>
      <c r="Q810" t="n">
        <v>0.3171</v>
      </c>
      <c r="R810" t="n">
        <v>401.7335</v>
      </c>
      <c r="S810" t="n">
        <v>0.00029221</v>
      </c>
      <c r="T810" t="n">
        <v>0.00017343</v>
      </c>
    </row>
    <row r="811">
      <c r="A811" t="inlineStr">
        <is>
          <t>SUP-0081</t>
        </is>
      </c>
      <c r="B811" t="inlineStr">
        <is>
          <t>Textiles Supplier 081</t>
        </is>
      </c>
      <c r="C811" t="inlineStr">
        <is>
          <t>Textiles</t>
        </is>
      </c>
      <c r="D811" t="n">
        <v>2024</v>
      </c>
      <c r="E811" t="n">
        <v>43956534.22</v>
      </c>
      <c r="F811" t="n">
        <v>359245885.22</v>
      </c>
      <c r="G811" t="n">
        <v>11296.2797</v>
      </c>
      <c r="H811" t="n">
        <v>2190.8976</v>
      </c>
      <c r="I811" t="n">
        <v>2408.1676</v>
      </c>
      <c r="J811" t="n">
        <v>6408.7793</v>
      </c>
      <c r="K811" t="inlineStr"/>
      <c r="L811" t="inlineStr"/>
      <c r="M811" t="inlineStr"/>
      <c r="N811" t="inlineStr"/>
      <c r="O811" t="n">
        <v>2019</v>
      </c>
      <c r="P811" t="n">
        <v>2030</v>
      </c>
      <c r="Q811" t="n">
        <v>0.3171</v>
      </c>
      <c r="R811" t="n">
        <v>401.7335</v>
      </c>
      <c r="S811" t="n">
        <v>0.00029221</v>
      </c>
      <c r="T811" t="n">
        <v>0.00017343</v>
      </c>
    </row>
    <row r="812">
      <c r="A812" t="inlineStr">
        <is>
          <t>SUP-0082</t>
        </is>
      </c>
      <c r="B812" t="inlineStr">
        <is>
          <t>Packaging Supplier 082</t>
        </is>
      </c>
      <c r="C812" t="inlineStr">
        <is>
          <t>Packaging</t>
        </is>
      </c>
      <c r="D812" t="n">
        <v>2015</v>
      </c>
      <c r="E812" t="n">
        <v>16657034.32</v>
      </c>
      <c r="F812" t="n">
        <v>112700029.02</v>
      </c>
      <c r="G812" t="inlineStr"/>
      <c r="H812" t="n">
        <v>3439.6041</v>
      </c>
      <c r="I812" t="n">
        <v>2608.4257</v>
      </c>
      <c r="J812" t="n">
        <v>7429.8779</v>
      </c>
      <c r="K812" t="n">
        <v>2018</v>
      </c>
      <c r="L812" t="n">
        <v>2030</v>
      </c>
      <c r="M812" t="n">
        <v>0.3671</v>
      </c>
      <c r="N812" t="n">
        <v>0.1475</v>
      </c>
      <c r="O812" t="n">
        <v>2018</v>
      </c>
      <c r="P812" t="n">
        <v>2040</v>
      </c>
      <c r="Q812" t="n">
        <v>0.3112</v>
      </c>
      <c r="R812" t="n">
        <v>702.4188</v>
      </c>
      <c r="S812" t="n">
        <v>0.0010803</v>
      </c>
      <c r="T812" t="n">
        <v>0.00078946</v>
      </c>
    </row>
    <row r="813">
      <c r="A813" t="inlineStr">
        <is>
          <t>SUP-0082</t>
        </is>
      </c>
      <c r="B813" t="inlineStr">
        <is>
          <t>Packaging Supplier 082</t>
        </is>
      </c>
      <c r="C813" t="inlineStr">
        <is>
          <t>Packaging</t>
        </is>
      </c>
      <c r="D813" t="n">
        <v>2016</v>
      </c>
      <c r="E813" t="n">
        <v>16499741.15</v>
      </c>
      <c r="F813" t="n">
        <v>139243835.14</v>
      </c>
      <c r="G813" t="n">
        <v>14140.9274</v>
      </c>
      <c r="H813" t="n">
        <v>1745.9824</v>
      </c>
      <c r="I813" t="n">
        <v>1911.1944</v>
      </c>
      <c r="J813" t="n">
        <v>10810.0496</v>
      </c>
      <c r="K813" t="n">
        <v>2018</v>
      </c>
      <c r="L813" t="n">
        <v>2030</v>
      </c>
      <c r="M813" t="n">
        <v>0.3671</v>
      </c>
      <c r="N813" t="n">
        <v>0.1475</v>
      </c>
      <c r="O813" t="n">
        <v>2018</v>
      </c>
      <c r="P813" t="n">
        <v>2040</v>
      </c>
      <c r="Q813" t="n">
        <v>0.3112</v>
      </c>
      <c r="R813" t="n">
        <v>702.4188</v>
      </c>
      <c r="S813" t="n">
        <v>0.0010803</v>
      </c>
      <c r="T813" t="n">
        <v>0.00078946</v>
      </c>
    </row>
    <row r="814">
      <c r="A814" t="inlineStr">
        <is>
          <t>SUP-0082</t>
        </is>
      </c>
      <c r="B814" t="inlineStr">
        <is>
          <t>Packaging Supplier 082</t>
        </is>
      </c>
      <c r="C814" t="inlineStr">
        <is>
          <t>Packaging</t>
        </is>
      </c>
      <c r="D814" t="n">
        <v>2017</v>
      </c>
      <c r="E814" t="n">
        <v>18011471.73</v>
      </c>
      <c r="F814" t="n">
        <v>99705476.34</v>
      </c>
      <c r="G814" t="n">
        <v>15256.566</v>
      </c>
      <c r="H814" t="n">
        <v>3654.9152</v>
      </c>
      <c r="I814" t="n">
        <v>3284.0272</v>
      </c>
      <c r="J814" t="n">
        <v>9368.537399999999</v>
      </c>
      <c r="K814" t="n">
        <v>2018</v>
      </c>
      <c r="L814" t="n">
        <v>2030</v>
      </c>
      <c r="M814" t="n">
        <v>0.3671</v>
      </c>
      <c r="N814" t="n">
        <v>0.1475</v>
      </c>
      <c r="O814" t="n">
        <v>2018</v>
      </c>
      <c r="P814" t="n">
        <v>2040</v>
      </c>
      <c r="Q814" t="n">
        <v>0.3112</v>
      </c>
      <c r="R814" t="n">
        <v>702.4188</v>
      </c>
      <c r="S814" t="n">
        <v>0.0010803</v>
      </c>
      <c r="T814" t="n">
        <v>0.00078946</v>
      </c>
    </row>
    <row r="815">
      <c r="A815" t="inlineStr">
        <is>
          <t>SUP-0082</t>
        </is>
      </c>
      <c r="B815" t="inlineStr">
        <is>
          <t>Packaging Supplier 082</t>
        </is>
      </c>
      <c r="C815" t="inlineStr">
        <is>
          <t>Packaging</t>
        </is>
      </c>
      <c r="D815" t="n">
        <v>2018</v>
      </c>
      <c r="E815" t="n">
        <v>18679406.58</v>
      </c>
      <c r="F815" t="inlineStr"/>
      <c r="G815" t="n">
        <v>13079.7866</v>
      </c>
      <c r="H815" t="n">
        <v>1176.375</v>
      </c>
      <c r="I815" t="n">
        <v>1228.6902</v>
      </c>
      <c r="J815" t="n">
        <v>10438.6735</v>
      </c>
      <c r="K815" t="n">
        <v>2018</v>
      </c>
      <c r="L815" t="n">
        <v>2030</v>
      </c>
      <c r="M815" t="n">
        <v>0.3671</v>
      </c>
      <c r="N815" t="n">
        <v>0.1475</v>
      </c>
      <c r="O815" t="n">
        <v>2018</v>
      </c>
      <c r="P815" t="n">
        <v>2040</v>
      </c>
      <c r="Q815" t="n">
        <v>0.3112</v>
      </c>
      <c r="R815" t="n">
        <v>702.4188</v>
      </c>
      <c r="S815" t="n">
        <v>0.0010803</v>
      </c>
      <c r="T815" t="n">
        <v>0.00078946</v>
      </c>
    </row>
    <row r="816">
      <c r="A816" t="inlineStr">
        <is>
          <t>SUP-0082</t>
        </is>
      </c>
      <c r="B816" t="inlineStr">
        <is>
          <t>Packaging Supplier 082</t>
        </is>
      </c>
      <c r="C816" t="inlineStr">
        <is>
          <t>Packaging</t>
        </is>
      </c>
      <c r="D816" t="n">
        <v>2019</v>
      </c>
      <c r="E816" t="n">
        <v>19868951.02</v>
      </c>
      <c r="F816" t="n">
        <v>144401795.46</v>
      </c>
      <c r="G816" t="n">
        <v>14052.513</v>
      </c>
      <c r="H816" t="n">
        <v>2700.4235</v>
      </c>
      <c r="I816" t="n">
        <v>3630.7723</v>
      </c>
      <c r="J816" t="inlineStr"/>
      <c r="K816" t="n">
        <v>2018</v>
      </c>
      <c r="L816" t="n">
        <v>2030</v>
      </c>
      <c r="M816" t="n">
        <v>0.3671</v>
      </c>
      <c r="N816" t="n">
        <v>0.1475</v>
      </c>
      <c r="O816" t="n">
        <v>2018</v>
      </c>
      <c r="P816" t="n">
        <v>2040</v>
      </c>
      <c r="Q816" t="n">
        <v>0.3112</v>
      </c>
      <c r="R816" t="n">
        <v>702.4188</v>
      </c>
      <c r="S816" t="n">
        <v>0.0010803</v>
      </c>
      <c r="T816" t="n">
        <v>0.00078946</v>
      </c>
    </row>
    <row r="817">
      <c r="A817" t="inlineStr">
        <is>
          <t>SUP-0082</t>
        </is>
      </c>
      <c r="B817" t="inlineStr">
        <is>
          <t>Packaging Supplier 082</t>
        </is>
      </c>
      <c r="C817" t="inlineStr">
        <is>
          <t>Packaging</t>
        </is>
      </c>
      <c r="D817" t="n">
        <v>2020</v>
      </c>
      <c r="E817" t="n">
        <v>16414298.71</v>
      </c>
      <c r="F817" t="n">
        <v>138387582.55</v>
      </c>
      <c r="G817" t="n">
        <v>10947.855</v>
      </c>
      <c r="H817" t="n">
        <v>1114.7129</v>
      </c>
      <c r="I817" t="inlineStr"/>
      <c r="J817" t="n">
        <v>10055.2281</v>
      </c>
      <c r="K817" t="n">
        <v>2018</v>
      </c>
      <c r="L817" t="n">
        <v>2030</v>
      </c>
      <c r="M817" t="n">
        <v>0.3671</v>
      </c>
      <c r="N817" t="n">
        <v>0.1475</v>
      </c>
      <c r="O817" t="n">
        <v>2018</v>
      </c>
      <c r="P817" t="n">
        <v>2040</v>
      </c>
      <c r="Q817" t="n">
        <v>0.3112</v>
      </c>
      <c r="R817" t="n">
        <v>702.4188</v>
      </c>
      <c r="S817" t="n">
        <v>0.0010803</v>
      </c>
      <c r="T817" t="n">
        <v>0.00078946</v>
      </c>
    </row>
    <row r="818">
      <c r="A818" t="inlineStr">
        <is>
          <t>SUP-0082</t>
        </is>
      </c>
      <c r="B818" t="inlineStr">
        <is>
          <t>Packaging Supplier 082</t>
        </is>
      </c>
      <c r="C818" t="inlineStr">
        <is>
          <t>Packaging</t>
        </is>
      </c>
      <c r="D818" t="n">
        <v>2021</v>
      </c>
      <c r="E818" t="n">
        <v>18854732.03</v>
      </c>
      <c r="F818" t="n">
        <v>164602893.14</v>
      </c>
      <c r="G818" t="inlineStr"/>
      <c r="H818" t="inlineStr"/>
      <c r="I818" t="n">
        <v>1913.2617</v>
      </c>
      <c r="J818" t="n">
        <v>11173.1739</v>
      </c>
      <c r="K818" t="n">
        <v>2018</v>
      </c>
      <c r="L818" t="n">
        <v>2030</v>
      </c>
      <c r="M818" t="n">
        <v>0.3671</v>
      </c>
      <c r="N818" t="n">
        <v>0.1475</v>
      </c>
      <c r="O818" t="n">
        <v>2018</v>
      </c>
      <c r="P818" t="n">
        <v>2040</v>
      </c>
      <c r="Q818" t="n">
        <v>0.3112</v>
      </c>
      <c r="R818" t="n">
        <v>702.4188</v>
      </c>
      <c r="S818" t="n">
        <v>0.0010803</v>
      </c>
      <c r="T818" t="n">
        <v>0.00078946</v>
      </c>
    </row>
    <row r="819">
      <c r="A819" t="inlineStr">
        <is>
          <t>SUP-0082</t>
        </is>
      </c>
      <c r="B819" t="inlineStr">
        <is>
          <t>Packaging Supplier 082</t>
        </is>
      </c>
      <c r="C819" t="inlineStr">
        <is>
          <t>Packaging</t>
        </is>
      </c>
      <c r="D819" t="n">
        <v>2022</v>
      </c>
      <c r="E819" t="n">
        <v>19919539.37</v>
      </c>
      <c r="F819" t="n">
        <v>134862547.17</v>
      </c>
      <c r="G819" t="n">
        <v>12474.4186</v>
      </c>
      <c r="H819" t="n">
        <v>3162.6073</v>
      </c>
      <c r="I819" t="n">
        <v>2725.879</v>
      </c>
      <c r="J819" t="inlineStr"/>
      <c r="K819" t="n">
        <v>2018</v>
      </c>
      <c r="L819" t="n">
        <v>2030</v>
      </c>
      <c r="M819" t="n">
        <v>0.3671</v>
      </c>
      <c r="N819" t="n">
        <v>0.1475</v>
      </c>
      <c r="O819" t="n">
        <v>2018</v>
      </c>
      <c r="P819" t="n">
        <v>2040</v>
      </c>
      <c r="Q819" t="n">
        <v>0.3112</v>
      </c>
      <c r="R819" t="n">
        <v>702.4188</v>
      </c>
      <c r="S819" t="n">
        <v>0.0010803</v>
      </c>
      <c r="T819" t="n">
        <v>0.00078946</v>
      </c>
    </row>
    <row r="820">
      <c r="A820" t="inlineStr">
        <is>
          <t>SUP-0082</t>
        </is>
      </c>
      <c r="B820" t="inlineStr">
        <is>
          <t>Packaging Supplier 082</t>
        </is>
      </c>
      <c r="C820" t="inlineStr">
        <is>
          <t>Packaging</t>
        </is>
      </c>
      <c r="D820" t="n">
        <v>2023</v>
      </c>
      <c r="E820" t="n">
        <v>20194591.77</v>
      </c>
      <c r="F820" t="n">
        <v>153560873.04</v>
      </c>
      <c r="G820" t="inlineStr"/>
      <c r="H820" t="n">
        <v>1608.8729</v>
      </c>
      <c r="I820" t="inlineStr"/>
      <c r="J820" t="n">
        <v>7651.6628</v>
      </c>
      <c r="K820" t="n">
        <v>2018</v>
      </c>
      <c r="L820" t="n">
        <v>2030</v>
      </c>
      <c r="M820" t="n">
        <v>0.3671</v>
      </c>
      <c r="N820" t="n">
        <v>0.1475</v>
      </c>
      <c r="O820" t="n">
        <v>2018</v>
      </c>
      <c r="P820" t="n">
        <v>2040</v>
      </c>
      <c r="Q820" t="n">
        <v>0.3112</v>
      </c>
      <c r="R820" t="n">
        <v>702.4188</v>
      </c>
      <c r="S820" t="n">
        <v>0.0010803</v>
      </c>
      <c r="T820" t="n">
        <v>0.00078946</v>
      </c>
    </row>
    <row r="821">
      <c r="A821" t="inlineStr">
        <is>
          <t>SUP-0082</t>
        </is>
      </c>
      <c r="B821" t="inlineStr">
        <is>
          <t>Packaging Supplier 082</t>
        </is>
      </c>
      <c r="C821" t="inlineStr">
        <is>
          <t>Packaging</t>
        </is>
      </c>
      <c r="D821" t="n">
        <v>2024</v>
      </c>
      <c r="E821" t="n">
        <v>19662671.02</v>
      </c>
      <c r="F821" t="n">
        <v>127700101.15</v>
      </c>
      <c r="G821" t="n">
        <v>11257.113</v>
      </c>
      <c r="H821" t="n">
        <v>1499.2803</v>
      </c>
      <c r="I821" t="n">
        <v>2545.6284</v>
      </c>
      <c r="J821" t="inlineStr"/>
      <c r="K821" t="n">
        <v>2018</v>
      </c>
      <c r="L821" t="n">
        <v>2030</v>
      </c>
      <c r="M821" t="n">
        <v>0.3671</v>
      </c>
      <c r="N821" t="n">
        <v>0.1475</v>
      </c>
      <c r="O821" t="n">
        <v>2018</v>
      </c>
      <c r="P821" t="n">
        <v>2040</v>
      </c>
      <c r="Q821" t="n">
        <v>0.3112</v>
      </c>
      <c r="R821" t="n">
        <v>702.4188</v>
      </c>
      <c r="S821" t="n">
        <v>0.0010803</v>
      </c>
      <c r="T821" t="n">
        <v>0.00078946</v>
      </c>
    </row>
    <row r="822">
      <c r="A822" t="inlineStr">
        <is>
          <t>SUP-0083</t>
        </is>
      </c>
      <c r="B822" t="inlineStr">
        <is>
          <t>Logistics Supplier 083</t>
        </is>
      </c>
      <c r="C822" t="inlineStr">
        <is>
          <t>Logistics</t>
        </is>
      </c>
      <c r="D822" t="n">
        <v>2015</v>
      </c>
      <c r="E822" t="n">
        <v>17179321.2</v>
      </c>
      <c r="F822" t="n">
        <v>73957368.29000001</v>
      </c>
      <c r="G822" t="inlineStr"/>
      <c r="H822" t="inlineStr"/>
      <c r="I822" t="inlineStr"/>
      <c r="J822" t="n">
        <v>2412.3788</v>
      </c>
      <c r="K822" t="inlineStr"/>
      <c r="L822" t="inlineStr"/>
      <c r="M822" t="inlineStr"/>
      <c r="N822" t="inlineStr"/>
      <c r="O822" t="n">
        <v>2019</v>
      </c>
      <c r="P822" t="n">
        <v>2040</v>
      </c>
      <c r="Q822" t="n">
        <v>0.4616</v>
      </c>
      <c r="R822" t="n">
        <v>591.6386</v>
      </c>
      <c r="S822" t="n">
        <v>0.00022349</v>
      </c>
      <c r="T822" t="n">
        <v>0.00047787</v>
      </c>
    </row>
    <row r="823">
      <c r="A823" t="inlineStr">
        <is>
          <t>SUP-0083</t>
        </is>
      </c>
      <c r="B823" t="inlineStr">
        <is>
          <t>Logistics Supplier 083</t>
        </is>
      </c>
      <c r="C823" t="inlineStr">
        <is>
          <t>Logistics</t>
        </is>
      </c>
      <c r="D823" t="n">
        <v>2016</v>
      </c>
      <c r="E823" t="n">
        <v>15082523.34</v>
      </c>
      <c r="F823" t="n">
        <v>82432110.38</v>
      </c>
      <c r="G823" t="n">
        <v>3958.0919</v>
      </c>
      <c r="H823" t="inlineStr"/>
      <c r="I823" t="n">
        <v>436.6428</v>
      </c>
      <c r="J823" t="n">
        <v>2748.2779</v>
      </c>
      <c r="K823" t="inlineStr"/>
      <c r="L823" t="inlineStr"/>
      <c r="M823" t="inlineStr"/>
      <c r="N823" t="inlineStr"/>
      <c r="O823" t="n">
        <v>2019</v>
      </c>
      <c r="P823" t="n">
        <v>2040</v>
      </c>
      <c r="Q823" t="n">
        <v>0.4616</v>
      </c>
      <c r="R823" t="n">
        <v>591.6386</v>
      </c>
      <c r="S823" t="n">
        <v>0.00022349</v>
      </c>
      <c r="T823" t="n">
        <v>0.00047787</v>
      </c>
    </row>
    <row r="824">
      <c r="A824" t="inlineStr">
        <is>
          <t>SUP-0083</t>
        </is>
      </c>
      <c r="B824" t="inlineStr">
        <is>
          <t>Logistics Supplier 083</t>
        </is>
      </c>
      <c r="C824" t="inlineStr">
        <is>
          <t>Logistics</t>
        </is>
      </c>
      <c r="D824" t="n">
        <v>2017</v>
      </c>
      <c r="E824" t="n">
        <v>16692946.92</v>
      </c>
      <c r="F824" t="n">
        <v>92691911.64</v>
      </c>
      <c r="G824" t="n">
        <v>3769.006</v>
      </c>
      <c r="H824" t="n">
        <v>651.6865</v>
      </c>
      <c r="I824" t="n">
        <v>332.7409</v>
      </c>
      <c r="J824" t="n">
        <v>2885.2621</v>
      </c>
      <c r="K824" t="inlineStr"/>
      <c r="L824" t="inlineStr"/>
      <c r="M824" t="inlineStr"/>
      <c r="N824" t="inlineStr"/>
      <c r="O824" t="n">
        <v>2019</v>
      </c>
      <c r="P824" t="n">
        <v>2040</v>
      </c>
      <c r="Q824" t="n">
        <v>0.4616</v>
      </c>
      <c r="R824" t="n">
        <v>591.6386</v>
      </c>
      <c r="S824" t="n">
        <v>0.00022349</v>
      </c>
      <c r="T824" t="n">
        <v>0.00047787</v>
      </c>
    </row>
    <row r="825">
      <c r="A825" t="inlineStr">
        <is>
          <t>SUP-0083</t>
        </is>
      </c>
      <c r="B825" t="inlineStr">
        <is>
          <t>Logistics Supplier 083</t>
        </is>
      </c>
      <c r="C825" t="inlineStr">
        <is>
          <t>Logistics</t>
        </is>
      </c>
      <c r="D825" t="n">
        <v>2018</v>
      </c>
      <c r="E825" t="n">
        <v>17204155.17</v>
      </c>
      <c r="F825" t="n">
        <v>116285925.47</v>
      </c>
      <c r="G825" t="n">
        <v>3884.6537</v>
      </c>
      <c r="H825" t="n">
        <v>691.5873</v>
      </c>
      <c r="I825" t="inlineStr"/>
      <c r="J825" t="inlineStr"/>
      <c r="K825" t="inlineStr"/>
      <c r="L825" t="inlineStr"/>
      <c r="M825" t="inlineStr"/>
      <c r="N825" t="inlineStr"/>
      <c r="O825" t="n">
        <v>2019</v>
      </c>
      <c r="P825" t="n">
        <v>2040</v>
      </c>
      <c r="Q825" t="n">
        <v>0.4616</v>
      </c>
      <c r="R825" t="n">
        <v>591.6386</v>
      </c>
      <c r="S825" t="n">
        <v>0.00022349</v>
      </c>
      <c r="T825" t="n">
        <v>0.00047787</v>
      </c>
    </row>
    <row r="826">
      <c r="A826" t="inlineStr">
        <is>
          <t>SUP-0083</t>
        </is>
      </c>
      <c r="B826" t="inlineStr">
        <is>
          <t>Logistics Supplier 083</t>
        </is>
      </c>
      <c r="C826" t="inlineStr">
        <is>
          <t>Logistics</t>
        </is>
      </c>
      <c r="D826" t="n">
        <v>2019</v>
      </c>
      <c r="E826" t="n">
        <v>16891709.77</v>
      </c>
      <c r="F826" t="n">
        <v>94985563.19</v>
      </c>
      <c r="G826" t="inlineStr"/>
      <c r="H826" t="n">
        <v>512.0709000000001</v>
      </c>
      <c r="I826" t="n">
        <v>403.5178</v>
      </c>
      <c r="J826" t="inlineStr"/>
      <c r="K826" t="inlineStr"/>
      <c r="L826" t="inlineStr"/>
      <c r="M826" t="inlineStr"/>
      <c r="N826" t="inlineStr"/>
      <c r="O826" t="n">
        <v>2019</v>
      </c>
      <c r="P826" t="n">
        <v>2040</v>
      </c>
      <c r="Q826" t="n">
        <v>0.4616</v>
      </c>
      <c r="R826" t="n">
        <v>591.6386</v>
      </c>
      <c r="S826" t="n">
        <v>0.00022349</v>
      </c>
      <c r="T826" t="n">
        <v>0.00047787</v>
      </c>
    </row>
    <row r="827">
      <c r="A827" t="inlineStr">
        <is>
          <t>SUP-0083</t>
        </is>
      </c>
      <c r="B827" t="inlineStr">
        <is>
          <t>Logistics Supplier 083</t>
        </is>
      </c>
      <c r="C827" t="inlineStr">
        <is>
          <t>Logistics</t>
        </is>
      </c>
      <c r="D827" t="n">
        <v>2020</v>
      </c>
      <c r="E827" t="n">
        <v>21290443.66</v>
      </c>
      <c r="F827" t="n">
        <v>112511920.18</v>
      </c>
      <c r="G827" t="n">
        <v>4768.041</v>
      </c>
      <c r="H827" t="inlineStr"/>
      <c r="I827" t="n">
        <v>534.0773</v>
      </c>
      <c r="J827" t="n">
        <v>3064.9603</v>
      </c>
      <c r="K827" t="inlineStr"/>
      <c r="L827" t="inlineStr"/>
      <c r="M827" t="inlineStr"/>
      <c r="N827" t="inlineStr"/>
      <c r="O827" t="n">
        <v>2019</v>
      </c>
      <c r="P827" t="n">
        <v>2040</v>
      </c>
      <c r="Q827" t="n">
        <v>0.4616</v>
      </c>
      <c r="R827" t="n">
        <v>591.6386</v>
      </c>
      <c r="S827" t="n">
        <v>0.00022349</v>
      </c>
      <c r="T827" t="n">
        <v>0.00047787</v>
      </c>
    </row>
    <row r="828">
      <c r="A828" t="inlineStr">
        <is>
          <t>SUP-0083</t>
        </is>
      </c>
      <c r="B828" t="inlineStr">
        <is>
          <t>Logistics Supplier 083</t>
        </is>
      </c>
      <c r="C828" t="inlineStr">
        <is>
          <t>Logistics</t>
        </is>
      </c>
      <c r="D828" t="n">
        <v>2021</v>
      </c>
      <c r="E828" t="n">
        <v>21810321.82</v>
      </c>
      <c r="F828" t="n">
        <v>89390783.65000001</v>
      </c>
      <c r="G828" t="n">
        <v>3768.3721</v>
      </c>
      <c r="H828" t="n">
        <v>986.5445</v>
      </c>
      <c r="I828" t="n">
        <v>352.6138</v>
      </c>
      <c r="J828" t="inlineStr"/>
      <c r="K828" t="inlineStr"/>
      <c r="L828" t="inlineStr"/>
      <c r="M828" t="inlineStr"/>
      <c r="N828" t="inlineStr"/>
      <c r="O828" t="n">
        <v>2019</v>
      </c>
      <c r="P828" t="n">
        <v>2040</v>
      </c>
      <c r="Q828" t="n">
        <v>0.4616</v>
      </c>
      <c r="R828" t="n">
        <v>591.6386</v>
      </c>
      <c r="S828" t="n">
        <v>0.00022349</v>
      </c>
      <c r="T828" t="n">
        <v>0.00047787</v>
      </c>
    </row>
    <row r="829">
      <c r="A829" t="inlineStr">
        <is>
          <t>SUP-0083</t>
        </is>
      </c>
      <c r="B829" t="inlineStr">
        <is>
          <t>Logistics Supplier 083</t>
        </is>
      </c>
      <c r="C829" t="inlineStr">
        <is>
          <t>Logistics</t>
        </is>
      </c>
      <c r="D829" t="n">
        <v>2022</v>
      </c>
      <c r="E829" t="n">
        <v>25689465.83</v>
      </c>
      <c r="F829" t="n">
        <v>146350686.32</v>
      </c>
      <c r="G829" t="n">
        <v>3583.1958</v>
      </c>
      <c r="H829" t="n">
        <v>721.5671</v>
      </c>
      <c r="I829" t="n">
        <v>258.5652</v>
      </c>
      <c r="J829" t="n">
        <v>2294.2067</v>
      </c>
      <c r="K829" t="inlineStr"/>
      <c r="L829" t="inlineStr"/>
      <c r="M829" t="inlineStr"/>
      <c r="N829" t="inlineStr"/>
      <c r="O829" t="n">
        <v>2019</v>
      </c>
      <c r="P829" t="n">
        <v>2040</v>
      </c>
      <c r="Q829" t="n">
        <v>0.4616</v>
      </c>
      <c r="R829" t="n">
        <v>591.6386</v>
      </c>
      <c r="S829" t="n">
        <v>0.00022349</v>
      </c>
      <c r="T829" t="n">
        <v>0.00047787</v>
      </c>
    </row>
    <row r="830">
      <c r="A830" t="inlineStr">
        <is>
          <t>SUP-0083</t>
        </is>
      </c>
      <c r="B830" t="inlineStr">
        <is>
          <t>Logistics Supplier 083</t>
        </is>
      </c>
      <c r="C830" t="inlineStr">
        <is>
          <t>Logistics</t>
        </is>
      </c>
      <c r="D830" t="n">
        <v>2023</v>
      </c>
      <c r="E830" t="n">
        <v>20233321.14</v>
      </c>
      <c r="F830" t="n">
        <v>117166478.07</v>
      </c>
      <c r="G830" t="inlineStr"/>
      <c r="H830" t="n">
        <v>503.1997</v>
      </c>
      <c r="I830" t="n">
        <v>557.4312</v>
      </c>
      <c r="J830" t="inlineStr"/>
      <c r="K830" t="inlineStr"/>
      <c r="L830" t="inlineStr"/>
      <c r="M830" t="inlineStr"/>
      <c r="N830" t="inlineStr"/>
      <c r="O830" t="n">
        <v>2019</v>
      </c>
      <c r="P830" t="n">
        <v>2040</v>
      </c>
      <c r="Q830" t="n">
        <v>0.4616</v>
      </c>
      <c r="R830" t="n">
        <v>591.6386</v>
      </c>
      <c r="S830" t="n">
        <v>0.00022349</v>
      </c>
      <c r="T830" t="n">
        <v>0.00047787</v>
      </c>
    </row>
    <row r="831">
      <c r="A831" t="inlineStr">
        <is>
          <t>SUP-0083</t>
        </is>
      </c>
      <c r="B831" t="inlineStr">
        <is>
          <t>Logistics Supplier 083</t>
        </is>
      </c>
      <c r="C831" t="inlineStr">
        <is>
          <t>Logistics</t>
        </is>
      </c>
      <c r="D831" t="n">
        <v>2024</v>
      </c>
      <c r="E831" t="n">
        <v>25887438.76</v>
      </c>
      <c r="F831" t="n">
        <v>104255540.52</v>
      </c>
      <c r="G831" t="n">
        <v>4022.9771</v>
      </c>
      <c r="H831" t="n">
        <v>347.7898</v>
      </c>
      <c r="I831" t="n">
        <v>519.3823</v>
      </c>
      <c r="J831" t="n">
        <v>3297.3892</v>
      </c>
      <c r="K831" t="inlineStr"/>
      <c r="L831" t="inlineStr"/>
      <c r="M831" t="inlineStr"/>
      <c r="N831" t="inlineStr"/>
      <c r="O831" t="n">
        <v>2019</v>
      </c>
      <c r="P831" t="n">
        <v>2040</v>
      </c>
      <c r="Q831" t="n">
        <v>0.4616</v>
      </c>
      <c r="R831" t="n">
        <v>591.6386</v>
      </c>
      <c r="S831" t="n">
        <v>0.00022349</v>
      </c>
      <c r="T831" t="n">
        <v>0.00047787</v>
      </c>
    </row>
    <row r="832">
      <c r="A832" t="inlineStr">
        <is>
          <t>SUP-0084</t>
        </is>
      </c>
      <c r="B832" t="inlineStr">
        <is>
          <t>Chemicals Supplier 084</t>
        </is>
      </c>
      <c r="C832" t="inlineStr">
        <is>
          <t>Chemicals</t>
        </is>
      </c>
      <c r="D832" t="n">
        <v>2015</v>
      </c>
      <c r="E832" t="n">
        <v>13571665.54</v>
      </c>
      <c r="F832" t="n">
        <v>39180026.76</v>
      </c>
      <c r="G832" t="inlineStr"/>
      <c r="H832" t="n">
        <v>2306.4961</v>
      </c>
      <c r="I832" t="n">
        <v>2674.3697</v>
      </c>
      <c r="J832" t="n">
        <v>12241.5643</v>
      </c>
      <c r="K832" t="inlineStr"/>
      <c r="L832" t="inlineStr"/>
      <c r="M832" t="inlineStr"/>
      <c r="N832" t="inlineStr"/>
      <c r="O832" t="n">
        <v>2019</v>
      </c>
      <c r="P832" t="n">
        <v>2035</v>
      </c>
      <c r="Q832" t="n">
        <v>0.5229</v>
      </c>
      <c r="R832" t="n">
        <v>506.3191</v>
      </c>
      <c r="S832" t="n">
        <v>0.00100149</v>
      </c>
      <c r="T832" t="n">
        <v>0.00047124</v>
      </c>
    </row>
    <row r="833">
      <c r="A833" t="inlineStr">
        <is>
          <t>SUP-0084</t>
        </is>
      </c>
      <c r="B833" t="inlineStr">
        <is>
          <t>Chemicals Supplier 084</t>
        </is>
      </c>
      <c r="C833" t="inlineStr">
        <is>
          <t>Chemicals</t>
        </is>
      </c>
      <c r="D833" t="n">
        <v>2016</v>
      </c>
      <c r="E833" t="n">
        <v>18243386.9</v>
      </c>
      <c r="F833" t="n">
        <v>40309435.15</v>
      </c>
      <c r="G833" t="n">
        <v>24131.2624</v>
      </c>
      <c r="H833" t="inlineStr"/>
      <c r="I833" t="inlineStr"/>
      <c r="J833" t="n">
        <v>11836.7155</v>
      </c>
      <c r="K833" t="inlineStr"/>
      <c r="L833" t="inlineStr"/>
      <c r="M833" t="inlineStr"/>
      <c r="N833" t="inlineStr"/>
      <c r="O833" t="n">
        <v>2019</v>
      </c>
      <c r="P833" t="n">
        <v>2035</v>
      </c>
      <c r="Q833" t="n">
        <v>0.5229</v>
      </c>
      <c r="R833" t="n">
        <v>506.3191</v>
      </c>
      <c r="S833" t="n">
        <v>0.00100149</v>
      </c>
      <c r="T833" t="n">
        <v>0.00047124</v>
      </c>
    </row>
    <row r="834">
      <c r="A834" t="inlineStr">
        <is>
          <t>SUP-0084</t>
        </is>
      </c>
      <c r="B834" t="inlineStr">
        <is>
          <t>Chemicals Supplier 084</t>
        </is>
      </c>
      <c r="C834" t="inlineStr">
        <is>
          <t>Chemicals</t>
        </is>
      </c>
      <c r="D834" t="n">
        <v>2017</v>
      </c>
      <c r="E834" t="n">
        <v>17922956.57</v>
      </c>
      <c r="F834" t="n">
        <v>36843849.63</v>
      </c>
      <c r="G834" t="n">
        <v>22650.0699</v>
      </c>
      <c r="H834" t="n">
        <v>6546.6012</v>
      </c>
      <c r="I834" t="n">
        <v>4839.9588</v>
      </c>
      <c r="J834" t="n">
        <v>12105.379</v>
      </c>
      <c r="K834" t="inlineStr"/>
      <c r="L834" t="inlineStr"/>
      <c r="M834" t="inlineStr"/>
      <c r="N834" t="inlineStr"/>
      <c r="O834" t="n">
        <v>2019</v>
      </c>
      <c r="P834" t="n">
        <v>2035</v>
      </c>
      <c r="Q834" t="n">
        <v>0.5229</v>
      </c>
      <c r="R834" t="n">
        <v>506.3191</v>
      </c>
      <c r="S834" t="n">
        <v>0.00100149</v>
      </c>
      <c r="T834" t="n">
        <v>0.00047124</v>
      </c>
    </row>
    <row r="835">
      <c r="A835" t="inlineStr">
        <is>
          <t>SUP-0084</t>
        </is>
      </c>
      <c r="B835" t="inlineStr">
        <is>
          <t>Chemicals Supplier 084</t>
        </is>
      </c>
      <c r="C835" t="inlineStr">
        <is>
          <t>Chemicals</t>
        </is>
      </c>
      <c r="D835" t="n">
        <v>2018</v>
      </c>
      <c r="E835" t="n">
        <v>17032570.05</v>
      </c>
      <c r="F835" t="n">
        <v>38415008.51</v>
      </c>
      <c r="G835" t="inlineStr"/>
      <c r="H835" t="inlineStr"/>
      <c r="I835" t="n">
        <v>5323.6485</v>
      </c>
      <c r="J835" t="inlineStr"/>
      <c r="K835" t="inlineStr"/>
      <c r="L835" t="inlineStr"/>
      <c r="M835" t="inlineStr"/>
      <c r="N835" t="inlineStr"/>
      <c r="O835" t="n">
        <v>2019</v>
      </c>
      <c r="P835" t="n">
        <v>2035</v>
      </c>
      <c r="Q835" t="n">
        <v>0.5229</v>
      </c>
      <c r="R835" t="n">
        <v>506.3191</v>
      </c>
      <c r="S835" t="n">
        <v>0.00100149</v>
      </c>
      <c r="T835" t="n">
        <v>0.00047124</v>
      </c>
    </row>
    <row r="836">
      <c r="A836" t="inlineStr">
        <is>
          <t>SUP-0084</t>
        </is>
      </c>
      <c r="B836" t="inlineStr">
        <is>
          <t>Chemicals Supplier 084</t>
        </is>
      </c>
      <c r="C836" t="inlineStr">
        <is>
          <t>Chemicals</t>
        </is>
      </c>
      <c r="D836" t="n">
        <v>2019</v>
      </c>
      <c r="E836" t="n">
        <v>18421797.53</v>
      </c>
      <c r="F836" t="n">
        <v>38906565.24</v>
      </c>
      <c r="G836" t="n">
        <v>20915.4893</v>
      </c>
      <c r="H836" t="n">
        <v>2250.4542</v>
      </c>
      <c r="I836" t="n">
        <v>2149.4533</v>
      </c>
      <c r="J836" t="inlineStr"/>
      <c r="K836" t="inlineStr"/>
      <c r="L836" t="inlineStr"/>
      <c r="M836" t="inlineStr"/>
      <c r="N836" t="inlineStr"/>
      <c r="O836" t="n">
        <v>2019</v>
      </c>
      <c r="P836" t="n">
        <v>2035</v>
      </c>
      <c r="Q836" t="n">
        <v>0.5229</v>
      </c>
      <c r="R836" t="n">
        <v>506.3191</v>
      </c>
      <c r="S836" t="n">
        <v>0.00100149</v>
      </c>
      <c r="T836" t="n">
        <v>0.00047124</v>
      </c>
    </row>
    <row r="837">
      <c r="A837" t="inlineStr">
        <is>
          <t>SUP-0084</t>
        </is>
      </c>
      <c r="B837" t="inlineStr">
        <is>
          <t>Chemicals Supplier 084</t>
        </is>
      </c>
      <c r="C837" t="inlineStr">
        <is>
          <t>Chemicals</t>
        </is>
      </c>
      <c r="D837" t="n">
        <v>2020</v>
      </c>
      <c r="E837" t="n">
        <v>18840261.2</v>
      </c>
      <c r="F837" t="n">
        <v>27440285.21</v>
      </c>
      <c r="G837" t="n">
        <v>28747.5176</v>
      </c>
      <c r="H837" t="n">
        <v>5117.3896</v>
      </c>
      <c r="I837" t="n">
        <v>2911.5375</v>
      </c>
      <c r="J837" t="n">
        <v>21969.4327</v>
      </c>
      <c r="K837" t="inlineStr"/>
      <c r="L837" t="inlineStr"/>
      <c r="M837" t="inlineStr"/>
      <c r="N837" t="inlineStr"/>
      <c r="O837" t="n">
        <v>2019</v>
      </c>
      <c r="P837" t="n">
        <v>2035</v>
      </c>
      <c r="Q837" t="n">
        <v>0.5229</v>
      </c>
      <c r="R837" t="n">
        <v>506.3191</v>
      </c>
      <c r="S837" t="n">
        <v>0.00100149</v>
      </c>
      <c r="T837" t="n">
        <v>0.00047124</v>
      </c>
    </row>
    <row r="838">
      <c r="A838" t="inlineStr">
        <is>
          <t>SUP-0084</t>
        </is>
      </c>
      <c r="B838" t="inlineStr">
        <is>
          <t>Chemicals Supplier 084</t>
        </is>
      </c>
      <c r="C838" t="inlineStr">
        <is>
          <t>Chemicals</t>
        </is>
      </c>
      <c r="D838" t="n">
        <v>2021</v>
      </c>
      <c r="E838" t="n">
        <v>17268731.86</v>
      </c>
      <c r="F838" t="n">
        <v>39332225.14</v>
      </c>
      <c r="G838" t="inlineStr"/>
      <c r="H838" t="n">
        <v>5613.5228</v>
      </c>
      <c r="I838" t="n">
        <v>4572.4005</v>
      </c>
      <c r="J838" t="n">
        <v>10959.2626</v>
      </c>
      <c r="K838" t="inlineStr"/>
      <c r="L838" t="inlineStr"/>
      <c r="M838" t="inlineStr"/>
      <c r="N838" t="inlineStr"/>
      <c r="O838" t="n">
        <v>2019</v>
      </c>
      <c r="P838" t="n">
        <v>2035</v>
      </c>
      <c r="Q838" t="n">
        <v>0.5229</v>
      </c>
      <c r="R838" t="n">
        <v>506.3191</v>
      </c>
      <c r="S838" t="n">
        <v>0.00100149</v>
      </c>
      <c r="T838" t="n">
        <v>0.00047124</v>
      </c>
    </row>
    <row r="839">
      <c r="A839" t="inlineStr">
        <is>
          <t>SUP-0084</t>
        </is>
      </c>
      <c r="B839" t="inlineStr">
        <is>
          <t>Chemicals Supplier 084</t>
        </is>
      </c>
      <c r="C839" t="inlineStr">
        <is>
          <t>Chemicals</t>
        </is>
      </c>
      <c r="D839" t="n">
        <v>2022</v>
      </c>
      <c r="E839" t="n">
        <v>16262038.13</v>
      </c>
      <c r="F839" t="n">
        <v>40139800.43</v>
      </c>
      <c r="G839" t="n">
        <v>18991.5877</v>
      </c>
      <c r="H839" t="n">
        <v>2386.4877</v>
      </c>
      <c r="I839" t="n">
        <v>2556.6666</v>
      </c>
      <c r="J839" t="inlineStr"/>
      <c r="K839" t="inlineStr"/>
      <c r="L839" t="inlineStr"/>
      <c r="M839" t="inlineStr"/>
      <c r="N839" t="inlineStr"/>
      <c r="O839" t="n">
        <v>2019</v>
      </c>
      <c r="P839" t="n">
        <v>2035</v>
      </c>
      <c r="Q839" t="n">
        <v>0.5229</v>
      </c>
      <c r="R839" t="n">
        <v>506.3191</v>
      </c>
      <c r="S839" t="n">
        <v>0.00100149</v>
      </c>
      <c r="T839" t="n">
        <v>0.00047124</v>
      </c>
    </row>
    <row r="840">
      <c r="A840" t="inlineStr">
        <is>
          <t>SUP-0084</t>
        </is>
      </c>
      <c r="B840" t="inlineStr">
        <is>
          <t>Chemicals Supplier 084</t>
        </is>
      </c>
      <c r="C840" t="inlineStr">
        <is>
          <t>Chemicals</t>
        </is>
      </c>
      <c r="D840" t="n">
        <v>2023</v>
      </c>
      <c r="E840" t="n">
        <v>18557901.2</v>
      </c>
      <c r="F840" t="n">
        <v>52769508.63</v>
      </c>
      <c r="G840" t="n">
        <v>24430.8272</v>
      </c>
      <c r="H840" t="n">
        <v>7251.9908</v>
      </c>
      <c r="I840" t="n">
        <v>4412.0373</v>
      </c>
      <c r="J840" t="inlineStr"/>
      <c r="K840" t="inlineStr"/>
      <c r="L840" t="inlineStr"/>
      <c r="M840" t="inlineStr"/>
      <c r="N840" t="inlineStr"/>
      <c r="O840" t="n">
        <v>2019</v>
      </c>
      <c r="P840" t="n">
        <v>2035</v>
      </c>
      <c r="Q840" t="n">
        <v>0.5229</v>
      </c>
      <c r="R840" t="n">
        <v>506.3191</v>
      </c>
      <c r="S840" t="n">
        <v>0.00100149</v>
      </c>
      <c r="T840" t="n">
        <v>0.00047124</v>
      </c>
    </row>
    <row r="841">
      <c r="A841" t="inlineStr">
        <is>
          <t>SUP-0084</t>
        </is>
      </c>
      <c r="B841" t="inlineStr">
        <is>
          <t>Chemicals Supplier 084</t>
        </is>
      </c>
      <c r="C841" t="inlineStr">
        <is>
          <t>Chemicals</t>
        </is>
      </c>
      <c r="D841" t="n">
        <v>2024</v>
      </c>
      <c r="E841" t="n">
        <v>17673357.44</v>
      </c>
      <c r="F841" t="n">
        <v>49317593</v>
      </c>
      <c r="G841" t="inlineStr"/>
      <c r="H841" t="n">
        <v>3375.4867</v>
      </c>
      <c r="I841" t="n">
        <v>4511.2423</v>
      </c>
      <c r="J841" t="n">
        <v>15490.571</v>
      </c>
      <c r="K841" t="inlineStr"/>
      <c r="L841" t="inlineStr"/>
      <c r="M841" t="inlineStr"/>
      <c r="N841" t="inlineStr"/>
      <c r="O841" t="n">
        <v>2019</v>
      </c>
      <c r="P841" t="n">
        <v>2035</v>
      </c>
      <c r="Q841" t="n">
        <v>0.5229</v>
      </c>
      <c r="R841" t="n">
        <v>506.3191</v>
      </c>
      <c r="S841" t="n">
        <v>0.00100149</v>
      </c>
      <c r="T841" t="n">
        <v>0.00047124</v>
      </c>
    </row>
    <row r="842">
      <c r="A842" t="inlineStr">
        <is>
          <t>SUP-0085</t>
        </is>
      </c>
      <c r="B842" t="inlineStr">
        <is>
          <t>Textiles Supplier 085</t>
        </is>
      </c>
      <c r="C842" t="inlineStr">
        <is>
          <t>Textiles</t>
        </is>
      </c>
      <c r="D842" t="n">
        <v>2015</v>
      </c>
      <c r="E842" t="n">
        <v>16907833.36</v>
      </c>
      <c r="F842" t="n">
        <v>31755124.53</v>
      </c>
      <c r="G842" t="n">
        <v>5841.9028</v>
      </c>
      <c r="H842" t="inlineStr"/>
      <c r="I842" t="n">
        <v>973.5015</v>
      </c>
      <c r="J842" t="inlineStr"/>
      <c r="K842" t="inlineStr"/>
      <c r="L842" t="inlineStr"/>
      <c r="M842" t="inlineStr"/>
      <c r="N842" t="inlineStr"/>
      <c r="O842" t="n">
        <v>2019</v>
      </c>
      <c r="P842" t="n">
        <v>2030</v>
      </c>
      <c r="Q842" t="n">
        <v>0.3171</v>
      </c>
      <c r="R842" t="n">
        <v>401.7335</v>
      </c>
      <c r="S842" t="n">
        <v>0.00029221</v>
      </c>
      <c r="T842" t="n">
        <v>0.00017343</v>
      </c>
    </row>
    <row r="843">
      <c r="A843" t="inlineStr">
        <is>
          <t>SUP-0085</t>
        </is>
      </c>
      <c r="B843" t="inlineStr">
        <is>
          <t>Textiles Supplier 085</t>
        </is>
      </c>
      <c r="C843" t="inlineStr">
        <is>
          <t>Textiles</t>
        </is>
      </c>
      <c r="D843" t="n">
        <v>2016</v>
      </c>
      <c r="E843" t="n">
        <v>16755430.6</v>
      </c>
      <c r="F843" t="n">
        <v>29400913.71</v>
      </c>
      <c r="G843" t="n">
        <v>5697.6878</v>
      </c>
      <c r="H843" t="n">
        <v>516.0542</v>
      </c>
      <c r="I843" t="n">
        <v>822.9479</v>
      </c>
      <c r="J843" t="n">
        <v>4033.941</v>
      </c>
      <c r="K843" t="inlineStr"/>
      <c r="L843" t="inlineStr"/>
      <c r="M843" t="inlineStr"/>
      <c r="N843" t="inlineStr"/>
      <c r="O843" t="n">
        <v>2019</v>
      </c>
      <c r="P843" t="n">
        <v>2030</v>
      </c>
      <c r="Q843" t="n">
        <v>0.3171</v>
      </c>
      <c r="R843" t="n">
        <v>401.7335</v>
      </c>
      <c r="S843" t="n">
        <v>0.00029221</v>
      </c>
      <c r="T843" t="n">
        <v>0.00017343</v>
      </c>
    </row>
    <row r="844">
      <c r="A844" t="inlineStr">
        <is>
          <t>SUP-0085</t>
        </is>
      </c>
      <c r="B844" t="inlineStr">
        <is>
          <t>Textiles Supplier 085</t>
        </is>
      </c>
      <c r="C844" t="inlineStr">
        <is>
          <t>Textiles</t>
        </is>
      </c>
      <c r="D844" t="n">
        <v>2017</v>
      </c>
      <c r="E844" t="inlineStr"/>
      <c r="F844" t="n">
        <v>38141248.14</v>
      </c>
      <c r="G844" t="n">
        <v>5164.4498</v>
      </c>
      <c r="H844" t="n">
        <v>660.9302</v>
      </c>
      <c r="I844" t="n">
        <v>984.4884</v>
      </c>
      <c r="J844" t="n">
        <v>3925.6879</v>
      </c>
      <c r="K844" t="inlineStr"/>
      <c r="L844" t="inlineStr"/>
      <c r="M844" t="inlineStr"/>
      <c r="N844" t="inlineStr"/>
      <c r="O844" t="n">
        <v>2019</v>
      </c>
      <c r="P844" t="n">
        <v>2030</v>
      </c>
      <c r="Q844" t="n">
        <v>0.3171</v>
      </c>
      <c r="R844" t="n">
        <v>401.7335</v>
      </c>
      <c r="S844" t="n">
        <v>0.00029221</v>
      </c>
      <c r="T844" t="n">
        <v>0.00017343</v>
      </c>
    </row>
    <row r="845">
      <c r="A845" t="inlineStr">
        <is>
          <t>SUP-0085</t>
        </is>
      </c>
      <c r="B845" t="inlineStr">
        <is>
          <t>Textiles Supplier 085</t>
        </is>
      </c>
      <c r="C845" t="inlineStr">
        <is>
          <t>Textiles</t>
        </is>
      </c>
      <c r="D845" t="n">
        <v>2018</v>
      </c>
      <c r="E845" t="n">
        <v>15600263.25</v>
      </c>
      <c r="F845" t="n">
        <v>36508588.58</v>
      </c>
      <c r="G845" t="inlineStr"/>
      <c r="H845" t="n">
        <v>1123.7395</v>
      </c>
      <c r="I845" t="n">
        <v>443.5877</v>
      </c>
      <c r="J845" t="inlineStr"/>
      <c r="K845" t="inlineStr"/>
      <c r="L845" t="inlineStr"/>
      <c r="M845" t="inlineStr"/>
      <c r="N845" t="inlineStr"/>
      <c r="O845" t="n">
        <v>2019</v>
      </c>
      <c r="P845" t="n">
        <v>2030</v>
      </c>
      <c r="Q845" t="n">
        <v>0.3171</v>
      </c>
      <c r="R845" t="n">
        <v>401.7335</v>
      </c>
      <c r="S845" t="n">
        <v>0.00029221</v>
      </c>
      <c r="T845" t="n">
        <v>0.00017343</v>
      </c>
    </row>
    <row r="846">
      <c r="A846" t="inlineStr">
        <is>
          <t>SUP-0085</t>
        </is>
      </c>
      <c r="B846" t="inlineStr">
        <is>
          <t>Textiles Supplier 085</t>
        </is>
      </c>
      <c r="C846" t="inlineStr">
        <is>
          <t>Textiles</t>
        </is>
      </c>
      <c r="D846" t="n">
        <v>2019</v>
      </c>
      <c r="E846" t="n">
        <v>15630660.37</v>
      </c>
      <c r="F846" t="n">
        <v>39533046.79</v>
      </c>
      <c r="G846" t="inlineStr"/>
      <c r="H846" t="inlineStr"/>
      <c r="I846" t="n">
        <v>714.0614</v>
      </c>
      <c r="J846" t="n">
        <v>2773.1801</v>
      </c>
      <c r="K846" t="inlineStr"/>
      <c r="L846" t="inlineStr"/>
      <c r="M846" t="inlineStr"/>
      <c r="N846" t="inlineStr"/>
      <c r="O846" t="n">
        <v>2019</v>
      </c>
      <c r="P846" t="n">
        <v>2030</v>
      </c>
      <c r="Q846" t="n">
        <v>0.3171</v>
      </c>
      <c r="R846" t="n">
        <v>401.7335</v>
      </c>
      <c r="S846" t="n">
        <v>0.00029221</v>
      </c>
      <c r="T846" t="n">
        <v>0.00017343</v>
      </c>
    </row>
    <row r="847">
      <c r="A847" t="inlineStr">
        <is>
          <t>SUP-0085</t>
        </is>
      </c>
      <c r="B847" t="inlineStr">
        <is>
          <t>Textiles Supplier 085</t>
        </is>
      </c>
      <c r="C847" t="inlineStr">
        <is>
          <t>Textiles</t>
        </is>
      </c>
      <c r="D847" t="n">
        <v>2020</v>
      </c>
      <c r="E847" t="n">
        <v>20276464.67</v>
      </c>
      <c r="F847" t="n">
        <v>33554700.35</v>
      </c>
      <c r="G847" t="n">
        <v>5168.0815</v>
      </c>
      <c r="H847" t="n">
        <v>899.6018</v>
      </c>
      <c r="I847" t="n">
        <v>894.2247</v>
      </c>
      <c r="J847" t="inlineStr"/>
      <c r="K847" t="inlineStr"/>
      <c r="L847" t="inlineStr"/>
      <c r="M847" t="inlineStr"/>
      <c r="N847" t="inlineStr"/>
      <c r="O847" t="n">
        <v>2019</v>
      </c>
      <c r="P847" t="n">
        <v>2030</v>
      </c>
      <c r="Q847" t="n">
        <v>0.3171</v>
      </c>
      <c r="R847" t="n">
        <v>401.7335</v>
      </c>
      <c r="S847" t="n">
        <v>0.00029221</v>
      </c>
      <c r="T847" t="n">
        <v>0.00017343</v>
      </c>
    </row>
    <row r="848">
      <c r="A848" t="inlineStr">
        <is>
          <t>SUP-0085</t>
        </is>
      </c>
      <c r="B848" t="inlineStr">
        <is>
          <t>Textiles Supplier 085</t>
        </is>
      </c>
      <c r="C848" t="inlineStr">
        <is>
          <t>Textiles</t>
        </is>
      </c>
      <c r="D848" t="n">
        <v>2021</v>
      </c>
      <c r="E848" t="n">
        <v>17496399.02</v>
      </c>
      <c r="F848" t="n">
        <v>39988058.46</v>
      </c>
      <c r="G848" t="inlineStr"/>
      <c r="H848" t="n">
        <v>1350.6567</v>
      </c>
      <c r="I848" t="inlineStr"/>
      <c r="J848" t="n">
        <v>3475.4392</v>
      </c>
      <c r="K848" t="inlineStr"/>
      <c r="L848" t="inlineStr"/>
      <c r="M848" t="inlineStr"/>
      <c r="N848" t="inlineStr"/>
      <c r="O848" t="n">
        <v>2019</v>
      </c>
      <c r="P848" t="n">
        <v>2030</v>
      </c>
      <c r="Q848" t="n">
        <v>0.3171</v>
      </c>
      <c r="R848" t="n">
        <v>401.7335</v>
      </c>
      <c r="S848" t="n">
        <v>0.00029221</v>
      </c>
      <c r="T848" t="n">
        <v>0.00017343</v>
      </c>
    </row>
    <row r="849">
      <c r="A849" t="inlineStr">
        <is>
          <t>SUP-0085</t>
        </is>
      </c>
      <c r="B849" t="inlineStr">
        <is>
          <t>Textiles Supplier 085</t>
        </is>
      </c>
      <c r="C849" t="inlineStr">
        <is>
          <t>Textiles</t>
        </is>
      </c>
      <c r="D849" t="n">
        <v>2022</v>
      </c>
      <c r="E849" t="n">
        <v>19285147.88</v>
      </c>
      <c r="F849" t="n">
        <v>40296069.78</v>
      </c>
      <c r="G849" t="n">
        <v>4704.0168</v>
      </c>
      <c r="H849" t="n">
        <v>1273.2578</v>
      </c>
      <c r="I849" t="inlineStr"/>
      <c r="J849" t="n">
        <v>3425.2667</v>
      </c>
      <c r="K849" t="inlineStr"/>
      <c r="L849" t="inlineStr"/>
      <c r="M849" t="inlineStr"/>
      <c r="N849" t="inlineStr"/>
      <c r="O849" t="n">
        <v>2019</v>
      </c>
      <c r="P849" t="n">
        <v>2030</v>
      </c>
      <c r="Q849" t="n">
        <v>0.3171</v>
      </c>
      <c r="R849" t="n">
        <v>401.7335</v>
      </c>
      <c r="S849" t="n">
        <v>0.00029221</v>
      </c>
      <c r="T849" t="n">
        <v>0.00017343</v>
      </c>
    </row>
    <row r="850">
      <c r="A850" t="inlineStr">
        <is>
          <t>SUP-0085</t>
        </is>
      </c>
      <c r="B850" t="inlineStr">
        <is>
          <t>Textiles Supplier 085</t>
        </is>
      </c>
      <c r="C850" t="inlineStr">
        <is>
          <t>Textiles</t>
        </is>
      </c>
      <c r="D850" t="n">
        <v>2023</v>
      </c>
      <c r="E850" t="inlineStr"/>
      <c r="F850" t="n">
        <v>50824531.06</v>
      </c>
      <c r="G850" t="n">
        <v>6216.5396</v>
      </c>
      <c r="H850" t="inlineStr"/>
      <c r="I850" t="n">
        <v>714.8768</v>
      </c>
      <c r="J850" t="n">
        <v>3621.2176</v>
      </c>
      <c r="K850" t="inlineStr"/>
      <c r="L850" t="inlineStr"/>
      <c r="M850" t="inlineStr"/>
      <c r="N850" t="inlineStr"/>
      <c r="O850" t="n">
        <v>2019</v>
      </c>
      <c r="P850" t="n">
        <v>2030</v>
      </c>
      <c r="Q850" t="n">
        <v>0.3171</v>
      </c>
      <c r="R850" t="n">
        <v>401.7335</v>
      </c>
      <c r="S850" t="n">
        <v>0.00029221</v>
      </c>
      <c r="T850" t="n">
        <v>0.00017343</v>
      </c>
    </row>
    <row r="851">
      <c r="A851" t="inlineStr">
        <is>
          <t>SUP-0085</t>
        </is>
      </c>
      <c r="B851" t="inlineStr">
        <is>
          <t>Textiles Supplier 085</t>
        </is>
      </c>
      <c r="C851" t="inlineStr">
        <is>
          <t>Textiles</t>
        </is>
      </c>
      <c r="D851" t="n">
        <v>2024</v>
      </c>
      <c r="E851" t="n">
        <v>21801344.96</v>
      </c>
      <c r="F851" t="inlineStr"/>
      <c r="G851" t="n">
        <v>5865.7817</v>
      </c>
      <c r="H851" t="n">
        <v>496.7147</v>
      </c>
      <c r="I851" t="n">
        <v>1344.0838</v>
      </c>
      <c r="J851" t="n">
        <v>4337.228</v>
      </c>
      <c r="K851" t="inlineStr"/>
      <c r="L851" t="inlineStr"/>
      <c r="M851" t="inlineStr"/>
      <c r="N851" t="inlineStr"/>
      <c r="O851" t="n">
        <v>2019</v>
      </c>
      <c r="P851" t="n">
        <v>2030</v>
      </c>
      <c r="Q851" t="n">
        <v>0.3171</v>
      </c>
      <c r="R851" t="n">
        <v>401.7335</v>
      </c>
      <c r="S851" t="n">
        <v>0.00029221</v>
      </c>
      <c r="T851" t="n">
        <v>0.00017343</v>
      </c>
    </row>
    <row r="852">
      <c r="A852" t="inlineStr">
        <is>
          <t>SUP-0086</t>
        </is>
      </c>
      <c r="B852" t="inlineStr">
        <is>
          <t>Metals Supplier 086</t>
        </is>
      </c>
      <c r="C852" t="inlineStr">
        <is>
          <t>Metals</t>
        </is>
      </c>
      <c r="D852" t="n">
        <v>2015</v>
      </c>
      <c r="E852" t="inlineStr"/>
      <c r="F852" t="n">
        <v>63364802.97</v>
      </c>
      <c r="G852" t="n">
        <v>20573.1292</v>
      </c>
      <c r="H852" t="n">
        <v>3506.6938</v>
      </c>
      <c r="I852" t="n">
        <v>3164.0999</v>
      </c>
      <c r="J852" t="inlineStr"/>
      <c r="K852" t="n">
        <v>2019</v>
      </c>
      <c r="L852" t="n">
        <v>2035</v>
      </c>
      <c r="M852" t="n">
        <v>0.4157</v>
      </c>
      <c r="N852" t="n">
        <v>0.2236</v>
      </c>
      <c r="O852" t="n">
        <v>2019</v>
      </c>
      <c r="P852" t="n">
        <v>2030</v>
      </c>
      <c r="Q852" t="n">
        <v>0.3852</v>
      </c>
      <c r="R852" t="n">
        <v>158.2904</v>
      </c>
      <c r="S852" t="n">
        <v>0.00100695</v>
      </c>
      <c r="T852" t="n">
        <v>0.00065008</v>
      </c>
    </row>
    <row r="853">
      <c r="A853" t="inlineStr">
        <is>
          <t>SUP-0086</t>
        </is>
      </c>
      <c r="B853" t="inlineStr">
        <is>
          <t>Metals Supplier 086</t>
        </is>
      </c>
      <c r="C853" t="inlineStr">
        <is>
          <t>Metals</t>
        </is>
      </c>
      <c r="D853" t="n">
        <v>2016</v>
      </c>
      <c r="E853" t="n">
        <v>16044800.88</v>
      </c>
      <c r="F853" t="n">
        <v>59414494.04</v>
      </c>
      <c r="G853" t="n">
        <v>21241.4956</v>
      </c>
      <c r="H853" t="n">
        <v>2555.9127</v>
      </c>
      <c r="I853" t="n">
        <v>2630.5744</v>
      </c>
      <c r="J853" t="n">
        <v>14000.8835</v>
      </c>
      <c r="K853" t="n">
        <v>2019</v>
      </c>
      <c r="L853" t="n">
        <v>2035</v>
      </c>
      <c r="M853" t="n">
        <v>0.4157</v>
      </c>
      <c r="N853" t="n">
        <v>0.2236</v>
      </c>
      <c r="O853" t="n">
        <v>2019</v>
      </c>
      <c r="P853" t="n">
        <v>2030</v>
      </c>
      <c r="Q853" t="n">
        <v>0.3852</v>
      </c>
      <c r="R853" t="n">
        <v>158.2904</v>
      </c>
      <c r="S853" t="n">
        <v>0.00100695</v>
      </c>
      <c r="T853" t="n">
        <v>0.00065008</v>
      </c>
    </row>
    <row r="854">
      <c r="A854" t="inlineStr">
        <is>
          <t>SUP-0086</t>
        </is>
      </c>
      <c r="B854" t="inlineStr">
        <is>
          <t>Metals Supplier 086</t>
        </is>
      </c>
      <c r="C854" t="inlineStr">
        <is>
          <t>Metals</t>
        </is>
      </c>
      <c r="D854" t="n">
        <v>2017</v>
      </c>
      <c r="E854" t="n">
        <v>15807219.22</v>
      </c>
      <c r="F854" t="n">
        <v>47295154.46</v>
      </c>
      <c r="G854" t="n">
        <v>17789.1307</v>
      </c>
      <c r="H854" t="n">
        <v>2497.8881</v>
      </c>
      <c r="I854" t="n">
        <v>1504.295</v>
      </c>
      <c r="J854" t="n">
        <v>13619.4868</v>
      </c>
      <c r="K854" t="n">
        <v>2019</v>
      </c>
      <c r="L854" t="n">
        <v>2035</v>
      </c>
      <c r="M854" t="n">
        <v>0.4157</v>
      </c>
      <c r="N854" t="n">
        <v>0.2236</v>
      </c>
      <c r="O854" t="n">
        <v>2019</v>
      </c>
      <c r="P854" t="n">
        <v>2030</v>
      </c>
      <c r="Q854" t="n">
        <v>0.3852</v>
      </c>
      <c r="R854" t="n">
        <v>158.2904</v>
      </c>
      <c r="S854" t="n">
        <v>0.00100695</v>
      </c>
      <c r="T854" t="n">
        <v>0.00065008</v>
      </c>
    </row>
    <row r="855">
      <c r="A855" t="inlineStr">
        <is>
          <t>SUP-0086</t>
        </is>
      </c>
      <c r="B855" t="inlineStr">
        <is>
          <t>Metals Supplier 086</t>
        </is>
      </c>
      <c r="C855" t="inlineStr">
        <is>
          <t>Metals</t>
        </is>
      </c>
      <c r="D855" t="n">
        <v>2018</v>
      </c>
      <c r="E855" t="n">
        <v>14383226.07</v>
      </c>
      <c r="F855" t="n">
        <v>57220001.56</v>
      </c>
      <c r="G855" t="n">
        <v>23257.2321</v>
      </c>
      <c r="H855" t="n">
        <v>2225.8436</v>
      </c>
      <c r="I855" t="n">
        <v>4045.4179</v>
      </c>
      <c r="J855" t="n">
        <v>15732.2732</v>
      </c>
      <c r="K855" t="n">
        <v>2019</v>
      </c>
      <c r="L855" t="n">
        <v>2035</v>
      </c>
      <c r="M855" t="n">
        <v>0.4157</v>
      </c>
      <c r="N855" t="n">
        <v>0.2236</v>
      </c>
      <c r="O855" t="n">
        <v>2019</v>
      </c>
      <c r="P855" t="n">
        <v>2030</v>
      </c>
      <c r="Q855" t="n">
        <v>0.3852</v>
      </c>
      <c r="R855" t="n">
        <v>158.2904</v>
      </c>
      <c r="S855" t="n">
        <v>0.00100695</v>
      </c>
      <c r="T855" t="n">
        <v>0.00065008</v>
      </c>
    </row>
    <row r="856">
      <c r="A856" t="inlineStr">
        <is>
          <t>SUP-0086</t>
        </is>
      </c>
      <c r="B856" t="inlineStr">
        <is>
          <t>Metals Supplier 086</t>
        </is>
      </c>
      <c r="C856" t="inlineStr">
        <is>
          <t>Metals</t>
        </is>
      </c>
      <c r="D856" t="n">
        <v>2019</v>
      </c>
      <c r="E856" t="n">
        <v>17933270.33</v>
      </c>
      <c r="F856" t="n">
        <v>68965909.91</v>
      </c>
      <c r="G856" t="n">
        <v>22661.4098</v>
      </c>
      <c r="H856" t="n">
        <v>3745.7809</v>
      </c>
      <c r="I856" t="inlineStr"/>
      <c r="J856" t="n">
        <v>15087.1779</v>
      </c>
      <c r="K856" t="n">
        <v>2019</v>
      </c>
      <c r="L856" t="n">
        <v>2035</v>
      </c>
      <c r="M856" t="n">
        <v>0.4157</v>
      </c>
      <c r="N856" t="n">
        <v>0.2236</v>
      </c>
      <c r="O856" t="n">
        <v>2019</v>
      </c>
      <c r="P856" t="n">
        <v>2030</v>
      </c>
      <c r="Q856" t="n">
        <v>0.3852</v>
      </c>
      <c r="R856" t="n">
        <v>158.2904</v>
      </c>
      <c r="S856" t="n">
        <v>0.00100695</v>
      </c>
      <c r="T856" t="n">
        <v>0.00065008</v>
      </c>
    </row>
    <row r="857">
      <c r="A857" t="inlineStr">
        <is>
          <t>SUP-0086</t>
        </is>
      </c>
      <c r="B857" t="inlineStr">
        <is>
          <t>Metals Supplier 086</t>
        </is>
      </c>
      <c r="C857" t="inlineStr">
        <is>
          <t>Metals</t>
        </is>
      </c>
      <c r="D857" t="n">
        <v>2020</v>
      </c>
      <c r="E857" t="n">
        <v>19412942.09</v>
      </c>
      <c r="F857" t="n">
        <v>63455337.48</v>
      </c>
      <c r="G857" t="n">
        <v>24596.0472</v>
      </c>
      <c r="H857" t="n">
        <v>3216.4042</v>
      </c>
      <c r="I857" t="n">
        <v>2868.9629</v>
      </c>
      <c r="J857" t="n">
        <v>16715.2451</v>
      </c>
      <c r="K857" t="n">
        <v>2019</v>
      </c>
      <c r="L857" t="n">
        <v>2035</v>
      </c>
      <c r="M857" t="n">
        <v>0.4157</v>
      </c>
      <c r="N857" t="n">
        <v>0.2236</v>
      </c>
      <c r="O857" t="n">
        <v>2019</v>
      </c>
      <c r="P857" t="n">
        <v>2030</v>
      </c>
      <c r="Q857" t="n">
        <v>0.3852</v>
      </c>
      <c r="R857" t="n">
        <v>158.2904</v>
      </c>
      <c r="S857" t="n">
        <v>0.00100695</v>
      </c>
      <c r="T857" t="n">
        <v>0.00065008</v>
      </c>
    </row>
    <row r="858">
      <c r="A858" t="inlineStr">
        <is>
          <t>SUP-0086</t>
        </is>
      </c>
      <c r="B858" t="inlineStr">
        <is>
          <t>Metals Supplier 086</t>
        </is>
      </c>
      <c r="C858" t="inlineStr">
        <is>
          <t>Metals</t>
        </is>
      </c>
      <c r="D858" t="n">
        <v>2021</v>
      </c>
      <c r="E858" t="n">
        <v>18886287.92</v>
      </c>
      <c r="F858" t="inlineStr"/>
      <c r="G858" t="n">
        <v>20861.3846</v>
      </c>
      <c r="H858" t="inlineStr"/>
      <c r="I858" t="n">
        <v>4213.2748</v>
      </c>
      <c r="J858" t="inlineStr"/>
      <c r="K858" t="n">
        <v>2019</v>
      </c>
      <c r="L858" t="n">
        <v>2035</v>
      </c>
      <c r="M858" t="n">
        <v>0.4157</v>
      </c>
      <c r="N858" t="n">
        <v>0.2236</v>
      </c>
      <c r="O858" t="n">
        <v>2019</v>
      </c>
      <c r="P858" t="n">
        <v>2030</v>
      </c>
      <c r="Q858" t="n">
        <v>0.3852</v>
      </c>
      <c r="R858" t="n">
        <v>158.2904</v>
      </c>
      <c r="S858" t="n">
        <v>0.00100695</v>
      </c>
      <c r="T858" t="n">
        <v>0.00065008</v>
      </c>
    </row>
    <row r="859">
      <c r="A859" t="inlineStr">
        <is>
          <t>SUP-0086</t>
        </is>
      </c>
      <c r="B859" t="inlineStr">
        <is>
          <t>Metals Supplier 086</t>
        </is>
      </c>
      <c r="C859" t="inlineStr">
        <is>
          <t>Metals</t>
        </is>
      </c>
      <c r="D859" t="n">
        <v>2022</v>
      </c>
      <c r="E859" t="n">
        <v>18652196.61</v>
      </c>
      <c r="F859" t="n">
        <v>68285904.75</v>
      </c>
      <c r="G859" t="n">
        <v>23386.0152</v>
      </c>
      <c r="H859" t="n">
        <v>4510.1072</v>
      </c>
      <c r="I859" t="n">
        <v>1899.0992</v>
      </c>
      <c r="J859" t="n">
        <v>15223.3742</v>
      </c>
      <c r="K859" t="n">
        <v>2019</v>
      </c>
      <c r="L859" t="n">
        <v>2035</v>
      </c>
      <c r="M859" t="n">
        <v>0.4157</v>
      </c>
      <c r="N859" t="n">
        <v>0.2236</v>
      </c>
      <c r="O859" t="n">
        <v>2019</v>
      </c>
      <c r="P859" t="n">
        <v>2030</v>
      </c>
      <c r="Q859" t="n">
        <v>0.3852</v>
      </c>
      <c r="R859" t="n">
        <v>158.2904</v>
      </c>
      <c r="S859" t="n">
        <v>0.00100695</v>
      </c>
      <c r="T859" t="n">
        <v>0.00065008</v>
      </c>
    </row>
    <row r="860">
      <c r="A860" t="inlineStr">
        <is>
          <t>SUP-0086</t>
        </is>
      </c>
      <c r="B860" t="inlineStr">
        <is>
          <t>Metals Supplier 086</t>
        </is>
      </c>
      <c r="C860" t="inlineStr">
        <is>
          <t>Metals</t>
        </is>
      </c>
      <c r="D860" t="n">
        <v>2023</v>
      </c>
      <c r="E860" t="n">
        <v>15881119.2</v>
      </c>
      <c r="F860" t="n">
        <v>93156938.69</v>
      </c>
      <c r="G860" t="n">
        <v>13873.4148</v>
      </c>
      <c r="H860" t="n">
        <v>3750.8363</v>
      </c>
      <c r="I860" t="n">
        <v>1498.5045</v>
      </c>
      <c r="J860" t="n">
        <v>9318.6059</v>
      </c>
      <c r="K860" t="n">
        <v>2019</v>
      </c>
      <c r="L860" t="n">
        <v>2035</v>
      </c>
      <c r="M860" t="n">
        <v>0.4157</v>
      </c>
      <c r="N860" t="n">
        <v>0.2236</v>
      </c>
      <c r="O860" t="n">
        <v>2019</v>
      </c>
      <c r="P860" t="n">
        <v>2030</v>
      </c>
      <c r="Q860" t="n">
        <v>0.3852</v>
      </c>
      <c r="R860" t="n">
        <v>158.2904</v>
      </c>
      <c r="S860" t="n">
        <v>0.00100695</v>
      </c>
      <c r="T860" t="n">
        <v>0.00065008</v>
      </c>
    </row>
    <row r="861">
      <c r="A861" t="inlineStr">
        <is>
          <t>SUP-0086</t>
        </is>
      </c>
      <c r="B861" t="inlineStr">
        <is>
          <t>Metals Supplier 086</t>
        </is>
      </c>
      <c r="C861" t="inlineStr">
        <is>
          <t>Metals</t>
        </is>
      </c>
      <c r="D861" t="n">
        <v>2024</v>
      </c>
      <c r="E861" t="n">
        <v>17310943.41</v>
      </c>
      <c r="F861" t="n">
        <v>66016811.64</v>
      </c>
      <c r="G861" t="inlineStr"/>
      <c r="H861" t="n">
        <v>1494.6371</v>
      </c>
      <c r="I861" t="n">
        <v>2747.089</v>
      </c>
      <c r="J861" t="n">
        <v>11334.2244</v>
      </c>
      <c r="K861" t="n">
        <v>2019</v>
      </c>
      <c r="L861" t="n">
        <v>2035</v>
      </c>
      <c r="M861" t="n">
        <v>0.4157</v>
      </c>
      <c r="N861" t="n">
        <v>0.2236</v>
      </c>
      <c r="O861" t="n">
        <v>2019</v>
      </c>
      <c r="P861" t="n">
        <v>2030</v>
      </c>
      <c r="Q861" t="n">
        <v>0.3852</v>
      </c>
      <c r="R861" t="n">
        <v>158.2904</v>
      </c>
      <c r="S861" t="n">
        <v>0.00100695</v>
      </c>
      <c r="T861" t="n">
        <v>0.00065008</v>
      </c>
    </row>
    <row r="862">
      <c r="A862" t="inlineStr">
        <is>
          <t>SUP-0087</t>
        </is>
      </c>
      <c r="B862" t="inlineStr">
        <is>
          <t>Agriculture Supplier 087</t>
        </is>
      </c>
      <c r="C862" t="inlineStr">
        <is>
          <t>Agriculture</t>
        </is>
      </c>
      <c r="D862" t="n">
        <v>2015</v>
      </c>
      <c r="E862" t="n">
        <v>22296739.27</v>
      </c>
      <c r="F862" t="n">
        <v>80653547.54000001</v>
      </c>
      <c r="G862" t="inlineStr"/>
      <c r="H862" t="n">
        <v>5381.6517</v>
      </c>
      <c r="I862" t="n">
        <v>3403.4256</v>
      </c>
      <c r="J862" t="n">
        <v>13125.5958</v>
      </c>
      <c r="K862" t="n">
        <v>2020</v>
      </c>
      <c r="L862" t="n">
        <v>2035</v>
      </c>
      <c r="M862" t="n">
        <v>0.2888</v>
      </c>
      <c r="N862" t="n">
        <v>0.1304</v>
      </c>
      <c r="O862" t="n">
        <v>2018</v>
      </c>
      <c r="P862" t="inlineStr"/>
      <c r="Q862" t="inlineStr"/>
      <c r="R862" t="n">
        <v>529.8294</v>
      </c>
      <c r="S862" t="n">
        <v>0.00091413</v>
      </c>
      <c r="T862" t="n">
        <v>0.00096913</v>
      </c>
    </row>
    <row r="863">
      <c r="A863" t="inlineStr">
        <is>
          <t>SUP-0087</t>
        </is>
      </c>
      <c r="B863" t="inlineStr">
        <is>
          <t>Agriculture Supplier 087</t>
        </is>
      </c>
      <c r="C863" t="inlineStr">
        <is>
          <t>Agriculture</t>
        </is>
      </c>
      <c r="D863" t="n">
        <v>2016</v>
      </c>
      <c r="E863" t="n">
        <v>22304060.77</v>
      </c>
      <c r="F863" t="n">
        <v>88051614.14</v>
      </c>
      <c r="G863" t="n">
        <v>20442.586</v>
      </c>
      <c r="H863" t="inlineStr"/>
      <c r="I863" t="n">
        <v>3819.5531</v>
      </c>
      <c r="J863" t="n">
        <v>13653.9811</v>
      </c>
      <c r="K863" t="n">
        <v>2020</v>
      </c>
      <c r="L863" t="n">
        <v>2035</v>
      </c>
      <c r="M863" t="n">
        <v>0.2888</v>
      </c>
      <c r="N863" t="n">
        <v>0.1304</v>
      </c>
      <c r="O863" t="n">
        <v>2018</v>
      </c>
      <c r="P863" t="inlineStr"/>
      <c r="Q863" t="inlineStr"/>
      <c r="R863" t="n">
        <v>529.8294</v>
      </c>
      <c r="S863" t="n">
        <v>0.00091413</v>
      </c>
      <c r="T863" t="n">
        <v>0.00096913</v>
      </c>
    </row>
    <row r="864">
      <c r="A864" t="inlineStr">
        <is>
          <t>SUP-0087</t>
        </is>
      </c>
      <c r="B864" t="inlineStr">
        <is>
          <t>Agriculture Supplier 087</t>
        </is>
      </c>
      <c r="C864" t="inlineStr">
        <is>
          <t>Agriculture</t>
        </is>
      </c>
      <c r="D864" t="n">
        <v>2017</v>
      </c>
      <c r="E864" t="inlineStr"/>
      <c r="F864" t="n">
        <v>104064261.42</v>
      </c>
      <c r="G864" t="inlineStr"/>
      <c r="H864" t="n">
        <v>3516.0642</v>
      </c>
      <c r="I864" t="inlineStr"/>
      <c r="J864" t="n">
        <v>12597.1377</v>
      </c>
      <c r="K864" t="n">
        <v>2020</v>
      </c>
      <c r="L864" t="n">
        <v>2035</v>
      </c>
      <c r="M864" t="n">
        <v>0.2888</v>
      </c>
      <c r="N864" t="n">
        <v>0.1304</v>
      </c>
      <c r="O864" t="n">
        <v>2018</v>
      </c>
      <c r="P864" t="inlineStr"/>
      <c r="Q864" t="inlineStr"/>
      <c r="R864" t="n">
        <v>529.8294</v>
      </c>
      <c r="S864" t="n">
        <v>0.00091413</v>
      </c>
      <c r="T864" t="n">
        <v>0.00096913</v>
      </c>
    </row>
    <row r="865">
      <c r="A865" t="inlineStr">
        <is>
          <t>SUP-0087</t>
        </is>
      </c>
      <c r="B865" t="inlineStr">
        <is>
          <t>Agriculture Supplier 087</t>
        </is>
      </c>
      <c r="C865" t="inlineStr">
        <is>
          <t>Agriculture</t>
        </is>
      </c>
      <c r="D865" t="n">
        <v>2018</v>
      </c>
      <c r="E865" t="n">
        <v>24368231.86</v>
      </c>
      <c r="F865" t="n">
        <v>83213723.81999999</v>
      </c>
      <c r="G865" t="n">
        <v>22096.7144</v>
      </c>
      <c r="H865" t="n">
        <v>4091.6849</v>
      </c>
      <c r="I865" t="n">
        <v>3446.7807</v>
      </c>
      <c r="J865" t="n">
        <v>14597.0262</v>
      </c>
      <c r="K865" t="n">
        <v>2020</v>
      </c>
      <c r="L865" t="n">
        <v>2035</v>
      </c>
      <c r="M865" t="n">
        <v>0.2888</v>
      </c>
      <c r="N865" t="n">
        <v>0.1304</v>
      </c>
      <c r="O865" t="n">
        <v>2018</v>
      </c>
      <c r="P865" t="inlineStr"/>
      <c r="Q865" t="inlineStr"/>
      <c r="R865" t="n">
        <v>529.8294</v>
      </c>
      <c r="S865" t="n">
        <v>0.00091413</v>
      </c>
      <c r="T865" t="n">
        <v>0.00096913</v>
      </c>
    </row>
    <row r="866">
      <c r="A866" t="inlineStr">
        <is>
          <t>SUP-0087</t>
        </is>
      </c>
      <c r="B866" t="inlineStr">
        <is>
          <t>Agriculture Supplier 087</t>
        </is>
      </c>
      <c r="C866" t="inlineStr">
        <is>
          <t>Agriculture</t>
        </is>
      </c>
      <c r="D866" t="n">
        <v>2019</v>
      </c>
      <c r="E866" t="n">
        <v>26628088.49</v>
      </c>
      <c r="F866" t="inlineStr"/>
      <c r="G866" t="n">
        <v>20606.2288</v>
      </c>
      <c r="H866" t="n">
        <v>2038.7749</v>
      </c>
      <c r="I866" t="n">
        <v>2239.3283</v>
      </c>
      <c r="J866" t="inlineStr"/>
      <c r="K866" t="n">
        <v>2020</v>
      </c>
      <c r="L866" t="n">
        <v>2035</v>
      </c>
      <c r="M866" t="n">
        <v>0.2888</v>
      </c>
      <c r="N866" t="n">
        <v>0.1304</v>
      </c>
      <c r="O866" t="n">
        <v>2018</v>
      </c>
      <c r="P866" t="inlineStr"/>
      <c r="Q866" t="inlineStr"/>
      <c r="R866" t="n">
        <v>529.8294</v>
      </c>
      <c r="S866" t="n">
        <v>0.00091413</v>
      </c>
      <c r="T866" t="n">
        <v>0.00096913</v>
      </c>
    </row>
    <row r="867">
      <c r="A867" t="inlineStr">
        <is>
          <t>SUP-0087</t>
        </is>
      </c>
      <c r="B867" t="inlineStr">
        <is>
          <t>Agriculture Supplier 087</t>
        </is>
      </c>
      <c r="C867" t="inlineStr">
        <is>
          <t>Agriculture</t>
        </is>
      </c>
      <c r="D867" t="n">
        <v>2020</v>
      </c>
      <c r="E867" t="n">
        <v>29117213.43</v>
      </c>
      <c r="F867" t="n">
        <v>111897155.73</v>
      </c>
      <c r="G867" t="n">
        <v>17196.2434</v>
      </c>
      <c r="H867" t="n">
        <v>3629.2296</v>
      </c>
      <c r="I867" t="n">
        <v>2495.4899</v>
      </c>
      <c r="J867" t="inlineStr"/>
      <c r="K867" t="n">
        <v>2020</v>
      </c>
      <c r="L867" t="n">
        <v>2035</v>
      </c>
      <c r="M867" t="n">
        <v>0.2888</v>
      </c>
      <c r="N867" t="n">
        <v>0.1304</v>
      </c>
      <c r="O867" t="n">
        <v>2018</v>
      </c>
      <c r="P867" t="inlineStr"/>
      <c r="Q867" t="inlineStr"/>
      <c r="R867" t="n">
        <v>529.8294</v>
      </c>
      <c r="S867" t="n">
        <v>0.00091413</v>
      </c>
      <c r="T867" t="n">
        <v>0.00096913</v>
      </c>
    </row>
    <row r="868">
      <c r="A868" t="inlineStr">
        <is>
          <t>SUP-0087</t>
        </is>
      </c>
      <c r="B868" t="inlineStr">
        <is>
          <t>Agriculture Supplier 087</t>
        </is>
      </c>
      <c r="C868" t="inlineStr">
        <is>
          <t>Agriculture</t>
        </is>
      </c>
      <c r="D868" t="n">
        <v>2021</v>
      </c>
      <c r="E868" t="inlineStr"/>
      <c r="F868" t="n">
        <v>122744467.34</v>
      </c>
      <c r="G868" t="inlineStr"/>
      <c r="H868" t="n">
        <v>7619.5026</v>
      </c>
      <c r="I868" t="n">
        <v>4735.1568</v>
      </c>
      <c r="J868" t="n">
        <v>19018.7006</v>
      </c>
      <c r="K868" t="n">
        <v>2020</v>
      </c>
      <c r="L868" t="n">
        <v>2035</v>
      </c>
      <c r="M868" t="n">
        <v>0.2888</v>
      </c>
      <c r="N868" t="n">
        <v>0.1304</v>
      </c>
      <c r="O868" t="n">
        <v>2018</v>
      </c>
      <c r="P868" t="inlineStr"/>
      <c r="Q868" t="inlineStr"/>
      <c r="R868" t="n">
        <v>529.8294</v>
      </c>
      <c r="S868" t="n">
        <v>0.00091413</v>
      </c>
      <c r="T868" t="n">
        <v>0.00096913</v>
      </c>
    </row>
    <row r="869">
      <c r="A869" t="inlineStr">
        <is>
          <t>SUP-0087</t>
        </is>
      </c>
      <c r="B869" t="inlineStr">
        <is>
          <t>Agriculture Supplier 087</t>
        </is>
      </c>
      <c r="C869" t="inlineStr">
        <is>
          <t>Agriculture</t>
        </is>
      </c>
      <c r="D869" t="n">
        <v>2022</v>
      </c>
      <c r="E869" t="n">
        <v>31757574.25</v>
      </c>
      <c r="F869" t="n">
        <v>158422529.57</v>
      </c>
      <c r="G869" t="n">
        <v>21818.8696</v>
      </c>
      <c r="H869" t="inlineStr"/>
      <c r="I869" t="n">
        <v>1971.1617</v>
      </c>
      <c r="J869" t="n">
        <v>14797.3877</v>
      </c>
      <c r="K869" t="n">
        <v>2020</v>
      </c>
      <c r="L869" t="n">
        <v>2035</v>
      </c>
      <c r="M869" t="n">
        <v>0.2888</v>
      </c>
      <c r="N869" t="n">
        <v>0.1304</v>
      </c>
      <c r="O869" t="n">
        <v>2018</v>
      </c>
      <c r="P869" t="inlineStr"/>
      <c r="Q869" t="inlineStr"/>
      <c r="R869" t="n">
        <v>529.8294</v>
      </c>
      <c r="S869" t="n">
        <v>0.00091413</v>
      </c>
      <c r="T869" t="n">
        <v>0.00096913</v>
      </c>
    </row>
    <row r="870">
      <c r="A870" t="inlineStr">
        <is>
          <t>SUP-0087</t>
        </is>
      </c>
      <c r="B870" t="inlineStr">
        <is>
          <t>Agriculture Supplier 087</t>
        </is>
      </c>
      <c r="C870" t="inlineStr">
        <is>
          <t>Agriculture</t>
        </is>
      </c>
      <c r="D870" t="n">
        <v>2023</v>
      </c>
      <c r="E870" t="n">
        <v>38410111.65</v>
      </c>
      <c r="F870" t="inlineStr"/>
      <c r="G870" t="inlineStr"/>
      <c r="H870" t="n">
        <v>3878.5754</v>
      </c>
      <c r="I870" t="n">
        <v>3763.7847</v>
      </c>
      <c r="J870" t="n">
        <v>12499.4002</v>
      </c>
      <c r="K870" t="n">
        <v>2020</v>
      </c>
      <c r="L870" t="n">
        <v>2035</v>
      </c>
      <c r="M870" t="n">
        <v>0.2888</v>
      </c>
      <c r="N870" t="n">
        <v>0.1304</v>
      </c>
      <c r="O870" t="n">
        <v>2018</v>
      </c>
      <c r="P870" t="inlineStr"/>
      <c r="Q870" t="inlineStr"/>
      <c r="R870" t="n">
        <v>529.8294</v>
      </c>
      <c r="S870" t="n">
        <v>0.00091413</v>
      </c>
      <c r="T870" t="n">
        <v>0.00096913</v>
      </c>
    </row>
    <row r="871">
      <c r="A871" t="inlineStr">
        <is>
          <t>SUP-0087</t>
        </is>
      </c>
      <c r="B871" t="inlineStr">
        <is>
          <t>Agriculture Supplier 087</t>
        </is>
      </c>
      <c r="C871" t="inlineStr">
        <is>
          <t>Agriculture</t>
        </is>
      </c>
      <c r="D871" t="n">
        <v>2024</v>
      </c>
      <c r="E871" t="n">
        <v>43755411.18</v>
      </c>
      <c r="F871" t="n">
        <v>143262500.87</v>
      </c>
      <c r="G871" t="n">
        <v>28286.5821</v>
      </c>
      <c r="H871" t="inlineStr"/>
      <c r="I871" t="n">
        <v>3339.6118</v>
      </c>
      <c r="J871" t="n">
        <v>20351.0716</v>
      </c>
      <c r="K871" t="n">
        <v>2020</v>
      </c>
      <c r="L871" t="n">
        <v>2035</v>
      </c>
      <c r="M871" t="n">
        <v>0.2888</v>
      </c>
      <c r="N871" t="n">
        <v>0.1304</v>
      </c>
      <c r="O871" t="n">
        <v>2018</v>
      </c>
      <c r="P871" t="inlineStr"/>
      <c r="Q871" t="inlineStr"/>
      <c r="R871" t="n">
        <v>529.8294</v>
      </c>
      <c r="S871" t="n">
        <v>0.00091413</v>
      </c>
      <c r="T871" t="n">
        <v>0.00096913</v>
      </c>
    </row>
    <row r="872">
      <c r="A872" t="inlineStr">
        <is>
          <t>SUP-0088</t>
        </is>
      </c>
      <c r="B872" t="inlineStr">
        <is>
          <t>Packaging Supplier 088</t>
        </is>
      </c>
      <c r="C872" t="inlineStr">
        <is>
          <t>Packaging</t>
        </is>
      </c>
      <c r="D872" t="n">
        <v>2015</v>
      </c>
      <c r="E872" t="n">
        <v>16213992.41</v>
      </c>
      <c r="F872" t="inlineStr"/>
      <c r="G872" t="n">
        <v>14710.9914</v>
      </c>
      <c r="H872" t="n">
        <v>1699.0691</v>
      </c>
      <c r="I872" t="inlineStr"/>
      <c r="J872" t="n">
        <v>10876.5079</v>
      </c>
      <c r="K872" t="n">
        <v>2019</v>
      </c>
      <c r="L872" t="n">
        <v>2035</v>
      </c>
      <c r="M872" t="n">
        <v>0.4862</v>
      </c>
      <c r="N872" t="n">
        <v>0.1913</v>
      </c>
      <c r="O872" t="n">
        <v>2018</v>
      </c>
      <c r="P872" t="n">
        <v>2040</v>
      </c>
      <c r="Q872" t="n">
        <v>0.3112</v>
      </c>
      <c r="R872" t="n">
        <v>702.4188</v>
      </c>
      <c r="S872" t="n">
        <v>0.0010803</v>
      </c>
      <c r="T872" t="n">
        <v>0.00078946</v>
      </c>
    </row>
    <row r="873">
      <c r="A873" t="inlineStr">
        <is>
          <t>SUP-0088</t>
        </is>
      </c>
      <c r="B873" t="inlineStr">
        <is>
          <t>Packaging Supplier 088</t>
        </is>
      </c>
      <c r="C873" t="inlineStr">
        <is>
          <t>Packaging</t>
        </is>
      </c>
      <c r="D873" t="n">
        <v>2016</v>
      </c>
      <c r="E873" t="n">
        <v>18357249.86</v>
      </c>
      <c r="F873" t="n">
        <v>76707177.89</v>
      </c>
      <c r="G873" t="inlineStr"/>
      <c r="H873" t="inlineStr"/>
      <c r="I873" t="inlineStr"/>
      <c r="J873" t="n">
        <v>11931.6227</v>
      </c>
      <c r="K873" t="n">
        <v>2019</v>
      </c>
      <c r="L873" t="n">
        <v>2035</v>
      </c>
      <c r="M873" t="n">
        <v>0.4862</v>
      </c>
      <c r="N873" t="n">
        <v>0.1913</v>
      </c>
      <c r="O873" t="n">
        <v>2018</v>
      </c>
      <c r="P873" t="n">
        <v>2040</v>
      </c>
      <c r="Q873" t="n">
        <v>0.3112</v>
      </c>
      <c r="R873" t="n">
        <v>702.4188</v>
      </c>
      <c r="S873" t="n">
        <v>0.0010803</v>
      </c>
      <c r="T873" t="n">
        <v>0.00078946</v>
      </c>
    </row>
    <row r="874">
      <c r="A874" t="inlineStr">
        <is>
          <t>SUP-0088</t>
        </is>
      </c>
      <c r="B874" t="inlineStr">
        <is>
          <t>Packaging Supplier 088</t>
        </is>
      </c>
      <c r="C874" t="inlineStr">
        <is>
          <t>Packaging</t>
        </is>
      </c>
      <c r="D874" t="n">
        <v>2017</v>
      </c>
      <c r="E874" t="n">
        <v>21827408.76</v>
      </c>
      <c r="F874" t="n">
        <v>63663292.46</v>
      </c>
      <c r="G874" t="n">
        <v>24475.105</v>
      </c>
      <c r="H874" t="n">
        <v>2642.7979</v>
      </c>
      <c r="I874" t="n">
        <v>4024.8294</v>
      </c>
      <c r="J874" t="n">
        <v>19068.0722</v>
      </c>
      <c r="K874" t="n">
        <v>2019</v>
      </c>
      <c r="L874" t="n">
        <v>2035</v>
      </c>
      <c r="M874" t="n">
        <v>0.4862</v>
      </c>
      <c r="N874" t="n">
        <v>0.1913</v>
      </c>
      <c r="O874" t="n">
        <v>2018</v>
      </c>
      <c r="P874" t="n">
        <v>2040</v>
      </c>
      <c r="Q874" t="n">
        <v>0.3112</v>
      </c>
      <c r="R874" t="n">
        <v>702.4188</v>
      </c>
      <c r="S874" t="n">
        <v>0.0010803</v>
      </c>
      <c r="T874" t="n">
        <v>0.00078946</v>
      </c>
    </row>
    <row r="875">
      <c r="A875" t="inlineStr">
        <is>
          <t>SUP-0088</t>
        </is>
      </c>
      <c r="B875" t="inlineStr">
        <is>
          <t>Packaging Supplier 088</t>
        </is>
      </c>
      <c r="C875" t="inlineStr">
        <is>
          <t>Packaging</t>
        </is>
      </c>
      <c r="D875" t="n">
        <v>2018</v>
      </c>
      <c r="E875" t="n">
        <v>22366361.33</v>
      </c>
      <c r="F875" t="n">
        <v>88262040.97</v>
      </c>
      <c r="G875" t="n">
        <v>21066.6321</v>
      </c>
      <c r="H875" t="n">
        <v>3489.3805</v>
      </c>
      <c r="I875" t="n">
        <v>3834.6894</v>
      </c>
      <c r="J875" t="n">
        <v>13878.0286</v>
      </c>
      <c r="K875" t="n">
        <v>2019</v>
      </c>
      <c r="L875" t="n">
        <v>2035</v>
      </c>
      <c r="M875" t="n">
        <v>0.4862</v>
      </c>
      <c r="N875" t="n">
        <v>0.1913</v>
      </c>
      <c r="O875" t="n">
        <v>2018</v>
      </c>
      <c r="P875" t="n">
        <v>2040</v>
      </c>
      <c r="Q875" t="n">
        <v>0.3112</v>
      </c>
      <c r="R875" t="n">
        <v>702.4188</v>
      </c>
      <c r="S875" t="n">
        <v>0.0010803</v>
      </c>
      <c r="T875" t="n">
        <v>0.00078946</v>
      </c>
    </row>
    <row r="876">
      <c r="A876" t="inlineStr">
        <is>
          <t>SUP-0088</t>
        </is>
      </c>
      <c r="B876" t="inlineStr">
        <is>
          <t>Packaging Supplier 088</t>
        </is>
      </c>
      <c r="C876" t="inlineStr">
        <is>
          <t>Packaging</t>
        </is>
      </c>
      <c r="D876" t="n">
        <v>2019</v>
      </c>
      <c r="E876" t="n">
        <v>23577299.3</v>
      </c>
      <c r="F876" t="n">
        <v>80800602.72</v>
      </c>
      <c r="G876" t="n">
        <v>25170.1277</v>
      </c>
      <c r="H876" t="n">
        <v>3049.8513</v>
      </c>
      <c r="I876" t="n">
        <v>3388.3604</v>
      </c>
      <c r="J876" t="n">
        <v>17503.8366</v>
      </c>
      <c r="K876" t="n">
        <v>2019</v>
      </c>
      <c r="L876" t="n">
        <v>2035</v>
      </c>
      <c r="M876" t="n">
        <v>0.4862</v>
      </c>
      <c r="N876" t="n">
        <v>0.1913</v>
      </c>
      <c r="O876" t="n">
        <v>2018</v>
      </c>
      <c r="P876" t="n">
        <v>2040</v>
      </c>
      <c r="Q876" t="n">
        <v>0.3112</v>
      </c>
      <c r="R876" t="n">
        <v>702.4188</v>
      </c>
      <c r="S876" t="n">
        <v>0.0010803</v>
      </c>
      <c r="T876" t="n">
        <v>0.00078946</v>
      </c>
    </row>
    <row r="877">
      <c r="A877" t="inlineStr">
        <is>
          <t>SUP-0088</t>
        </is>
      </c>
      <c r="B877" t="inlineStr">
        <is>
          <t>Packaging Supplier 088</t>
        </is>
      </c>
      <c r="C877" t="inlineStr">
        <is>
          <t>Packaging</t>
        </is>
      </c>
      <c r="D877" t="n">
        <v>2020</v>
      </c>
      <c r="E877" t="n">
        <v>23723958.62</v>
      </c>
      <c r="F877" t="n">
        <v>81952174.28</v>
      </c>
      <c r="G877" t="n">
        <v>23335.7173</v>
      </c>
      <c r="H877" t="n">
        <v>4423.5835</v>
      </c>
      <c r="I877" t="inlineStr"/>
      <c r="J877" t="inlineStr"/>
      <c r="K877" t="n">
        <v>2019</v>
      </c>
      <c r="L877" t="n">
        <v>2035</v>
      </c>
      <c r="M877" t="n">
        <v>0.4862</v>
      </c>
      <c r="N877" t="n">
        <v>0.1913</v>
      </c>
      <c r="O877" t="n">
        <v>2018</v>
      </c>
      <c r="P877" t="n">
        <v>2040</v>
      </c>
      <c r="Q877" t="n">
        <v>0.3112</v>
      </c>
      <c r="R877" t="n">
        <v>702.4188</v>
      </c>
      <c r="S877" t="n">
        <v>0.0010803</v>
      </c>
      <c r="T877" t="n">
        <v>0.00078946</v>
      </c>
    </row>
    <row r="878">
      <c r="A878" t="inlineStr">
        <is>
          <t>SUP-0088</t>
        </is>
      </c>
      <c r="B878" t="inlineStr">
        <is>
          <t>Packaging Supplier 088</t>
        </is>
      </c>
      <c r="C878" t="inlineStr">
        <is>
          <t>Packaging</t>
        </is>
      </c>
      <c r="D878" t="n">
        <v>2021</v>
      </c>
      <c r="E878" t="n">
        <v>26366092.27</v>
      </c>
      <c r="F878" t="n">
        <v>111666862.93</v>
      </c>
      <c r="G878" t="inlineStr"/>
      <c r="H878" t="n">
        <v>4000.2735</v>
      </c>
      <c r="I878" t="n">
        <v>1947.0458</v>
      </c>
      <c r="J878" t="n">
        <v>19321.6806</v>
      </c>
      <c r="K878" t="n">
        <v>2019</v>
      </c>
      <c r="L878" t="n">
        <v>2035</v>
      </c>
      <c r="M878" t="n">
        <v>0.4862</v>
      </c>
      <c r="N878" t="n">
        <v>0.1913</v>
      </c>
      <c r="O878" t="n">
        <v>2018</v>
      </c>
      <c r="P878" t="n">
        <v>2040</v>
      </c>
      <c r="Q878" t="n">
        <v>0.3112</v>
      </c>
      <c r="R878" t="n">
        <v>702.4188</v>
      </c>
      <c r="S878" t="n">
        <v>0.0010803</v>
      </c>
      <c r="T878" t="n">
        <v>0.00078946</v>
      </c>
    </row>
    <row r="879">
      <c r="A879" t="inlineStr">
        <is>
          <t>SUP-0088</t>
        </is>
      </c>
      <c r="B879" t="inlineStr">
        <is>
          <t>Packaging Supplier 088</t>
        </is>
      </c>
      <c r="C879" t="inlineStr">
        <is>
          <t>Packaging</t>
        </is>
      </c>
      <c r="D879" t="n">
        <v>2022</v>
      </c>
      <c r="E879" t="n">
        <v>24257059.84</v>
      </c>
      <c r="F879" t="n">
        <v>108391641.06</v>
      </c>
      <c r="G879" t="n">
        <v>26658.3921</v>
      </c>
      <c r="H879" t="n">
        <v>7575.9251</v>
      </c>
      <c r="I879" t="n">
        <v>5361.1951</v>
      </c>
      <c r="J879" t="inlineStr"/>
      <c r="K879" t="n">
        <v>2019</v>
      </c>
      <c r="L879" t="n">
        <v>2035</v>
      </c>
      <c r="M879" t="n">
        <v>0.4862</v>
      </c>
      <c r="N879" t="n">
        <v>0.1913</v>
      </c>
      <c r="O879" t="n">
        <v>2018</v>
      </c>
      <c r="P879" t="n">
        <v>2040</v>
      </c>
      <c r="Q879" t="n">
        <v>0.3112</v>
      </c>
      <c r="R879" t="n">
        <v>702.4188</v>
      </c>
      <c r="S879" t="n">
        <v>0.0010803</v>
      </c>
      <c r="T879" t="n">
        <v>0.00078946</v>
      </c>
    </row>
    <row r="880">
      <c r="A880" t="inlineStr">
        <is>
          <t>SUP-0088</t>
        </is>
      </c>
      <c r="B880" t="inlineStr">
        <is>
          <t>Packaging Supplier 088</t>
        </is>
      </c>
      <c r="C880" t="inlineStr">
        <is>
          <t>Packaging</t>
        </is>
      </c>
      <c r="D880" t="n">
        <v>2023</v>
      </c>
      <c r="E880" t="n">
        <v>31234811.61</v>
      </c>
      <c r="F880" t="n">
        <v>125415025.12</v>
      </c>
      <c r="G880" t="n">
        <v>39939.4808</v>
      </c>
      <c r="H880" t="n">
        <v>3642.8112</v>
      </c>
      <c r="I880" t="n">
        <v>8009.4314</v>
      </c>
      <c r="J880" t="n">
        <v>27155.4463</v>
      </c>
      <c r="K880" t="n">
        <v>2019</v>
      </c>
      <c r="L880" t="n">
        <v>2035</v>
      </c>
      <c r="M880" t="n">
        <v>0.4862</v>
      </c>
      <c r="N880" t="n">
        <v>0.1913</v>
      </c>
      <c r="O880" t="n">
        <v>2018</v>
      </c>
      <c r="P880" t="n">
        <v>2040</v>
      </c>
      <c r="Q880" t="n">
        <v>0.3112</v>
      </c>
      <c r="R880" t="n">
        <v>702.4188</v>
      </c>
      <c r="S880" t="n">
        <v>0.0010803</v>
      </c>
      <c r="T880" t="n">
        <v>0.00078946</v>
      </c>
    </row>
    <row r="881">
      <c r="A881" t="inlineStr">
        <is>
          <t>SUP-0088</t>
        </is>
      </c>
      <c r="B881" t="inlineStr">
        <is>
          <t>Packaging Supplier 088</t>
        </is>
      </c>
      <c r="C881" t="inlineStr">
        <is>
          <t>Packaging</t>
        </is>
      </c>
      <c r="D881" t="n">
        <v>2024</v>
      </c>
      <c r="E881" t="n">
        <v>23582117.97</v>
      </c>
      <c r="F881" t="n">
        <v>76755971.09999999</v>
      </c>
      <c r="G881" t="n">
        <v>20140.6729</v>
      </c>
      <c r="H881" t="n">
        <v>4003.0138</v>
      </c>
      <c r="I881" t="inlineStr"/>
      <c r="J881" t="n">
        <v>12780.2569</v>
      </c>
      <c r="K881" t="n">
        <v>2019</v>
      </c>
      <c r="L881" t="n">
        <v>2035</v>
      </c>
      <c r="M881" t="n">
        <v>0.4862</v>
      </c>
      <c r="N881" t="n">
        <v>0.1913</v>
      </c>
      <c r="O881" t="n">
        <v>2018</v>
      </c>
      <c r="P881" t="n">
        <v>2040</v>
      </c>
      <c r="Q881" t="n">
        <v>0.3112</v>
      </c>
      <c r="R881" t="n">
        <v>702.4188</v>
      </c>
      <c r="S881" t="n">
        <v>0.0010803</v>
      </c>
      <c r="T881" t="n">
        <v>0.00078946</v>
      </c>
    </row>
    <row r="882">
      <c r="A882" t="inlineStr">
        <is>
          <t>SUP-0089</t>
        </is>
      </c>
      <c r="B882" t="inlineStr">
        <is>
          <t>Professional Supplier 089</t>
        </is>
      </c>
      <c r="C882" t="inlineStr">
        <is>
          <t>Professional Services</t>
        </is>
      </c>
      <c r="D882" t="n">
        <v>2015</v>
      </c>
      <c r="E882" t="n">
        <v>2537425.14</v>
      </c>
      <c r="F882" t="n">
        <v>11963311.72</v>
      </c>
      <c r="G882" t="n">
        <v>271.3481</v>
      </c>
      <c r="H882" t="inlineStr"/>
      <c r="I882" t="n">
        <v>24.9726</v>
      </c>
      <c r="J882" t="n">
        <v>188.4289</v>
      </c>
      <c r="K882" t="n">
        <v>2021</v>
      </c>
      <c r="L882" t="n">
        <v>2035</v>
      </c>
      <c r="M882" t="n">
        <v>0.3882</v>
      </c>
      <c r="N882" t="n">
        <v>0.2508</v>
      </c>
      <c r="O882" t="n">
        <v>2020</v>
      </c>
      <c r="P882" t="inlineStr"/>
      <c r="Q882" t="inlineStr"/>
      <c r="R882" t="n">
        <v>400.0326</v>
      </c>
      <c r="S882" t="n">
        <v>0.00012906</v>
      </c>
      <c r="T882" t="n">
        <v>0.00019658</v>
      </c>
    </row>
    <row r="883">
      <c r="A883" t="inlineStr">
        <is>
          <t>SUP-0089</t>
        </is>
      </c>
      <c r="B883" t="inlineStr">
        <is>
          <t>Professional Supplier 089</t>
        </is>
      </c>
      <c r="C883" t="inlineStr">
        <is>
          <t>Professional Services</t>
        </is>
      </c>
      <c r="D883" t="n">
        <v>2016</v>
      </c>
      <c r="E883" t="n">
        <v>2768259.56</v>
      </c>
      <c r="F883" t="n">
        <v>14759812.15</v>
      </c>
      <c r="G883" t="n">
        <v>281.7592</v>
      </c>
      <c r="H883" t="n">
        <v>71.6507</v>
      </c>
      <c r="I883" t="n">
        <v>48.4433</v>
      </c>
      <c r="J883" t="n">
        <v>152.1737</v>
      </c>
      <c r="K883" t="n">
        <v>2021</v>
      </c>
      <c r="L883" t="n">
        <v>2035</v>
      </c>
      <c r="M883" t="n">
        <v>0.3882</v>
      </c>
      <c r="N883" t="n">
        <v>0.2508</v>
      </c>
      <c r="O883" t="n">
        <v>2020</v>
      </c>
      <c r="P883" t="inlineStr"/>
      <c r="Q883" t="inlineStr"/>
      <c r="R883" t="n">
        <v>400.0326</v>
      </c>
      <c r="S883" t="n">
        <v>0.00012906</v>
      </c>
      <c r="T883" t="n">
        <v>0.00019658</v>
      </c>
    </row>
    <row r="884">
      <c r="A884" t="inlineStr">
        <is>
          <t>SUP-0089</t>
        </is>
      </c>
      <c r="B884" t="inlineStr">
        <is>
          <t>Professional Supplier 089</t>
        </is>
      </c>
      <c r="C884" t="inlineStr">
        <is>
          <t>Professional Services</t>
        </is>
      </c>
      <c r="D884" t="n">
        <v>2017</v>
      </c>
      <c r="E884" t="n">
        <v>3032830.6</v>
      </c>
      <c r="F884" t="n">
        <v>17319335.59</v>
      </c>
      <c r="G884" t="n">
        <v>335.2869</v>
      </c>
      <c r="H884" t="n">
        <v>47.9985</v>
      </c>
      <c r="I884" t="n">
        <v>35.7254</v>
      </c>
      <c r="J884" t="inlineStr"/>
      <c r="K884" t="n">
        <v>2021</v>
      </c>
      <c r="L884" t="n">
        <v>2035</v>
      </c>
      <c r="M884" t="n">
        <v>0.3882</v>
      </c>
      <c r="N884" t="n">
        <v>0.2508</v>
      </c>
      <c r="O884" t="n">
        <v>2020</v>
      </c>
      <c r="P884" t="inlineStr"/>
      <c r="Q884" t="inlineStr"/>
      <c r="R884" t="n">
        <v>400.0326</v>
      </c>
      <c r="S884" t="n">
        <v>0.00012906</v>
      </c>
      <c r="T884" t="n">
        <v>0.00019658</v>
      </c>
    </row>
    <row r="885">
      <c r="A885" t="inlineStr">
        <is>
          <t>SUP-0089</t>
        </is>
      </c>
      <c r="B885" t="inlineStr">
        <is>
          <t>Professional Supplier 089</t>
        </is>
      </c>
      <c r="C885" t="inlineStr">
        <is>
          <t>Professional Services</t>
        </is>
      </c>
      <c r="D885" t="n">
        <v>2018</v>
      </c>
      <c r="E885" t="n">
        <v>3341618.3</v>
      </c>
      <c r="F885" t="n">
        <v>18054329.23</v>
      </c>
      <c r="G885" t="n">
        <v>323.3069</v>
      </c>
      <c r="H885" t="n">
        <v>34.7055</v>
      </c>
      <c r="I885" t="n">
        <v>55.9019</v>
      </c>
      <c r="J885" t="n">
        <v>277.2126</v>
      </c>
      <c r="K885" t="n">
        <v>2021</v>
      </c>
      <c r="L885" t="n">
        <v>2035</v>
      </c>
      <c r="M885" t="n">
        <v>0.3882</v>
      </c>
      <c r="N885" t="n">
        <v>0.2508</v>
      </c>
      <c r="O885" t="n">
        <v>2020</v>
      </c>
      <c r="P885" t="inlineStr"/>
      <c r="Q885" t="inlineStr"/>
      <c r="R885" t="n">
        <v>400.0326</v>
      </c>
      <c r="S885" t="n">
        <v>0.00012906</v>
      </c>
      <c r="T885" t="n">
        <v>0.00019658</v>
      </c>
    </row>
    <row r="886">
      <c r="A886" t="inlineStr">
        <is>
          <t>SUP-0089</t>
        </is>
      </c>
      <c r="B886" t="inlineStr">
        <is>
          <t>Professional Supplier 089</t>
        </is>
      </c>
      <c r="C886" t="inlineStr">
        <is>
          <t>Professional Services</t>
        </is>
      </c>
      <c r="D886" t="n">
        <v>2019</v>
      </c>
      <c r="E886" t="n">
        <v>3471994.11</v>
      </c>
      <c r="F886" t="n">
        <v>17534567.82</v>
      </c>
      <c r="G886" t="inlineStr"/>
      <c r="H886" t="inlineStr"/>
      <c r="I886" t="n">
        <v>38.5534</v>
      </c>
      <c r="J886" t="inlineStr"/>
      <c r="K886" t="n">
        <v>2021</v>
      </c>
      <c r="L886" t="n">
        <v>2035</v>
      </c>
      <c r="M886" t="n">
        <v>0.3882</v>
      </c>
      <c r="N886" t="n">
        <v>0.2508</v>
      </c>
      <c r="O886" t="n">
        <v>2020</v>
      </c>
      <c r="P886" t="inlineStr"/>
      <c r="Q886" t="inlineStr"/>
      <c r="R886" t="n">
        <v>400.0326</v>
      </c>
      <c r="S886" t="n">
        <v>0.00012906</v>
      </c>
      <c r="T886" t="n">
        <v>0.00019658</v>
      </c>
    </row>
    <row r="887">
      <c r="A887" t="inlineStr">
        <is>
          <t>SUP-0089</t>
        </is>
      </c>
      <c r="B887" t="inlineStr">
        <is>
          <t>Professional Supplier 089</t>
        </is>
      </c>
      <c r="C887" t="inlineStr">
        <is>
          <t>Professional Services</t>
        </is>
      </c>
      <c r="D887" t="n">
        <v>2020</v>
      </c>
      <c r="E887" t="n">
        <v>4605517.45</v>
      </c>
      <c r="F887" t="n">
        <v>23896527.28</v>
      </c>
      <c r="G887" t="n">
        <v>456.4388</v>
      </c>
      <c r="H887" t="inlineStr"/>
      <c r="I887" t="n">
        <v>84.3145</v>
      </c>
      <c r="J887" t="n">
        <v>283.8666</v>
      </c>
      <c r="K887" t="n">
        <v>2021</v>
      </c>
      <c r="L887" t="n">
        <v>2035</v>
      </c>
      <c r="M887" t="n">
        <v>0.3882</v>
      </c>
      <c r="N887" t="n">
        <v>0.2508</v>
      </c>
      <c r="O887" t="n">
        <v>2020</v>
      </c>
      <c r="P887" t="inlineStr"/>
      <c r="Q887" t="inlineStr"/>
      <c r="R887" t="n">
        <v>400.0326</v>
      </c>
      <c r="S887" t="n">
        <v>0.00012906</v>
      </c>
      <c r="T887" t="n">
        <v>0.00019658</v>
      </c>
    </row>
    <row r="888">
      <c r="A888" t="inlineStr">
        <is>
          <t>SUP-0089</t>
        </is>
      </c>
      <c r="B888" t="inlineStr">
        <is>
          <t>Professional Supplier 089</t>
        </is>
      </c>
      <c r="C888" t="inlineStr">
        <is>
          <t>Professional Services</t>
        </is>
      </c>
      <c r="D888" t="n">
        <v>2021</v>
      </c>
      <c r="E888" t="n">
        <v>4080232.47</v>
      </c>
      <c r="F888" t="n">
        <v>20820658.8</v>
      </c>
      <c r="G888" t="n">
        <v>399.1534</v>
      </c>
      <c r="H888" t="n">
        <v>102.4045</v>
      </c>
      <c r="I888" t="n">
        <v>75.1832</v>
      </c>
      <c r="J888" t="n">
        <v>211.0162</v>
      </c>
      <c r="K888" t="n">
        <v>2021</v>
      </c>
      <c r="L888" t="n">
        <v>2035</v>
      </c>
      <c r="M888" t="n">
        <v>0.3882</v>
      </c>
      <c r="N888" t="n">
        <v>0.2508</v>
      </c>
      <c r="O888" t="n">
        <v>2020</v>
      </c>
      <c r="P888" t="inlineStr"/>
      <c r="Q888" t="inlineStr"/>
      <c r="R888" t="n">
        <v>400.0326</v>
      </c>
      <c r="S888" t="n">
        <v>0.00012906</v>
      </c>
      <c r="T888" t="n">
        <v>0.00019658</v>
      </c>
    </row>
    <row r="889">
      <c r="A889" t="inlineStr">
        <is>
          <t>SUP-0089</t>
        </is>
      </c>
      <c r="B889" t="inlineStr">
        <is>
          <t>Professional Supplier 089</t>
        </is>
      </c>
      <c r="C889" t="inlineStr">
        <is>
          <t>Professional Services</t>
        </is>
      </c>
      <c r="D889" t="n">
        <v>2022</v>
      </c>
      <c r="E889" t="n">
        <v>4902981.46</v>
      </c>
      <c r="F889" t="n">
        <v>21320328.92</v>
      </c>
      <c r="G889" t="n">
        <v>379.6291</v>
      </c>
      <c r="H889" t="n">
        <v>98.995</v>
      </c>
      <c r="I889" t="n">
        <v>36.9428</v>
      </c>
      <c r="J889" t="n">
        <v>226.2609</v>
      </c>
      <c r="K889" t="n">
        <v>2021</v>
      </c>
      <c r="L889" t="n">
        <v>2035</v>
      </c>
      <c r="M889" t="n">
        <v>0.3882</v>
      </c>
      <c r="N889" t="n">
        <v>0.2508</v>
      </c>
      <c r="O889" t="n">
        <v>2020</v>
      </c>
      <c r="P889" t="inlineStr"/>
      <c r="Q889" t="inlineStr"/>
      <c r="R889" t="n">
        <v>400.0326</v>
      </c>
      <c r="S889" t="n">
        <v>0.00012906</v>
      </c>
      <c r="T889" t="n">
        <v>0.00019658</v>
      </c>
    </row>
    <row r="890">
      <c r="A890" t="inlineStr">
        <is>
          <t>SUP-0089</t>
        </is>
      </c>
      <c r="B890" t="inlineStr">
        <is>
          <t>Professional Supplier 089</t>
        </is>
      </c>
      <c r="C890" t="inlineStr">
        <is>
          <t>Professional Services</t>
        </is>
      </c>
      <c r="D890" t="n">
        <v>2023</v>
      </c>
      <c r="E890" t="n">
        <v>4752991.39</v>
      </c>
      <c r="F890" t="n">
        <v>29338102.65</v>
      </c>
      <c r="G890" t="n">
        <v>359.9385</v>
      </c>
      <c r="H890" t="n">
        <v>35.5903</v>
      </c>
      <c r="I890" t="n">
        <v>75.86069999999999</v>
      </c>
      <c r="J890" t="n">
        <v>261.8281</v>
      </c>
      <c r="K890" t="n">
        <v>2021</v>
      </c>
      <c r="L890" t="n">
        <v>2035</v>
      </c>
      <c r="M890" t="n">
        <v>0.3882</v>
      </c>
      <c r="N890" t="n">
        <v>0.2508</v>
      </c>
      <c r="O890" t="n">
        <v>2020</v>
      </c>
      <c r="P890" t="inlineStr"/>
      <c r="Q890" t="inlineStr"/>
      <c r="R890" t="n">
        <v>400.0326</v>
      </c>
      <c r="S890" t="n">
        <v>0.00012906</v>
      </c>
      <c r="T890" t="n">
        <v>0.00019658</v>
      </c>
    </row>
    <row r="891">
      <c r="A891" t="inlineStr">
        <is>
          <t>SUP-0089</t>
        </is>
      </c>
      <c r="B891" t="inlineStr">
        <is>
          <t>Professional Supplier 089</t>
        </is>
      </c>
      <c r="C891" t="inlineStr">
        <is>
          <t>Professional Services</t>
        </is>
      </c>
      <c r="D891" t="n">
        <v>2024</v>
      </c>
      <c r="E891" t="inlineStr"/>
      <c r="F891" t="n">
        <v>30853113.55</v>
      </c>
      <c r="G891" t="n">
        <v>579.8129</v>
      </c>
      <c r="H891" t="n">
        <v>67.901</v>
      </c>
      <c r="I891" t="n">
        <v>87.2749</v>
      </c>
      <c r="J891" t="n">
        <v>408.4152</v>
      </c>
      <c r="K891" t="n">
        <v>2021</v>
      </c>
      <c r="L891" t="n">
        <v>2035</v>
      </c>
      <c r="M891" t="n">
        <v>0.3882</v>
      </c>
      <c r="N891" t="n">
        <v>0.2508</v>
      </c>
      <c r="O891" t="n">
        <v>2020</v>
      </c>
      <c r="P891" t="inlineStr"/>
      <c r="Q891" t="inlineStr"/>
      <c r="R891" t="n">
        <v>400.0326</v>
      </c>
      <c r="S891" t="n">
        <v>0.00012906</v>
      </c>
      <c r="T891" t="n">
        <v>0.00019658</v>
      </c>
    </row>
    <row r="892">
      <c r="A892" t="inlineStr">
        <is>
          <t>SUP-0090</t>
        </is>
      </c>
      <c r="B892" t="inlineStr">
        <is>
          <t>Textiles Supplier 090</t>
        </is>
      </c>
      <c r="C892" t="inlineStr">
        <is>
          <t>Textiles</t>
        </is>
      </c>
      <c r="D892" t="n">
        <v>2015</v>
      </c>
      <c r="E892" t="n">
        <v>10977244.51</v>
      </c>
      <c r="F892" t="n">
        <v>38393919.43</v>
      </c>
      <c r="G892" t="inlineStr"/>
      <c r="H892" t="n">
        <v>522.5501</v>
      </c>
      <c r="I892" t="inlineStr"/>
      <c r="J892" t="n">
        <v>1975.6151</v>
      </c>
      <c r="K892" t="n">
        <v>2018</v>
      </c>
      <c r="L892" t="n">
        <v>2040</v>
      </c>
      <c r="M892" t="n">
        <v>0.2819</v>
      </c>
      <c r="N892" t="n">
        <v>0.1127</v>
      </c>
      <c r="O892" t="n">
        <v>2019</v>
      </c>
      <c r="P892" t="n">
        <v>2030</v>
      </c>
      <c r="Q892" t="n">
        <v>0.3171</v>
      </c>
      <c r="R892" t="n">
        <v>401.7335</v>
      </c>
      <c r="S892" t="n">
        <v>0.00029221</v>
      </c>
      <c r="T892" t="n">
        <v>0.00017343</v>
      </c>
    </row>
    <row r="893">
      <c r="A893" t="inlineStr">
        <is>
          <t>SUP-0090</t>
        </is>
      </c>
      <c r="B893" t="inlineStr">
        <is>
          <t>Textiles Supplier 090</t>
        </is>
      </c>
      <c r="C893" t="inlineStr">
        <is>
          <t>Textiles</t>
        </is>
      </c>
      <c r="D893" t="n">
        <v>2016</v>
      </c>
      <c r="E893" t="n">
        <v>10882258.94</v>
      </c>
      <c r="F893" t="n">
        <v>32711069.91</v>
      </c>
      <c r="G893" t="n">
        <v>3294.71</v>
      </c>
      <c r="H893" t="n">
        <v>426.2312</v>
      </c>
      <c r="I893" t="n">
        <v>617.6352000000001</v>
      </c>
      <c r="J893" t="n">
        <v>2256.4637</v>
      </c>
      <c r="K893" t="n">
        <v>2018</v>
      </c>
      <c r="L893" t="n">
        <v>2040</v>
      </c>
      <c r="M893" t="n">
        <v>0.2819</v>
      </c>
      <c r="N893" t="n">
        <v>0.1127</v>
      </c>
      <c r="O893" t="n">
        <v>2019</v>
      </c>
      <c r="P893" t="n">
        <v>2030</v>
      </c>
      <c r="Q893" t="n">
        <v>0.3171</v>
      </c>
      <c r="R893" t="n">
        <v>401.7335</v>
      </c>
      <c r="S893" t="n">
        <v>0.00029221</v>
      </c>
      <c r="T893" t="n">
        <v>0.00017343</v>
      </c>
    </row>
    <row r="894">
      <c r="A894" t="inlineStr">
        <is>
          <t>SUP-0090</t>
        </is>
      </c>
      <c r="B894" t="inlineStr">
        <is>
          <t>Textiles Supplier 090</t>
        </is>
      </c>
      <c r="C894" t="inlineStr">
        <is>
          <t>Textiles</t>
        </is>
      </c>
      <c r="D894" t="n">
        <v>2017</v>
      </c>
      <c r="E894" t="n">
        <v>12204133.04</v>
      </c>
      <c r="F894" t="n">
        <v>35479863.93</v>
      </c>
      <c r="G894" t="n">
        <v>4409.8805</v>
      </c>
      <c r="H894" t="n">
        <v>1089.6293</v>
      </c>
      <c r="I894" t="n">
        <v>358.3464</v>
      </c>
      <c r="J894" t="n">
        <v>3268.5101</v>
      </c>
      <c r="K894" t="n">
        <v>2018</v>
      </c>
      <c r="L894" t="n">
        <v>2040</v>
      </c>
      <c r="M894" t="n">
        <v>0.2819</v>
      </c>
      <c r="N894" t="n">
        <v>0.1127</v>
      </c>
      <c r="O894" t="n">
        <v>2019</v>
      </c>
      <c r="P894" t="n">
        <v>2030</v>
      </c>
      <c r="Q894" t="n">
        <v>0.3171</v>
      </c>
      <c r="R894" t="n">
        <v>401.7335</v>
      </c>
      <c r="S894" t="n">
        <v>0.00029221</v>
      </c>
      <c r="T894" t="n">
        <v>0.00017343</v>
      </c>
    </row>
    <row r="895">
      <c r="A895" t="inlineStr">
        <is>
          <t>SUP-0090</t>
        </is>
      </c>
      <c r="B895" t="inlineStr">
        <is>
          <t>Textiles Supplier 090</t>
        </is>
      </c>
      <c r="C895" t="inlineStr">
        <is>
          <t>Textiles</t>
        </is>
      </c>
      <c r="D895" t="n">
        <v>2018</v>
      </c>
      <c r="E895" t="inlineStr"/>
      <c r="F895" t="n">
        <v>34916176.58</v>
      </c>
      <c r="G895" t="n">
        <v>4216.2456</v>
      </c>
      <c r="H895" t="n">
        <v>958.4054</v>
      </c>
      <c r="I895" t="inlineStr"/>
      <c r="J895" t="n">
        <v>2758.3129</v>
      </c>
      <c r="K895" t="n">
        <v>2018</v>
      </c>
      <c r="L895" t="n">
        <v>2040</v>
      </c>
      <c r="M895" t="n">
        <v>0.2819</v>
      </c>
      <c r="N895" t="n">
        <v>0.1127</v>
      </c>
      <c r="O895" t="n">
        <v>2019</v>
      </c>
      <c r="P895" t="n">
        <v>2030</v>
      </c>
      <c r="Q895" t="n">
        <v>0.3171</v>
      </c>
      <c r="R895" t="n">
        <v>401.7335</v>
      </c>
      <c r="S895" t="n">
        <v>0.00029221</v>
      </c>
      <c r="T895" t="n">
        <v>0.00017343</v>
      </c>
    </row>
    <row r="896">
      <c r="A896" t="inlineStr">
        <is>
          <t>SUP-0090</t>
        </is>
      </c>
      <c r="B896" t="inlineStr">
        <is>
          <t>Textiles Supplier 090</t>
        </is>
      </c>
      <c r="C896" t="inlineStr">
        <is>
          <t>Textiles</t>
        </is>
      </c>
      <c r="D896" t="n">
        <v>2019</v>
      </c>
      <c r="E896" t="n">
        <v>12324797.33</v>
      </c>
      <c r="F896" t="inlineStr"/>
      <c r="G896" t="inlineStr"/>
      <c r="H896" t="n">
        <v>1059.4644</v>
      </c>
      <c r="I896" t="n">
        <v>707.2794</v>
      </c>
      <c r="J896" t="n">
        <v>3107.5946</v>
      </c>
      <c r="K896" t="n">
        <v>2018</v>
      </c>
      <c r="L896" t="n">
        <v>2040</v>
      </c>
      <c r="M896" t="n">
        <v>0.2819</v>
      </c>
      <c r="N896" t="n">
        <v>0.1127</v>
      </c>
      <c r="O896" t="n">
        <v>2019</v>
      </c>
      <c r="P896" t="n">
        <v>2030</v>
      </c>
      <c r="Q896" t="n">
        <v>0.3171</v>
      </c>
      <c r="R896" t="n">
        <v>401.7335</v>
      </c>
      <c r="S896" t="n">
        <v>0.00029221</v>
      </c>
      <c r="T896" t="n">
        <v>0.00017343</v>
      </c>
    </row>
    <row r="897">
      <c r="A897" t="inlineStr">
        <is>
          <t>SUP-0090</t>
        </is>
      </c>
      <c r="B897" t="inlineStr">
        <is>
          <t>Textiles Supplier 090</t>
        </is>
      </c>
      <c r="C897" t="inlineStr">
        <is>
          <t>Textiles</t>
        </is>
      </c>
      <c r="D897" t="n">
        <v>2020</v>
      </c>
      <c r="E897" t="n">
        <v>15217196.92</v>
      </c>
      <c r="F897" t="n">
        <v>34607891.95</v>
      </c>
      <c r="G897" t="inlineStr"/>
      <c r="H897" t="n">
        <v>1356.0811</v>
      </c>
      <c r="I897" t="n">
        <v>465.6163</v>
      </c>
      <c r="J897" t="inlineStr"/>
      <c r="K897" t="n">
        <v>2018</v>
      </c>
      <c r="L897" t="n">
        <v>2040</v>
      </c>
      <c r="M897" t="n">
        <v>0.2819</v>
      </c>
      <c r="N897" t="n">
        <v>0.1127</v>
      </c>
      <c r="O897" t="n">
        <v>2019</v>
      </c>
      <c r="P897" t="n">
        <v>2030</v>
      </c>
      <c r="Q897" t="n">
        <v>0.3171</v>
      </c>
      <c r="R897" t="n">
        <v>401.7335</v>
      </c>
      <c r="S897" t="n">
        <v>0.00029221</v>
      </c>
      <c r="T897" t="n">
        <v>0.00017343</v>
      </c>
    </row>
    <row r="898">
      <c r="A898" t="inlineStr">
        <is>
          <t>SUP-0090</t>
        </is>
      </c>
      <c r="B898" t="inlineStr">
        <is>
          <t>Textiles Supplier 090</t>
        </is>
      </c>
      <c r="C898" t="inlineStr">
        <is>
          <t>Textiles</t>
        </is>
      </c>
      <c r="D898" t="n">
        <v>2021</v>
      </c>
      <c r="E898" t="n">
        <v>14050617.42</v>
      </c>
      <c r="F898" t="n">
        <v>44391306.22</v>
      </c>
      <c r="G898" t="n">
        <v>5652.9662</v>
      </c>
      <c r="H898" t="n">
        <v>1206.562</v>
      </c>
      <c r="I898" t="n">
        <v>890.5444</v>
      </c>
      <c r="J898" t="n">
        <v>3352.1932</v>
      </c>
      <c r="K898" t="n">
        <v>2018</v>
      </c>
      <c r="L898" t="n">
        <v>2040</v>
      </c>
      <c r="M898" t="n">
        <v>0.2819</v>
      </c>
      <c r="N898" t="n">
        <v>0.1127</v>
      </c>
      <c r="O898" t="n">
        <v>2019</v>
      </c>
      <c r="P898" t="n">
        <v>2030</v>
      </c>
      <c r="Q898" t="n">
        <v>0.3171</v>
      </c>
      <c r="R898" t="n">
        <v>401.7335</v>
      </c>
      <c r="S898" t="n">
        <v>0.00029221</v>
      </c>
      <c r="T898" t="n">
        <v>0.00017343</v>
      </c>
    </row>
    <row r="899">
      <c r="A899" t="inlineStr">
        <is>
          <t>SUP-0090</t>
        </is>
      </c>
      <c r="B899" t="inlineStr">
        <is>
          <t>Textiles Supplier 090</t>
        </is>
      </c>
      <c r="C899" t="inlineStr">
        <is>
          <t>Textiles</t>
        </is>
      </c>
      <c r="D899" t="n">
        <v>2022</v>
      </c>
      <c r="E899" t="inlineStr"/>
      <c r="F899" t="n">
        <v>50083063.92</v>
      </c>
      <c r="G899" t="n">
        <v>5048.0684</v>
      </c>
      <c r="H899" t="n">
        <v>976.0864</v>
      </c>
      <c r="I899" t="n">
        <v>931.7053</v>
      </c>
      <c r="J899" t="n">
        <v>3207.0798</v>
      </c>
      <c r="K899" t="n">
        <v>2018</v>
      </c>
      <c r="L899" t="n">
        <v>2040</v>
      </c>
      <c r="M899" t="n">
        <v>0.2819</v>
      </c>
      <c r="N899" t="n">
        <v>0.1127</v>
      </c>
      <c r="O899" t="n">
        <v>2019</v>
      </c>
      <c r="P899" t="n">
        <v>2030</v>
      </c>
      <c r="Q899" t="n">
        <v>0.3171</v>
      </c>
      <c r="R899" t="n">
        <v>401.7335</v>
      </c>
      <c r="S899" t="n">
        <v>0.00029221</v>
      </c>
      <c r="T899" t="n">
        <v>0.00017343</v>
      </c>
    </row>
    <row r="900">
      <c r="A900" t="inlineStr">
        <is>
          <t>SUP-0090</t>
        </is>
      </c>
      <c r="B900" t="inlineStr">
        <is>
          <t>Textiles Supplier 090</t>
        </is>
      </c>
      <c r="C900" t="inlineStr">
        <is>
          <t>Textiles</t>
        </is>
      </c>
      <c r="D900" t="n">
        <v>2023</v>
      </c>
      <c r="E900" t="n">
        <v>15211585.19</v>
      </c>
      <c r="F900" t="inlineStr"/>
      <c r="G900" t="n">
        <v>5275.7761</v>
      </c>
      <c r="H900" t="n">
        <v>537.796</v>
      </c>
      <c r="I900" t="inlineStr"/>
      <c r="J900" t="n">
        <v>3558.9452</v>
      </c>
      <c r="K900" t="n">
        <v>2018</v>
      </c>
      <c r="L900" t="n">
        <v>2040</v>
      </c>
      <c r="M900" t="n">
        <v>0.2819</v>
      </c>
      <c r="N900" t="n">
        <v>0.1127</v>
      </c>
      <c r="O900" t="n">
        <v>2019</v>
      </c>
      <c r="P900" t="n">
        <v>2030</v>
      </c>
      <c r="Q900" t="n">
        <v>0.3171</v>
      </c>
      <c r="R900" t="n">
        <v>401.7335</v>
      </c>
      <c r="S900" t="n">
        <v>0.00029221</v>
      </c>
      <c r="T900" t="n">
        <v>0.00017343</v>
      </c>
    </row>
    <row r="901">
      <c r="A901" t="inlineStr">
        <is>
          <t>SUP-0090</t>
        </is>
      </c>
      <c r="B901" t="inlineStr">
        <is>
          <t>Textiles Supplier 090</t>
        </is>
      </c>
      <c r="C901" t="inlineStr">
        <is>
          <t>Textiles</t>
        </is>
      </c>
      <c r="D901" t="n">
        <v>2024</v>
      </c>
      <c r="E901" t="n">
        <v>16851633.72</v>
      </c>
      <c r="F901" t="n">
        <v>61760802.61</v>
      </c>
      <c r="G901" t="inlineStr"/>
      <c r="H901" t="n">
        <v>1090.9428</v>
      </c>
      <c r="I901" t="n">
        <v>488.8649</v>
      </c>
      <c r="J901" t="n">
        <v>4233.7622</v>
      </c>
      <c r="K901" t="n">
        <v>2018</v>
      </c>
      <c r="L901" t="n">
        <v>2040</v>
      </c>
      <c r="M901" t="n">
        <v>0.2819</v>
      </c>
      <c r="N901" t="n">
        <v>0.1127</v>
      </c>
      <c r="O901" t="n">
        <v>2019</v>
      </c>
      <c r="P901" t="n">
        <v>2030</v>
      </c>
      <c r="Q901" t="n">
        <v>0.3171</v>
      </c>
      <c r="R901" t="n">
        <v>401.7335</v>
      </c>
      <c r="S901" t="n">
        <v>0.00029221</v>
      </c>
      <c r="T901" t="n">
        <v>0.00017343</v>
      </c>
    </row>
    <row r="902">
      <c r="A902" t="inlineStr">
        <is>
          <t>SUP-0091</t>
        </is>
      </c>
      <c r="B902" t="inlineStr">
        <is>
          <t>Professional Supplier 091</t>
        </is>
      </c>
      <c r="C902" t="inlineStr">
        <is>
          <t>Professional Services</t>
        </is>
      </c>
      <c r="D902" t="n">
        <v>2015</v>
      </c>
      <c r="E902" t="n">
        <v>26497870.78</v>
      </c>
      <c r="F902" t="n">
        <v>109993307.13</v>
      </c>
      <c r="G902" t="inlineStr"/>
      <c r="H902" t="n">
        <v>537.8057</v>
      </c>
      <c r="I902" t="inlineStr"/>
      <c r="J902" t="n">
        <v>2471.9477</v>
      </c>
      <c r="K902" t="inlineStr"/>
      <c r="L902" t="inlineStr"/>
      <c r="M902" t="inlineStr"/>
      <c r="N902" t="inlineStr"/>
      <c r="O902" t="n">
        <v>2020</v>
      </c>
      <c r="P902" t="inlineStr"/>
      <c r="Q902" t="inlineStr"/>
      <c r="R902" t="n">
        <v>400.0326</v>
      </c>
      <c r="S902" t="n">
        <v>0.00012906</v>
      </c>
      <c r="T902" t="n">
        <v>0.00019658</v>
      </c>
    </row>
    <row r="903">
      <c r="A903" t="inlineStr">
        <is>
          <t>SUP-0091</t>
        </is>
      </c>
      <c r="B903" t="inlineStr">
        <is>
          <t>Professional Supplier 091</t>
        </is>
      </c>
      <c r="C903" t="inlineStr">
        <is>
          <t>Professional Services</t>
        </is>
      </c>
      <c r="D903" t="n">
        <v>2016</v>
      </c>
      <c r="E903" t="n">
        <v>26296651.13</v>
      </c>
      <c r="F903" t="n">
        <v>140546176.8</v>
      </c>
      <c r="G903" t="inlineStr"/>
      <c r="H903" t="n">
        <v>610.6882000000001</v>
      </c>
      <c r="I903" t="n">
        <v>980.1045</v>
      </c>
      <c r="J903" t="n">
        <v>2970.6315</v>
      </c>
      <c r="K903" t="inlineStr"/>
      <c r="L903" t="inlineStr"/>
      <c r="M903" t="inlineStr"/>
      <c r="N903" t="inlineStr"/>
      <c r="O903" t="n">
        <v>2020</v>
      </c>
      <c r="P903" t="inlineStr"/>
      <c r="Q903" t="inlineStr"/>
      <c r="R903" t="n">
        <v>400.0326</v>
      </c>
      <c r="S903" t="n">
        <v>0.00012906</v>
      </c>
      <c r="T903" t="n">
        <v>0.00019658</v>
      </c>
    </row>
    <row r="904">
      <c r="A904" t="inlineStr">
        <is>
          <t>SUP-0091</t>
        </is>
      </c>
      <c r="B904" t="inlineStr">
        <is>
          <t>Professional Supplier 091</t>
        </is>
      </c>
      <c r="C904" t="inlineStr">
        <is>
          <t>Professional Services</t>
        </is>
      </c>
      <c r="D904" t="n">
        <v>2017</v>
      </c>
      <c r="E904" t="n">
        <v>23571473.37</v>
      </c>
      <c r="F904" t="n">
        <v>109015816.5</v>
      </c>
      <c r="G904" t="n">
        <v>4159.6574</v>
      </c>
      <c r="H904" t="n">
        <v>1101.3486</v>
      </c>
      <c r="I904" t="inlineStr"/>
      <c r="J904" t="n">
        <v>2584.2048</v>
      </c>
      <c r="K904" t="inlineStr"/>
      <c r="L904" t="inlineStr"/>
      <c r="M904" t="inlineStr"/>
      <c r="N904" t="inlineStr"/>
      <c r="O904" t="n">
        <v>2020</v>
      </c>
      <c r="P904" t="inlineStr"/>
      <c r="Q904" t="inlineStr"/>
      <c r="R904" t="n">
        <v>400.0326</v>
      </c>
      <c r="S904" t="n">
        <v>0.00012906</v>
      </c>
      <c r="T904" t="n">
        <v>0.00019658</v>
      </c>
    </row>
    <row r="905">
      <c r="A905" t="inlineStr">
        <is>
          <t>SUP-0091</t>
        </is>
      </c>
      <c r="B905" t="inlineStr">
        <is>
          <t>Professional Supplier 091</t>
        </is>
      </c>
      <c r="C905" t="inlineStr">
        <is>
          <t>Professional Services</t>
        </is>
      </c>
      <c r="D905" t="n">
        <v>2018</v>
      </c>
      <c r="E905" t="n">
        <v>32032078.87</v>
      </c>
      <c r="F905" t="n">
        <v>124899237.61</v>
      </c>
      <c r="G905" t="n">
        <v>4050.244</v>
      </c>
      <c r="H905" t="n">
        <v>1020.1183</v>
      </c>
      <c r="I905" t="n">
        <v>635.2374</v>
      </c>
      <c r="J905" t="n">
        <v>2620.9443</v>
      </c>
      <c r="K905" t="inlineStr"/>
      <c r="L905" t="inlineStr"/>
      <c r="M905" t="inlineStr"/>
      <c r="N905" t="inlineStr"/>
      <c r="O905" t="n">
        <v>2020</v>
      </c>
      <c r="P905" t="inlineStr"/>
      <c r="Q905" t="inlineStr"/>
      <c r="R905" t="n">
        <v>400.0326</v>
      </c>
      <c r="S905" t="n">
        <v>0.00012906</v>
      </c>
      <c r="T905" t="n">
        <v>0.00019658</v>
      </c>
    </row>
    <row r="906">
      <c r="A906" t="inlineStr">
        <is>
          <t>SUP-0091</t>
        </is>
      </c>
      <c r="B906" t="inlineStr">
        <is>
          <t>Professional Supplier 091</t>
        </is>
      </c>
      <c r="C906" t="inlineStr">
        <is>
          <t>Professional Services</t>
        </is>
      </c>
      <c r="D906" t="n">
        <v>2019</v>
      </c>
      <c r="E906" t="n">
        <v>30246746.82</v>
      </c>
      <c r="F906" t="inlineStr"/>
      <c r="G906" t="n">
        <v>4698.1315</v>
      </c>
      <c r="H906" t="n">
        <v>1097.0595</v>
      </c>
      <c r="I906" t="n">
        <v>1046.3507</v>
      </c>
      <c r="J906" t="n">
        <v>2965.7377</v>
      </c>
      <c r="K906" t="inlineStr"/>
      <c r="L906" t="inlineStr"/>
      <c r="M906" t="inlineStr"/>
      <c r="N906" t="inlineStr"/>
      <c r="O906" t="n">
        <v>2020</v>
      </c>
      <c r="P906" t="inlineStr"/>
      <c r="Q906" t="inlineStr"/>
      <c r="R906" t="n">
        <v>400.0326</v>
      </c>
      <c r="S906" t="n">
        <v>0.00012906</v>
      </c>
      <c r="T906" t="n">
        <v>0.00019658</v>
      </c>
    </row>
    <row r="907">
      <c r="A907" t="inlineStr">
        <is>
          <t>SUP-0091</t>
        </is>
      </c>
      <c r="B907" t="inlineStr">
        <is>
          <t>Professional Supplier 091</t>
        </is>
      </c>
      <c r="C907" t="inlineStr">
        <is>
          <t>Professional Services</t>
        </is>
      </c>
      <c r="D907" t="n">
        <v>2020</v>
      </c>
      <c r="E907" t="n">
        <v>28816066.22</v>
      </c>
      <c r="F907" t="n">
        <v>180060235.04</v>
      </c>
      <c r="G907" t="inlineStr"/>
      <c r="H907" t="n">
        <v>746.8702</v>
      </c>
      <c r="I907" t="n">
        <v>336.2986</v>
      </c>
      <c r="J907" t="n">
        <v>3747.5983</v>
      </c>
      <c r="K907" t="inlineStr"/>
      <c r="L907" t="inlineStr"/>
      <c r="M907" t="inlineStr"/>
      <c r="N907" t="inlineStr"/>
      <c r="O907" t="n">
        <v>2020</v>
      </c>
      <c r="P907" t="inlineStr"/>
      <c r="Q907" t="inlineStr"/>
      <c r="R907" t="n">
        <v>400.0326</v>
      </c>
      <c r="S907" t="n">
        <v>0.00012906</v>
      </c>
      <c r="T907" t="n">
        <v>0.00019658</v>
      </c>
    </row>
    <row r="908">
      <c r="A908" t="inlineStr">
        <is>
          <t>SUP-0091</t>
        </is>
      </c>
      <c r="B908" t="inlineStr">
        <is>
          <t>Professional Supplier 091</t>
        </is>
      </c>
      <c r="C908" t="inlineStr">
        <is>
          <t>Professional Services</t>
        </is>
      </c>
      <c r="D908" t="n">
        <v>2021</v>
      </c>
      <c r="E908" t="n">
        <v>32167448.2</v>
      </c>
      <c r="F908" t="n">
        <v>172537687.82</v>
      </c>
      <c r="G908" t="inlineStr"/>
      <c r="H908" t="n">
        <v>1428.3576</v>
      </c>
      <c r="I908" t="n">
        <v>791.5410000000001</v>
      </c>
      <c r="J908" t="inlineStr"/>
      <c r="K908" t="inlineStr"/>
      <c r="L908" t="inlineStr"/>
      <c r="M908" t="inlineStr"/>
      <c r="N908" t="inlineStr"/>
      <c r="O908" t="n">
        <v>2020</v>
      </c>
      <c r="P908" t="inlineStr"/>
      <c r="Q908" t="inlineStr"/>
      <c r="R908" t="n">
        <v>400.0326</v>
      </c>
      <c r="S908" t="n">
        <v>0.00012906</v>
      </c>
      <c r="T908" t="n">
        <v>0.00019658</v>
      </c>
    </row>
    <row r="909">
      <c r="A909" t="inlineStr">
        <is>
          <t>SUP-0091</t>
        </is>
      </c>
      <c r="B909" t="inlineStr">
        <is>
          <t>Professional Supplier 091</t>
        </is>
      </c>
      <c r="C909" t="inlineStr">
        <is>
          <t>Professional Services</t>
        </is>
      </c>
      <c r="D909" t="n">
        <v>2022</v>
      </c>
      <c r="E909" t="n">
        <v>32800513.48</v>
      </c>
      <c r="F909" t="n">
        <v>168816139.15</v>
      </c>
      <c r="G909" t="n">
        <v>4233.3856</v>
      </c>
      <c r="H909" t="n">
        <v>540.6127</v>
      </c>
      <c r="I909" t="n">
        <v>579.4011</v>
      </c>
      <c r="J909" t="inlineStr"/>
      <c r="K909" t="inlineStr"/>
      <c r="L909" t="inlineStr"/>
      <c r="M909" t="inlineStr"/>
      <c r="N909" t="inlineStr"/>
      <c r="O909" t="n">
        <v>2020</v>
      </c>
      <c r="P909" t="inlineStr"/>
      <c r="Q909" t="inlineStr"/>
      <c r="R909" t="n">
        <v>400.0326</v>
      </c>
      <c r="S909" t="n">
        <v>0.00012906</v>
      </c>
      <c r="T909" t="n">
        <v>0.00019658</v>
      </c>
    </row>
    <row r="910">
      <c r="A910" t="inlineStr">
        <is>
          <t>SUP-0091</t>
        </is>
      </c>
      <c r="B910" t="inlineStr">
        <is>
          <t>Professional Supplier 091</t>
        </is>
      </c>
      <c r="C910" t="inlineStr">
        <is>
          <t>Professional Services</t>
        </is>
      </c>
      <c r="D910" t="n">
        <v>2023</v>
      </c>
      <c r="E910" t="n">
        <v>32171882.21</v>
      </c>
      <c r="F910" t="n">
        <v>168204092.84</v>
      </c>
      <c r="G910" t="n">
        <v>5746.4931</v>
      </c>
      <c r="H910" t="inlineStr"/>
      <c r="I910" t="inlineStr"/>
      <c r="J910" t="inlineStr"/>
      <c r="K910" t="inlineStr"/>
      <c r="L910" t="inlineStr"/>
      <c r="M910" t="inlineStr"/>
      <c r="N910" t="inlineStr"/>
      <c r="O910" t="n">
        <v>2020</v>
      </c>
      <c r="P910" t="inlineStr"/>
      <c r="Q910" t="inlineStr"/>
      <c r="R910" t="n">
        <v>400.0326</v>
      </c>
      <c r="S910" t="n">
        <v>0.00012906</v>
      </c>
      <c r="T910" t="n">
        <v>0.00019658</v>
      </c>
    </row>
    <row r="911">
      <c r="A911" t="inlineStr">
        <is>
          <t>SUP-0091</t>
        </is>
      </c>
      <c r="B911" t="inlineStr">
        <is>
          <t>Professional Supplier 091</t>
        </is>
      </c>
      <c r="C911" t="inlineStr">
        <is>
          <t>Professional Services</t>
        </is>
      </c>
      <c r="D911" t="n">
        <v>2024</v>
      </c>
      <c r="E911" t="n">
        <v>40971367.96</v>
      </c>
      <c r="F911" t="n">
        <v>151901369.24</v>
      </c>
      <c r="G911" t="n">
        <v>7596.4693</v>
      </c>
      <c r="H911" t="n">
        <v>1299.2721</v>
      </c>
      <c r="I911" t="n">
        <v>965.5072</v>
      </c>
      <c r="J911" t="n">
        <v>5158.2355</v>
      </c>
      <c r="K911" t="inlineStr"/>
      <c r="L911" t="inlineStr"/>
      <c r="M911" t="inlineStr"/>
      <c r="N911" t="inlineStr"/>
      <c r="O911" t="n">
        <v>2020</v>
      </c>
      <c r="P911" t="inlineStr"/>
      <c r="Q911" t="inlineStr"/>
      <c r="R911" t="n">
        <v>400.0326</v>
      </c>
      <c r="S911" t="n">
        <v>0.00012906</v>
      </c>
      <c r="T911" t="n">
        <v>0.00019658</v>
      </c>
    </row>
    <row r="912">
      <c r="A912" t="inlineStr">
        <is>
          <t>SUP-0092</t>
        </is>
      </c>
      <c r="B912" t="inlineStr">
        <is>
          <t>Metals Supplier 092</t>
        </is>
      </c>
      <c r="C912" t="inlineStr">
        <is>
          <t>Metals</t>
        </is>
      </c>
      <c r="D912" t="n">
        <v>2015</v>
      </c>
      <c r="E912" t="n">
        <v>18362761.57</v>
      </c>
      <c r="F912" t="n">
        <v>41061715.89</v>
      </c>
      <c r="G912" t="inlineStr"/>
      <c r="H912" t="n">
        <v>6165.1457</v>
      </c>
      <c r="I912" t="n">
        <v>5042.352</v>
      </c>
      <c r="J912" t="n">
        <v>12310.0097</v>
      </c>
      <c r="K912" t="inlineStr"/>
      <c r="L912" t="inlineStr"/>
      <c r="M912" t="inlineStr"/>
      <c r="N912" t="inlineStr"/>
      <c r="O912" t="n">
        <v>2019</v>
      </c>
      <c r="P912" t="n">
        <v>2030</v>
      </c>
      <c r="Q912" t="n">
        <v>0.3852</v>
      </c>
      <c r="R912" t="n">
        <v>158.2904</v>
      </c>
      <c r="S912" t="n">
        <v>0.00100695</v>
      </c>
      <c r="T912" t="n">
        <v>0.00065008</v>
      </c>
    </row>
    <row r="913">
      <c r="A913" t="inlineStr">
        <is>
          <t>SUP-0092</t>
        </is>
      </c>
      <c r="B913" t="inlineStr">
        <is>
          <t>Metals Supplier 092</t>
        </is>
      </c>
      <c r="C913" t="inlineStr">
        <is>
          <t>Metals</t>
        </is>
      </c>
      <c r="D913" t="n">
        <v>2016</v>
      </c>
      <c r="E913" t="n">
        <v>17205126.74</v>
      </c>
      <c r="F913" t="n">
        <v>34316063.24</v>
      </c>
      <c r="G913" t="n">
        <v>16844.0409</v>
      </c>
      <c r="H913" t="n">
        <v>3001.3032</v>
      </c>
      <c r="I913" t="n">
        <v>3898.1969</v>
      </c>
      <c r="J913" t="n">
        <v>10845.8739</v>
      </c>
      <c r="K913" t="inlineStr"/>
      <c r="L913" t="inlineStr"/>
      <c r="M913" t="inlineStr"/>
      <c r="N913" t="inlineStr"/>
      <c r="O913" t="n">
        <v>2019</v>
      </c>
      <c r="P913" t="n">
        <v>2030</v>
      </c>
      <c r="Q913" t="n">
        <v>0.3852</v>
      </c>
      <c r="R913" t="n">
        <v>158.2904</v>
      </c>
      <c r="S913" t="n">
        <v>0.00100695</v>
      </c>
      <c r="T913" t="n">
        <v>0.00065008</v>
      </c>
    </row>
    <row r="914">
      <c r="A914" t="inlineStr">
        <is>
          <t>SUP-0092</t>
        </is>
      </c>
      <c r="B914" t="inlineStr">
        <is>
          <t>Metals Supplier 092</t>
        </is>
      </c>
      <c r="C914" t="inlineStr">
        <is>
          <t>Metals</t>
        </is>
      </c>
      <c r="D914" t="n">
        <v>2017</v>
      </c>
      <c r="E914" t="n">
        <v>21264577.25</v>
      </c>
      <c r="F914" t="inlineStr"/>
      <c r="G914" t="n">
        <v>23836.8608</v>
      </c>
      <c r="H914" t="n">
        <v>6022.1626</v>
      </c>
      <c r="I914" t="n">
        <v>2471.6626</v>
      </c>
      <c r="J914" t="n">
        <v>15329.0092</v>
      </c>
      <c r="K914" t="inlineStr"/>
      <c r="L914" t="inlineStr"/>
      <c r="M914" t="inlineStr"/>
      <c r="N914" t="inlineStr"/>
      <c r="O914" t="n">
        <v>2019</v>
      </c>
      <c r="P914" t="n">
        <v>2030</v>
      </c>
      <c r="Q914" t="n">
        <v>0.3852</v>
      </c>
      <c r="R914" t="n">
        <v>158.2904</v>
      </c>
      <c r="S914" t="n">
        <v>0.00100695</v>
      </c>
      <c r="T914" t="n">
        <v>0.00065008</v>
      </c>
    </row>
    <row r="915">
      <c r="A915" t="inlineStr">
        <is>
          <t>SUP-0092</t>
        </is>
      </c>
      <c r="B915" t="inlineStr">
        <is>
          <t>Metals Supplier 092</t>
        </is>
      </c>
      <c r="C915" t="inlineStr">
        <is>
          <t>Metals</t>
        </is>
      </c>
      <c r="D915" t="n">
        <v>2018</v>
      </c>
      <c r="E915" t="n">
        <v>18096725.04</v>
      </c>
      <c r="F915" t="n">
        <v>40148997.13</v>
      </c>
      <c r="G915" t="n">
        <v>23748.8956</v>
      </c>
      <c r="H915" t="n">
        <v>4723.8016</v>
      </c>
      <c r="I915" t="n">
        <v>4857.7461</v>
      </c>
      <c r="J915" t="n">
        <v>14386.4153</v>
      </c>
      <c r="K915" t="inlineStr"/>
      <c r="L915" t="inlineStr"/>
      <c r="M915" t="inlineStr"/>
      <c r="N915" t="inlineStr"/>
      <c r="O915" t="n">
        <v>2019</v>
      </c>
      <c r="P915" t="n">
        <v>2030</v>
      </c>
      <c r="Q915" t="n">
        <v>0.3852</v>
      </c>
      <c r="R915" t="n">
        <v>158.2904</v>
      </c>
      <c r="S915" t="n">
        <v>0.00100695</v>
      </c>
      <c r="T915" t="n">
        <v>0.00065008</v>
      </c>
    </row>
    <row r="916">
      <c r="A916" t="inlineStr">
        <is>
          <t>SUP-0092</t>
        </is>
      </c>
      <c r="B916" t="inlineStr">
        <is>
          <t>Metals Supplier 092</t>
        </is>
      </c>
      <c r="C916" t="inlineStr">
        <is>
          <t>Metals</t>
        </is>
      </c>
      <c r="D916" t="n">
        <v>2019</v>
      </c>
      <c r="E916" t="n">
        <v>16686374.31</v>
      </c>
      <c r="F916" t="n">
        <v>33992484.03</v>
      </c>
      <c r="G916" t="inlineStr"/>
      <c r="H916" t="n">
        <v>2439.4797</v>
      </c>
      <c r="I916" t="n">
        <v>3288.3464</v>
      </c>
      <c r="J916" t="n">
        <v>11455.8814</v>
      </c>
      <c r="K916" t="inlineStr"/>
      <c r="L916" t="inlineStr"/>
      <c r="M916" t="inlineStr"/>
      <c r="N916" t="inlineStr"/>
      <c r="O916" t="n">
        <v>2019</v>
      </c>
      <c r="P916" t="n">
        <v>2030</v>
      </c>
      <c r="Q916" t="n">
        <v>0.3852</v>
      </c>
      <c r="R916" t="n">
        <v>158.2904</v>
      </c>
      <c r="S916" t="n">
        <v>0.00100695</v>
      </c>
      <c r="T916" t="n">
        <v>0.00065008</v>
      </c>
    </row>
    <row r="917">
      <c r="A917" t="inlineStr">
        <is>
          <t>SUP-0092</t>
        </is>
      </c>
      <c r="B917" t="inlineStr">
        <is>
          <t>Metals Supplier 092</t>
        </is>
      </c>
      <c r="C917" t="inlineStr">
        <is>
          <t>Metals</t>
        </is>
      </c>
      <c r="D917" t="n">
        <v>2020</v>
      </c>
      <c r="E917" t="n">
        <v>19700802.48</v>
      </c>
      <c r="F917" t="n">
        <v>38788606.44</v>
      </c>
      <c r="G917" t="n">
        <v>21660.9477</v>
      </c>
      <c r="H917" t="n">
        <v>2847.7212</v>
      </c>
      <c r="I917" t="n">
        <v>1929.1128</v>
      </c>
      <c r="J917" t="n">
        <v>17588.882</v>
      </c>
      <c r="K917" t="inlineStr"/>
      <c r="L917" t="inlineStr"/>
      <c r="M917" t="inlineStr"/>
      <c r="N917" t="inlineStr"/>
      <c r="O917" t="n">
        <v>2019</v>
      </c>
      <c r="P917" t="n">
        <v>2030</v>
      </c>
      <c r="Q917" t="n">
        <v>0.3852</v>
      </c>
      <c r="R917" t="n">
        <v>158.2904</v>
      </c>
      <c r="S917" t="n">
        <v>0.00100695</v>
      </c>
      <c r="T917" t="n">
        <v>0.00065008</v>
      </c>
    </row>
    <row r="918">
      <c r="A918" t="inlineStr">
        <is>
          <t>SUP-0092</t>
        </is>
      </c>
      <c r="B918" t="inlineStr">
        <is>
          <t>Metals Supplier 092</t>
        </is>
      </c>
      <c r="C918" t="inlineStr">
        <is>
          <t>Metals</t>
        </is>
      </c>
      <c r="D918" t="n">
        <v>2021</v>
      </c>
      <c r="E918" t="n">
        <v>18995674.42</v>
      </c>
      <c r="F918" t="n">
        <v>39179304.47</v>
      </c>
      <c r="G918" t="inlineStr"/>
      <c r="H918" t="n">
        <v>3940.2459</v>
      </c>
      <c r="I918" t="n">
        <v>1580.5567</v>
      </c>
      <c r="J918" t="n">
        <v>9170.919900000001</v>
      </c>
      <c r="K918" t="inlineStr"/>
      <c r="L918" t="inlineStr"/>
      <c r="M918" t="inlineStr"/>
      <c r="N918" t="inlineStr"/>
      <c r="O918" t="n">
        <v>2019</v>
      </c>
      <c r="P918" t="n">
        <v>2030</v>
      </c>
      <c r="Q918" t="n">
        <v>0.3852</v>
      </c>
      <c r="R918" t="n">
        <v>158.2904</v>
      </c>
      <c r="S918" t="n">
        <v>0.00100695</v>
      </c>
      <c r="T918" t="n">
        <v>0.00065008</v>
      </c>
    </row>
    <row r="919">
      <c r="A919" t="inlineStr">
        <is>
          <t>SUP-0092</t>
        </is>
      </c>
      <c r="B919" t="inlineStr">
        <is>
          <t>Metals Supplier 092</t>
        </is>
      </c>
      <c r="C919" t="inlineStr">
        <is>
          <t>Metals</t>
        </is>
      </c>
      <c r="D919" t="n">
        <v>2022</v>
      </c>
      <c r="E919" t="n">
        <v>19140805.04</v>
      </c>
      <c r="F919" t="n">
        <v>33790408.92</v>
      </c>
      <c r="G919" t="n">
        <v>14600.1146</v>
      </c>
      <c r="H919" t="n">
        <v>3212.9252</v>
      </c>
      <c r="I919" t="n">
        <v>2114.1551</v>
      </c>
      <c r="J919" t="n">
        <v>8485.100899999999</v>
      </c>
      <c r="K919" t="inlineStr"/>
      <c r="L919" t="inlineStr"/>
      <c r="M919" t="inlineStr"/>
      <c r="N919" t="inlineStr"/>
      <c r="O919" t="n">
        <v>2019</v>
      </c>
      <c r="P919" t="n">
        <v>2030</v>
      </c>
      <c r="Q919" t="n">
        <v>0.3852</v>
      </c>
      <c r="R919" t="n">
        <v>158.2904</v>
      </c>
      <c r="S919" t="n">
        <v>0.00100695</v>
      </c>
      <c r="T919" t="n">
        <v>0.00065008</v>
      </c>
    </row>
    <row r="920">
      <c r="A920" t="inlineStr">
        <is>
          <t>SUP-0092</t>
        </is>
      </c>
      <c r="B920" t="inlineStr">
        <is>
          <t>Metals Supplier 092</t>
        </is>
      </c>
      <c r="C920" t="inlineStr">
        <is>
          <t>Metals</t>
        </is>
      </c>
      <c r="D920" t="n">
        <v>2023</v>
      </c>
      <c r="E920" t="n">
        <v>17032719.24</v>
      </c>
      <c r="F920" t="n">
        <v>58231765.14</v>
      </c>
      <c r="G920" t="n">
        <v>17196.8365</v>
      </c>
      <c r="H920" t="n">
        <v>4374.5367</v>
      </c>
      <c r="I920" t="n">
        <v>2585.1197</v>
      </c>
      <c r="J920" t="n">
        <v>10437.0795</v>
      </c>
      <c r="K920" t="inlineStr"/>
      <c r="L920" t="inlineStr"/>
      <c r="M920" t="inlineStr"/>
      <c r="N920" t="inlineStr"/>
      <c r="O920" t="n">
        <v>2019</v>
      </c>
      <c r="P920" t="n">
        <v>2030</v>
      </c>
      <c r="Q920" t="n">
        <v>0.3852</v>
      </c>
      <c r="R920" t="n">
        <v>158.2904</v>
      </c>
      <c r="S920" t="n">
        <v>0.00100695</v>
      </c>
      <c r="T920" t="n">
        <v>0.00065008</v>
      </c>
    </row>
    <row r="921">
      <c r="A921" t="inlineStr">
        <is>
          <t>SUP-0092</t>
        </is>
      </c>
      <c r="B921" t="inlineStr">
        <is>
          <t>Metals Supplier 092</t>
        </is>
      </c>
      <c r="C921" t="inlineStr">
        <is>
          <t>Metals</t>
        </is>
      </c>
      <c r="D921" t="n">
        <v>2024</v>
      </c>
      <c r="E921" t="n">
        <v>17950763.75</v>
      </c>
      <c r="F921" t="n">
        <v>35763609.62</v>
      </c>
      <c r="G921" t="n">
        <v>14843.6709</v>
      </c>
      <c r="H921" t="inlineStr"/>
      <c r="I921" t="n">
        <v>2484.2007</v>
      </c>
      <c r="J921" t="inlineStr"/>
      <c r="K921" t="inlineStr"/>
      <c r="L921" t="inlineStr"/>
      <c r="M921" t="inlineStr"/>
      <c r="N921" t="inlineStr"/>
      <c r="O921" t="n">
        <v>2019</v>
      </c>
      <c r="P921" t="n">
        <v>2030</v>
      </c>
      <c r="Q921" t="n">
        <v>0.3852</v>
      </c>
      <c r="R921" t="n">
        <v>158.2904</v>
      </c>
      <c r="S921" t="n">
        <v>0.00100695</v>
      </c>
      <c r="T921" t="n">
        <v>0.00065008</v>
      </c>
    </row>
    <row r="922">
      <c r="A922" t="inlineStr">
        <is>
          <t>SUP-0093</t>
        </is>
      </c>
      <c r="B922" t="inlineStr">
        <is>
          <t>Chemicals Supplier 093</t>
        </is>
      </c>
      <c r="C922" t="inlineStr">
        <is>
          <t>Chemicals</t>
        </is>
      </c>
      <c r="D922" t="n">
        <v>2015</v>
      </c>
      <c r="E922" t="n">
        <v>17550487.72</v>
      </c>
      <c r="F922" t="inlineStr"/>
      <c r="G922" t="n">
        <v>18204.4056</v>
      </c>
      <c r="H922" t="n">
        <v>5434.1913</v>
      </c>
      <c r="I922" t="n">
        <v>3627.9657</v>
      </c>
      <c r="J922" t="n">
        <v>10735.5294</v>
      </c>
      <c r="K922" t="inlineStr"/>
      <c r="L922" t="inlineStr"/>
      <c r="M922" t="inlineStr"/>
      <c r="N922" t="inlineStr"/>
      <c r="O922" t="n">
        <v>2019</v>
      </c>
      <c r="P922" t="n">
        <v>2035</v>
      </c>
      <c r="Q922" t="n">
        <v>0.5229</v>
      </c>
      <c r="R922" t="n">
        <v>506.3191</v>
      </c>
      <c r="S922" t="n">
        <v>0.00100149</v>
      </c>
      <c r="T922" t="n">
        <v>0.00047124</v>
      </c>
    </row>
    <row r="923">
      <c r="A923" t="inlineStr">
        <is>
          <t>SUP-0093</t>
        </is>
      </c>
      <c r="B923" t="inlineStr">
        <is>
          <t>Chemicals Supplier 093</t>
        </is>
      </c>
      <c r="C923" t="inlineStr">
        <is>
          <t>Chemicals</t>
        </is>
      </c>
      <c r="D923" t="n">
        <v>2016</v>
      </c>
      <c r="E923" t="n">
        <v>17422384.32</v>
      </c>
      <c r="F923" t="n">
        <v>84992815.98999999</v>
      </c>
      <c r="G923" t="n">
        <v>16131.7329</v>
      </c>
      <c r="H923" t="n">
        <v>3704.7271</v>
      </c>
      <c r="I923" t="n">
        <v>3304.8134</v>
      </c>
      <c r="J923" t="n">
        <v>8828.243899999999</v>
      </c>
      <c r="K923" t="inlineStr"/>
      <c r="L923" t="inlineStr"/>
      <c r="M923" t="inlineStr"/>
      <c r="N923" t="inlineStr"/>
      <c r="O923" t="n">
        <v>2019</v>
      </c>
      <c r="P923" t="n">
        <v>2035</v>
      </c>
      <c r="Q923" t="n">
        <v>0.5229</v>
      </c>
      <c r="R923" t="n">
        <v>506.3191</v>
      </c>
      <c r="S923" t="n">
        <v>0.00100149</v>
      </c>
      <c r="T923" t="n">
        <v>0.00047124</v>
      </c>
    </row>
    <row r="924">
      <c r="A924" t="inlineStr">
        <is>
          <t>SUP-0093</t>
        </is>
      </c>
      <c r="B924" t="inlineStr">
        <is>
          <t>Chemicals Supplier 093</t>
        </is>
      </c>
      <c r="C924" t="inlineStr">
        <is>
          <t>Chemicals</t>
        </is>
      </c>
      <c r="D924" t="n">
        <v>2017</v>
      </c>
      <c r="E924" t="n">
        <v>17534809.77</v>
      </c>
      <c r="F924" t="n">
        <v>99377304.53</v>
      </c>
      <c r="G924" t="inlineStr"/>
      <c r="H924" t="n">
        <v>2792.0897</v>
      </c>
      <c r="I924" t="n">
        <v>2854.7827</v>
      </c>
      <c r="J924" t="n">
        <v>14078.6323</v>
      </c>
      <c r="K924" t="inlineStr"/>
      <c r="L924" t="inlineStr"/>
      <c r="M924" t="inlineStr"/>
      <c r="N924" t="inlineStr"/>
      <c r="O924" t="n">
        <v>2019</v>
      </c>
      <c r="P924" t="n">
        <v>2035</v>
      </c>
      <c r="Q924" t="n">
        <v>0.5229</v>
      </c>
      <c r="R924" t="n">
        <v>506.3191</v>
      </c>
      <c r="S924" t="n">
        <v>0.00100149</v>
      </c>
      <c r="T924" t="n">
        <v>0.00047124</v>
      </c>
    </row>
    <row r="925">
      <c r="A925" t="inlineStr">
        <is>
          <t>SUP-0093</t>
        </is>
      </c>
      <c r="B925" t="inlineStr">
        <is>
          <t>Chemicals Supplier 093</t>
        </is>
      </c>
      <c r="C925" t="inlineStr">
        <is>
          <t>Chemicals</t>
        </is>
      </c>
      <c r="D925" t="n">
        <v>2018</v>
      </c>
      <c r="E925" t="n">
        <v>20545588.23</v>
      </c>
      <c r="F925" t="n">
        <v>79880039.58</v>
      </c>
      <c r="G925" t="n">
        <v>24047.28</v>
      </c>
      <c r="H925" t="n">
        <v>5384.5826</v>
      </c>
      <c r="I925" t="inlineStr"/>
      <c r="J925" t="n">
        <v>16284.0046</v>
      </c>
      <c r="K925" t="inlineStr"/>
      <c r="L925" t="inlineStr"/>
      <c r="M925" t="inlineStr"/>
      <c r="N925" t="inlineStr"/>
      <c r="O925" t="n">
        <v>2019</v>
      </c>
      <c r="P925" t="n">
        <v>2035</v>
      </c>
      <c r="Q925" t="n">
        <v>0.5229</v>
      </c>
      <c r="R925" t="n">
        <v>506.3191</v>
      </c>
      <c r="S925" t="n">
        <v>0.00100149</v>
      </c>
      <c r="T925" t="n">
        <v>0.00047124</v>
      </c>
    </row>
    <row r="926">
      <c r="A926" t="inlineStr">
        <is>
          <t>SUP-0093</t>
        </is>
      </c>
      <c r="B926" t="inlineStr">
        <is>
          <t>Chemicals Supplier 093</t>
        </is>
      </c>
      <c r="C926" t="inlineStr">
        <is>
          <t>Chemicals</t>
        </is>
      </c>
      <c r="D926" t="n">
        <v>2019</v>
      </c>
      <c r="E926" t="inlineStr"/>
      <c r="F926" t="n">
        <v>108675722.77</v>
      </c>
      <c r="G926" t="n">
        <v>20701.093</v>
      </c>
      <c r="H926" t="inlineStr"/>
      <c r="I926" t="n">
        <v>1368.5909</v>
      </c>
      <c r="J926" t="inlineStr"/>
      <c r="K926" t="inlineStr"/>
      <c r="L926" t="inlineStr"/>
      <c r="M926" t="inlineStr"/>
      <c r="N926" t="inlineStr"/>
      <c r="O926" t="n">
        <v>2019</v>
      </c>
      <c r="P926" t="n">
        <v>2035</v>
      </c>
      <c r="Q926" t="n">
        <v>0.5229</v>
      </c>
      <c r="R926" t="n">
        <v>506.3191</v>
      </c>
      <c r="S926" t="n">
        <v>0.00100149</v>
      </c>
      <c r="T926" t="n">
        <v>0.00047124</v>
      </c>
    </row>
    <row r="927">
      <c r="A927" t="inlineStr">
        <is>
          <t>SUP-0093</t>
        </is>
      </c>
      <c r="B927" t="inlineStr">
        <is>
          <t>Chemicals Supplier 093</t>
        </is>
      </c>
      <c r="C927" t="inlineStr">
        <is>
          <t>Chemicals</t>
        </is>
      </c>
      <c r="D927" t="n">
        <v>2020</v>
      </c>
      <c r="E927" t="n">
        <v>21329949.32</v>
      </c>
      <c r="F927" t="n">
        <v>126596455.65</v>
      </c>
      <c r="G927" t="n">
        <v>22684.4219</v>
      </c>
      <c r="H927" t="inlineStr"/>
      <c r="I927" t="inlineStr"/>
      <c r="J927" t="n">
        <v>16155.276</v>
      </c>
      <c r="K927" t="inlineStr"/>
      <c r="L927" t="inlineStr"/>
      <c r="M927" t="inlineStr"/>
      <c r="N927" t="inlineStr"/>
      <c r="O927" t="n">
        <v>2019</v>
      </c>
      <c r="P927" t="n">
        <v>2035</v>
      </c>
      <c r="Q927" t="n">
        <v>0.5229</v>
      </c>
      <c r="R927" t="n">
        <v>506.3191</v>
      </c>
      <c r="S927" t="n">
        <v>0.00100149</v>
      </c>
      <c r="T927" t="n">
        <v>0.00047124</v>
      </c>
    </row>
    <row r="928">
      <c r="A928" t="inlineStr">
        <is>
          <t>SUP-0093</t>
        </is>
      </c>
      <c r="B928" t="inlineStr">
        <is>
          <t>Chemicals Supplier 093</t>
        </is>
      </c>
      <c r="C928" t="inlineStr">
        <is>
          <t>Chemicals</t>
        </is>
      </c>
      <c r="D928" t="n">
        <v>2021</v>
      </c>
      <c r="E928" t="n">
        <v>24035063.03</v>
      </c>
      <c r="F928" t="n">
        <v>131560175.27</v>
      </c>
      <c r="G928" t="n">
        <v>20050.6863</v>
      </c>
      <c r="H928" t="n">
        <v>3630.0533</v>
      </c>
      <c r="I928" t="n">
        <v>2297.5145</v>
      </c>
      <c r="J928" t="n">
        <v>14120.1503</v>
      </c>
      <c r="K928" t="inlineStr"/>
      <c r="L928" t="inlineStr"/>
      <c r="M928" t="inlineStr"/>
      <c r="N928" t="inlineStr"/>
      <c r="O928" t="n">
        <v>2019</v>
      </c>
      <c r="P928" t="n">
        <v>2035</v>
      </c>
      <c r="Q928" t="n">
        <v>0.5229</v>
      </c>
      <c r="R928" t="n">
        <v>506.3191</v>
      </c>
      <c r="S928" t="n">
        <v>0.00100149</v>
      </c>
      <c r="T928" t="n">
        <v>0.00047124</v>
      </c>
    </row>
    <row r="929">
      <c r="A929" t="inlineStr">
        <is>
          <t>SUP-0093</t>
        </is>
      </c>
      <c r="B929" t="inlineStr">
        <is>
          <t>Chemicals Supplier 093</t>
        </is>
      </c>
      <c r="C929" t="inlineStr">
        <is>
          <t>Chemicals</t>
        </is>
      </c>
      <c r="D929" t="n">
        <v>2022</v>
      </c>
      <c r="E929" t="n">
        <v>25836099.39</v>
      </c>
      <c r="F929" t="n">
        <v>104461689.13</v>
      </c>
      <c r="G929" t="inlineStr"/>
      <c r="H929" t="n">
        <v>6276.9328</v>
      </c>
      <c r="I929" t="n">
        <v>4742.3885</v>
      </c>
      <c r="J929" t="n">
        <v>11787.5644</v>
      </c>
      <c r="K929" t="inlineStr"/>
      <c r="L929" t="inlineStr"/>
      <c r="M929" t="inlineStr"/>
      <c r="N929" t="inlineStr"/>
      <c r="O929" t="n">
        <v>2019</v>
      </c>
      <c r="P929" t="n">
        <v>2035</v>
      </c>
      <c r="Q929" t="n">
        <v>0.5229</v>
      </c>
      <c r="R929" t="n">
        <v>506.3191</v>
      </c>
      <c r="S929" t="n">
        <v>0.00100149</v>
      </c>
      <c r="T929" t="n">
        <v>0.00047124</v>
      </c>
    </row>
    <row r="930">
      <c r="A930" t="inlineStr">
        <is>
          <t>SUP-0093</t>
        </is>
      </c>
      <c r="B930" t="inlineStr">
        <is>
          <t>Chemicals Supplier 093</t>
        </is>
      </c>
      <c r="C930" t="inlineStr">
        <is>
          <t>Chemicals</t>
        </is>
      </c>
      <c r="D930" t="n">
        <v>2023</v>
      </c>
      <c r="E930" t="n">
        <v>27562546.21</v>
      </c>
      <c r="F930" t="n">
        <v>114454890.92</v>
      </c>
      <c r="G930" t="n">
        <v>27480.9507</v>
      </c>
      <c r="H930" t="n">
        <v>3371.1842</v>
      </c>
      <c r="I930" t="n">
        <v>3495.2452</v>
      </c>
      <c r="J930" t="inlineStr"/>
      <c r="K930" t="inlineStr"/>
      <c r="L930" t="inlineStr"/>
      <c r="M930" t="inlineStr"/>
      <c r="N930" t="inlineStr"/>
      <c r="O930" t="n">
        <v>2019</v>
      </c>
      <c r="P930" t="n">
        <v>2035</v>
      </c>
      <c r="Q930" t="n">
        <v>0.5229</v>
      </c>
      <c r="R930" t="n">
        <v>506.3191</v>
      </c>
      <c r="S930" t="n">
        <v>0.00100149</v>
      </c>
      <c r="T930" t="n">
        <v>0.00047124</v>
      </c>
    </row>
    <row r="931">
      <c r="A931" t="inlineStr">
        <is>
          <t>SUP-0093</t>
        </is>
      </c>
      <c r="B931" t="inlineStr">
        <is>
          <t>Chemicals Supplier 093</t>
        </is>
      </c>
      <c r="C931" t="inlineStr">
        <is>
          <t>Chemicals</t>
        </is>
      </c>
      <c r="D931" t="n">
        <v>2024</v>
      </c>
      <c r="E931" t="n">
        <v>32321142.26</v>
      </c>
      <c r="F931" t="n">
        <v>110130794.79</v>
      </c>
      <c r="G931" t="n">
        <v>37700.998</v>
      </c>
      <c r="H931" t="n">
        <v>3881.9187</v>
      </c>
      <c r="I931" t="n">
        <v>3542.427</v>
      </c>
      <c r="J931" t="n">
        <v>31290.2093</v>
      </c>
      <c r="K931" t="inlineStr"/>
      <c r="L931" t="inlineStr"/>
      <c r="M931" t="inlineStr"/>
      <c r="N931" t="inlineStr"/>
      <c r="O931" t="n">
        <v>2019</v>
      </c>
      <c r="P931" t="n">
        <v>2035</v>
      </c>
      <c r="Q931" t="n">
        <v>0.5229</v>
      </c>
      <c r="R931" t="n">
        <v>506.3191</v>
      </c>
      <c r="S931" t="n">
        <v>0.00100149</v>
      </c>
      <c r="T931" t="n">
        <v>0.00047124</v>
      </c>
    </row>
    <row r="932">
      <c r="A932" t="inlineStr">
        <is>
          <t>SUP-0094</t>
        </is>
      </c>
      <c r="B932" t="inlineStr">
        <is>
          <t>Metals Supplier 094</t>
        </is>
      </c>
      <c r="C932" t="inlineStr">
        <is>
          <t>Metals</t>
        </is>
      </c>
      <c r="D932" t="n">
        <v>2015</v>
      </c>
      <c r="E932" t="n">
        <v>5831023.79</v>
      </c>
      <c r="F932" t="n">
        <v>33459249.59</v>
      </c>
      <c r="G932" t="n">
        <v>3968.8943</v>
      </c>
      <c r="H932" t="n">
        <v>1001.6098</v>
      </c>
      <c r="I932" t="n">
        <v>308.7531</v>
      </c>
      <c r="J932" t="n">
        <v>2946.5413</v>
      </c>
      <c r="K932" t="n">
        <v>2018</v>
      </c>
      <c r="L932" t="n">
        <v>2040</v>
      </c>
      <c r="M932" t="n">
        <v>0.3585</v>
      </c>
      <c r="N932" t="n">
        <v>0.1294</v>
      </c>
      <c r="O932" t="n">
        <v>2019</v>
      </c>
      <c r="P932" t="n">
        <v>2030</v>
      </c>
      <c r="Q932" t="n">
        <v>0.3852</v>
      </c>
      <c r="R932" t="n">
        <v>158.2904</v>
      </c>
      <c r="S932" t="n">
        <v>0.00100695</v>
      </c>
      <c r="T932" t="n">
        <v>0.00065008</v>
      </c>
    </row>
    <row r="933">
      <c r="A933" t="inlineStr">
        <is>
          <t>SUP-0094</t>
        </is>
      </c>
      <c r="B933" t="inlineStr">
        <is>
          <t>Metals Supplier 094</t>
        </is>
      </c>
      <c r="C933" t="inlineStr">
        <is>
          <t>Metals</t>
        </is>
      </c>
      <c r="D933" t="n">
        <v>2016</v>
      </c>
      <c r="E933" t="n">
        <v>5806331.79</v>
      </c>
      <c r="F933" t="n">
        <v>34363644.47</v>
      </c>
      <c r="G933" t="n">
        <v>4489.2792</v>
      </c>
      <c r="H933" t="n">
        <v>889.3587</v>
      </c>
      <c r="I933" t="n">
        <v>877.0348</v>
      </c>
      <c r="J933" t="n">
        <v>2753.1149</v>
      </c>
      <c r="K933" t="n">
        <v>2018</v>
      </c>
      <c r="L933" t="n">
        <v>2040</v>
      </c>
      <c r="M933" t="n">
        <v>0.3585</v>
      </c>
      <c r="N933" t="n">
        <v>0.1294</v>
      </c>
      <c r="O933" t="n">
        <v>2019</v>
      </c>
      <c r="P933" t="n">
        <v>2030</v>
      </c>
      <c r="Q933" t="n">
        <v>0.3852</v>
      </c>
      <c r="R933" t="n">
        <v>158.2904</v>
      </c>
      <c r="S933" t="n">
        <v>0.00100695</v>
      </c>
      <c r="T933" t="n">
        <v>0.00065008</v>
      </c>
    </row>
    <row r="934">
      <c r="A934" t="inlineStr">
        <is>
          <t>SUP-0094</t>
        </is>
      </c>
      <c r="B934" t="inlineStr">
        <is>
          <t>Metals Supplier 094</t>
        </is>
      </c>
      <c r="C934" t="inlineStr">
        <is>
          <t>Metals</t>
        </is>
      </c>
      <c r="D934" t="n">
        <v>2017</v>
      </c>
      <c r="E934" t="n">
        <v>5582145.35</v>
      </c>
      <c r="F934" t="inlineStr"/>
      <c r="G934" t="n">
        <v>3956.043</v>
      </c>
      <c r="H934" t="inlineStr"/>
      <c r="I934" t="n">
        <v>725.3893</v>
      </c>
      <c r="J934" t="n">
        <v>2764.6761</v>
      </c>
      <c r="K934" t="n">
        <v>2018</v>
      </c>
      <c r="L934" t="n">
        <v>2040</v>
      </c>
      <c r="M934" t="n">
        <v>0.3585</v>
      </c>
      <c r="N934" t="n">
        <v>0.1294</v>
      </c>
      <c r="O934" t="n">
        <v>2019</v>
      </c>
      <c r="P934" t="n">
        <v>2030</v>
      </c>
      <c r="Q934" t="n">
        <v>0.3852</v>
      </c>
      <c r="R934" t="n">
        <v>158.2904</v>
      </c>
      <c r="S934" t="n">
        <v>0.00100695</v>
      </c>
      <c r="T934" t="n">
        <v>0.00065008</v>
      </c>
    </row>
    <row r="935">
      <c r="A935" t="inlineStr">
        <is>
          <t>SUP-0094</t>
        </is>
      </c>
      <c r="B935" t="inlineStr">
        <is>
          <t>Metals Supplier 094</t>
        </is>
      </c>
      <c r="C935" t="inlineStr">
        <is>
          <t>Metals</t>
        </is>
      </c>
      <c r="D935" t="n">
        <v>2018</v>
      </c>
      <c r="E935" t="n">
        <v>6112252.74</v>
      </c>
      <c r="F935" t="n">
        <v>35506612.82</v>
      </c>
      <c r="G935" t="n">
        <v>4230.3408</v>
      </c>
      <c r="H935" t="n">
        <v>941.1227</v>
      </c>
      <c r="I935" t="n">
        <v>674.1255</v>
      </c>
      <c r="J935" t="n">
        <v>2879.8282</v>
      </c>
      <c r="K935" t="n">
        <v>2018</v>
      </c>
      <c r="L935" t="n">
        <v>2040</v>
      </c>
      <c r="M935" t="n">
        <v>0.3585</v>
      </c>
      <c r="N935" t="n">
        <v>0.1294</v>
      </c>
      <c r="O935" t="n">
        <v>2019</v>
      </c>
      <c r="P935" t="n">
        <v>2030</v>
      </c>
      <c r="Q935" t="n">
        <v>0.3852</v>
      </c>
      <c r="R935" t="n">
        <v>158.2904</v>
      </c>
      <c r="S935" t="n">
        <v>0.00100695</v>
      </c>
      <c r="T935" t="n">
        <v>0.00065008</v>
      </c>
    </row>
    <row r="936">
      <c r="A936" t="inlineStr">
        <is>
          <t>SUP-0094</t>
        </is>
      </c>
      <c r="B936" t="inlineStr">
        <is>
          <t>Metals Supplier 094</t>
        </is>
      </c>
      <c r="C936" t="inlineStr">
        <is>
          <t>Metals</t>
        </is>
      </c>
      <c r="D936" t="n">
        <v>2019</v>
      </c>
      <c r="E936" t="n">
        <v>5213865.9</v>
      </c>
      <c r="F936" t="n">
        <v>36084123.19</v>
      </c>
      <c r="G936" t="n">
        <v>4630.4172</v>
      </c>
      <c r="H936" t="n">
        <v>1188.4871</v>
      </c>
      <c r="I936" t="n">
        <v>324.3361</v>
      </c>
      <c r="J936" t="inlineStr"/>
      <c r="K936" t="n">
        <v>2018</v>
      </c>
      <c r="L936" t="n">
        <v>2040</v>
      </c>
      <c r="M936" t="n">
        <v>0.3585</v>
      </c>
      <c r="N936" t="n">
        <v>0.1294</v>
      </c>
      <c r="O936" t="n">
        <v>2019</v>
      </c>
      <c r="P936" t="n">
        <v>2030</v>
      </c>
      <c r="Q936" t="n">
        <v>0.3852</v>
      </c>
      <c r="R936" t="n">
        <v>158.2904</v>
      </c>
      <c r="S936" t="n">
        <v>0.00100695</v>
      </c>
      <c r="T936" t="n">
        <v>0.00065008</v>
      </c>
    </row>
    <row r="937">
      <c r="A937" t="inlineStr">
        <is>
          <t>SUP-0094</t>
        </is>
      </c>
      <c r="B937" t="inlineStr">
        <is>
          <t>Metals Supplier 094</t>
        </is>
      </c>
      <c r="C937" t="inlineStr">
        <is>
          <t>Metals</t>
        </is>
      </c>
      <c r="D937" t="n">
        <v>2020</v>
      </c>
      <c r="E937" t="n">
        <v>5964448.43</v>
      </c>
      <c r="F937" t="n">
        <v>32010166.96</v>
      </c>
      <c r="G937" t="n">
        <v>5428.1748</v>
      </c>
      <c r="H937" t="inlineStr"/>
      <c r="I937" t="n">
        <v>958.3618</v>
      </c>
      <c r="J937" t="n">
        <v>3881.6159</v>
      </c>
      <c r="K937" t="n">
        <v>2018</v>
      </c>
      <c r="L937" t="n">
        <v>2040</v>
      </c>
      <c r="M937" t="n">
        <v>0.3585</v>
      </c>
      <c r="N937" t="n">
        <v>0.1294</v>
      </c>
      <c r="O937" t="n">
        <v>2019</v>
      </c>
      <c r="P937" t="n">
        <v>2030</v>
      </c>
      <c r="Q937" t="n">
        <v>0.3852</v>
      </c>
      <c r="R937" t="n">
        <v>158.2904</v>
      </c>
      <c r="S937" t="n">
        <v>0.00100695</v>
      </c>
      <c r="T937" t="n">
        <v>0.00065008</v>
      </c>
    </row>
    <row r="938">
      <c r="A938" t="inlineStr">
        <is>
          <t>SUP-0094</t>
        </is>
      </c>
      <c r="B938" t="inlineStr">
        <is>
          <t>Metals Supplier 094</t>
        </is>
      </c>
      <c r="C938" t="inlineStr">
        <is>
          <t>Metals</t>
        </is>
      </c>
      <c r="D938" t="n">
        <v>2021</v>
      </c>
      <c r="E938" t="n">
        <v>5331432.09</v>
      </c>
      <c r="F938" t="n">
        <v>29913386.17</v>
      </c>
      <c r="G938" t="inlineStr"/>
      <c r="H938" t="n">
        <v>893.7749</v>
      </c>
      <c r="I938" t="n">
        <v>381.263</v>
      </c>
      <c r="J938" t="inlineStr"/>
      <c r="K938" t="n">
        <v>2018</v>
      </c>
      <c r="L938" t="n">
        <v>2040</v>
      </c>
      <c r="M938" t="n">
        <v>0.3585</v>
      </c>
      <c r="N938" t="n">
        <v>0.1294</v>
      </c>
      <c r="O938" t="n">
        <v>2019</v>
      </c>
      <c r="P938" t="n">
        <v>2030</v>
      </c>
      <c r="Q938" t="n">
        <v>0.3852</v>
      </c>
      <c r="R938" t="n">
        <v>158.2904</v>
      </c>
      <c r="S938" t="n">
        <v>0.00100695</v>
      </c>
      <c r="T938" t="n">
        <v>0.00065008</v>
      </c>
    </row>
    <row r="939">
      <c r="A939" t="inlineStr">
        <is>
          <t>SUP-0094</t>
        </is>
      </c>
      <c r="B939" t="inlineStr">
        <is>
          <t>Metals Supplier 094</t>
        </is>
      </c>
      <c r="C939" t="inlineStr">
        <is>
          <t>Metals</t>
        </is>
      </c>
      <c r="D939" t="n">
        <v>2022</v>
      </c>
      <c r="E939" t="n">
        <v>5958205.95</v>
      </c>
      <c r="F939" t="n">
        <v>23371215.1</v>
      </c>
      <c r="G939" t="inlineStr"/>
      <c r="H939" t="n">
        <v>750.6292</v>
      </c>
      <c r="I939" t="n">
        <v>656.8754</v>
      </c>
      <c r="J939" t="n">
        <v>3489.2561</v>
      </c>
      <c r="K939" t="n">
        <v>2018</v>
      </c>
      <c r="L939" t="n">
        <v>2040</v>
      </c>
      <c r="M939" t="n">
        <v>0.3585</v>
      </c>
      <c r="N939" t="n">
        <v>0.1294</v>
      </c>
      <c r="O939" t="n">
        <v>2019</v>
      </c>
      <c r="P939" t="n">
        <v>2030</v>
      </c>
      <c r="Q939" t="n">
        <v>0.3852</v>
      </c>
      <c r="R939" t="n">
        <v>158.2904</v>
      </c>
      <c r="S939" t="n">
        <v>0.00100695</v>
      </c>
      <c r="T939" t="n">
        <v>0.00065008</v>
      </c>
    </row>
    <row r="940">
      <c r="A940" t="inlineStr">
        <is>
          <t>SUP-0094</t>
        </is>
      </c>
      <c r="B940" t="inlineStr">
        <is>
          <t>Metals Supplier 094</t>
        </is>
      </c>
      <c r="C940" t="inlineStr">
        <is>
          <t>Metals</t>
        </is>
      </c>
      <c r="D940" t="n">
        <v>2023</v>
      </c>
      <c r="E940" t="n">
        <v>5609704.58</v>
      </c>
      <c r="F940" t="n">
        <v>26967893.59</v>
      </c>
      <c r="G940" t="n">
        <v>4340.8718</v>
      </c>
      <c r="H940" t="n">
        <v>544.372</v>
      </c>
      <c r="I940" t="n">
        <v>547.3463</v>
      </c>
      <c r="J940" t="n">
        <v>3291.4925</v>
      </c>
      <c r="K940" t="n">
        <v>2018</v>
      </c>
      <c r="L940" t="n">
        <v>2040</v>
      </c>
      <c r="M940" t="n">
        <v>0.3585</v>
      </c>
      <c r="N940" t="n">
        <v>0.1294</v>
      </c>
      <c r="O940" t="n">
        <v>2019</v>
      </c>
      <c r="P940" t="n">
        <v>2030</v>
      </c>
      <c r="Q940" t="n">
        <v>0.3852</v>
      </c>
      <c r="R940" t="n">
        <v>158.2904</v>
      </c>
      <c r="S940" t="n">
        <v>0.00100695</v>
      </c>
      <c r="T940" t="n">
        <v>0.00065008</v>
      </c>
    </row>
    <row r="941">
      <c r="A941" t="inlineStr">
        <is>
          <t>SUP-0094</t>
        </is>
      </c>
      <c r="B941" t="inlineStr">
        <is>
          <t>Metals Supplier 094</t>
        </is>
      </c>
      <c r="C941" t="inlineStr">
        <is>
          <t>Metals</t>
        </is>
      </c>
      <c r="D941" t="n">
        <v>2024</v>
      </c>
      <c r="E941" t="n">
        <v>5180906.03</v>
      </c>
      <c r="F941" t="n">
        <v>36358089.83</v>
      </c>
      <c r="G941" t="n">
        <v>3526.873</v>
      </c>
      <c r="H941" t="n">
        <v>334.3378</v>
      </c>
      <c r="I941" t="n">
        <v>746.4705</v>
      </c>
      <c r="J941" t="inlineStr"/>
      <c r="K941" t="n">
        <v>2018</v>
      </c>
      <c r="L941" t="n">
        <v>2040</v>
      </c>
      <c r="M941" t="n">
        <v>0.3585</v>
      </c>
      <c r="N941" t="n">
        <v>0.1294</v>
      </c>
      <c r="O941" t="n">
        <v>2019</v>
      </c>
      <c r="P941" t="n">
        <v>2030</v>
      </c>
      <c r="Q941" t="n">
        <v>0.3852</v>
      </c>
      <c r="R941" t="n">
        <v>158.2904</v>
      </c>
      <c r="S941" t="n">
        <v>0.00100695</v>
      </c>
      <c r="T941" t="n">
        <v>0.00065008</v>
      </c>
    </row>
    <row r="942">
      <c r="A942" t="inlineStr">
        <is>
          <t>SUP-0095</t>
        </is>
      </c>
      <c r="B942" t="inlineStr">
        <is>
          <t>Agriculture Supplier 095</t>
        </is>
      </c>
      <c r="C942" t="inlineStr">
        <is>
          <t>Agriculture</t>
        </is>
      </c>
      <c r="D942" t="n">
        <v>2015</v>
      </c>
      <c r="E942" t="n">
        <v>16490770.64</v>
      </c>
      <c r="F942" t="n">
        <v>38453512.01</v>
      </c>
      <c r="G942" t="n">
        <v>13068.6868</v>
      </c>
      <c r="H942" t="inlineStr"/>
      <c r="I942" t="n">
        <v>2349.5479</v>
      </c>
      <c r="J942" t="inlineStr"/>
      <c r="K942" t="n">
        <v>2018</v>
      </c>
      <c r="L942" t="n">
        <v>2040</v>
      </c>
      <c r="M942" t="n">
        <v>0.4968</v>
      </c>
      <c r="N942" t="n">
        <v>0.2905</v>
      </c>
      <c r="O942" t="n">
        <v>2018</v>
      </c>
      <c r="P942" t="inlineStr"/>
      <c r="Q942" t="inlineStr"/>
      <c r="R942" t="n">
        <v>529.8294</v>
      </c>
      <c r="S942" t="n">
        <v>0.00091413</v>
      </c>
      <c r="T942" t="n">
        <v>0.00096913</v>
      </c>
    </row>
    <row r="943">
      <c r="A943" t="inlineStr">
        <is>
          <t>SUP-0095</t>
        </is>
      </c>
      <c r="B943" t="inlineStr">
        <is>
          <t>Agriculture Supplier 095</t>
        </is>
      </c>
      <c r="C943" t="inlineStr">
        <is>
          <t>Agriculture</t>
        </is>
      </c>
      <c r="D943" t="n">
        <v>2016</v>
      </c>
      <c r="E943" t="n">
        <v>16758257.12</v>
      </c>
      <c r="F943" t="n">
        <v>35386237.05</v>
      </c>
      <c r="G943" t="n">
        <v>11081.602</v>
      </c>
      <c r="H943" t="n">
        <v>1465.3982</v>
      </c>
      <c r="I943" t="n">
        <v>2377.8844</v>
      </c>
      <c r="J943" t="n">
        <v>7695.4339</v>
      </c>
      <c r="K943" t="n">
        <v>2018</v>
      </c>
      <c r="L943" t="n">
        <v>2040</v>
      </c>
      <c r="M943" t="n">
        <v>0.4968</v>
      </c>
      <c r="N943" t="n">
        <v>0.2905</v>
      </c>
      <c r="O943" t="n">
        <v>2018</v>
      </c>
      <c r="P943" t="inlineStr"/>
      <c r="Q943" t="inlineStr"/>
      <c r="R943" t="n">
        <v>529.8294</v>
      </c>
      <c r="S943" t="n">
        <v>0.00091413</v>
      </c>
      <c r="T943" t="n">
        <v>0.00096913</v>
      </c>
    </row>
    <row r="944">
      <c r="A944" t="inlineStr">
        <is>
          <t>SUP-0095</t>
        </is>
      </c>
      <c r="B944" t="inlineStr">
        <is>
          <t>Agriculture Supplier 095</t>
        </is>
      </c>
      <c r="C944" t="inlineStr">
        <is>
          <t>Agriculture</t>
        </is>
      </c>
      <c r="D944" t="n">
        <v>2017</v>
      </c>
      <c r="E944" t="inlineStr"/>
      <c r="F944" t="n">
        <v>33878184.3</v>
      </c>
      <c r="G944" t="n">
        <v>10357.9064</v>
      </c>
      <c r="H944" t="n">
        <v>1690.2616</v>
      </c>
      <c r="I944" t="inlineStr"/>
      <c r="J944" t="n">
        <v>7475.9182</v>
      </c>
      <c r="K944" t="n">
        <v>2018</v>
      </c>
      <c r="L944" t="n">
        <v>2040</v>
      </c>
      <c r="M944" t="n">
        <v>0.4968</v>
      </c>
      <c r="N944" t="n">
        <v>0.2905</v>
      </c>
      <c r="O944" t="n">
        <v>2018</v>
      </c>
      <c r="P944" t="inlineStr"/>
      <c r="Q944" t="inlineStr"/>
      <c r="R944" t="n">
        <v>529.8294</v>
      </c>
      <c r="S944" t="n">
        <v>0.00091413</v>
      </c>
      <c r="T944" t="n">
        <v>0.00096913</v>
      </c>
    </row>
    <row r="945">
      <c r="A945" t="inlineStr">
        <is>
          <t>SUP-0095</t>
        </is>
      </c>
      <c r="B945" t="inlineStr">
        <is>
          <t>Agriculture Supplier 095</t>
        </is>
      </c>
      <c r="C945" t="inlineStr">
        <is>
          <t>Agriculture</t>
        </is>
      </c>
      <c r="D945" t="n">
        <v>2018</v>
      </c>
      <c r="E945" t="n">
        <v>13858713.09</v>
      </c>
      <c r="F945" t="n">
        <v>38665577.55</v>
      </c>
      <c r="G945" t="n">
        <v>6539.1665</v>
      </c>
      <c r="H945" t="n">
        <v>1100.3808</v>
      </c>
      <c r="I945" t="n">
        <v>670.8347</v>
      </c>
      <c r="J945" t="n">
        <v>4367.8639</v>
      </c>
      <c r="K945" t="n">
        <v>2018</v>
      </c>
      <c r="L945" t="n">
        <v>2040</v>
      </c>
      <c r="M945" t="n">
        <v>0.4968</v>
      </c>
      <c r="N945" t="n">
        <v>0.2905</v>
      </c>
      <c r="O945" t="n">
        <v>2018</v>
      </c>
      <c r="P945" t="inlineStr"/>
      <c r="Q945" t="inlineStr"/>
      <c r="R945" t="n">
        <v>529.8294</v>
      </c>
      <c r="S945" t="n">
        <v>0.00091413</v>
      </c>
      <c r="T945" t="n">
        <v>0.00096913</v>
      </c>
    </row>
    <row r="946">
      <c r="A946" t="inlineStr">
        <is>
          <t>SUP-0095</t>
        </is>
      </c>
      <c r="B946" t="inlineStr">
        <is>
          <t>Agriculture Supplier 095</t>
        </is>
      </c>
      <c r="C946" t="inlineStr">
        <is>
          <t>Agriculture</t>
        </is>
      </c>
      <c r="D946" t="n">
        <v>2019</v>
      </c>
      <c r="E946" t="n">
        <v>16376741.22</v>
      </c>
      <c r="F946" t="n">
        <v>30923573.04</v>
      </c>
      <c r="G946" t="n">
        <v>10380.8397</v>
      </c>
      <c r="H946" t="n">
        <v>1347.7986</v>
      </c>
      <c r="I946" t="n">
        <v>1839.0307</v>
      </c>
      <c r="J946" t="inlineStr"/>
      <c r="K946" t="n">
        <v>2018</v>
      </c>
      <c r="L946" t="n">
        <v>2040</v>
      </c>
      <c r="M946" t="n">
        <v>0.4968</v>
      </c>
      <c r="N946" t="n">
        <v>0.2905</v>
      </c>
      <c r="O946" t="n">
        <v>2018</v>
      </c>
      <c r="P946" t="inlineStr"/>
      <c r="Q946" t="inlineStr"/>
      <c r="R946" t="n">
        <v>529.8294</v>
      </c>
      <c r="S946" t="n">
        <v>0.00091413</v>
      </c>
      <c r="T946" t="n">
        <v>0.00096913</v>
      </c>
    </row>
    <row r="947">
      <c r="A947" t="inlineStr">
        <is>
          <t>SUP-0095</t>
        </is>
      </c>
      <c r="B947" t="inlineStr">
        <is>
          <t>Agriculture Supplier 095</t>
        </is>
      </c>
      <c r="C947" t="inlineStr">
        <is>
          <t>Agriculture</t>
        </is>
      </c>
      <c r="D947" t="n">
        <v>2020</v>
      </c>
      <c r="E947" t="n">
        <v>16404105.53</v>
      </c>
      <c r="F947" t="n">
        <v>36959577.37</v>
      </c>
      <c r="G947" t="n">
        <v>8201.4692</v>
      </c>
      <c r="H947" t="n">
        <v>1669.0652</v>
      </c>
      <c r="I947" t="inlineStr"/>
      <c r="J947" t="n">
        <v>5160.6957</v>
      </c>
      <c r="K947" t="n">
        <v>2018</v>
      </c>
      <c r="L947" t="n">
        <v>2040</v>
      </c>
      <c r="M947" t="n">
        <v>0.4968</v>
      </c>
      <c r="N947" t="n">
        <v>0.2905</v>
      </c>
      <c r="O947" t="n">
        <v>2018</v>
      </c>
      <c r="P947" t="inlineStr"/>
      <c r="Q947" t="inlineStr"/>
      <c r="R947" t="n">
        <v>529.8294</v>
      </c>
      <c r="S947" t="n">
        <v>0.00091413</v>
      </c>
      <c r="T947" t="n">
        <v>0.00096913</v>
      </c>
    </row>
    <row r="948">
      <c r="A948" t="inlineStr">
        <is>
          <t>SUP-0095</t>
        </is>
      </c>
      <c r="B948" t="inlineStr">
        <is>
          <t>Agriculture Supplier 095</t>
        </is>
      </c>
      <c r="C948" t="inlineStr">
        <is>
          <t>Agriculture</t>
        </is>
      </c>
      <c r="D948" t="n">
        <v>2021</v>
      </c>
      <c r="E948" t="n">
        <v>16071713.01</v>
      </c>
      <c r="F948" t="n">
        <v>31933403.69</v>
      </c>
      <c r="G948" t="n">
        <v>10159.8546</v>
      </c>
      <c r="H948" t="n">
        <v>2447.8487</v>
      </c>
      <c r="I948" t="n">
        <v>872.6523</v>
      </c>
      <c r="J948" t="n">
        <v>6313.2486</v>
      </c>
      <c r="K948" t="n">
        <v>2018</v>
      </c>
      <c r="L948" t="n">
        <v>2040</v>
      </c>
      <c r="M948" t="n">
        <v>0.4968</v>
      </c>
      <c r="N948" t="n">
        <v>0.2905</v>
      </c>
      <c r="O948" t="n">
        <v>2018</v>
      </c>
      <c r="P948" t="inlineStr"/>
      <c r="Q948" t="inlineStr"/>
      <c r="R948" t="n">
        <v>529.8294</v>
      </c>
      <c r="S948" t="n">
        <v>0.00091413</v>
      </c>
      <c r="T948" t="n">
        <v>0.00096913</v>
      </c>
    </row>
    <row r="949">
      <c r="A949" t="inlineStr">
        <is>
          <t>SUP-0095</t>
        </is>
      </c>
      <c r="B949" t="inlineStr">
        <is>
          <t>Agriculture Supplier 095</t>
        </is>
      </c>
      <c r="C949" t="inlineStr">
        <is>
          <t>Agriculture</t>
        </is>
      </c>
      <c r="D949" t="n">
        <v>2022</v>
      </c>
      <c r="E949" t="n">
        <v>16507431.47</v>
      </c>
      <c r="F949" t="n">
        <v>40869492.95</v>
      </c>
      <c r="G949" t="n">
        <v>8629.0628</v>
      </c>
      <c r="H949" t="n">
        <v>1135.375</v>
      </c>
      <c r="I949" t="n">
        <v>1564.1491</v>
      </c>
      <c r="J949" t="n">
        <v>5981.08</v>
      </c>
      <c r="K949" t="n">
        <v>2018</v>
      </c>
      <c r="L949" t="n">
        <v>2040</v>
      </c>
      <c r="M949" t="n">
        <v>0.4968</v>
      </c>
      <c r="N949" t="n">
        <v>0.2905</v>
      </c>
      <c r="O949" t="n">
        <v>2018</v>
      </c>
      <c r="P949" t="inlineStr"/>
      <c r="Q949" t="inlineStr"/>
      <c r="R949" t="n">
        <v>529.8294</v>
      </c>
      <c r="S949" t="n">
        <v>0.00091413</v>
      </c>
      <c r="T949" t="n">
        <v>0.00096913</v>
      </c>
    </row>
    <row r="950">
      <c r="A950" t="inlineStr">
        <is>
          <t>SUP-0095</t>
        </is>
      </c>
      <c r="B950" t="inlineStr">
        <is>
          <t>Agriculture Supplier 095</t>
        </is>
      </c>
      <c r="C950" t="inlineStr">
        <is>
          <t>Agriculture</t>
        </is>
      </c>
      <c r="D950" t="n">
        <v>2023</v>
      </c>
      <c r="E950" t="n">
        <v>15739776.08</v>
      </c>
      <c r="F950" t="n">
        <v>41147123.68</v>
      </c>
      <c r="G950" t="n">
        <v>7452.3333</v>
      </c>
      <c r="H950" t="n">
        <v>1791.0429</v>
      </c>
      <c r="I950" t="n">
        <v>1323.9868</v>
      </c>
      <c r="J950" t="n">
        <v>4480.5003</v>
      </c>
      <c r="K950" t="n">
        <v>2018</v>
      </c>
      <c r="L950" t="n">
        <v>2040</v>
      </c>
      <c r="M950" t="n">
        <v>0.4968</v>
      </c>
      <c r="N950" t="n">
        <v>0.2905</v>
      </c>
      <c r="O950" t="n">
        <v>2018</v>
      </c>
      <c r="P950" t="inlineStr"/>
      <c r="Q950" t="inlineStr"/>
      <c r="R950" t="n">
        <v>529.8294</v>
      </c>
      <c r="S950" t="n">
        <v>0.00091413</v>
      </c>
      <c r="T950" t="n">
        <v>0.00096913</v>
      </c>
    </row>
    <row r="951">
      <c r="A951" t="inlineStr">
        <is>
          <t>SUP-0095</t>
        </is>
      </c>
      <c r="B951" t="inlineStr">
        <is>
          <t>Agriculture Supplier 095</t>
        </is>
      </c>
      <c r="C951" t="inlineStr">
        <is>
          <t>Agriculture</t>
        </is>
      </c>
      <c r="D951" t="n">
        <v>2024</v>
      </c>
      <c r="E951" t="inlineStr"/>
      <c r="F951" t="n">
        <v>49121994.19</v>
      </c>
      <c r="G951" t="n">
        <v>6732.3688</v>
      </c>
      <c r="H951" t="n">
        <v>1847.7828</v>
      </c>
      <c r="I951" t="n">
        <v>1079.75</v>
      </c>
      <c r="J951" t="n">
        <v>4534.0926</v>
      </c>
      <c r="K951" t="n">
        <v>2018</v>
      </c>
      <c r="L951" t="n">
        <v>2040</v>
      </c>
      <c r="M951" t="n">
        <v>0.4968</v>
      </c>
      <c r="N951" t="n">
        <v>0.2905</v>
      </c>
      <c r="O951" t="n">
        <v>2018</v>
      </c>
      <c r="P951" t="inlineStr"/>
      <c r="Q951" t="inlineStr"/>
      <c r="R951" t="n">
        <v>529.8294</v>
      </c>
      <c r="S951" t="n">
        <v>0.00091413</v>
      </c>
      <c r="T951" t="n">
        <v>0.00096913</v>
      </c>
    </row>
    <row r="952">
      <c r="A952" t="inlineStr">
        <is>
          <t>SUP-0096</t>
        </is>
      </c>
      <c r="B952" t="inlineStr">
        <is>
          <t>Agriculture Supplier 096</t>
        </is>
      </c>
      <c r="C952" t="inlineStr">
        <is>
          <t>Agriculture</t>
        </is>
      </c>
      <c r="D952" t="n">
        <v>2015</v>
      </c>
      <c r="E952" t="n">
        <v>16781320.79</v>
      </c>
      <c r="F952" t="n">
        <v>37690631.84</v>
      </c>
      <c r="G952" t="n">
        <v>14296.492</v>
      </c>
      <c r="H952" t="inlineStr"/>
      <c r="I952" t="n">
        <v>2514.2418</v>
      </c>
      <c r="J952" t="inlineStr"/>
      <c r="K952" t="n">
        <v>2021</v>
      </c>
      <c r="L952" t="n">
        <v>2040</v>
      </c>
      <c r="M952" t="n">
        <v>0.619</v>
      </c>
      <c r="N952" t="n">
        <v>0.2241</v>
      </c>
      <c r="O952" t="n">
        <v>2018</v>
      </c>
      <c r="P952" t="inlineStr"/>
      <c r="Q952" t="inlineStr"/>
      <c r="R952" t="n">
        <v>529.8294</v>
      </c>
      <c r="S952" t="n">
        <v>0.00091413</v>
      </c>
      <c r="T952" t="n">
        <v>0.00096913</v>
      </c>
    </row>
    <row r="953">
      <c r="A953" t="inlineStr">
        <is>
          <t>SUP-0096</t>
        </is>
      </c>
      <c r="B953" t="inlineStr">
        <is>
          <t>Agriculture Supplier 096</t>
        </is>
      </c>
      <c r="C953" t="inlineStr">
        <is>
          <t>Agriculture</t>
        </is>
      </c>
      <c r="D953" t="n">
        <v>2016</v>
      </c>
      <c r="E953" t="n">
        <v>15102285.29</v>
      </c>
      <c r="F953" t="inlineStr"/>
      <c r="G953" t="n">
        <v>12433.9986</v>
      </c>
      <c r="H953" t="n">
        <v>2166.0814</v>
      </c>
      <c r="I953" t="inlineStr"/>
      <c r="J953" t="inlineStr"/>
      <c r="K953" t="n">
        <v>2021</v>
      </c>
      <c r="L953" t="n">
        <v>2040</v>
      </c>
      <c r="M953" t="n">
        <v>0.619</v>
      </c>
      <c r="N953" t="n">
        <v>0.2241</v>
      </c>
      <c r="O953" t="n">
        <v>2018</v>
      </c>
      <c r="P953" t="inlineStr"/>
      <c r="Q953" t="inlineStr"/>
      <c r="R953" t="n">
        <v>529.8294</v>
      </c>
      <c r="S953" t="n">
        <v>0.00091413</v>
      </c>
      <c r="T953" t="n">
        <v>0.00096913</v>
      </c>
    </row>
    <row r="954">
      <c r="A954" t="inlineStr">
        <is>
          <t>SUP-0096</t>
        </is>
      </c>
      <c r="B954" t="inlineStr">
        <is>
          <t>Agriculture Supplier 096</t>
        </is>
      </c>
      <c r="C954" t="inlineStr">
        <is>
          <t>Agriculture</t>
        </is>
      </c>
      <c r="D954" t="n">
        <v>2017</v>
      </c>
      <c r="E954" t="n">
        <v>19070999.21</v>
      </c>
      <c r="F954" t="n">
        <v>39559223.51</v>
      </c>
      <c r="G954" t="n">
        <v>15629.0538</v>
      </c>
      <c r="H954" t="n">
        <v>2048.0736</v>
      </c>
      <c r="I954" t="n">
        <v>1248.2862</v>
      </c>
      <c r="J954" t="n">
        <v>11112.014</v>
      </c>
      <c r="K954" t="n">
        <v>2021</v>
      </c>
      <c r="L954" t="n">
        <v>2040</v>
      </c>
      <c r="M954" t="n">
        <v>0.619</v>
      </c>
      <c r="N954" t="n">
        <v>0.2241</v>
      </c>
      <c r="O954" t="n">
        <v>2018</v>
      </c>
      <c r="P954" t="inlineStr"/>
      <c r="Q954" t="inlineStr"/>
      <c r="R954" t="n">
        <v>529.8294</v>
      </c>
      <c r="S954" t="n">
        <v>0.00091413</v>
      </c>
      <c r="T954" t="n">
        <v>0.00096913</v>
      </c>
    </row>
    <row r="955">
      <c r="A955" t="inlineStr">
        <is>
          <t>SUP-0096</t>
        </is>
      </c>
      <c r="B955" t="inlineStr">
        <is>
          <t>Agriculture Supplier 096</t>
        </is>
      </c>
      <c r="C955" t="inlineStr">
        <is>
          <t>Agriculture</t>
        </is>
      </c>
      <c r="D955" t="n">
        <v>2018</v>
      </c>
      <c r="E955" t="n">
        <v>18245801.71</v>
      </c>
      <c r="F955" t="n">
        <v>40100793.61</v>
      </c>
      <c r="G955" t="inlineStr"/>
      <c r="H955" t="n">
        <v>1826.0662</v>
      </c>
      <c r="I955" t="n">
        <v>2183.819</v>
      </c>
      <c r="J955" t="inlineStr"/>
      <c r="K955" t="n">
        <v>2021</v>
      </c>
      <c r="L955" t="n">
        <v>2040</v>
      </c>
      <c r="M955" t="n">
        <v>0.619</v>
      </c>
      <c r="N955" t="n">
        <v>0.2241</v>
      </c>
      <c r="O955" t="n">
        <v>2018</v>
      </c>
      <c r="P955" t="inlineStr"/>
      <c r="Q955" t="inlineStr"/>
      <c r="R955" t="n">
        <v>529.8294</v>
      </c>
      <c r="S955" t="n">
        <v>0.00091413</v>
      </c>
      <c r="T955" t="n">
        <v>0.00096913</v>
      </c>
    </row>
    <row r="956">
      <c r="A956" t="inlineStr">
        <is>
          <t>SUP-0096</t>
        </is>
      </c>
      <c r="B956" t="inlineStr">
        <is>
          <t>Agriculture Supplier 096</t>
        </is>
      </c>
      <c r="C956" t="inlineStr">
        <is>
          <t>Agriculture</t>
        </is>
      </c>
      <c r="D956" t="n">
        <v>2019</v>
      </c>
      <c r="E956" t="inlineStr"/>
      <c r="F956" t="n">
        <v>37583427.75</v>
      </c>
      <c r="G956" t="n">
        <v>13936.0763</v>
      </c>
      <c r="H956" t="inlineStr"/>
      <c r="I956" t="n">
        <v>2110.5567</v>
      </c>
      <c r="J956" t="n">
        <v>10847.8613</v>
      </c>
      <c r="K956" t="n">
        <v>2021</v>
      </c>
      <c r="L956" t="n">
        <v>2040</v>
      </c>
      <c r="M956" t="n">
        <v>0.619</v>
      </c>
      <c r="N956" t="n">
        <v>0.2241</v>
      </c>
      <c r="O956" t="n">
        <v>2018</v>
      </c>
      <c r="P956" t="inlineStr"/>
      <c r="Q956" t="inlineStr"/>
      <c r="R956" t="n">
        <v>529.8294</v>
      </c>
      <c r="S956" t="n">
        <v>0.00091413</v>
      </c>
      <c r="T956" t="n">
        <v>0.00096913</v>
      </c>
    </row>
    <row r="957">
      <c r="A957" t="inlineStr">
        <is>
          <t>SUP-0096</t>
        </is>
      </c>
      <c r="B957" t="inlineStr">
        <is>
          <t>Agriculture Supplier 096</t>
        </is>
      </c>
      <c r="C957" t="inlineStr">
        <is>
          <t>Agriculture</t>
        </is>
      </c>
      <c r="D957" t="n">
        <v>2020</v>
      </c>
      <c r="E957" t="n">
        <v>21782837.06</v>
      </c>
      <c r="F957" t="n">
        <v>36716808.21</v>
      </c>
      <c r="G957" t="n">
        <v>17748.9738</v>
      </c>
      <c r="H957" t="n">
        <v>1264.6111</v>
      </c>
      <c r="I957" t="n">
        <v>3029.7264</v>
      </c>
      <c r="J957" t="n">
        <v>11454.1854</v>
      </c>
      <c r="K957" t="n">
        <v>2021</v>
      </c>
      <c r="L957" t="n">
        <v>2040</v>
      </c>
      <c r="M957" t="n">
        <v>0.619</v>
      </c>
      <c r="N957" t="n">
        <v>0.2241</v>
      </c>
      <c r="O957" t="n">
        <v>2018</v>
      </c>
      <c r="P957" t="inlineStr"/>
      <c r="Q957" t="inlineStr"/>
      <c r="R957" t="n">
        <v>529.8294</v>
      </c>
      <c r="S957" t="n">
        <v>0.00091413</v>
      </c>
      <c r="T957" t="n">
        <v>0.00096913</v>
      </c>
    </row>
    <row r="958">
      <c r="A958" t="inlineStr">
        <is>
          <t>SUP-0096</t>
        </is>
      </c>
      <c r="B958" t="inlineStr">
        <is>
          <t>Agriculture Supplier 096</t>
        </is>
      </c>
      <c r="C958" t="inlineStr">
        <is>
          <t>Agriculture</t>
        </is>
      </c>
      <c r="D958" t="n">
        <v>2021</v>
      </c>
      <c r="E958" t="inlineStr"/>
      <c r="F958" t="n">
        <v>44237265.39</v>
      </c>
      <c r="G958" t="n">
        <v>13705.6022</v>
      </c>
      <c r="H958" t="inlineStr"/>
      <c r="I958" t="n">
        <v>2312.1149</v>
      </c>
      <c r="J958" t="n">
        <v>7439.4003</v>
      </c>
      <c r="K958" t="n">
        <v>2021</v>
      </c>
      <c r="L958" t="n">
        <v>2040</v>
      </c>
      <c r="M958" t="n">
        <v>0.619</v>
      </c>
      <c r="N958" t="n">
        <v>0.2241</v>
      </c>
      <c r="O958" t="n">
        <v>2018</v>
      </c>
      <c r="P958" t="inlineStr"/>
      <c r="Q958" t="inlineStr"/>
      <c r="R958" t="n">
        <v>529.8294</v>
      </c>
      <c r="S958" t="n">
        <v>0.00091413</v>
      </c>
      <c r="T958" t="n">
        <v>0.00096913</v>
      </c>
    </row>
    <row r="959">
      <c r="A959" t="inlineStr">
        <is>
          <t>SUP-0096</t>
        </is>
      </c>
      <c r="B959" t="inlineStr">
        <is>
          <t>Agriculture Supplier 096</t>
        </is>
      </c>
      <c r="C959" t="inlineStr">
        <is>
          <t>Agriculture</t>
        </is>
      </c>
      <c r="D959" t="n">
        <v>2022</v>
      </c>
      <c r="E959" t="inlineStr"/>
      <c r="F959" t="n">
        <v>69072565.56999999</v>
      </c>
      <c r="G959" t="n">
        <v>12707.8739</v>
      </c>
      <c r="H959" t="n">
        <v>1960.168</v>
      </c>
      <c r="I959" t="n">
        <v>2476.5212</v>
      </c>
      <c r="J959" t="n">
        <v>8172.3054</v>
      </c>
      <c r="K959" t="n">
        <v>2021</v>
      </c>
      <c r="L959" t="n">
        <v>2040</v>
      </c>
      <c r="M959" t="n">
        <v>0.619</v>
      </c>
      <c r="N959" t="n">
        <v>0.2241</v>
      </c>
      <c r="O959" t="n">
        <v>2018</v>
      </c>
      <c r="P959" t="inlineStr"/>
      <c r="Q959" t="inlineStr"/>
      <c r="R959" t="n">
        <v>529.8294</v>
      </c>
      <c r="S959" t="n">
        <v>0.00091413</v>
      </c>
      <c r="T959" t="n">
        <v>0.00096913</v>
      </c>
    </row>
    <row r="960">
      <c r="A960" t="inlineStr">
        <is>
          <t>SUP-0096</t>
        </is>
      </c>
      <c r="B960" t="inlineStr">
        <is>
          <t>Agriculture Supplier 096</t>
        </is>
      </c>
      <c r="C960" t="inlineStr">
        <is>
          <t>Agriculture</t>
        </is>
      </c>
      <c r="D960" t="n">
        <v>2023</v>
      </c>
      <c r="E960" t="n">
        <v>24506718.63</v>
      </c>
      <c r="F960" t="n">
        <v>64105900.51</v>
      </c>
      <c r="G960" t="n">
        <v>13128.2596</v>
      </c>
      <c r="H960" t="n">
        <v>1063.7206</v>
      </c>
      <c r="I960" t="inlineStr"/>
      <c r="J960" t="n">
        <v>11041.4944</v>
      </c>
      <c r="K960" t="n">
        <v>2021</v>
      </c>
      <c r="L960" t="n">
        <v>2040</v>
      </c>
      <c r="M960" t="n">
        <v>0.619</v>
      </c>
      <c r="N960" t="n">
        <v>0.2241</v>
      </c>
      <c r="O960" t="n">
        <v>2018</v>
      </c>
      <c r="P960" t="inlineStr"/>
      <c r="Q960" t="inlineStr"/>
      <c r="R960" t="n">
        <v>529.8294</v>
      </c>
      <c r="S960" t="n">
        <v>0.00091413</v>
      </c>
      <c r="T960" t="n">
        <v>0.00096913</v>
      </c>
    </row>
    <row r="961">
      <c r="A961" t="inlineStr">
        <is>
          <t>SUP-0096</t>
        </is>
      </c>
      <c r="B961" t="inlineStr">
        <is>
          <t>Agriculture Supplier 096</t>
        </is>
      </c>
      <c r="C961" t="inlineStr">
        <is>
          <t>Agriculture</t>
        </is>
      </c>
      <c r="D961" t="n">
        <v>2024</v>
      </c>
      <c r="E961" t="n">
        <v>26282460.39</v>
      </c>
      <c r="F961" t="n">
        <v>77949166.12</v>
      </c>
      <c r="G961" t="n">
        <v>12075.9287</v>
      </c>
      <c r="H961" t="n">
        <v>2825.7717</v>
      </c>
      <c r="I961" t="inlineStr"/>
      <c r="J961" t="n">
        <v>8136.1406</v>
      </c>
      <c r="K961" t="n">
        <v>2021</v>
      </c>
      <c r="L961" t="n">
        <v>2040</v>
      </c>
      <c r="M961" t="n">
        <v>0.619</v>
      </c>
      <c r="N961" t="n">
        <v>0.2241</v>
      </c>
      <c r="O961" t="n">
        <v>2018</v>
      </c>
      <c r="P961" t="inlineStr"/>
      <c r="Q961" t="inlineStr"/>
      <c r="R961" t="n">
        <v>529.8294</v>
      </c>
      <c r="S961" t="n">
        <v>0.00091413</v>
      </c>
      <c r="T961" t="n">
        <v>0.00096913</v>
      </c>
    </row>
    <row r="962">
      <c r="A962" t="inlineStr">
        <is>
          <t>SUP-0097</t>
        </is>
      </c>
      <c r="B962" t="inlineStr">
        <is>
          <t>Metals Supplier 097</t>
        </is>
      </c>
      <c r="C962" t="inlineStr">
        <is>
          <t>Metals</t>
        </is>
      </c>
      <c r="D962" t="n">
        <v>2015</v>
      </c>
      <c r="E962" t="n">
        <v>16050608.71</v>
      </c>
      <c r="F962" t="n">
        <v>73432054.13</v>
      </c>
      <c r="G962" t="n">
        <v>9635.8848</v>
      </c>
      <c r="H962" t="n">
        <v>1958.3645</v>
      </c>
      <c r="I962" t="n">
        <v>1243.2236</v>
      </c>
      <c r="J962" t="n">
        <v>6051.1046</v>
      </c>
      <c r="K962" t="n">
        <v>2018</v>
      </c>
      <c r="L962" t="n">
        <v>2030</v>
      </c>
      <c r="M962" t="n">
        <v>0.503</v>
      </c>
      <c r="N962" t="n">
        <v>0.297</v>
      </c>
      <c r="O962" t="n">
        <v>2019</v>
      </c>
      <c r="P962" t="n">
        <v>2030</v>
      </c>
      <c r="Q962" t="n">
        <v>0.3852</v>
      </c>
      <c r="R962" t="n">
        <v>158.2904</v>
      </c>
      <c r="S962" t="n">
        <v>0.00100695</v>
      </c>
      <c r="T962" t="n">
        <v>0.00065008</v>
      </c>
    </row>
    <row r="963">
      <c r="A963" t="inlineStr">
        <is>
          <t>SUP-0097</t>
        </is>
      </c>
      <c r="B963" t="inlineStr">
        <is>
          <t>Metals Supplier 097</t>
        </is>
      </c>
      <c r="C963" t="inlineStr">
        <is>
          <t>Metals</t>
        </is>
      </c>
      <c r="D963" t="n">
        <v>2016</v>
      </c>
      <c r="E963" t="n">
        <v>16629860.39</v>
      </c>
      <c r="F963" t="n">
        <v>64335328.21</v>
      </c>
      <c r="G963" t="n">
        <v>9866.5723</v>
      </c>
      <c r="H963" t="inlineStr"/>
      <c r="I963" t="n">
        <v>1274.2001</v>
      </c>
      <c r="J963" t="n">
        <v>6674.9871</v>
      </c>
      <c r="K963" t="n">
        <v>2018</v>
      </c>
      <c r="L963" t="n">
        <v>2030</v>
      </c>
      <c r="M963" t="n">
        <v>0.503</v>
      </c>
      <c r="N963" t="n">
        <v>0.297</v>
      </c>
      <c r="O963" t="n">
        <v>2019</v>
      </c>
      <c r="P963" t="n">
        <v>2030</v>
      </c>
      <c r="Q963" t="n">
        <v>0.3852</v>
      </c>
      <c r="R963" t="n">
        <v>158.2904</v>
      </c>
      <c r="S963" t="n">
        <v>0.00100695</v>
      </c>
      <c r="T963" t="n">
        <v>0.00065008</v>
      </c>
    </row>
    <row r="964">
      <c r="A964" t="inlineStr">
        <is>
          <t>SUP-0097</t>
        </is>
      </c>
      <c r="B964" t="inlineStr">
        <is>
          <t>Metals Supplier 097</t>
        </is>
      </c>
      <c r="C964" t="inlineStr">
        <is>
          <t>Metals</t>
        </is>
      </c>
      <c r="D964" t="n">
        <v>2017</v>
      </c>
      <c r="E964" t="n">
        <v>17893796.79</v>
      </c>
      <c r="F964" t="n">
        <v>69669367.39</v>
      </c>
      <c r="G964" t="n">
        <v>11240.5652</v>
      </c>
      <c r="H964" t="n">
        <v>3351.9805</v>
      </c>
      <c r="I964" t="n">
        <v>1402.1635</v>
      </c>
      <c r="J964" t="n">
        <v>7393.4622</v>
      </c>
      <c r="K964" t="n">
        <v>2018</v>
      </c>
      <c r="L964" t="n">
        <v>2030</v>
      </c>
      <c r="M964" t="n">
        <v>0.503</v>
      </c>
      <c r="N964" t="n">
        <v>0.297</v>
      </c>
      <c r="O964" t="n">
        <v>2019</v>
      </c>
      <c r="P964" t="n">
        <v>2030</v>
      </c>
      <c r="Q964" t="n">
        <v>0.3852</v>
      </c>
      <c r="R964" t="n">
        <v>158.2904</v>
      </c>
      <c r="S964" t="n">
        <v>0.00100695</v>
      </c>
      <c r="T964" t="n">
        <v>0.00065008</v>
      </c>
    </row>
    <row r="965">
      <c r="A965" t="inlineStr">
        <is>
          <t>SUP-0097</t>
        </is>
      </c>
      <c r="B965" t="inlineStr">
        <is>
          <t>Metals Supplier 097</t>
        </is>
      </c>
      <c r="C965" t="inlineStr">
        <is>
          <t>Metals</t>
        </is>
      </c>
      <c r="D965" t="n">
        <v>2018</v>
      </c>
      <c r="E965" t="n">
        <v>18547562.44</v>
      </c>
      <c r="F965" t="n">
        <v>83559554.28</v>
      </c>
      <c r="G965" t="n">
        <v>16874.6723</v>
      </c>
      <c r="H965" t="n">
        <v>1770.1895</v>
      </c>
      <c r="I965" t="inlineStr"/>
      <c r="J965" t="n">
        <v>12699.5778</v>
      </c>
      <c r="K965" t="n">
        <v>2018</v>
      </c>
      <c r="L965" t="n">
        <v>2030</v>
      </c>
      <c r="M965" t="n">
        <v>0.503</v>
      </c>
      <c r="N965" t="n">
        <v>0.297</v>
      </c>
      <c r="O965" t="n">
        <v>2019</v>
      </c>
      <c r="P965" t="n">
        <v>2030</v>
      </c>
      <c r="Q965" t="n">
        <v>0.3852</v>
      </c>
      <c r="R965" t="n">
        <v>158.2904</v>
      </c>
      <c r="S965" t="n">
        <v>0.00100695</v>
      </c>
      <c r="T965" t="n">
        <v>0.00065008</v>
      </c>
    </row>
    <row r="966">
      <c r="A966" t="inlineStr">
        <is>
          <t>SUP-0097</t>
        </is>
      </c>
      <c r="B966" t="inlineStr">
        <is>
          <t>Metals Supplier 097</t>
        </is>
      </c>
      <c r="C966" t="inlineStr">
        <is>
          <t>Metals</t>
        </is>
      </c>
      <c r="D966" t="n">
        <v>2019</v>
      </c>
      <c r="E966" t="n">
        <v>22072879.2</v>
      </c>
      <c r="F966" t="n">
        <v>109638800.59</v>
      </c>
      <c r="G966" t="n">
        <v>18506.5719</v>
      </c>
      <c r="H966" t="n">
        <v>3822.5209</v>
      </c>
      <c r="I966" t="n">
        <v>3099.7697</v>
      </c>
      <c r="J966" t="n">
        <v>11751.3403</v>
      </c>
      <c r="K966" t="n">
        <v>2018</v>
      </c>
      <c r="L966" t="n">
        <v>2030</v>
      </c>
      <c r="M966" t="n">
        <v>0.503</v>
      </c>
      <c r="N966" t="n">
        <v>0.297</v>
      </c>
      <c r="O966" t="n">
        <v>2019</v>
      </c>
      <c r="P966" t="n">
        <v>2030</v>
      </c>
      <c r="Q966" t="n">
        <v>0.3852</v>
      </c>
      <c r="R966" t="n">
        <v>158.2904</v>
      </c>
      <c r="S966" t="n">
        <v>0.00100695</v>
      </c>
      <c r="T966" t="n">
        <v>0.00065008</v>
      </c>
    </row>
    <row r="967">
      <c r="A967" t="inlineStr">
        <is>
          <t>SUP-0097</t>
        </is>
      </c>
      <c r="B967" t="inlineStr">
        <is>
          <t>Metals Supplier 097</t>
        </is>
      </c>
      <c r="C967" t="inlineStr">
        <is>
          <t>Metals</t>
        </is>
      </c>
      <c r="D967" t="n">
        <v>2020</v>
      </c>
      <c r="E967" t="n">
        <v>22599227.7</v>
      </c>
      <c r="F967" t="n">
        <v>95284885.36</v>
      </c>
      <c r="G967" t="n">
        <v>13848.6334</v>
      </c>
      <c r="H967" t="n">
        <v>3503.0968</v>
      </c>
      <c r="I967" t="n">
        <v>2091.6811</v>
      </c>
      <c r="J967" t="n">
        <v>7451.168</v>
      </c>
      <c r="K967" t="n">
        <v>2018</v>
      </c>
      <c r="L967" t="n">
        <v>2030</v>
      </c>
      <c r="M967" t="n">
        <v>0.503</v>
      </c>
      <c r="N967" t="n">
        <v>0.297</v>
      </c>
      <c r="O967" t="n">
        <v>2019</v>
      </c>
      <c r="P967" t="n">
        <v>2030</v>
      </c>
      <c r="Q967" t="n">
        <v>0.3852</v>
      </c>
      <c r="R967" t="n">
        <v>158.2904</v>
      </c>
      <c r="S967" t="n">
        <v>0.00100695</v>
      </c>
      <c r="T967" t="n">
        <v>0.00065008</v>
      </c>
    </row>
    <row r="968">
      <c r="A968" t="inlineStr">
        <is>
          <t>SUP-0097</t>
        </is>
      </c>
      <c r="B968" t="inlineStr">
        <is>
          <t>Metals Supplier 097</t>
        </is>
      </c>
      <c r="C968" t="inlineStr">
        <is>
          <t>Metals</t>
        </is>
      </c>
      <c r="D968" t="n">
        <v>2021</v>
      </c>
      <c r="E968" t="n">
        <v>26539194.18</v>
      </c>
      <c r="F968" t="n">
        <v>136607500.04</v>
      </c>
      <c r="G968" t="inlineStr"/>
      <c r="H968" t="n">
        <v>1919.6596</v>
      </c>
      <c r="I968" t="n">
        <v>4260.7527</v>
      </c>
      <c r="J968" t="n">
        <v>14536.9255</v>
      </c>
      <c r="K968" t="n">
        <v>2018</v>
      </c>
      <c r="L968" t="n">
        <v>2030</v>
      </c>
      <c r="M968" t="n">
        <v>0.503</v>
      </c>
      <c r="N968" t="n">
        <v>0.297</v>
      </c>
      <c r="O968" t="n">
        <v>2019</v>
      </c>
      <c r="P968" t="n">
        <v>2030</v>
      </c>
      <c r="Q968" t="n">
        <v>0.3852</v>
      </c>
      <c r="R968" t="n">
        <v>158.2904</v>
      </c>
      <c r="S968" t="n">
        <v>0.00100695</v>
      </c>
      <c r="T968" t="n">
        <v>0.00065008</v>
      </c>
    </row>
    <row r="969">
      <c r="A969" t="inlineStr">
        <is>
          <t>SUP-0097</t>
        </is>
      </c>
      <c r="B969" t="inlineStr">
        <is>
          <t>Metals Supplier 097</t>
        </is>
      </c>
      <c r="C969" t="inlineStr">
        <is>
          <t>Metals</t>
        </is>
      </c>
      <c r="D969" t="n">
        <v>2022</v>
      </c>
      <c r="E969" t="n">
        <v>27585638.88</v>
      </c>
      <c r="F969" t="n">
        <v>127976578.96</v>
      </c>
      <c r="G969" t="n">
        <v>20305.1862</v>
      </c>
      <c r="H969" t="n">
        <v>1794.1866</v>
      </c>
      <c r="I969" t="inlineStr"/>
      <c r="J969" t="n">
        <v>14886.9655</v>
      </c>
      <c r="K969" t="n">
        <v>2018</v>
      </c>
      <c r="L969" t="n">
        <v>2030</v>
      </c>
      <c r="M969" t="n">
        <v>0.503</v>
      </c>
      <c r="N969" t="n">
        <v>0.297</v>
      </c>
      <c r="O969" t="n">
        <v>2019</v>
      </c>
      <c r="P969" t="n">
        <v>2030</v>
      </c>
      <c r="Q969" t="n">
        <v>0.3852</v>
      </c>
      <c r="R969" t="n">
        <v>158.2904</v>
      </c>
      <c r="S969" t="n">
        <v>0.00100695</v>
      </c>
      <c r="T969" t="n">
        <v>0.00065008</v>
      </c>
    </row>
    <row r="970">
      <c r="A970" t="inlineStr">
        <is>
          <t>SUP-0097</t>
        </is>
      </c>
      <c r="B970" t="inlineStr">
        <is>
          <t>Metals Supplier 097</t>
        </is>
      </c>
      <c r="C970" t="inlineStr">
        <is>
          <t>Metals</t>
        </is>
      </c>
      <c r="D970" t="n">
        <v>2023</v>
      </c>
      <c r="E970" t="n">
        <v>32314970.54</v>
      </c>
      <c r="F970" t="n">
        <v>158089843.12</v>
      </c>
      <c r="G970" t="n">
        <v>20845.3905</v>
      </c>
      <c r="H970" t="n">
        <v>4311.2278</v>
      </c>
      <c r="I970" t="n">
        <v>3270.6861</v>
      </c>
      <c r="J970" t="inlineStr"/>
      <c r="K970" t="n">
        <v>2018</v>
      </c>
      <c r="L970" t="n">
        <v>2030</v>
      </c>
      <c r="M970" t="n">
        <v>0.503</v>
      </c>
      <c r="N970" t="n">
        <v>0.297</v>
      </c>
      <c r="O970" t="n">
        <v>2019</v>
      </c>
      <c r="P970" t="n">
        <v>2030</v>
      </c>
      <c r="Q970" t="n">
        <v>0.3852</v>
      </c>
      <c r="R970" t="n">
        <v>158.2904</v>
      </c>
      <c r="S970" t="n">
        <v>0.00100695</v>
      </c>
      <c r="T970" t="n">
        <v>0.00065008</v>
      </c>
    </row>
    <row r="971">
      <c r="A971" t="inlineStr">
        <is>
          <t>SUP-0097</t>
        </is>
      </c>
      <c r="B971" t="inlineStr">
        <is>
          <t>Metals Supplier 097</t>
        </is>
      </c>
      <c r="C971" t="inlineStr">
        <is>
          <t>Metals</t>
        </is>
      </c>
      <c r="D971" t="n">
        <v>2024</v>
      </c>
      <c r="E971" t="n">
        <v>32953405.51</v>
      </c>
      <c r="F971" t="n">
        <v>145705756.05</v>
      </c>
      <c r="G971" t="inlineStr"/>
      <c r="H971" t="n">
        <v>5509.4482</v>
      </c>
      <c r="I971" t="n">
        <v>4069.722</v>
      </c>
      <c r="J971" t="n">
        <v>10757.1777</v>
      </c>
      <c r="K971" t="n">
        <v>2018</v>
      </c>
      <c r="L971" t="n">
        <v>2030</v>
      </c>
      <c r="M971" t="n">
        <v>0.503</v>
      </c>
      <c r="N971" t="n">
        <v>0.297</v>
      </c>
      <c r="O971" t="n">
        <v>2019</v>
      </c>
      <c r="P971" t="n">
        <v>2030</v>
      </c>
      <c r="Q971" t="n">
        <v>0.3852</v>
      </c>
      <c r="R971" t="n">
        <v>158.2904</v>
      </c>
      <c r="S971" t="n">
        <v>0.00100695</v>
      </c>
      <c r="T971" t="n">
        <v>0.00065008</v>
      </c>
    </row>
    <row r="972">
      <c r="A972" t="inlineStr">
        <is>
          <t>SUP-0098</t>
        </is>
      </c>
      <c r="B972" t="inlineStr">
        <is>
          <t>Agriculture Supplier 098</t>
        </is>
      </c>
      <c r="C972" t="inlineStr">
        <is>
          <t>Agriculture</t>
        </is>
      </c>
      <c r="D972" t="n">
        <v>2015</v>
      </c>
      <c r="E972" t="n">
        <v>21219874.02</v>
      </c>
      <c r="F972" t="n">
        <v>28427347.43</v>
      </c>
      <c r="G972" t="n">
        <v>20224.32</v>
      </c>
      <c r="H972" t="n">
        <v>2033.2105</v>
      </c>
      <c r="I972" t="n">
        <v>4065.9638</v>
      </c>
      <c r="J972" t="n">
        <v>13936.4717</v>
      </c>
      <c r="K972" t="n">
        <v>2018</v>
      </c>
      <c r="L972" t="n">
        <v>2040</v>
      </c>
      <c r="M972" t="n">
        <v>0.6899999999999999</v>
      </c>
      <c r="N972" t="n">
        <v>0.3364</v>
      </c>
      <c r="O972" t="n">
        <v>2018</v>
      </c>
      <c r="P972" t="inlineStr"/>
      <c r="Q972" t="inlineStr"/>
      <c r="R972" t="n">
        <v>529.8294</v>
      </c>
      <c r="S972" t="n">
        <v>0.00091413</v>
      </c>
      <c r="T972" t="n">
        <v>0.00096913</v>
      </c>
    </row>
    <row r="973">
      <c r="A973" t="inlineStr">
        <is>
          <t>SUP-0098</t>
        </is>
      </c>
      <c r="B973" t="inlineStr">
        <is>
          <t>Agriculture Supplier 098</t>
        </is>
      </c>
      <c r="C973" t="inlineStr">
        <is>
          <t>Agriculture</t>
        </is>
      </c>
      <c r="D973" t="n">
        <v>2016</v>
      </c>
      <c r="E973" t="inlineStr"/>
      <c r="F973" t="n">
        <v>29926243.71</v>
      </c>
      <c r="G973" t="n">
        <v>22399.9143</v>
      </c>
      <c r="H973" t="n">
        <v>2544.4173</v>
      </c>
      <c r="I973" t="n">
        <v>2858.0953</v>
      </c>
      <c r="J973" t="n">
        <v>17497.6713</v>
      </c>
      <c r="K973" t="n">
        <v>2018</v>
      </c>
      <c r="L973" t="n">
        <v>2040</v>
      </c>
      <c r="M973" t="n">
        <v>0.6899999999999999</v>
      </c>
      <c r="N973" t="n">
        <v>0.3364</v>
      </c>
      <c r="O973" t="n">
        <v>2018</v>
      </c>
      <c r="P973" t="inlineStr"/>
      <c r="Q973" t="inlineStr"/>
      <c r="R973" t="n">
        <v>529.8294</v>
      </c>
      <c r="S973" t="n">
        <v>0.00091413</v>
      </c>
      <c r="T973" t="n">
        <v>0.00096913</v>
      </c>
    </row>
    <row r="974">
      <c r="A974" t="inlineStr">
        <is>
          <t>SUP-0098</t>
        </is>
      </c>
      <c r="B974" t="inlineStr">
        <is>
          <t>Agriculture Supplier 098</t>
        </is>
      </c>
      <c r="C974" t="inlineStr">
        <is>
          <t>Agriculture</t>
        </is>
      </c>
      <c r="D974" t="n">
        <v>2017</v>
      </c>
      <c r="E974" t="n">
        <v>25590307.83</v>
      </c>
      <c r="F974" t="inlineStr"/>
      <c r="G974" t="n">
        <v>23602.7128</v>
      </c>
      <c r="H974" t="n">
        <v>6022.7032</v>
      </c>
      <c r="I974" t="n">
        <v>3123.3159</v>
      </c>
      <c r="J974" t="n">
        <v>14171.4175</v>
      </c>
      <c r="K974" t="n">
        <v>2018</v>
      </c>
      <c r="L974" t="n">
        <v>2040</v>
      </c>
      <c r="M974" t="n">
        <v>0.6899999999999999</v>
      </c>
      <c r="N974" t="n">
        <v>0.3364</v>
      </c>
      <c r="O974" t="n">
        <v>2018</v>
      </c>
      <c r="P974" t="inlineStr"/>
      <c r="Q974" t="inlineStr"/>
      <c r="R974" t="n">
        <v>529.8294</v>
      </c>
      <c r="S974" t="n">
        <v>0.00091413</v>
      </c>
      <c r="T974" t="n">
        <v>0.00096913</v>
      </c>
    </row>
    <row r="975">
      <c r="A975" t="inlineStr">
        <is>
          <t>SUP-0098</t>
        </is>
      </c>
      <c r="B975" t="inlineStr">
        <is>
          <t>Agriculture Supplier 098</t>
        </is>
      </c>
      <c r="C975" t="inlineStr">
        <is>
          <t>Agriculture</t>
        </is>
      </c>
      <c r="D975" t="n">
        <v>2018</v>
      </c>
      <c r="E975" t="n">
        <v>27721107.9</v>
      </c>
      <c r="F975" t="n">
        <v>36027090.11</v>
      </c>
      <c r="G975" t="n">
        <v>34657.8376</v>
      </c>
      <c r="H975" t="n">
        <v>4571.8907</v>
      </c>
      <c r="I975" t="inlineStr"/>
      <c r="J975" t="n">
        <v>27659.5181</v>
      </c>
      <c r="K975" t="n">
        <v>2018</v>
      </c>
      <c r="L975" t="n">
        <v>2040</v>
      </c>
      <c r="M975" t="n">
        <v>0.6899999999999999</v>
      </c>
      <c r="N975" t="n">
        <v>0.3364</v>
      </c>
      <c r="O975" t="n">
        <v>2018</v>
      </c>
      <c r="P975" t="inlineStr"/>
      <c r="Q975" t="inlineStr"/>
      <c r="R975" t="n">
        <v>529.8294</v>
      </c>
      <c r="S975" t="n">
        <v>0.00091413</v>
      </c>
      <c r="T975" t="n">
        <v>0.00096913</v>
      </c>
    </row>
    <row r="976">
      <c r="A976" t="inlineStr">
        <is>
          <t>SUP-0098</t>
        </is>
      </c>
      <c r="B976" t="inlineStr">
        <is>
          <t>Agriculture Supplier 098</t>
        </is>
      </c>
      <c r="C976" t="inlineStr">
        <is>
          <t>Agriculture</t>
        </is>
      </c>
      <c r="D976" t="n">
        <v>2019</v>
      </c>
      <c r="E976" t="n">
        <v>26030738.06</v>
      </c>
      <c r="F976" t="n">
        <v>46305299.57</v>
      </c>
      <c r="G976" t="n">
        <v>27538.9975</v>
      </c>
      <c r="H976" t="n">
        <v>6424.2634</v>
      </c>
      <c r="I976" t="n">
        <v>6208.2264</v>
      </c>
      <c r="J976" t="inlineStr"/>
      <c r="K976" t="n">
        <v>2018</v>
      </c>
      <c r="L976" t="n">
        <v>2040</v>
      </c>
      <c r="M976" t="n">
        <v>0.6899999999999999</v>
      </c>
      <c r="N976" t="n">
        <v>0.3364</v>
      </c>
      <c r="O976" t="n">
        <v>2018</v>
      </c>
      <c r="P976" t="inlineStr"/>
      <c r="Q976" t="inlineStr"/>
      <c r="R976" t="n">
        <v>529.8294</v>
      </c>
      <c r="S976" t="n">
        <v>0.00091413</v>
      </c>
      <c r="T976" t="n">
        <v>0.00096913</v>
      </c>
    </row>
    <row r="977">
      <c r="A977" t="inlineStr">
        <is>
          <t>SUP-0098</t>
        </is>
      </c>
      <c r="B977" t="inlineStr">
        <is>
          <t>Agriculture Supplier 098</t>
        </is>
      </c>
      <c r="C977" t="inlineStr">
        <is>
          <t>Agriculture</t>
        </is>
      </c>
      <c r="D977" t="n">
        <v>2020</v>
      </c>
      <c r="E977" t="n">
        <v>26771814.62</v>
      </c>
      <c r="F977" t="n">
        <v>38837296.31</v>
      </c>
      <c r="G977" t="inlineStr"/>
      <c r="H977" t="inlineStr"/>
      <c r="I977" t="inlineStr"/>
      <c r="J977" t="n">
        <v>22384.3216</v>
      </c>
      <c r="K977" t="n">
        <v>2018</v>
      </c>
      <c r="L977" t="n">
        <v>2040</v>
      </c>
      <c r="M977" t="n">
        <v>0.6899999999999999</v>
      </c>
      <c r="N977" t="n">
        <v>0.3364</v>
      </c>
      <c r="O977" t="n">
        <v>2018</v>
      </c>
      <c r="P977" t="inlineStr"/>
      <c r="Q977" t="inlineStr"/>
      <c r="R977" t="n">
        <v>529.8294</v>
      </c>
      <c r="S977" t="n">
        <v>0.00091413</v>
      </c>
      <c r="T977" t="n">
        <v>0.00096913</v>
      </c>
    </row>
    <row r="978">
      <c r="A978" t="inlineStr">
        <is>
          <t>SUP-0098</t>
        </is>
      </c>
      <c r="B978" t="inlineStr">
        <is>
          <t>Agriculture Supplier 098</t>
        </is>
      </c>
      <c r="C978" t="inlineStr">
        <is>
          <t>Agriculture</t>
        </is>
      </c>
      <c r="D978" t="n">
        <v>2021</v>
      </c>
      <c r="E978" t="n">
        <v>36306342.81</v>
      </c>
      <c r="F978" t="n">
        <v>52950151.7</v>
      </c>
      <c r="G978" t="n">
        <v>36605.8878</v>
      </c>
      <c r="H978" t="n">
        <v>3987.6357</v>
      </c>
      <c r="I978" t="n">
        <v>3255.1376</v>
      </c>
      <c r="J978" t="n">
        <v>28049.803</v>
      </c>
      <c r="K978" t="n">
        <v>2018</v>
      </c>
      <c r="L978" t="n">
        <v>2040</v>
      </c>
      <c r="M978" t="n">
        <v>0.6899999999999999</v>
      </c>
      <c r="N978" t="n">
        <v>0.3364</v>
      </c>
      <c r="O978" t="n">
        <v>2018</v>
      </c>
      <c r="P978" t="inlineStr"/>
      <c r="Q978" t="inlineStr"/>
      <c r="R978" t="n">
        <v>529.8294</v>
      </c>
      <c r="S978" t="n">
        <v>0.00091413</v>
      </c>
      <c r="T978" t="n">
        <v>0.00096913</v>
      </c>
    </row>
    <row r="979">
      <c r="A979" t="inlineStr">
        <is>
          <t>SUP-0098</t>
        </is>
      </c>
      <c r="B979" t="inlineStr">
        <is>
          <t>Agriculture Supplier 098</t>
        </is>
      </c>
      <c r="C979" t="inlineStr">
        <is>
          <t>Agriculture</t>
        </is>
      </c>
      <c r="D979" t="n">
        <v>2022</v>
      </c>
      <c r="E979" t="n">
        <v>30656854.48</v>
      </c>
      <c r="F979" t="n">
        <v>30469154.39</v>
      </c>
      <c r="G979" t="n">
        <v>27547.4615</v>
      </c>
      <c r="H979" t="n">
        <v>7131.4291</v>
      </c>
      <c r="I979" t="n">
        <v>5252.4238</v>
      </c>
      <c r="J979" t="n">
        <v>14006.9675</v>
      </c>
      <c r="K979" t="n">
        <v>2018</v>
      </c>
      <c r="L979" t="n">
        <v>2040</v>
      </c>
      <c r="M979" t="n">
        <v>0.6899999999999999</v>
      </c>
      <c r="N979" t="n">
        <v>0.3364</v>
      </c>
      <c r="O979" t="n">
        <v>2018</v>
      </c>
      <c r="P979" t="inlineStr"/>
      <c r="Q979" t="inlineStr"/>
      <c r="R979" t="n">
        <v>529.8294</v>
      </c>
      <c r="S979" t="n">
        <v>0.00091413</v>
      </c>
      <c r="T979" t="n">
        <v>0.00096913</v>
      </c>
    </row>
    <row r="980">
      <c r="A980" t="inlineStr">
        <is>
          <t>SUP-0098</t>
        </is>
      </c>
      <c r="B980" t="inlineStr">
        <is>
          <t>Agriculture Supplier 098</t>
        </is>
      </c>
      <c r="C980" t="inlineStr">
        <is>
          <t>Agriculture</t>
        </is>
      </c>
      <c r="D980" t="n">
        <v>2023</v>
      </c>
      <c r="E980" t="n">
        <v>40208981.4</v>
      </c>
      <c r="F980" t="n">
        <v>49920417.27</v>
      </c>
      <c r="G980" t="n">
        <v>41350.8285</v>
      </c>
      <c r="H980" t="n">
        <v>11743.5712</v>
      </c>
      <c r="I980" t="inlineStr"/>
      <c r="J980" t="n">
        <v>28334.1324</v>
      </c>
      <c r="K980" t="n">
        <v>2018</v>
      </c>
      <c r="L980" t="n">
        <v>2040</v>
      </c>
      <c r="M980" t="n">
        <v>0.6899999999999999</v>
      </c>
      <c r="N980" t="n">
        <v>0.3364</v>
      </c>
      <c r="O980" t="n">
        <v>2018</v>
      </c>
      <c r="P980" t="inlineStr"/>
      <c r="Q980" t="inlineStr"/>
      <c r="R980" t="n">
        <v>529.8294</v>
      </c>
      <c r="S980" t="n">
        <v>0.00091413</v>
      </c>
      <c r="T980" t="n">
        <v>0.00096913</v>
      </c>
    </row>
    <row r="981">
      <c r="A981" t="inlineStr">
        <is>
          <t>SUP-0098</t>
        </is>
      </c>
      <c r="B981" t="inlineStr">
        <is>
          <t>Agriculture Supplier 098</t>
        </is>
      </c>
      <c r="C981" t="inlineStr">
        <is>
          <t>Agriculture</t>
        </is>
      </c>
      <c r="D981" t="n">
        <v>2024</v>
      </c>
      <c r="E981" t="n">
        <v>35509573.74</v>
      </c>
      <c r="F981" t="n">
        <v>59361089.2</v>
      </c>
      <c r="G981" t="inlineStr"/>
      <c r="H981" t="inlineStr"/>
      <c r="I981" t="n">
        <v>6571.6934</v>
      </c>
      <c r="J981" t="n">
        <v>28060.4535</v>
      </c>
      <c r="K981" t="n">
        <v>2018</v>
      </c>
      <c r="L981" t="n">
        <v>2040</v>
      </c>
      <c r="M981" t="n">
        <v>0.6899999999999999</v>
      </c>
      <c r="N981" t="n">
        <v>0.3364</v>
      </c>
      <c r="O981" t="n">
        <v>2018</v>
      </c>
      <c r="P981" t="inlineStr"/>
      <c r="Q981" t="inlineStr"/>
      <c r="R981" t="n">
        <v>529.8294</v>
      </c>
      <c r="S981" t="n">
        <v>0.00091413</v>
      </c>
      <c r="T981" t="n">
        <v>0.00096913</v>
      </c>
    </row>
    <row r="982">
      <c r="A982" t="inlineStr">
        <is>
          <t>SUP-0099</t>
        </is>
      </c>
      <c r="B982" t="inlineStr">
        <is>
          <t>Electronics Supplier 099</t>
        </is>
      </c>
      <c r="C982" t="inlineStr">
        <is>
          <t>Electronics</t>
        </is>
      </c>
      <c r="D982" t="n">
        <v>2015</v>
      </c>
      <c r="E982" t="n">
        <v>14709253.82</v>
      </c>
      <c r="F982" t="n">
        <v>87746642.73</v>
      </c>
      <c r="G982" t="n">
        <v>10913.1623</v>
      </c>
      <c r="H982" t="n">
        <v>2542.6203</v>
      </c>
      <c r="I982" t="inlineStr"/>
      <c r="J982" t="n">
        <v>7301.0176</v>
      </c>
      <c r="K982" t="inlineStr"/>
      <c r="L982" t="inlineStr"/>
      <c r="M982" t="inlineStr"/>
      <c r="N982" t="inlineStr"/>
      <c r="O982" t="n">
        <v>2018</v>
      </c>
      <c r="P982" t="n">
        <v>2040</v>
      </c>
      <c r="Q982" t="n">
        <v>0.3424</v>
      </c>
      <c r="R982" t="n">
        <v>635.1588</v>
      </c>
      <c r="S982" t="n">
        <v>0.00086105</v>
      </c>
      <c r="T982" t="n">
        <v>0.00013947</v>
      </c>
    </row>
    <row r="983">
      <c r="A983" t="inlineStr">
        <is>
          <t>SUP-0099</t>
        </is>
      </c>
      <c r="B983" t="inlineStr">
        <is>
          <t>Electronics Supplier 099</t>
        </is>
      </c>
      <c r="C983" t="inlineStr">
        <is>
          <t>Electronics</t>
        </is>
      </c>
      <c r="D983" t="n">
        <v>2016</v>
      </c>
      <c r="E983" t="n">
        <v>13558334.08</v>
      </c>
      <c r="F983" t="n">
        <v>85168355.22</v>
      </c>
      <c r="G983" t="n">
        <v>12452.1068</v>
      </c>
      <c r="H983" t="n">
        <v>2537.5706</v>
      </c>
      <c r="I983" t="inlineStr"/>
      <c r="J983" t="inlineStr"/>
      <c r="K983" t="inlineStr"/>
      <c r="L983" t="inlineStr"/>
      <c r="M983" t="inlineStr"/>
      <c r="N983" t="inlineStr"/>
      <c r="O983" t="n">
        <v>2018</v>
      </c>
      <c r="P983" t="n">
        <v>2040</v>
      </c>
      <c r="Q983" t="n">
        <v>0.3424</v>
      </c>
      <c r="R983" t="n">
        <v>635.1588</v>
      </c>
      <c r="S983" t="n">
        <v>0.00086105</v>
      </c>
      <c r="T983" t="n">
        <v>0.00013947</v>
      </c>
    </row>
    <row r="984">
      <c r="A984" t="inlineStr">
        <is>
          <t>SUP-0099</t>
        </is>
      </c>
      <c r="B984" t="inlineStr">
        <is>
          <t>Electronics Supplier 099</t>
        </is>
      </c>
      <c r="C984" t="inlineStr">
        <is>
          <t>Electronics</t>
        </is>
      </c>
      <c r="D984" t="n">
        <v>2017</v>
      </c>
      <c r="E984" t="n">
        <v>15018079.93</v>
      </c>
      <c r="F984" t="n">
        <v>86814849.72</v>
      </c>
      <c r="G984" t="n">
        <v>13032.3893</v>
      </c>
      <c r="H984" t="n">
        <v>3523.2068</v>
      </c>
      <c r="I984" t="inlineStr"/>
      <c r="J984" t="inlineStr"/>
      <c r="K984" t="inlineStr"/>
      <c r="L984" t="inlineStr"/>
      <c r="M984" t="inlineStr"/>
      <c r="N984" t="inlineStr"/>
      <c r="O984" t="n">
        <v>2018</v>
      </c>
      <c r="P984" t="n">
        <v>2040</v>
      </c>
      <c r="Q984" t="n">
        <v>0.3424</v>
      </c>
      <c r="R984" t="n">
        <v>635.1588</v>
      </c>
      <c r="S984" t="n">
        <v>0.00086105</v>
      </c>
      <c r="T984" t="n">
        <v>0.00013947</v>
      </c>
    </row>
    <row r="985">
      <c r="A985" t="inlineStr">
        <is>
          <t>SUP-0099</t>
        </is>
      </c>
      <c r="B985" t="inlineStr">
        <is>
          <t>Electronics Supplier 099</t>
        </is>
      </c>
      <c r="C985" t="inlineStr">
        <is>
          <t>Electronics</t>
        </is>
      </c>
      <c r="D985" t="n">
        <v>2018</v>
      </c>
      <c r="E985" t="n">
        <v>14540115.27</v>
      </c>
      <c r="F985" t="n">
        <v>83855993.09999999</v>
      </c>
      <c r="G985" t="inlineStr"/>
      <c r="H985" t="n">
        <v>2947.8066</v>
      </c>
      <c r="I985" t="n">
        <v>802.1461</v>
      </c>
      <c r="J985" t="n">
        <v>6872.3308</v>
      </c>
      <c r="K985" t="inlineStr"/>
      <c r="L985" t="inlineStr"/>
      <c r="M985" t="inlineStr"/>
      <c r="N985" t="inlineStr"/>
      <c r="O985" t="n">
        <v>2018</v>
      </c>
      <c r="P985" t="n">
        <v>2040</v>
      </c>
      <c r="Q985" t="n">
        <v>0.3424</v>
      </c>
      <c r="R985" t="n">
        <v>635.1588</v>
      </c>
      <c r="S985" t="n">
        <v>0.00086105</v>
      </c>
      <c r="T985" t="n">
        <v>0.00013947</v>
      </c>
    </row>
    <row r="986">
      <c r="A986" t="inlineStr">
        <is>
          <t>SUP-0099</t>
        </is>
      </c>
      <c r="B986" t="inlineStr">
        <is>
          <t>Electronics Supplier 099</t>
        </is>
      </c>
      <c r="C986" t="inlineStr">
        <is>
          <t>Electronics</t>
        </is>
      </c>
      <c r="D986" t="n">
        <v>2019</v>
      </c>
      <c r="E986" t="n">
        <v>15048292</v>
      </c>
      <c r="F986" t="inlineStr"/>
      <c r="G986" t="n">
        <v>13594.5112</v>
      </c>
      <c r="H986" t="inlineStr"/>
      <c r="I986" t="inlineStr"/>
      <c r="J986" t="n">
        <v>9322.3521</v>
      </c>
      <c r="K986" t="inlineStr"/>
      <c r="L986" t="inlineStr"/>
      <c r="M986" t="inlineStr"/>
      <c r="N986" t="inlineStr"/>
      <c r="O986" t="n">
        <v>2018</v>
      </c>
      <c r="P986" t="n">
        <v>2040</v>
      </c>
      <c r="Q986" t="n">
        <v>0.3424</v>
      </c>
      <c r="R986" t="n">
        <v>635.1588</v>
      </c>
      <c r="S986" t="n">
        <v>0.00086105</v>
      </c>
      <c r="T986" t="n">
        <v>0.00013947</v>
      </c>
    </row>
    <row r="987">
      <c r="A987" t="inlineStr">
        <is>
          <t>SUP-0099</t>
        </is>
      </c>
      <c r="B987" t="inlineStr">
        <is>
          <t>Electronics Supplier 099</t>
        </is>
      </c>
      <c r="C987" t="inlineStr">
        <is>
          <t>Electronics</t>
        </is>
      </c>
      <c r="D987" t="n">
        <v>2020</v>
      </c>
      <c r="E987" t="n">
        <v>14433854.38</v>
      </c>
      <c r="F987" t="n">
        <v>99404429.75</v>
      </c>
      <c r="G987" t="n">
        <v>8952.702799999999</v>
      </c>
      <c r="H987" t="n">
        <v>2138.1948</v>
      </c>
      <c r="I987" t="n">
        <v>1710.1923</v>
      </c>
      <c r="J987" t="n">
        <v>4667.7708</v>
      </c>
      <c r="K987" t="inlineStr"/>
      <c r="L987" t="inlineStr"/>
      <c r="M987" t="inlineStr"/>
      <c r="N987" t="inlineStr"/>
      <c r="O987" t="n">
        <v>2018</v>
      </c>
      <c r="P987" t="n">
        <v>2040</v>
      </c>
      <c r="Q987" t="n">
        <v>0.3424</v>
      </c>
      <c r="R987" t="n">
        <v>635.1588</v>
      </c>
      <c r="S987" t="n">
        <v>0.00086105</v>
      </c>
      <c r="T987" t="n">
        <v>0.00013947</v>
      </c>
    </row>
    <row r="988">
      <c r="A988" t="inlineStr">
        <is>
          <t>SUP-0099</t>
        </is>
      </c>
      <c r="B988" t="inlineStr">
        <is>
          <t>Electronics Supplier 099</t>
        </is>
      </c>
      <c r="C988" t="inlineStr">
        <is>
          <t>Electronics</t>
        </is>
      </c>
      <c r="D988" t="n">
        <v>2021</v>
      </c>
      <c r="E988" t="n">
        <v>16007365.5</v>
      </c>
      <c r="F988" t="inlineStr"/>
      <c r="G988" t="n">
        <v>10769.1306</v>
      </c>
      <c r="H988" t="n">
        <v>1205.084</v>
      </c>
      <c r="I988" t="n">
        <v>2380.2258</v>
      </c>
      <c r="J988" t="n">
        <v>8060.5457</v>
      </c>
      <c r="K988" t="inlineStr"/>
      <c r="L988" t="inlineStr"/>
      <c r="M988" t="inlineStr"/>
      <c r="N988" t="inlineStr"/>
      <c r="O988" t="n">
        <v>2018</v>
      </c>
      <c r="P988" t="n">
        <v>2040</v>
      </c>
      <c r="Q988" t="n">
        <v>0.3424</v>
      </c>
      <c r="R988" t="n">
        <v>635.1588</v>
      </c>
      <c r="S988" t="n">
        <v>0.00086105</v>
      </c>
      <c r="T988" t="n">
        <v>0.00013947</v>
      </c>
    </row>
    <row r="989">
      <c r="A989" t="inlineStr">
        <is>
          <t>SUP-0099</t>
        </is>
      </c>
      <c r="B989" t="inlineStr">
        <is>
          <t>Electronics Supplier 099</t>
        </is>
      </c>
      <c r="C989" t="inlineStr">
        <is>
          <t>Electronics</t>
        </is>
      </c>
      <c r="D989" t="n">
        <v>2022</v>
      </c>
      <c r="E989" t="n">
        <v>12525158.36</v>
      </c>
      <c r="F989" t="n">
        <v>95946762.11</v>
      </c>
      <c r="G989" t="n">
        <v>7842.5051</v>
      </c>
      <c r="H989" t="n">
        <v>1613.3503</v>
      </c>
      <c r="I989" t="inlineStr"/>
      <c r="J989" t="n">
        <v>5178.1343</v>
      </c>
      <c r="K989" t="inlineStr"/>
      <c r="L989" t="inlineStr"/>
      <c r="M989" t="inlineStr"/>
      <c r="N989" t="inlineStr"/>
      <c r="O989" t="n">
        <v>2018</v>
      </c>
      <c r="P989" t="n">
        <v>2040</v>
      </c>
      <c r="Q989" t="n">
        <v>0.3424</v>
      </c>
      <c r="R989" t="n">
        <v>635.1588</v>
      </c>
      <c r="S989" t="n">
        <v>0.00086105</v>
      </c>
      <c r="T989" t="n">
        <v>0.00013947</v>
      </c>
    </row>
    <row r="990">
      <c r="A990" t="inlineStr">
        <is>
          <t>SUP-0099</t>
        </is>
      </c>
      <c r="B990" t="inlineStr">
        <is>
          <t>Electronics Supplier 099</t>
        </is>
      </c>
      <c r="C990" t="inlineStr">
        <is>
          <t>Electronics</t>
        </is>
      </c>
      <c r="D990" t="n">
        <v>2023</v>
      </c>
      <c r="E990" t="n">
        <v>17167097.16</v>
      </c>
      <c r="F990" t="n">
        <v>85081699.51000001</v>
      </c>
      <c r="G990" t="inlineStr"/>
      <c r="H990" t="n">
        <v>3227.9566</v>
      </c>
      <c r="I990" t="inlineStr"/>
      <c r="J990" t="n">
        <v>7327.4956</v>
      </c>
      <c r="K990" t="inlineStr"/>
      <c r="L990" t="inlineStr"/>
      <c r="M990" t="inlineStr"/>
      <c r="N990" t="inlineStr"/>
      <c r="O990" t="n">
        <v>2018</v>
      </c>
      <c r="P990" t="n">
        <v>2040</v>
      </c>
      <c r="Q990" t="n">
        <v>0.3424</v>
      </c>
      <c r="R990" t="n">
        <v>635.1588</v>
      </c>
      <c r="S990" t="n">
        <v>0.00086105</v>
      </c>
      <c r="T990" t="n">
        <v>0.00013947</v>
      </c>
    </row>
    <row r="991">
      <c r="A991" t="inlineStr">
        <is>
          <t>SUP-0099</t>
        </is>
      </c>
      <c r="B991" t="inlineStr">
        <is>
          <t>Electronics Supplier 099</t>
        </is>
      </c>
      <c r="C991" t="inlineStr">
        <is>
          <t>Electronics</t>
        </is>
      </c>
      <c r="D991" t="n">
        <v>2024</v>
      </c>
      <c r="E991" t="n">
        <v>16552919.08</v>
      </c>
      <c r="F991" t="n">
        <v>106880751</v>
      </c>
      <c r="G991" t="inlineStr"/>
      <c r="H991" t="inlineStr"/>
      <c r="I991" t="n">
        <v>464.4015</v>
      </c>
      <c r="J991" t="inlineStr"/>
      <c r="K991" t="inlineStr"/>
      <c r="L991" t="inlineStr"/>
      <c r="M991" t="inlineStr"/>
      <c r="N991" t="inlineStr"/>
      <c r="O991" t="n">
        <v>2018</v>
      </c>
      <c r="P991" t="n">
        <v>2040</v>
      </c>
      <c r="Q991" t="n">
        <v>0.3424</v>
      </c>
      <c r="R991" t="n">
        <v>635.1588</v>
      </c>
      <c r="S991" t="n">
        <v>0.00086105</v>
      </c>
      <c r="T991" t="n">
        <v>0.00013947</v>
      </c>
    </row>
    <row r="992">
      <c r="A992" t="inlineStr">
        <is>
          <t>SUP-0100</t>
        </is>
      </c>
      <c r="B992" t="inlineStr">
        <is>
          <t>Textiles Supplier 100</t>
        </is>
      </c>
      <c r="C992" t="inlineStr">
        <is>
          <t>Textiles</t>
        </is>
      </c>
      <c r="D992" t="n">
        <v>2015</v>
      </c>
      <c r="E992" t="n">
        <v>24077649.16</v>
      </c>
      <c r="F992" t="n">
        <v>114869410.81</v>
      </c>
      <c r="G992" t="inlineStr"/>
      <c r="H992" t="n">
        <v>754.3521</v>
      </c>
      <c r="I992" t="n">
        <v>1466.0442</v>
      </c>
      <c r="J992" t="n">
        <v>6351.3771</v>
      </c>
      <c r="K992" t="n">
        <v>2021</v>
      </c>
      <c r="L992" t="n">
        <v>2040</v>
      </c>
      <c r="M992" t="n">
        <v>0.4388</v>
      </c>
      <c r="N992" t="n">
        <v>0.2538</v>
      </c>
      <c r="O992" t="n">
        <v>2019</v>
      </c>
      <c r="P992" t="n">
        <v>2030</v>
      </c>
      <c r="Q992" t="n">
        <v>0.3171</v>
      </c>
      <c r="R992" t="n">
        <v>401.7335</v>
      </c>
      <c r="S992" t="n">
        <v>0.00029221</v>
      </c>
      <c r="T992" t="n">
        <v>0.00017343</v>
      </c>
    </row>
    <row r="993">
      <c r="A993" t="inlineStr">
        <is>
          <t>SUP-0100</t>
        </is>
      </c>
      <c r="B993" t="inlineStr">
        <is>
          <t>Textiles Supplier 100</t>
        </is>
      </c>
      <c r="C993" t="inlineStr">
        <is>
          <t>Textiles</t>
        </is>
      </c>
      <c r="D993" t="n">
        <v>2016</v>
      </c>
      <c r="E993" t="n">
        <v>28248463.33</v>
      </c>
      <c r="F993" t="n">
        <v>128330113.96</v>
      </c>
      <c r="G993" t="n">
        <v>6782.9068</v>
      </c>
      <c r="H993" t="inlineStr"/>
      <c r="I993" t="inlineStr"/>
      <c r="J993" t="n">
        <v>4265.4737</v>
      </c>
      <c r="K993" t="n">
        <v>2021</v>
      </c>
      <c r="L993" t="n">
        <v>2040</v>
      </c>
      <c r="M993" t="n">
        <v>0.4388</v>
      </c>
      <c r="N993" t="n">
        <v>0.2538</v>
      </c>
      <c r="O993" t="n">
        <v>2019</v>
      </c>
      <c r="P993" t="n">
        <v>2030</v>
      </c>
      <c r="Q993" t="n">
        <v>0.3171</v>
      </c>
      <c r="R993" t="n">
        <v>401.7335</v>
      </c>
      <c r="S993" t="n">
        <v>0.00029221</v>
      </c>
      <c r="T993" t="n">
        <v>0.00017343</v>
      </c>
    </row>
    <row r="994">
      <c r="A994" t="inlineStr">
        <is>
          <t>SUP-0100</t>
        </is>
      </c>
      <c r="B994" t="inlineStr">
        <is>
          <t>Textiles Supplier 100</t>
        </is>
      </c>
      <c r="C994" t="inlineStr">
        <is>
          <t>Textiles</t>
        </is>
      </c>
      <c r="D994" t="n">
        <v>2017</v>
      </c>
      <c r="E994" t="n">
        <v>27877277.24</v>
      </c>
      <c r="F994" t="n">
        <v>153768786.51</v>
      </c>
      <c r="G994" t="inlineStr"/>
      <c r="H994" t="n">
        <v>927.7815000000001</v>
      </c>
      <c r="I994" t="n">
        <v>871.8684</v>
      </c>
      <c r="J994" t="n">
        <v>5083.6728</v>
      </c>
      <c r="K994" t="n">
        <v>2021</v>
      </c>
      <c r="L994" t="n">
        <v>2040</v>
      </c>
      <c r="M994" t="n">
        <v>0.4388</v>
      </c>
      <c r="N994" t="n">
        <v>0.2538</v>
      </c>
      <c r="O994" t="n">
        <v>2019</v>
      </c>
      <c r="P994" t="n">
        <v>2030</v>
      </c>
      <c r="Q994" t="n">
        <v>0.3171</v>
      </c>
      <c r="R994" t="n">
        <v>401.7335</v>
      </c>
      <c r="S994" t="n">
        <v>0.00029221</v>
      </c>
      <c r="T994" t="n">
        <v>0.00017343</v>
      </c>
    </row>
    <row r="995">
      <c r="A995" t="inlineStr">
        <is>
          <t>SUP-0100</t>
        </is>
      </c>
      <c r="B995" t="inlineStr">
        <is>
          <t>Textiles Supplier 100</t>
        </is>
      </c>
      <c r="C995" t="inlineStr">
        <is>
          <t>Textiles</t>
        </is>
      </c>
      <c r="D995" t="n">
        <v>2018</v>
      </c>
      <c r="E995" t="n">
        <v>32419173.14</v>
      </c>
      <c r="F995" t="n">
        <v>125283671.32</v>
      </c>
      <c r="G995" t="n">
        <v>9316.503000000001</v>
      </c>
      <c r="H995" t="n">
        <v>2403.3629</v>
      </c>
      <c r="I995" t="n">
        <v>852.7097</v>
      </c>
      <c r="J995" t="n">
        <v>5468.8365</v>
      </c>
      <c r="K995" t="n">
        <v>2021</v>
      </c>
      <c r="L995" t="n">
        <v>2040</v>
      </c>
      <c r="M995" t="n">
        <v>0.4388</v>
      </c>
      <c r="N995" t="n">
        <v>0.2538</v>
      </c>
      <c r="O995" t="n">
        <v>2019</v>
      </c>
      <c r="P995" t="n">
        <v>2030</v>
      </c>
      <c r="Q995" t="n">
        <v>0.3171</v>
      </c>
      <c r="R995" t="n">
        <v>401.7335</v>
      </c>
      <c r="S995" t="n">
        <v>0.00029221</v>
      </c>
      <c r="T995" t="n">
        <v>0.00017343</v>
      </c>
    </row>
    <row r="996">
      <c r="A996" t="inlineStr">
        <is>
          <t>SUP-0100</t>
        </is>
      </c>
      <c r="B996" t="inlineStr">
        <is>
          <t>Textiles Supplier 100</t>
        </is>
      </c>
      <c r="C996" t="inlineStr">
        <is>
          <t>Textiles</t>
        </is>
      </c>
      <c r="D996" t="n">
        <v>2019</v>
      </c>
      <c r="E996" t="inlineStr"/>
      <c r="F996" t="n">
        <v>171637330.5</v>
      </c>
      <c r="G996" t="inlineStr"/>
      <c r="H996" t="n">
        <v>1918.8855</v>
      </c>
      <c r="I996" t="n">
        <v>688.3483</v>
      </c>
      <c r="J996" t="n">
        <v>5604.5426</v>
      </c>
      <c r="K996" t="n">
        <v>2021</v>
      </c>
      <c r="L996" t="n">
        <v>2040</v>
      </c>
      <c r="M996" t="n">
        <v>0.4388</v>
      </c>
      <c r="N996" t="n">
        <v>0.2538</v>
      </c>
      <c r="O996" t="n">
        <v>2019</v>
      </c>
      <c r="P996" t="n">
        <v>2030</v>
      </c>
      <c r="Q996" t="n">
        <v>0.3171</v>
      </c>
      <c r="R996" t="n">
        <v>401.7335</v>
      </c>
      <c r="S996" t="n">
        <v>0.00029221</v>
      </c>
      <c r="T996" t="n">
        <v>0.00017343</v>
      </c>
    </row>
    <row r="997">
      <c r="A997" t="inlineStr">
        <is>
          <t>SUP-0100</t>
        </is>
      </c>
      <c r="B997" t="inlineStr">
        <is>
          <t>Textiles Supplier 100</t>
        </is>
      </c>
      <c r="C997" t="inlineStr">
        <is>
          <t>Textiles</t>
        </is>
      </c>
      <c r="D997" t="n">
        <v>2020</v>
      </c>
      <c r="E997" t="n">
        <v>41064494.16</v>
      </c>
      <c r="F997" t="n">
        <v>146171481.97</v>
      </c>
      <c r="G997" t="n">
        <v>11382.6272</v>
      </c>
      <c r="H997" t="n">
        <v>1613.8315</v>
      </c>
      <c r="I997" t="n">
        <v>841.7051</v>
      </c>
      <c r="J997" t="n">
        <v>9267.7809</v>
      </c>
      <c r="K997" t="n">
        <v>2021</v>
      </c>
      <c r="L997" t="n">
        <v>2040</v>
      </c>
      <c r="M997" t="n">
        <v>0.4388</v>
      </c>
      <c r="N997" t="n">
        <v>0.2538</v>
      </c>
      <c r="O997" t="n">
        <v>2019</v>
      </c>
      <c r="P997" t="n">
        <v>2030</v>
      </c>
      <c r="Q997" t="n">
        <v>0.3171</v>
      </c>
      <c r="R997" t="n">
        <v>401.7335</v>
      </c>
      <c r="S997" t="n">
        <v>0.00029221</v>
      </c>
      <c r="T997" t="n">
        <v>0.00017343</v>
      </c>
    </row>
    <row r="998">
      <c r="A998" t="inlineStr">
        <is>
          <t>SUP-0100</t>
        </is>
      </c>
      <c r="B998" t="inlineStr">
        <is>
          <t>Textiles Supplier 100</t>
        </is>
      </c>
      <c r="C998" t="inlineStr">
        <is>
          <t>Textiles</t>
        </is>
      </c>
      <c r="D998" t="n">
        <v>2021</v>
      </c>
      <c r="E998" t="n">
        <v>44559077.45</v>
      </c>
      <c r="F998" t="n">
        <v>235184541.18</v>
      </c>
      <c r="G998" t="n">
        <v>9067.2328</v>
      </c>
      <c r="H998" t="n">
        <v>1248.1582</v>
      </c>
      <c r="I998" t="n">
        <v>752.4075</v>
      </c>
      <c r="J998" t="inlineStr"/>
      <c r="K998" t="n">
        <v>2021</v>
      </c>
      <c r="L998" t="n">
        <v>2040</v>
      </c>
      <c r="M998" t="n">
        <v>0.4388</v>
      </c>
      <c r="N998" t="n">
        <v>0.2538</v>
      </c>
      <c r="O998" t="n">
        <v>2019</v>
      </c>
      <c r="P998" t="n">
        <v>2030</v>
      </c>
      <c r="Q998" t="n">
        <v>0.3171</v>
      </c>
      <c r="R998" t="n">
        <v>401.7335</v>
      </c>
      <c r="S998" t="n">
        <v>0.00029221</v>
      </c>
      <c r="T998" t="n">
        <v>0.00017343</v>
      </c>
    </row>
    <row r="999">
      <c r="A999" t="inlineStr">
        <is>
          <t>SUP-0100</t>
        </is>
      </c>
      <c r="B999" t="inlineStr">
        <is>
          <t>Textiles Supplier 100</t>
        </is>
      </c>
      <c r="C999" t="inlineStr">
        <is>
          <t>Textiles</t>
        </is>
      </c>
      <c r="D999" t="n">
        <v>2022</v>
      </c>
      <c r="E999" t="n">
        <v>40656496.2</v>
      </c>
      <c r="F999" t="n">
        <v>236627460.09</v>
      </c>
      <c r="G999" t="inlineStr"/>
      <c r="H999" t="n">
        <v>558.8783</v>
      </c>
      <c r="I999" t="n">
        <v>476.4322</v>
      </c>
      <c r="J999" t="n">
        <v>5650.5532</v>
      </c>
      <c r="K999" t="n">
        <v>2021</v>
      </c>
      <c r="L999" t="n">
        <v>2040</v>
      </c>
      <c r="M999" t="n">
        <v>0.4388</v>
      </c>
      <c r="N999" t="n">
        <v>0.2538</v>
      </c>
      <c r="O999" t="n">
        <v>2019</v>
      </c>
      <c r="P999" t="n">
        <v>2030</v>
      </c>
      <c r="Q999" t="n">
        <v>0.3171</v>
      </c>
      <c r="R999" t="n">
        <v>401.7335</v>
      </c>
      <c r="S999" t="n">
        <v>0.00029221</v>
      </c>
      <c r="T999" t="n">
        <v>0.00017343</v>
      </c>
    </row>
    <row r="1000">
      <c r="A1000" t="inlineStr">
        <is>
          <t>SUP-0100</t>
        </is>
      </c>
      <c r="B1000" t="inlineStr">
        <is>
          <t>Textiles Supplier 100</t>
        </is>
      </c>
      <c r="C1000" t="inlineStr">
        <is>
          <t>Textiles</t>
        </is>
      </c>
      <c r="D1000" t="n">
        <v>2023</v>
      </c>
      <c r="E1000" t="n">
        <v>47567002.51</v>
      </c>
      <c r="F1000" t="n">
        <v>205917877.98</v>
      </c>
      <c r="G1000" t="n">
        <v>11137.5876</v>
      </c>
      <c r="H1000" t="n">
        <v>1844.7517</v>
      </c>
      <c r="I1000" t="n">
        <v>1345.7122</v>
      </c>
      <c r="J1000" t="n">
        <v>7763.3734</v>
      </c>
      <c r="K1000" t="n">
        <v>2021</v>
      </c>
      <c r="L1000" t="n">
        <v>2040</v>
      </c>
      <c r="M1000" t="n">
        <v>0.4388</v>
      </c>
      <c r="N1000" t="n">
        <v>0.2538</v>
      </c>
      <c r="O1000" t="n">
        <v>2019</v>
      </c>
      <c r="P1000" t="n">
        <v>2030</v>
      </c>
      <c r="Q1000" t="n">
        <v>0.3171</v>
      </c>
      <c r="R1000" t="n">
        <v>401.7335</v>
      </c>
      <c r="S1000" t="n">
        <v>0.00029221</v>
      </c>
      <c r="T1000" t="n">
        <v>0.00017343</v>
      </c>
    </row>
    <row r="1001">
      <c r="A1001" t="inlineStr">
        <is>
          <t>SUP-0100</t>
        </is>
      </c>
      <c r="B1001" t="inlineStr">
        <is>
          <t>Textiles Supplier 100</t>
        </is>
      </c>
      <c r="C1001" t="inlineStr">
        <is>
          <t>Textiles</t>
        </is>
      </c>
      <c r="D1001" t="n">
        <v>2024</v>
      </c>
      <c r="E1001" t="n">
        <v>45670132.94</v>
      </c>
      <c r="F1001" t="n">
        <v>258354383.57</v>
      </c>
      <c r="G1001" t="n">
        <v>10082.4327</v>
      </c>
      <c r="H1001" t="n">
        <v>1145.0433</v>
      </c>
      <c r="I1001" t="inlineStr"/>
      <c r="J1001" t="n">
        <v>6668.5072</v>
      </c>
      <c r="K1001" t="n">
        <v>2021</v>
      </c>
      <c r="L1001" t="n">
        <v>2040</v>
      </c>
      <c r="M1001" t="n">
        <v>0.4388</v>
      </c>
      <c r="N1001" t="n">
        <v>0.2538</v>
      </c>
      <c r="O1001" t="n">
        <v>2019</v>
      </c>
      <c r="P1001" t="n">
        <v>2030</v>
      </c>
      <c r="Q1001" t="n">
        <v>0.3171</v>
      </c>
      <c r="R1001" t="n">
        <v>401.7335</v>
      </c>
      <c r="S1001" t="n">
        <v>0.00029221</v>
      </c>
      <c r="T1001" t="n">
        <v>0.00017343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Baseline_Year</t>
        </is>
      </c>
      <c r="E1" t="inlineStr">
        <is>
          <t>Target_Year</t>
        </is>
      </c>
      <c r="F1" t="inlineStr">
        <is>
          <t>Target_Reduction_Percentage</t>
        </is>
      </c>
      <c r="G1" t="inlineStr">
        <is>
          <t>Interim_Target_Reduction_Percentage</t>
        </is>
      </c>
      <c r="H1" t="inlineStr">
        <is>
          <t>Target_Type</t>
        </is>
      </c>
      <c r="I1" t="inlineStr">
        <is>
          <t>Target_Source</t>
        </is>
      </c>
    </row>
    <row r="2">
      <c r="A2" t="inlineStr">
        <is>
          <t>SUP-0020</t>
        </is>
      </c>
      <c r="B2" t="inlineStr">
        <is>
          <t>Logistics Supplier 020</t>
        </is>
      </c>
      <c r="C2" t="inlineStr">
        <is>
          <t>Logistics</t>
        </is>
      </c>
      <c r="D2" t="n">
        <v>2020</v>
      </c>
      <c r="E2" t="n">
        <v>2035</v>
      </c>
      <c r="F2" t="n">
        <v>0.668</v>
      </c>
      <c r="G2" t="n">
        <v>0.2613</v>
      </c>
      <c r="H2" t="inlineStr">
        <is>
          <t>Intensity</t>
        </is>
      </c>
      <c r="I2" t="inlineStr">
        <is>
          <t>SBTi</t>
        </is>
      </c>
    </row>
    <row r="3">
      <c r="A3" t="inlineStr">
        <is>
          <t>SUP-0095</t>
        </is>
      </c>
      <c r="B3" t="inlineStr">
        <is>
          <t>Agriculture Supplier 095</t>
        </is>
      </c>
      <c r="C3" t="inlineStr">
        <is>
          <t>Agriculture</t>
        </is>
      </c>
      <c r="D3" t="n">
        <v>2018</v>
      </c>
      <c r="E3" t="n">
        <v>2040</v>
      </c>
      <c r="F3" t="n">
        <v>0.4968</v>
      </c>
      <c r="G3" t="n">
        <v>0.2905</v>
      </c>
      <c r="H3" t="inlineStr">
        <is>
          <t>Intensity</t>
        </is>
      </c>
      <c r="I3" t="inlineStr">
        <is>
          <t>Contractual Target</t>
        </is>
      </c>
    </row>
    <row r="4">
      <c r="A4" t="inlineStr">
        <is>
          <t>SUP-0059</t>
        </is>
      </c>
      <c r="B4" t="inlineStr">
        <is>
          <t>Agriculture Supplier 059</t>
        </is>
      </c>
      <c r="C4" t="inlineStr">
        <is>
          <t>Agriculture</t>
        </is>
      </c>
      <c r="D4" t="n">
        <v>2021</v>
      </c>
      <c r="E4" t="n">
        <v>2030</v>
      </c>
      <c r="F4" t="n">
        <v>0.495</v>
      </c>
      <c r="G4" t="n">
        <v>0.1874</v>
      </c>
      <c r="H4" t="inlineStr">
        <is>
          <t>Absolute</t>
        </is>
      </c>
      <c r="I4" t="inlineStr">
        <is>
          <t>CDP</t>
        </is>
      </c>
    </row>
    <row r="5">
      <c r="A5" t="inlineStr">
        <is>
          <t>SUP-0021</t>
        </is>
      </c>
      <c r="B5" t="inlineStr">
        <is>
          <t>Textiles Supplier 021</t>
        </is>
      </c>
      <c r="C5" t="inlineStr">
        <is>
          <t>Textiles</t>
        </is>
      </c>
      <c r="D5" t="n">
        <v>2018</v>
      </c>
      <c r="E5" t="n">
        <v>2030</v>
      </c>
      <c r="F5" t="n">
        <v>0.4825</v>
      </c>
      <c r="G5" t="n">
        <v>0.2517</v>
      </c>
      <c r="H5" t="inlineStr">
        <is>
          <t>Absolute</t>
        </is>
      </c>
      <c r="I5" t="inlineStr">
        <is>
          <t>Supplier Survey</t>
        </is>
      </c>
    </row>
    <row r="6">
      <c r="A6" t="inlineStr">
        <is>
          <t>SUP-0060</t>
        </is>
      </c>
      <c r="B6" t="inlineStr">
        <is>
          <t>Electronics Supplier 060</t>
        </is>
      </c>
      <c r="C6" t="inlineStr">
        <is>
          <t>Electronics</t>
        </is>
      </c>
      <c r="D6" t="n">
        <v>2020</v>
      </c>
      <c r="E6" t="n">
        <v>2040</v>
      </c>
      <c r="F6" t="n">
        <v>0.5996</v>
      </c>
      <c r="G6" t="n">
        <v>0.2984</v>
      </c>
      <c r="H6" t="inlineStr">
        <is>
          <t>Absolute</t>
        </is>
      </c>
      <c r="I6" t="inlineStr">
        <is>
          <t>Contractual Target</t>
        </is>
      </c>
    </row>
    <row r="7">
      <c r="A7" t="inlineStr">
        <is>
          <t>SUP-0016</t>
        </is>
      </c>
      <c r="B7" t="inlineStr">
        <is>
          <t>Metals Supplier 016</t>
        </is>
      </c>
      <c r="C7" t="inlineStr">
        <is>
          <t>Metals</t>
        </is>
      </c>
      <c r="D7" t="n">
        <v>2018</v>
      </c>
      <c r="E7" t="n">
        <v>2040</v>
      </c>
      <c r="F7" t="n">
        <v>0.2599</v>
      </c>
      <c r="G7" t="n">
        <v>0.1001</v>
      </c>
      <c r="H7" t="inlineStr">
        <is>
          <t>Absolute</t>
        </is>
      </c>
      <c r="I7" t="inlineStr">
        <is>
          <t>CDP</t>
        </is>
      </c>
    </row>
    <row r="8">
      <c r="A8" t="inlineStr">
        <is>
          <t>SUP-0004</t>
        </is>
      </c>
      <c r="B8" t="inlineStr">
        <is>
          <t>Agriculture Supplier 004</t>
        </is>
      </c>
      <c r="C8" t="inlineStr">
        <is>
          <t>Agriculture</t>
        </is>
      </c>
      <c r="D8" t="n">
        <v>2020</v>
      </c>
      <c r="E8" t="n">
        <v>2040</v>
      </c>
      <c r="F8" t="n">
        <v>0.5872000000000001</v>
      </c>
      <c r="G8" t="n">
        <v>0.3238</v>
      </c>
      <c r="H8" t="inlineStr">
        <is>
          <t>Absolute</t>
        </is>
      </c>
      <c r="I8" t="inlineStr">
        <is>
          <t>CDP</t>
        </is>
      </c>
    </row>
    <row r="9">
      <c r="A9" t="inlineStr">
        <is>
          <t>SUP-0074</t>
        </is>
      </c>
      <c r="B9" t="inlineStr">
        <is>
          <t>Agriculture Supplier 074</t>
        </is>
      </c>
      <c r="C9" t="inlineStr">
        <is>
          <t>Agriculture</t>
        </is>
      </c>
      <c r="D9" t="n">
        <v>2020</v>
      </c>
      <c r="E9" t="n">
        <v>2040</v>
      </c>
      <c r="F9" t="n">
        <v>0.5813</v>
      </c>
      <c r="G9" t="n">
        <v>0.2506</v>
      </c>
      <c r="H9" t="inlineStr">
        <is>
          <t>Absolute</t>
        </is>
      </c>
      <c r="I9" t="inlineStr">
        <is>
          <t>Supplier Survey</t>
        </is>
      </c>
    </row>
    <row r="10">
      <c r="A10" t="inlineStr">
        <is>
          <t>SUP-0027</t>
        </is>
      </c>
      <c r="B10" t="inlineStr">
        <is>
          <t>Metals Supplier 027</t>
        </is>
      </c>
      <c r="C10" t="inlineStr">
        <is>
          <t>Metals</t>
        </is>
      </c>
      <c r="D10" t="n">
        <v>2019</v>
      </c>
      <c r="E10" t="n">
        <v>2030</v>
      </c>
      <c r="F10" t="n">
        <v>0.2739</v>
      </c>
      <c r="G10" t="n">
        <v>0.1728</v>
      </c>
      <c r="H10" t="inlineStr">
        <is>
          <t>Absolute</t>
        </is>
      </c>
      <c r="I10" t="inlineStr">
        <is>
          <t>SBTi</t>
        </is>
      </c>
    </row>
    <row r="11">
      <c r="A11" t="inlineStr">
        <is>
          <t>SUP-0028</t>
        </is>
      </c>
      <c r="B11" t="inlineStr">
        <is>
          <t>Professional Supplier 028</t>
        </is>
      </c>
      <c r="C11" t="inlineStr">
        <is>
          <t>Professional Services</t>
        </is>
      </c>
      <c r="D11" t="n">
        <v>2020</v>
      </c>
      <c r="E11" t="n">
        <v>2035</v>
      </c>
      <c r="F11" t="n">
        <v>0.5648</v>
      </c>
      <c r="G11" t="n">
        <v>0.2914</v>
      </c>
      <c r="H11" t="inlineStr">
        <is>
          <t>Intensity</t>
        </is>
      </c>
      <c r="I11" t="inlineStr">
        <is>
          <t>CDP</t>
        </is>
      </c>
    </row>
    <row r="12">
      <c r="A12" t="inlineStr">
        <is>
          <t>SUP-0089</t>
        </is>
      </c>
      <c r="B12" t="inlineStr">
        <is>
          <t>Professional Supplier 089</t>
        </is>
      </c>
      <c r="C12" t="inlineStr">
        <is>
          <t>Professional Services</t>
        </is>
      </c>
      <c r="D12" t="n">
        <v>2021</v>
      </c>
      <c r="E12" t="n">
        <v>2035</v>
      </c>
      <c r="F12" t="n">
        <v>0.3882</v>
      </c>
      <c r="G12" t="n">
        <v>0.2508</v>
      </c>
      <c r="H12" t="inlineStr">
        <is>
          <t>Absolute</t>
        </is>
      </c>
      <c r="I12" t="inlineStr">
        <is>
          <t>CDP</t>
        </is>
      </c>
    </row>
    <row r="13">
      <c r="A13" t="inlineStr">
        <is>
          <t>SUP-0078</t>
        </is>
      </c>
      <c r="B13" t="inlineStr">
        <is>
          <t>Metals Supplier 078</t>
        </is>
      </c>
      <c r="C13" t="inlineStr">
        <is>
          <t>Metals</t>
        </is>
      </c>
      <c r="D13" t="n">
        <v>2021</v>
      </c>
      <c r="E13" t="n">
        <v>2040</v>
      </c>
      <c r="F13" t="n">
        <v>0.2592</v>
      </c>
      <c r="G13" t="n">
        <v>0.1569</v>
      </c>
      <c r="H13" t="inlineStr">
        <is>
          <t>Absolute</t>
        </is>
      </c>
      <c r="I13" t="inlineStr">
        <is>
          <t>SBTi</t>
        </is>
      </c>
    </row>
    <row r="14">
      <c r="A14" t="inlineStr">
        <is>
          <t>SUP-0043</t>
        </is>
      </c>
      <c r="B14" t="inlineStr">
        <is>
          <t>Logistics Supplier 043</t>
        </is>
      </c>
      <c r="C14" t="inlineStr">
        <is>
          <t>Logistics</t>
        </is>
      </c>
      <c r="D14" t="n">
        <v>2018</v>
      </c>
      <c r="E14" t="n">
        <v>2035</v>
      </c>
      <c r="F14" t="n">
        <v>0.543</v>
      </c>
      <c r="G14" t="n">
        <v>0.1921</v>
      </c>
      <c r="H14" t="inlineStr">
        <is>
          <t>Absolute</t>
        </is>
      </c>
      <c r="I14" t="inlineStr">
        <is>
          <t>Supplier Survey</t>
        </is>
      </c>
    </row>
    <row r="15">
      <c r="A15" t="inlineStr">
        <is>
          <t>SUP-0011</t>
        </is>
      </c>
      <c r="B15" t="inlineStr">
        <is>
          <t>Agriculture Supplier 011</t>
        </is>
      </c>
      <c r="C15" t="inlineStr">
        <is>
          <t>Agriculture</t>
        </is>
      </c>
      <c r="D15" t="n">
        <v>2020</v>
      </c>
      <c r="E15" t="n">
        <v>2040</v>
      </c>
      <c r="F15" t="n">
        <v>0.3477</v>
      </c>
      <c r="G15" t="n">
        <v>0.1695</v>
      </c>
      <c r="H15" t="inlineStr">
        <is>
          <t>Absolute</t>
        </is>
      </c>
      <c r="I15" t="inlineStr">
        <is>
          <t>SBTi</t>
        </is>
      </c>
    </row>
    <row r="16">
      <c r="A16" t="inlineStr">
        <is>
          <t>SUP-0045</t>
        </is>
      </c>
      <c r="B16" t="inlineStr">
        <is>
          <t>Logistics Supplier 045</t>
        </is>
      </c>
      <c r="C16" t="inlineStr">
        <is>
          <t>Logistics</t>
        </is>
      </c>
      <c r="D16" t="n">
        <v>2019</v>
      </c>
      <c r="E16" t="n">
        <v>2035</v>
      </c>
      <c r="F16" t="n">
        <v>0.5906</v>
      </c>
      <c r="G16" t="n">
        <v>0.2263</v>
      </c>
      <c r="H16" t="inlineStr">
        <is>
          <t>Intensity</t>
        </is>
      </c>
      <c r="I16" t="inlineStr">
        <is>
          <t>Contractual Target</t>
        </is>
      </c>
    </row>
    <row r="17">
      <c r="A17" t="inlineStr">
        <is>
          <t>SUP-0061</t>
        </is>
      </c>
      <c r="B17" t="inlineStr">
        <is>
          <t>Metals Supplier 061</t>
        </is>
      </c>
      <c r="C17" t="inlineStr">
        <is>
          <t>Metals</t>
        </is>
      </c>
      <c r="D17" t="n">
        <v>2018</v>
      </c>
      <c r="E17" t="n">
        <v>2040</v>
      </c>
      <c r="F17" t="n">
        <v>0.342</v>
      </c>
      <c r="G17" t="n">
        <v>0.2056</v>
      </c>
      <c r="H17" t="inlineStr">
        <is>
          <t>Absolute</t>
        </is>
      </c>
      <c r="I17" t="inlineStr">
        <is>
          <t>Supplier Survey</t>
        </is>
      </c>
    </row>
    <row r="18">
      <c r="A18" t="inlineStr">
        <is>
          <t>SUP-0040</t>
        </is>
      </c>
      <c r="B18" t="inlineStr">
        <is>
          <t>Chemicals Supplier 040</t>
        </is>
      </c>
      <c r="C18" t="inlineStr">
        <is>
          <t>Chemicals</t>
        </is>
      </c>
      <c r="D18" t="n">
        <v>2021</v>
      </c>
      <c r="E18" t="n">
        <v>2030</v>
      </c>
      <c r="F18" t="n">
        <v>0.5251</v>
      </c>
      <c r="G18" t="n">
        <v>0.198</v>
      </c>
      <c r="H18" t="inlineStr">
        <is>
          <t>Intensity</t>
        </is>
      </c>
      <c r="I18" t="inlineStr">
        <is>
          <t>Supplier Survey</t>
        </is>
      </c>
    </row>
    <row r="19">
      <c r="A19" t="inlineStr">
        <is>
          <t>SUP-0033</t>
        </is>
      </c>
      <c r="B19" t="inlineStr">
        <is>
          <t>Metals Supplier 033</t>
        </is>
      </c>
      <c r="C19" t="inlineStr">
        <is>
          <t>Metals</t>
        </is>
      </c>
      <c r="D19" t="n">
        <v>2021</v>
      </c>
      <c r="E19" t="n">
        <v>2030</v>
      </c>
      <c r="F19" t="n">
        <v>0.3204</v>
      </c>
      <c r="G19" t="n">
        <v>0.1259</v>
      </c>
      <c r="H19" t="inlineStr">
        <is>
          <t>Intensity</t>
        </is>
      </c>
      <c r="I19" t="inlineStr">
        <is>
          <t>Contractual Target</t>
        </is>
      </c>
    </row>
    <row r="20">
      <c r="A20" t="inlineStr">
        <is>
          <t>SUP-0062</t>
        </is>
      </c>
      <c r="B20" t="inlineStr">
        <is>
          <t>Textiles Supplier 062</t>
        </is>
      </c>
      <c r="C20" t="inlineStr">
        <is>
          <t>Textiles</t>
        </is>
      </c>
      <c r="D20" t="n">
        <v>2018</v>
      </c>
      <c r="E20" t="n">
        <v>2030</v>
      </c>
      <c r="F20" t="n">
        <v>0.5281</v>
      </c>
      <c r="G20" t="n">
        <v>0.1906</v>
      </c>
      <c r="H20" t="inlineStr">
        <is>
          <t>Absolute</t>
        </is>
      </c>
      <c r="I20" t="inlineStr">
        <is>
          <t>Contractual Target</t>
        </is>
      </c>
    </row>
    <row r="21">
      <c r="A21" t="inlineStr">
        <is>
          <t>SUP-0097</t>
        </is>
      </c>
      <c r="B21" t="inlineStr">
        <is>
          <t>Metals Supplier 097</t>
        </is>
      </c>
      <c r="C21" t="inlineStr">
        <is>
          <t>Metals</t>
        </is>
      </c>
      <c r="D21" t="n">
        <v>2018</v>
      </c>
      <c r="E21" t="n">
        <v>2030</v>
      </c>
      <c r="F21" t="n">
        <v>0.503</v>
      </c>
      <c r="G21" t="n">
        <v>0.297</v>
      </c>
      <c r="H21" t="inlineStr">
        <is>
          <t>Absolute</t>
        </is>
      </c>
      <c r="I21" t="inlineStr">
        <is>
          <t>CDP</t>
        </is>
      </c>
    </row>
    <row r="22">
      <c r="A22" t="inlineStr">
        <is>
          <t>SUP-0073</t>
        </is>
      </c>
      <c r="B22" t="inlineStr">
        <is>
          <t>Packaging Supplier 073</t>
        </is>
      </c>
      <c r="C22" t="inlineStr">
        <is>
          <t>Packaging</t>
        </is>
      </c>
      <c r="D22" t="n">
        <v>2021</v>
      </c>
      <c r="E22" t="n">
        <v>2030</v>
      </c>
      <c r="F22" t="n">
        <v>0.6005</v>
      </c>
      <c r="G22" t="n">
        <v>0.3773</v>
      </c>
      <c r="H22" t="inlineStr">
        <is>
          <t>Intensity</t>
        </is>
      </c>
      <c r="I22" t="inlineStr">
        <is>
          <t>SBTi</t>
        </is>
      </c>
    </row>
    <row r="23">
      <c r="A23" t="inlineStr">
        <is>
          <t>SUP-0096</t>
        </is>
      </c>
      <c r="B23" t="inlineStr">
        <is>
          <t>Agriculture Supplier 096</t>
        </is>
      </c>
      <c r="C23" t="inlineStr">
        <is>
          <t>Agriculture</t>
        </is>
      </c>
      <c r="D23" t="n">
        <v>2021</v>
      </c>
      <c r="E23" t="n">
        <v>2040</v>
      </c>
      <c r="F23" t="n">
        <v>0.619</v>
      </c>
      <c r="G23" t="n">
        <v>0.2241</v>
      </c>
      <c r="H23" t="inlineStr">
        <is>
          <t>Absolute</t>
        </is>
      </c>
      <c r="I23" t="inlineStr">
        <is>
          <t>SBTi</t>
        </is>
      </c>
    </row>
    <row r="24">
      <c r="A24" t="inlineStr">
        <is>
          <t>SUP-0072</t>
        </is>
      </c>
      <c r="B24" t="inlineStr">
        <is>
          <t>Electronics Supplier 072</t>
        </is>
      </c>
      <c r="C24" t="inlineStr">
        <is>
          <t>Electronics</t>
        </is>
      </c>
      <c r="D24" t="n">
        <v>2018</v>
      </c>
      <c r="E24" t="n">
        <v>2040</v>
      </c>
      <c r="F24" t="n">
        <v>0.5726</v>
      </c>
      <c r="G24" t="n">
        <v>0.3086</v>
      </c>
      <c r="H24" t="inlineStr">
        <is>
          <t>Intensity</t>
        </is>
      </c>
      <c r="I24" t="inlineStr">
        <is>
          <t>Supplier Survey</t>
        </is>
      </c>
    </row>
    <row r="25">
      <c r="A25" t="inlineStr">
        <is>
          <t>SUP-0007</t>
        </is>
      </c>
      <c r="B25" t="inlineStr">
        <is>
          <t>Chemicals Supplier 007</t>
        </is>
      </c>
      <c r="C25" t="inlineStr">
        <is>
          <t>Chemicals</t>
        </is>
      </c>
      <c r="D25" t="n">
        <v>2019</v>
      </c>
      <c r="E25" t="n">
        <v>2030</v>
      </c>
      <c r="F25" t="n">
        <v>0.5673</v>
      </c>
      <c r="G25" t="n">
        <v>0.2314</v>
      </c>
      <c r="H25" t="inlineStr">
        <is>
          <t>Absolute</t>
        </is>
      </c>
      <c r="I25" t="inlineStr">
        <is>
          <t>SBTi</t>
        </is>
      </c>
    </row>
    <row r="26">
      <c r="A26" t="inlineStr">
        <is>
          <t>SUP-0034</t>
        </is>
      </c>
      <c r="B26" t="inlineStr">
        <is>
          <t>Logistics Supplier 034</t>
        </is>
      </c>
      <c r="C26" t="inlineStr">
        <is>
          <t>Logistics</t>
        </is>
      </c>
      <c r="D26" t="n">
        <v>2020</v>
      </c>
      <c r="E26" t="n">
        <v>2035</v>
      </c>
      <c r="F26" t="n">
        <v>0.5058</v>
      </c>
      <c r="G26" t="n">
        <v>0.1853</v>
      </c>
      <c r="H26" t="inlineStr">
        <is>
          <t>Absolute</t>
        </is>
      </c>
      <c r="I26" t="inlineStr">
        <is>
          <t>Contractual Target</t>
        </is>
      </c>
    </row>
    <row r="27">
      <c r="A27" t="inlineStr">
        <is>
          <t>SUP-0077</t>
        </is>
      </c>
      <c r="B27" t="inlineStr">
        <is>
          <t>Packaging Supplier 077</t>
        </is>
      </c>
      <c r="C27" t="inlineStr">
        <is>
          <t>Packaging</t>
        </is>
      </c>
      <c r="D27" t="n">
        <v>2018</v>
      </c>
      <c r="E27" t="n">
        <v>2030</v>
      </c>
      <c r="F27" t="n">
        <v>0.6421</v>
      </c>
      <c r="G27" t="n">
        <v>0.3614</v>
      </c>
      <c r="H27" t="inlineStr">
        <is>
          <t>Absolute</t>
        </is>
      </c>
      <c r="I27" t="inlineStr">
        <is>
          <t>CDP</t>
        </is>
      </c>
    </row>
    <row r="28">
      <c r="A28" t="inlineStr">
        <is>
          <t>SUP-0098</t>
        </is>
      </c>
      <c r="B28" t="inlineStr">
        <is>
          <t>Agriculture Supplier 098</t>
        </is>
      </c>
      <c r="C28" t="inlineStr">
        <is>
          <t>Agriculture</t>
        </is>
      </c>
      <c r="D28" t="n">
        <v>2018</v>
      </c>
      <c r="E28" t="n">
        <v>2040</v>
      </c>
      <c r="F28" t="n">
        <v>0.6899999999999999</v>
      </c>
      <c r="G28" t="n">
        <v>0.3364</v>
      </c>
      <c r="H28" t="inlineStr">
        <is>
          <t>Intensity</t>
        </is>
      </c>
      <c r="I28" t="inlineStr">
        <is>
          <t>SBTi</t>
        </is>
      </c>
    </row>
    <row r="29">
      <c r="A29" t="inlineStr">
        <is>
          <t>SUP-0088</t>
        </is>
      </c>
      <c r="B29" t="inlineStr">
        <is>
          <t>Packaging Supplier 088</t>
        </is>
      </c>
      <c r="C29" t="inlineStr">
        <is>
          <t>Packaging</t>
        </is>
      </c>
      <c r="D29" t="n">
        <v>2019</v>
      </c>
      <c r="E29" t="n">
        <v>2035</v>
      </c>
      <c r="F29" t="n">
        <v>0.4862</v>
      </c>
      <c r="G29" t="n">
        <v>0.1913</v>
      </c>
      <c r="H29" t="inlineStr">
        <is>
          <t>Intensity</t>
        </is>
      </c>
      <c r="I29" t="inlineStr">
        <is>
          <t>Supplier Survey</t>
        </is>
      </c>
    </row>
    <row r="30">
      <c r="A30" t="inlineStr">
        <is>
          <t>SUP-0037</t>
        </is>
      </c>
      <c r="B30" t="inlineStr">
        <is>
          <t>Agriculture Supplier 037</t>
        </is>
      </c>
      <c r="C30" t="inlineStr">
        <is>
          <t>Agriculture</t>
        </is>
      </c>
      <c r="D30" t="n">
        <v>2019</v>
      </c>
      <c r="E30" t="n">
        <v>2035</v>
      </c>
      <c r="F30" t="n">
        <v>0.5499000000000001</v>
      </c>
      <c r="G30" t="n">
        <v>0.2996</v>
      </c>
      <c r="H30" t="inlineStr">
        <is>
          <t>Intensity</t>
        </is>
      </c>
      <c r="I30" t="inlineStr">
        <is>
          <t>Supplier Survey</t>
        </is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2018</v>
      </c>
      <c r="E31" t="n">
        <v>2030</v>
      </c>
      <c r="F31" t="n">
        <v>0.4542</v>
      </c>
      <c r="G31" t="n">
        <v>0.214</v>
      </c>
      <c r="H31" t="inlineStr">
        <is>
          <t>Absolute</t>
        </is>
      </c>
      <c r="I31" t="inlineStr">
        <is>
          <t>SBTi</t>
        </is>
      </c>
    </row>
    <row r="32">
      <c r="A32" t="inlineStr">
        <is>
          <t>SUP-0023</t>
        </is>
      </c>
      <c r="B32" t="inlineStr">
        <is>
          <t>Agriculture Supplier 023</t>
        </is>
      </c>
      <c r="C32" t="inlineStr">
        <is>
          <t>Agriculture</t>
        </is>
      </c>
      <c r="D32" t="n">
        <v>2018</v>
      </c>
      <c r="E32" t="n">
        <v>2040</v>
      </c>
      <c r="F32" t="n">
        <v>0.339</v>
      </c>
      <c r="G32" t="n">
        <v>0.1496</v>
      </c>
      <c r="H32" t="inlineStr">
        <is>
          <t>Absolute</t>
        </is>
      </c>
      <c r="I32" t="inlineStr">
        <is>
          <t>SBTi</t>
        </is>
      </c>
    </row>
    <row r="33">
      <c r="A33" t="inlineStr">
        <is>
          <t>SUP-0019</t>
        </is>
      </c>
      <c r="B33" t="inlineStr">
        <is>
          <t>Metals Supplier 019</t>
        </is>
      </c>
      <c r="C33" t="inlineStr">
        <is>
          <t>Metals</t>
        </is>
      </c>
      <c r="D33" t="n">
        <v>2021</v>
      </c>
      <c r="E33" t="n">
        <v>2035</v>
      </c>
      <c r="F33" t="n">
        <v>0.5173</v>
      </c>
      <c r="G33" t="n">
        <v>0.245</v>
      </c>
      <c r="H33" t="inlineStr">
        <is>
          <t>Absolute</t>
        </is>
      </c>
      <c r="I33" t="inlineStr">
        <is>
          <t>Contractual Target</t>
        </is>
      </c>
    </row>
    <row r="34">
      <c r="A34" t="inlineStr">
        <is>
          <t>SUP-0094</t>
        </is>
      </c>
      <c r="B34" t="inlineStr">
        <is>
          <t>Metals Supplier 094</t>
        </is>
      </c>
      <c r="C34" t="inlineStr">
        <is>
          <t>Metals</t>
        </is>
      </c>
      <c r="D34" t="n">
        <v>2018</v>
      </c>
      <c r="E34" t="n">
        <v>2040</v>
      </c>
      <c r="F34" t="n">
        <v>0.3585</v>
      </c>
      <c r="G34" t="n">
        <v>0.1294</v>
      </c>
      <c r="H34" t="inlineStr">
        <is>
          <t>Absolute</t>
        </is>
      </c>
      <c r="I34" t="inlineStr">
        <is>
          <t>Supplier Survey</t>
        </is>
      </c>
    </row>
    <row r="35">
      <c r="A35" t="inlineStr">
        <is>
          <t>SUP-0054</t>
        </is>
      </c>
      <c r="B35" t="inlineStr">
        <is>
          <t>Chemicals Supplier 054</t>
        </is>
      </c>
      <c r="C35" t="inlineStr">
        <is>
          <t>Chemicals</t>
        </is>
      </c>
      <c r="D35" t="n">
        <v>2019</v>
      </c>
      <c r="E35" t="n">
        <v>2035</v>
      </c>
      <c r="F35" t="n">
        <v>0.3128</v>
      </c>
      <c r="G35" t="n">
        <v>0.1632</v>
      </c>
      <c r="H35" t="inlineStr">
        <is>
          <t>Absolute</t>
        </is>
      </c>
      <c r="I35" t="inlineStr">
        <is>
          <t>Supplier Survey</t>
        </is>
      </c>
    </row>
    <row r="36">
      <c r="A36" t="inlineStr">
        <is>
          <t>SUP-0070</t>
        </is>
      </c>
      <c r="B36" t="inlineStr">
        <is>
          <t>Agriculture Supplier 070</t>
        </is>
      </c>
      <c r="C36" t="inlineStr">
        <is>
          <t>Agriculture</t>
        </is>
      </c>
      <c r="D36" t="n">
        <v>2020</v>
      </c>
      <c r="E36" t="n">
        <v>2035</v>
      </c>
      <c r="F36" t="n">
        <v>0.5262</v>
      </c>
      <c r="G36" t="n">
        <v>0.2341</v>
      </c>
      <c r="H36" t="inlineStr">
        <is>
          <t>Intensity</t>
        </is>
      </c>
      <c r="I36" t="inlineStr">
        <is>
          <t>Supplier Survey</t>
        </is>
      </c>
    </row>
    <row r="37">
      <c r="A37" t="inlineStr">
        <is>
          <t>SUP-0086</t>
        </is>
      </c>
      <c r="B37" t="inlineStr">
        <is>
          <t>Metals Supplier 086</t>
        </is>
      </c>
      <c r="C37" t="inlineStr">
        <is>
          <t>Metals</t>
        </is>
      </c>
      <c r="D37" t="n">
        <v>2019</v>
      </c>
      <c r="E37" t="n">
        <v>2035</v>
      </c>
      <c r="F37" t="n">
        <v>0.4157</v>
      </c>
      <c r="G37" t="n">
        <v>0.2236</v>
      </c>
      <c r="H37" t="inlineStr">
        <is>
          <t>Absolute</t>
        </is>
      </c>
      <c r="I37" t="inlineStr">
        <is>
          <t>Contractual Target</t>
        </is>
      </c>
    </row>
    <row r="38">
      <c r="A38" t="inlineStr">
        <is>
          <t>SUP-0031</t>
        </is>
      </c>
      <c r="B38" t="inlineStr">
        <is>
          <t>Professional Supplier 031</t>
        </is>
      </c>
      <c r="C38" t="inlineStr">
        <is>
          <t>Professional Services</t>
        </is>
      </c>
      <c r="D38" t="n">
        <v>2020</v>
      </c>
      <c r="E38" t="n">
        <v>2040</v>
      </c>
      <c r="F38" t="n">
        <v>0.6432</v>
      </c>
      <c r="G38" t="n">
        <v>0.4028</v>
      </c>
      <c r="H38" t="inlineStr">
        <is>
          <t>Absolute</t>
        </is>
      </c>
      <c r="I38" t="inlineStr">
        <is>
          <t>Supplier Survey</t>
        </is>
      </c>
    </row>
    <row r="39">
      <c r="A39" t="inlineStr">
        <is>
          <t>SUP-0017</t>
        </is>
      </c>
      <c r="B39" t="inlineStr">
        <is>
          <t>Electronics Supplier 017</t>
        </is>
      </c>
      <c r="C39" t="inlineStr">
        <is>
          <t>Electronics</t>
        </is>
      </c>
      <c r="D39" t="n">
        <v>2020</v>
      </c>
      <c r="E39" t="n">
        <v>2035</v>
      </c>
      <c r="F39" t="n">
        <v>0.5999</v>
      </c>
      <c r="G39" t="n">
        <v>0.2666</v>
      </c>
      <c r="H39" t="inlineStr">
        <is>
          <t>Intensity</t>
        </is>
      </c>
      <c r="I39" t="inlineStr">
        <is>
          <t>CDP</t>
        </is>
      </c>
    </row>
    <row r="40">
      <c r="A40" t="inlineStr">
        <is>
          <t>SUP-0049</t>
        </is>
      </c>
      <c r="B40" t="inlineStr">
        <is>
          <t>Logistics Supplier 049</t>
        </is>
      </c>
      <c r="C40" t="inlineStr">
        <is>
          <t>Logistics</t>
        </is>
      </c>
      <c r="D40" t="n">
        <v>2019</v>
      </c>
      <c r="E40" t="n">
        <v>2030</v>
      </c>
      <c r="F40" t="n">
        <v>0.236</v>
      </c>
      <c r="G40" t="n">
        <v>0.1422</v>
      </c>
      <c r="H40" t="inlineStr">
        <is>
          <t>Absolute</t>
        </is>
      </c>
      <c r="I40" t="inlineStr">
        <is>
          <t>SBTi</t>
        </is>
      </c>
    </row>
    <row r="41">
      <c r="A41" t="inlineStr">
        <is>
          <t>SUP-0082</t>
        </is>
      </c>
      <c r="B41" t="inlineStr">
        <is>
          <t>Packaging Supplier 082</t>
        </is>
      </c>
      <c r="C41" t="inlineStr">
        <is>
          <t>Packaging</t>
        </is>
      </c>
      <c r="D41" t="n">
        <v>2018</v>
      </c>
      <c r="E41" t="n">
        <v>2030</v>
      </c>
      <c r="F41" t="n">
        <v>0.3671</v>
      </c>
      <c r="G41" t="n">
        <v>0.1475</v>
      </c>
      <c r="H41" t="inlineStr">
        <is>
          <t>Absolute</t>
        </is>
      </c>
      <c r="I41" t="inlineStr">
        <is>
          <t>SBTi</t>
        </is>
      </c>
    </row>
    <row r="42">
      <c r="A42" t="inlineStr">
        <is>
          <t>SUP-0055</t>
        </is>
      </c>
      <c r="B42" t="inlineStr">
        <is>
          <t>Chemicals Supplier 055</t>
        </is>
      </c>
      <c r="C42" t="inlineStr">
        <is>
          <t>Chemicals</t>
        </is>
      </c>
      <c r="D42" t="n">
        <v>2020</v>
      </c>
      <c r="E42" t="n">
        <v>2040</v>
      </c>
      <c r="F42" t="n">
        <v>0.6136</v>
      </c>
      <c r="G42" t="n">
        <v>0.3724</v>
      </c>
      <c r="H42" t="inlineStr">
        <is>
          <t>Absolute</t>
        </is>
      </c>
      <c r="I42" t="inlineStr">
        <is>
          <t>SBTi</t>
        </is>
      </c>
    </row>
    <row r="43">
      <c r="A43" t="inlineStr">
        <is>
          <t>SUP-0063</t>
        </is>
      </c>
      <c r="B43" t="inlineStr">
        <is>
          <t>Chemicals Supplier 063</t>
        </is>
      </c>
      <c r="C43" t="inlineStr">
        <is>
          <t>Chemicals</t>
        </is>
      </c>
      <c r="D43" t="n">
        <v>2020</v>
      </c>
      <c r="E43" t="n">
        <v>2030</v>
      </c>
      <c r="F43" t="n">
        <v>0.5004</v>
      </c>
      <c r="G43" t="n">
        <v>0.1931</v>
      </c>
      <c r="H43" t="inlineStr">
        <is>
          <t>Absolute</t>
        </is>
      </c>
      <c r="I43" t="inlineStr">
        <is>
          <t>Supplier Survey</t>
        </is>
      </c>
    </row>
    <row r="44">
      <c r="A44" t="inlineStr">
        <is>
          <t>SUP-0075</t>
        </is>
      </c>
      <c r="B44" t="inlineStr">
        <is>
          <t>Metals Supplier 075</t>
        </is>
      </c>
      <c r="C44" t="inlineStr">
        <is>
          <t>Metals</t>
        </is>
      </c>
      <c r="D44" t="n">
        <v>2021</v>
      </c>
      <c r="E44" t="n">
        <v>2030</v>
      </c>
      <c r="F44" t="n">
        <v>0.5861</v>
      </c>
      <c r="G44" t="n">
        <v>0.2598</v>
      </c>
      <c r="H44" t="inlineStr">
        <is>
          <t>Absolute</t>
        </is>
      </c>
      <c r="I44" t="inlineStr">
        <is>
          <t>Contractual Target</t>
        </is>
      </c>
    </row>
    <row r="45">
      <c r="A45" t="inlineStr">
        <is>
          <t>SUP-0047</t>
        </is>
      </c>
      <c r="B45" t="inlineStr">
        <is>
          <t>Packaging Supplier 047</t>
        </is>
      </c>
      <c r="C45" t="inlineStr">
        <is>
          <t>Packaging</t>
        </is>
      </c>
      <c r="D45" t="n">
        <v>2018</v>
      </c>
      <c r="E45" t="n">
        <v>2040</v>
      </c>
      <c r="F45" t="n">
        <v>0.3939</v>
      </c>
      <c r="G45" t="n">
        <v>0.2136</v>
      </c>
      <c r="H45" t="inlineStr">
        <is>
          <t>Absolute</t>
        </is>
      </c>
      <c r="I45" t="inlineStr">
        <is>
          <t>Supplier Survey</t>
        </is>
      </c>
    </row>
    <row r="46">
      <c r="A46" t="inlineStr">
        <is>
          <t>SUP-0090</t>
        </is>
      </c>
      <c r="B46" t="inlineStr">
        <is>
          <t>Textiles Supplier 090</t>
        </is>
      </c>
      <c r="C46" t="inlineStr">
        <is>
          <t>Textiles</t>
        </is>
      </c>
      <c r="D46" t="n">
        <v>2018</v>
      </c>
      <c r="E46" t="n">
        <v>2040</v>
      </c>
      <c r="F46" t="n">
        <v>0.2819</v>
      </c>
      <c r="G46" t="n">
        <v>0.1127</v>
      </c>
      <c r="H46" t="inlineStr">
        <is>
          <t>Intensity</t>
        </is>
      </c>
      <c r="I46" t="inlineStr">
        <is>
          <t>Supplier Survey</t>
        </is>
      </c>
    </row>
    <row r="47">
      <c r="A47" t="inlineStr">
        <is>
          <t>SUP-0001</t>
        </is>
      </c>
      <c r="B47" t="inlineStr">
        <is>
          <t>Professional Supplier 001</t>
        </is>
      </c>
      <c r="C47" t="inlineStr">
        <is>
          <t>Professional Services</t>
        </is>
      </c>
      <c r="D47" t="n">
        <v>2021</v>
      </c>
      <c r="E47" t="n">
        <v>2040</v>
      </c>
      <c r="F47" t="n">
        <v>0.478</v>
      </c>
      <c r="G47" t="n">
        <v>0.2876</v>
      </c>
      <c r="H47" t="inlineStr">
        <is>
          <t>Intensity</t>
        </is>
      </c>
      <c r="I47" t="inlineStr">
        <is>
          <t>Supplier Survey</t>
        </is>
      </c>
    </row>
    <row r="48">
      <c r="A48" t="inlineStr">
        <is>
          <t>SUP-0010</t>
        </is>
      </c>
      <c r="B48" t="inlineStr">
        <is>
          <t>Packaging Supplier 010</t>
        </is>
      </c>
      <c r="C48" t="inlineStr">
        <is>
          <t>Packaging</t>
        </is>
      </c>
      <c r="D48" t="n">
        <v>2018</v>
      </c>
      <c r="E48" t="n">
        <v>2035</v>
      </c>
      <c r="F48" t="n">
        <v>0.3963</v>
      </c>
      <c r="G48" t="n">
        <v>0.1482</v>
      </c>
      <c r="H48" t="inlineStr">
        <is>
          <t>Intensity</t>
        </is>
      </c>
      <c r="I48" t="inlineStr">
        <is>
          <t>CDP</t>
        </is>
      </c>
    </row>
    <row r="49">
      <c r="A49" t="inlineStr">
        <is>
          <t>SUP-0076</t>
        </is>
      </c>
      <c r="B49" t="inlineStr">
        <is>
          <t>Chemicals Supplier 076</t>
        </is>
      </c>
      <c r="C49" t="inlineStr">
        <is>
          <t>Chemicals</t>
        </is>
      </c>
      <c r="D49" t="n">
        <v>2018</v>
      </c>
      <c r="E49" t="n">
        <v>2035</v>
      </c>
      <c r="F49" t="n">
        <v>0.4347</v>
      </c>
      <c r="G49" t="n">
        <v>0.1718</v>
      </c>
      <c r="H49" t="inlineStr">
        <is>
          <t>Absolute</t>
        </is>
      </c>
      <c r="I49" t="inlineStr">
        <is>
          <t>SBTi</t>
        </is>
      </c>
    </row>
    <row r="50">
      <c r="A50" t="inlineStr">
        <is>
          <t>SUP-0002</t>
        </is>
      </c>
      <c r="B50" t="inlineStr">
        <is>
          <t>Textiles Supplier 002</t>
        </is>
      </c>
      <c r="C50" t="inlineStr">
        <is>
          <t>Textiles</t>
        </is>
      </c>
      <c r="D50" t="n">
        <v>2021</v>
      </c>
      <c r="E50" t="n">
        <v>2040</v>
      </c>
      <c r="F50" t="n">
        <v>0.3164</v>
      </c>
      <c r="G50" t="n">
        <v>0.1385</v>
      </c>
      <c r="H50" t="inlineStr">
        <is>
          <t>Absolute</t>
        </is>
      </c>
      <c r="I50" t="inlineStr">
        <is>
          <t>SBTi</t>
        </is>
      </c>
    </row>
    <row r="51">
      <c r="A51" t="inlineStr">
        <is>
          <t>SUP-0051</t>
        </is>
      </c>
      <c r="B51" t="inlineStr">
        <is>
          <t>Textiles Supplier 051</t>
        </is>
      </c>
      <c r="C51" t="inlineStr">
        <is>
          <t>Textiles</t>
        </is>
      </c>
      <c r="D51" t="n">
        <v>2021</v>
      </c>
      <c r="E51" t="n">
        <v>2035</v>
      </c>
      <c r="F51" t="n">
        <v>0.4466</v>
      </c>
      <c r="G51" t="n">
        <v>0.1676</v>
      </c>
      <c r="H51" t="inlineStr">
        <is>
          <t>Absolute</t>
        </is>
      </c>
      <c r="I51" t="inlineStr">
        <is>
          <t>Contractual Target</t>
        </is>
      </c>
    </row>
    <row r="52">
      <c r="A52" t="inlineStr">
        <is>
          <t>SUP-0071</t>
        </is>
      </c>
      <c r="B52" t="inlineStr">
        <is>
          <t>Chemicals Supplier 071</t>
        </is>
      </c>
      <c r="C52" t="inlineStr">
        <is>
          <t>Chemicals</t>
        </is>
      </c>
      <c r="D52" t="n">
        <v>2021</v>
      </c>
      <c r="E52" t="n">
        <v>2040</v>
      </c>
      <c r="F52" t="n">
        <v>0.5246</v>
      </c>
      <c r="G52" t="n">
        <v>0.2891</v>
      </c>
      <c r="H52" t="inlineStr">
        <is>
          <t>Intensity</t>
        </is>
      </c>
      <c r="I52" t="inlineStr">
        <is>
          <t>Supplier Survey</t>
        </is>
      </c>
    </row>
    <row r="53">
      <c r="A53" t="inlineStr">
        <is>
          <t>SUP-0025</t>
        </is>
      </c>
      <c r="B53" t="inlineStr">
        <is>
          <t>Metals Supplier 025</t>
        </is>
      </c>
      <c r="C53" t="inlineStr">
        <is>
          <t>Metals</t>
        </is>
      </c>
      <c r="D53" t="n">
        <v>2020</v>
      </c>
      <c r="E53" t="n">
        <v>2030</v>
      </c>
      <c r="F53" t="n">
        <v>0.3833</v>
      </c>
      <c r="G53" t="n">
        <v>0.1962</v>
      </c>
      <c r="H53" t="inlineStr">
        <is>
          <t>Absolute</t>
        </is>
      </c>
      <c r="I53" t="inlineStr">
        <is>
          <t>Contractual Target</t>
        </is>
      </c>
    </row>
    <row r="54">
      <c r="A54" t="inlineStr">
        <is>
          <t>SUP-0053</t>
        </is>
      </c>
      <c r="B54" t="inlineStr">
        <is>
          <t>Electronics Supplier 053</t>
        </is>
      </c>
      <c r="C54" t="inlineStr">
        <is>
          <t>Electronics</t>
        </is>
      </c>
      <c r="D54" t="n">
        <v>2021</v>
      </c>
      <c r="E54" t="n">
        <v>2030</v>
      </c>
      <c r="F54" t="n">
        <v>0.5843</v>
      </c>
      <c r="G54" t="n">
        <v>0.3539</v>
      </c>
      <c r="H54" t="inlineStr">
        <is>
          <t>Absolute</t>
        </is>
      </c>
      <c r="I54" t="inlineStr">
        <is>
          <t>CDP</t>
        </is>
      </c>
    </row>
    <row r="55">
      <c r="A55" t="inlineStr">
        <is>
          <t>SUP-0026</t>
        </is>
      </c>
      <c r="B55" t="inlineStr">
        <is>
          <t>Professional Supplier 026</t>
        </is>
      </c>
      <c r="C55" t="inlineStr">
        <is>
          <t>Professional Services</t>
        </is>
      </c>
      <c r="D55" t="n">
        <v>2019</v>
      </c>
      <c r="E55" t="n">
        <v>2040</v>
      </c>
      <c r="F55" t="n">
        <v>0.4936</v>
      </c>
      <c r="G55" t="n">
        <v>0.2987</v>
      </c>
      <c r="H55" t="inlineStr">
        <is>
          <t>Absolute</t>
        </is>
      </c>
      <c r="I55" t="inlineStr">
        <is>
          <t>Supplier Survey</t>
        </is>
      </c>
    </row>
    <row r="56">
      <c r="A56" t="inlineStr">
        <is>
          <t>SUP-0015</t>
        </is>
      </c>
      <c r="B56" t="inlineStr">
        <is>
          <t>Packaging Supplier 015</t>
        </is>
      </c>
      <c r="C56" t="inlineStr">
        <is>
          <t>Packaging</t>
        </is>
      </c>
      <c r="D56" t="n">
        <v>2019</v>
      </c>
      <c r="E56" t="n">
        <v>2040</v>
      </c>
      <c r="F56" t="n">
        <v>0.2525</v>
      </c>
      <c r="G56" t="n">
        <v>0.1186</v>
      </c>
      <c r="H56" t="inlineStr">
        <is>
          <t>Intensity</t>
        </is>
      </c>
      <c r="I56" t="inlineStr">
        <is>
          <t>Supplier Survey</t>
        </is>
      </c>
    </row>
    <row r="57">
      <c r="A57" t="inlineStr">
        <is>
          <t>SUP-0087</t>
        </is>
      </c>
      <c r="B57" t="inlineStr">
        <is>
          <t>Agriculture Supplier 087</t>
        </is>
      </c>
      <c r="C57" t="inlineStr">
        <is>
          <t>Agriculture</t>
        </is>
      </c>
      <c r="D57" t="n">
        <v>2020</v>
      </c>
      <c r="E57" t="n">
        <v>2035</v>
      </c>
      <c r="F57" t="n">
        <v>0.2888</v>
      </c>
      <c r="G57" t="n">
        <v>0.1304</v>
      </c>
      <c r="H57" t="inlineStr">
        <is>
          <t>Absolute</t>
        </is>
      </c>
      <c r="I57" t="inlineStr">
        <is>
          <t>CDP</t>
        </is>
      </c>
    </row>
    <row r="58">
      <c r="A58" t="inlineStr">
        <is>
          <t>SUP-0032</t>
        </is>
      </c>
      <c r="B58" t="inlineStr">
        <is>
          <t>Agriculture Supplier 032</t>
        </is>
      </c>
      <c r="C58" t="inlineStr">
        <is>
          <t>Agriculture</t>
        </is>
      </c>
      <c r="D58" t="n">
        <v>2018</v>
      </c>
      <c r="E58" t="n">
        <v>2035</v>
      </c>
      <c r="F58" t="n">
        <v>0.4241</v>
      </c>
      <c r="G58" t="n">
        <v>0.1876</v>
      </c>
      <c r="H58" t="inlineStr">
        <is>
          <t>Absolute</t>
        </is>
      </c>
      <c r="I58" t="inlineStr">
        <is>
          <t>Contractual Target</t>
        </is>
      </c>
    </row>
    <row r="59">
      <c r="A59" t="inlineStr">
        <is>
          <t>SUP-0066</t>
        </is>
      </c>
      <c r="B59" t="inlineStr">
        <is>
          <t>Electronics Supplier 066</t>
        </is>
      </c>
      <c r="C59" t="inlineStr">
        <is>
          <t>Electronics</t>
        </is>
      </c>
      <c r="D59" t="n">
        <v>2020</v>
      </c>
      <c r="E59" t="n">
        <v>2030</v>
      </c>
      <c r="F59" t="n">
        <v>0.339</v>
      </c>
      <c r="G59" t="n">
        <v>0.1901</v>
      </c>
      <c r="H59" t="inlineStr">
        <is>
          <t>Absolute</t>
        </is>
      </c>
      <c r="I59" t="inlineStr">
        <is>
          <t>Supplier Survey</t>
        </is>
      </c>
    </row>
    <row r="60">
      <c r="A60" t="inlineStr">
        <is>
          <t>SUP-0100</t>
        </is>
      </c>
      <c r="B60" t="inlineStr">
        <is>
          <t>Textiles Supplier 100</t>
        </is>
      </c>
      <c r="C60" t="inlineStr">
        <is>
          <t>Textiles</t>
        </is>
      </c>
      <c r="D60" t="n">
        <v>2021</v>
      </c>
      <c r="E60" t="n">
        <v>2040</v>
      </c>
      <c r="F60" t="n">
        <v>0.4388</v>
      </c>
      <c r="G60" t="n">
        <v>0.2538</v>
      </c>
      <c r="H60" t="inlineStr">
        <is>
          <t>Intensity</t>
        </is>
      </c>
      <c r="I60" t="inlineStr">
        <is>
          <t>Supplier Survey</t>
        </is>
      </c>
    </row>
    <row r="61">
      <c r="A61" t="inlineStr">
        <is>
          <t>SUP-0038</t>
        </is>
      </c>
      <c r="B61" t="inlineStr">
        <is>
          <t>Agriculture Supplier 038</t>
        </is>
      </c>
      <c r="C61" t="inlineStr">
        <is>
          <t>Agriculture</t>
        </is>
      </c>
      <c r="D61" t="n">
        <v>2020</v>
      </c>
      <c r="E61" t="n">
        <v>2040</v>
      </c>
      <c r="F61" t="n">
        <v>0.6816</v>
      </c>
      <c r="G61" t="n">
        <v>0.3985</v>
      </c>
      <c r="H61" t="inlineStr">
        <is>
          <t>Intensity</t>
        </is>
      </c>
      <c r="I61" t="inlineStr">
        <is>
          <t>SBTi</t>
        </is>
      </c>
    </row>
    <row r="62">
      <c r="A62" t="inlineStr">
        <is>
          <t>SUP-0065</t>
        </is>
      </c>
      <c r="B62" t="inlineStr">
        <is>
          <t>Agriculture Supplier 065</t>
        </is>
      </c>
      <c r="C62" t="inlineStr">
        <is>
          <t>Agriculture</t>
        </is>
      </c>
      <c r="D62" t="n">
        <v>2018</v>
      </c>
      <c r="E62" t="n">
        <v>2035</v>
      </c>
      <c r="F62" t="n">
        <v>0.42</v>
      </c>
      <c r="G62" t="n">
        <v>0.2167</v>
      </c>
      <c r="H62" t="inlineStr">
        <is>
          <t>Absolute</t>
        </is>
      </c>
      <c r="I62" t="inlineStr">
        <is>
          <t>Supplier Survey</t>
        </is>
      </c>
    </row>
    <row r="63">
      <c r="A63" t="inlineStr">
        <is>
          <t>SUP-0080</t>
        </is>
      </c>
      <c r="B63" t="inlineStr">
        <is>
          <t>Packaging Supplier 080</t>
        </is>
      </c>
      <c r="C63" t="inlineStr">
        <is>
          <t>Packaging</t>
        </is>
      </c>
      <c r="D63" t="n">
        <v>2019</v>
      </c>
      <c r="E63" t="n">
        <v>2040</v>
      </c>
      <c r="F63" t="n">
        <v>0.6923</v>
      </c>
      <c r="G63" t="n">
        <v>0.3022</v>
      </c>
      <c r="H63" t="inlineStr">
        <is>
          <t>Intensity</t>
        </is>
      </c>
      <c r="I63" t="inlineStr">
        <is>
          <t>Contractual Target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Supplier_Industry</t>
        </is>
      </c>
      <c r="B1" t="inlineStr">
        <is>
          <t>Industry_Baseline_Year</t>
        </is>
      </c>
      <c r="C1" t="inlineStr">
        <is>
          <t>Industry_Target_Year</t>
        </is>
      </c>
      <c r="D1" t="inlineStr">
        <is>
          <t>Industry_Reduction_Percentage</t>
        </is>
      </c>
      <c r="E1" t="inlineStr">
        <is>
          <t>Industry_Emission_Factor</t>
        </is>
      </c>
      <c r="F1" t="inlineStr">
        <is>
          <t>Spend_Based_Emission_Factor</t>
        </is>
      </c>
      <c r="G1" t="inlineStr">
        <is>
          <t>Revenue_Based_Emission_Intensity</t>
        </is>
      </c>
    </row>
    <row r="2">
      <c r="A2" t="inlineStr">
        <is>
          <t>Electronics</t>
        </is>
      </c>
      <c r="B2" t="n">
        <v>2018</v>
      </c>
      <c r="C2" t="n">
        <v>2040</v>
      </c>
      <c r="D2" t="n">
        <v>0.3424</v>
      </c>
      <c r="E2" t="n">
        <v>635.1588</v>
      </c>
      <c r="F2" t="n">
        <v>0.00086105</v>
      </c>
      <c r="G2" t="n">
        <v>0.00013947</v>
      </c>
    </row>
    <row r="3">
      <c r="A3" t="inlineStr">
        <is>
          <t>Logistics</t>
        </is>
      </c>
      <c r="B3" t="n">
        <v>2019</v>
      </c>
      <c r="C3" t="n">
        <v>2040</v>
      </c>
      <c r="D3" t="n">
        <v>0.4616</v>
      </c>
      <c r="E3" t="n">
        <v>591.6386</v>
      </c>
      <c r="F3" t="n">
        <v>0.00022349</v>
      </c>
      <c r="G3" t="n">
        <v>0.00047787</v>
      </c>
    </row>
    <row r="4">
      <c r="A4" t="inlineStr">
        <is>
          <t>Chemicals</t>
        </is>
      </c>
      <c r="B4" t="n">
        <v>2019</v>
      </c>
      <c r="C4" t="n">
        <v>2035</v>
      </c>
      <c r="D4" t="n">
        <v>0.5229</v>
      </c>
      <c r="E4" t="n">
        <v>506.3191</v>
      </c>
      <c r="F4" t="n">
        <v>0.00100149</v>
      </c>
      <c r="G4" t="n">
        <v>0.00047124</v>
      </c>
    </row>
    <row r="5">
      <c r="A5" t="inlineStr">
        <is>
          <t>Metals</t>
        </is>
      </c>
      <c r="B5" t="n">
        <v>2019</v>
      </c>
      <c r="C5" t="n">
        <v>2030</v>
      </c>
      <c r="D5" t="n">
        <v>0.3852</v>
      </c>
      <c r="E5" t="n">
        <v>158.2904</v>
      </c>
      <c r="F5" t="n">
        <v>0.00100695</v>
      </c>
      <c r="G5" t="n">
        <v>0.00065008</v>
      </c>
    </row>
    <row r="6">
      <c r="A6" t="inlineStr">
        <is>
          <t>Packaging</t>
        </is>
      </c>
      <c r="B6" t="n">
        <v>2018</v>
      </c>
      <c r="C6" t="n">
        <v>2040</v>
      </c>
      <c r="D6" t="n">
        <v>0.3112</v>
      </c>
      <c r="E6" t="n">
        <v>702.4188</v>
      </c>
      <c r="F6" t="n">
        <v>0.0010803</v>
      </c>
      <c r="G6" t="n">
        <v>0.00078946</v>
      </c>
    </row>
    <row r="7">
      <c r="A7" t="inlineStr">
        <is>
          <t>Professional Services</t>
        </is>
      </c>
      <c r="B7" t="n">
        <v>2020</v>
      </c>
      <c r="C7" t="inlineStr"/>
      <c r="D7" t="inlineStr"/>
      <c r="E7" t="n">
        <v>400.0326</v>
      </c>
      <c r="F7" t="n">
        <v>0.00012906</v>
      </c>
      <c r="G7" t="n">
        <v>0.00019658</v>
      </c>
    </row>
    <row r="8">
      <c r="A8" t="inlineStr">
        <is>
          <t>Agriculture</t>
        </is>
      </c>
      <c r="B8" t="n">
        <v>2018</v>
      </c>
      <c r="C8" t="inlineStr"/>
      <c r="D8" t="inlineStr"/>
      <c r="E8" t="n">
        <v>529.8294</v>
      </c>
      <c r="F8" t="n">
        <v>0.00091413</v>
      </c>
      <c r="G8" t="n">
        <v>0.00096913</v>
      </c>
    </row>
    <row r="9">
      <c r="A9" t="inlineStr">
        <is>
          <t>Textiles</t>
        </is>
      </c>
      <c r="B9" t="n">
        <v>2019</v>
      </c>
      <c r="C9" t="n">
        <v>2030</v>
      </c>
      <c r="D9" t="n">
        <v>0.3171</v>
      </c>
      <c r="E9" t="n">
        <v>401.7335</v>
      </c>
      <c r="F9" t="n">
        <v>0.00029221</v>
      </c>
      <c r="G9" t="n">
        <v>0.00017343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Gross_Spend</t>
        </is>
      </c>
      <c r="F1" t="inlineStr">
        <is>
          <t>Revenue</t>
        </is>
      </c>
      <c r="G1" t="inlineStr">
        <is>
          <t>Reported_Emissions</t>
        </is>
      </c>
      <c r="H1" t="inlineStr">
        <is>
          <t>Scope1_Emission</t>
        </is>
      </c>
      <c r="I1" t="inlineStr">
        <is>
          <t>Scope2_Emission</t>
        </is>
      </c>
      <c r="J1" t="inlineStr">
        <is>
          <t>Scope3_Emission</t>
        </is>
      </c>
      <c r="K1" t="inlineStr">
        <is>
          <t>Baseline_Year</t>
        </is>
      </c>
      <c r="L1" t="inlineStr">
        <is>
          <t>Target_Year</t>
        </is>
      </c>
      <c r="M1" t="inlineStr">
        <is>
          <t>Target_Reduction_Percentage</t>
        </is>
      </c>
      <c r="N1" t="inlineStr">
        <is>
          <t>Interim_Target_Reduction_Percentage</t>
        </is>
      </c>
      <c r="O1" t="inlineStr">
        <is>
          <t>Industry_Baseline_Year</t>
        </is>
      </c>
      <c r="P1" t="inlineStr">
        <is>
          <t>Industry_Target_Year</t>
        </is>
      </c>
      <c r="Q1" t="inlineStr">
        <is>
          <t>Industry_Reduction_Percentage</t>
        </is>
      </c>
      <c r="R1" t="inlineStr">
        <is>
          <t>Industry_Emission_Factor</t>
        </is>
      </c>
      <c r="S1" t="inlineStr">
        <is>
          <t>Spend_Based_Emission_Factor</t>
        </is>
      </c>
      <c r="T1" t="inlineStr">
        <is>
          <t>Revenue_Based_Emission_Intensity</t>
        </is>
      </c>
      <c r="U1" t="inlineStr">
        <is>
          <t>Total_Emission_Value</t>
        </is>
      </c>
      <c r="V1" t="inlineStr">
        <is>
          <t>Emission_Source_Flag</t>
        </is>
      </c>
      <c r="W1" t="inlineStr">
        <is>
          <t>Fallback_Applied_Flag</t>
        </is>
      </c>
      <c r="X1" t="inlineStr">
        <is>
          <t>Data_Quality_Flag</t>
        </is>
      </c>
      <c r="Y1" t="inlineStr">
        <is>
          <t>Missing_Parameter_Flag</t>
        </is>
      </c>
      <c r="Z1" t="inlineStr">
        <is>
          <t>Base_Confidence_Score</t>
        </is>
      </c>
      <c r="AA1" t="inlineStr">
        <is>
          <t>Validation_Flag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2015</v>
      </c>
      <c r="E2" t="n">
        <v>8929709.460000001</v>
      </c>
      <c r="F2" t="n">
        <v>14715731.77</v>
      </c>
      <c r="G2" t="inlineStr"/>
      <c r="H2" t="n">
        <v>195.7142</v>
      </c>
      <c r="I2" t="inlineStr"/>
      <c r="J2" t="inlineStr"/>
      <c r="K2" t="n">
        <v>2021</v>
      </c>
      <c r="L2" t="n">
        <v>2040</v>
      </c>
      <c r="M2" t="n">
        <v>0.478</v>
      </c>
      <c r="N2" t="n">
        <v>0.2876</v>
      </c>
      <c r="O2" t="n">
        <v>2020</v>
      </c>
      <c r="P2" t="inlineStr"/>
      <c r="Q2" t="inlineStr"/>
      <c r="R2" t="n">
        <v>400.0326</v>
      </c>
      <c r="S2" t="n">
        <v>0.00012906</v>
      </c>
      <c r="T2" t="n">
        <v>0.00019658</v>
      </c>
      <c r="U2" t="n">
        <v>1152.4683</v>
      </c>
      <c r="V2" t="inlineStr">
        <is>
          <t>Spend-Based Estimate</t>
        </is>
      </c>
      <c r="W2" t="b">
        <v>1</v>
      </c>
      <c r="X2" t="inlineStr">
        <is>
          <t>Medium</t>
        </is>
      </c>
      <c r="Y2" t="inlineStr">
        <is>
          <t>Reported_Emissions; Scope_Emissions</t>
        </is>
      </c>
      <c r="Z2" t="n">
        <v>0.7</v>
      </c>
      <c r="AA2" t="inlineStr">
        <is>
          <t>Valid</t>
        </is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2016</v>
      </c>
      <c r="E3" t="n">
        <v>8713653.73</v>
      </c>
      <c r="F3" t="n">
        <v>16786825.79</v>
      </c>
      <c r="G3" t="n">
        <v>824.1616</v>
      </c>
      <c r="H3" t="inlineStr"/>
      <c r="I3" t="n">
        <v>78.47029999999999</v>
      </c>
      <c r="J3" t="n">
        <v>663.2914</v>
      </c>
      <c r="K3" t="n">
        <v>2021</v>
      </c>
      <c r="L3" t="n">
        <v>2040</v>
      </c>
      <c r="M3" t="n">
        <v>0.478</v>
      </c>
      <c r="N3" t="n">
        <v>0.2876</v>
      </c>
      <c r="O3" t="n">
        <v>2020</v>
      </c>
      <c r="P3" t="inlineStr"/>
      <c r="Q3" t="inlineStr"/>
      <c r="R3" t="n">
        <v>400.0326</v>
      </c>
      <c r="S3" t="n">
        <v>0.00012906</v>
      </c>
      <c r="T3" t="n">
        <v>0.00019658</v>
      </c>
      <c r="U3" t="n">
        <v>824.1616</v>
      </c>
      <c r="V3" t="inlineStr">
        <is>
          <t>Supplier Reported Emissions</t>
        </is>
      </c>
      <c r="W3" t="b">
        <v>0</v>
      </c>
      <c r="X3" t="inlineStr">
        <is>
          <t>High</t>
        </is>
      </c>
      <c r="Y3" t="inlineStr">
        <is>
          <t>Scope_Emissions</t>
        </is>
      </c>
      <c r="Z3" t="n">
        <v>0.95</v>
      </c>
      <c r="AA3" t="inlineStr">
        <is>
          <t>Valid</t>
        </is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2017</v>
      </c>
      <c r="E4" t="n">
        <v>11180556.71</v>
      </c>
      <c r="F4" t="n">
        <v>23582290.78</v>
      </c>
      <c r="G4" t="n">
        <v>917.5956</v>
      </c>
      <c r="H4" t="n">
        <v>176.0997</v>
      </c>
      <c r="I4" t="n">
        <v>110.1337</v>
      </c>
      <c r="J4" t="n">
        <v>588.0937</v>
      </c>
      <c r="K4" t="n">
        <v>2021</v>
      </c>
      <c r="L4" t="n">
        <v>2040</v>
      </c>
      <c r="M4" t="n">
        <v>0.478</v>
      </c>
      <c r="N4" t="n">
        <v>0.2876</v>
      </c>
      <c r="O4" t="n">
        <v>2020</v>
      </c>
      <c r="P4" t="inlineStr"/>
      <c r="Q4" t="inlineStr"/>
      <c r="R4" t="n">
        <v>400.0326</v>
      </c>
      <c r="S4" t="n">
        <v>0.00012906</v>
      </c>
      <c r="T4" t="n">
        <v>0.00019658</v>
      </c>
      <c r="U4" t="n">
        <v>917.5956</v>
      </c>
      <c r="V4" t="inlineStr">
        <is>
          <t>Supplier Reported Emissions</t>
        </is>
      </c>
      <c r="W4" t="b">
        <v>0</v>
      </c>
      <c r="X4" t="inlineStr">
        <is>
          <t>High</t>
        </is>
      </c>
      <c r="Y4" t="inlineStr">
        <is>
          <t>None</t>
        </is>
      </c>
      <c r="Z4" t="n">
        <v>0.95</v>
      </c>
      <c r="AA4" t="inlineStr">
        <is>
          <t>Valid</t>
        </is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2018</v>
      </c>
      <c r="E5" t="n">
        <v>11049242.33</v>
      </c>
      <c r="F5" t="n">
        <v>17908111.79</v>
      </c>
      <c r="G5" t="inlineStr"/>
      <c r="H5" t="n">
        <v>243.1622</v>
      </c>
      <c r="I5" t="n">
        <v>136.1182</v>
      </c>
      <c r="J5" t="n">
        <v>536.7631</v>
      </c>
      <c r="K5" t="n">
        <v>2021</v>
      </c>
      <c r="L5" t="n">
        <v>2040</v>
      </c>
      <c r="M5" t="n">
        <v>0.478</v>
      </c>
      <c r="N5" t="n">
        <v>0.2876</v>
      </c>
      <c r="O5" t="n">
        <v>2020</v>
      </c>
      <c r="P5" t="inlineStr"/>
      <c r="Q5" t="inlineStr"/>
      <c r="R5" t="n">
        <v>400.0326</v>
      </c>
      <c r="S5" t="n">
        <v>0.00012906</v>
      </c>
      <c r="T5" t="n">
        <v>0.00019658</v>
      </c>
      <c r="U5" t="n">
        <v>916.0435</v>
      </c>
      <c r="V5" t="inlineStr">
        <is>
          <t>Scope 1 + Scope 2 + Scope 3</t>
        </is>
      </c>
      <c r="W5" t="b">
        <v>1</v>
      </c>
      <c r="X5" t="inlineStr">
        <is>
          <t>High</t>
        </is>
      </c>
      <c r="Y5" t="inlineStr">
        <is>
          <t>Reported_Emissions</t>
        </is>
      </c>
      <c r="Z5" t="n">
        <v>0.88</v>
      </c>
      <c r="AA5" t="inlineStr">
        <is>
          <t>Valid</t>
        </is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2019</v>
      </c>
      <c r="E6" t="n">
        <v>10388936.39</v>
      </c>
      <c r="F6" t="n">
        <v>22477291.35</v>
      </c>
      <c r="G6" t="n">
        <v>855.9281999999999</v>
      </c>
      <c r="H6" t="n">
        <v>106.9347</v>
      </c>
      <c r="I6" t="n">
        <v>91.5333</v>
      </c>
      <c r="J6" t="n">
        <v>582.8864</v>
      </c>
      <c r="K6" t="n">
        <v>2021</v>
      </c>
      <c r="L6" t="n">
        <v>2040</v>
      </c>
      <c r="M6" t="n">
        <v>0.478</v>
      </c>
      <c r="N6" t="n">
        <v>0.2876</v>
      </c>
      <c r="O6" t="n">
        <v>2020</v>
      </c>
      <c r="P6" t="inlineStr"/>
      <c r="Q6" t="inlineStr"/>
      <c r="R6" t="n">
        <v>400.0326</v>
      </c>
      <c r="S6" t="n">
        <v>0.00012906</v>
      </c>
      <c r="T6" t="n">
        <v>0.00019658</v>
      </c>
      <c r="U6" t="n">
        <v>855.9281999999999</v>
      </c>
      <c r="V6" t="inlineStr">
        <is>
          <t>Supplier Reported Emissions</t>
        </is>
      </c>
      <c r="W6" t="b">
        <v>0</v>
      </c>
      <c r="X6" t="inlineStr">
        <is>
          <t>High</t>
        </is>
      </c>
      <c r="Y6" t="inlineStr">
        <is>
          <t>None</t>
        </is>
      </c>
      <c r="Z6" t="n">
        <v>0.95</v>
      </c>
      <c r="AA6" t="inlineStr">
        <is>
          <t>Valid</t>
        </is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2020</v>
      </c>
      <c r="E7" t="n">
        <v>12306110.33</v>
      </c>
      <c r="F7" t="n">
        <v>26707674.82</v>
      </c>
      <c r="G7" t="n">
        <v>933.3792</v>
      </c>
      <c r="H7" t="inlineStr"/>
      <c r="I7" t="n">
        <v>127.5841</v>
      </c>
      <c r="J7" t="n">
        <v>653.7876</v>
      </c>
      <c r="K7" t="n">
        <v>2021</v>
      </c>
      <c r="L7" t="n">
        <v>2040</v>
      </c>
      <c r="M7" t="n">
        <v>0.478</v>
      </c>
      <c r="N7" t="n">
        <v>0.2876</v>
      </c>
      <c r="O7" t="n">
        <v>2020</v>
      </c>
      <c r="P7" t="inlineStr"/>
      <c r="Q7" t="inlineStr"/>
      <c r="R7" t="n">
        <v>400.0326</v>
      </c>
      <c r="S7" t="n">
        <v>0.00012906</v>
      </c>
      <c r="T7" t="n">
        <v>0.00019658</v>
      </c>
      <c r="U7" t="n">
        <v>933.3792</v>
      </c>
      <c r="V7" t="inlineStr">
        <is>
          <t>Supplier Reported Emissions</t>
        </is>
      </c>
      <c r="W7" t="b">
        <v>0</v>
      </c>
      <c r="X7" t="inlineStr">
        <is>
          <t>High</t>
        </is>
      </c>
      <c r="Y7" t="inlineStr">
        <is>
          <t>Scope_Emissions</t>
        </is>
      </c>
      <c r="Z7" t="n">
        <v>0.95</v>
      </c>
      <c r="AA7" t="inlineStr">
        <is>
          <t>Valid</t>
        </is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2021</v>
      </c>
      <c r="E8" t="n">
        <v>10378835.56</v>
      </c>
      <c r="F8" t="n">
        <v>26838099.96</v>
      </c>
      <c r="G8" t="inlineStr"/>
      <c r="H8" t="n">
        <v>91.2199</v>
      </c>
      <c r="I8" t="inlineStr"/>
      <c r="J8" t="n">
        <v>600.3301</v>
      </c>
      <c r="K8" t="n">
        <v>2021</v>
      </c>
      <c r="L8" t="n">
        <v>2040</v>
      </c>
      <c r="M8" t="n">
        <v>0.478</v>
      </c>
      <c r="N8" t="n">
        <v>0.2876</v>
      </c>
      <c r="O8" t="n">
        <v>2020</v>
      </c>
      <c r="P8" t="inlineStr"/>
      <c r="Q8" t="inlineStr"/>
      <c r="R8" t="n">
        <v>400.0326</v>
      </c>
      <c r="S8" t="n">
        <v>0.00012906</v>
      </c>
      <c r="T8" t="n">
        <v>0.00019658</v>
      </c>
      <c r="U8" t="n">
        <v>1339.4925</v>
      </c>
      <c r="V8" t="inlineStr">
        <is>
          <t>Spend-Based Estimate</t>
        </is>
      </c>
      <c r="W8" t="b">
        <v>1</v>
      </c>
      <c r="X8" t="inlineStr">
        <is>
          <t>Medium</t>
        </is>
      </c>
      <c r="Y8" t="inlineStr">
        <is>
          <t>Reported_Emissions; Scope_Emissions</t>
        </is>
      </c>
      <c r="Z8" t="n">
        <v>0.7</v>
      </c>
      <c r="AA8" t="inlineStr">
        <is>
          <t>Valid</t>
        </is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2022</v>
      </c>
      <c r="E9" t="n">
        <v>14157640.33</v>
      </c>
      <c r="F9" t="n">
        <v>27636358.4</v>
      </c>
      <c r="G9" t="n">
        <v>1190.7194</v>
      </c>
      <c r="H9" t="n">
        <v>290.8411</v>
      </c>
      <c r="I9" t="n">
        <v>67.2197</v>
      </c>
      <c r="J9" t="n">
        <v>759.1163</v>
      </c>
      <c r="K9" t="n">
        <v>2021</v>
      </c>
      <c r="L9" t="n">
        <v>2040</v>
      </c>
      <c r="M9" t="n">
        <v>0.478</v>
      </c>
      <c r="N9" t="n">
        <v>0.2876</v>
      </c>
      <c r="O9" t="n">
        <v>2020</v>
      </c>
      <c r="P9" t="inlineStr"/>
      <c r="Q9" t="inlineStr"/>
      <c r="R9" t="n">
        <v>400.0326</v>
      </c>
      <c r="S9" t="n">
        <v>0.00012906</v>
      </c>
      <c r="T9" t="n">
        <v>0.00019658</v>
      </c>
      <c r="U9" t="n">
        <v>1190.7194</v>
      </c>
      <c r="V9" t="inlineStr">
        <is>
          <t>Supplier Reported Emissions</t>
        </is>
      </c>
      <c r="W9" t="b">
        <v>0</v>
      </c>
      <c r="X9" t="inlineStr">
        <is>
          <t>High</t>
        </is>
      </c>
      <c r="Y9" t="inlineStr">
        <is>
          <t>None</t>
        </is>
      </c>
      <c r="Z9" t="n">
        <v>0.95</v>
      </c>
      <c r="AA9" t="inlineStr">
        <is>
          <t>Valid</t>
        </is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2023</v>
      </c>
      <c r="E10" t="n">
        <v>15985212.63</v>
      </c>
      <c r="F10" t="n">
        <v>27528316.27</v>
      </c>
      <c r="G10" t="n">
        <v>1279.5899</v>
      </c>
      <c r="H10" t="inlineStr"/>
      <c r="I10" t="inlineStr"/>
      <c r="J10" t="inlineStr"/>
      <c r="K10" t="n">
        <v>2021</v>
      </c>
      <c r="L10" t="n">
        <v>2040</v>
      </c>
      <c r="M10" t="n">
        <v>0.478</v>
      </c>
      <c r="N10" t="n">
        <v>0.2876</v>
      </c>
      <c r="O10" t="n">
        <v>2020</v>
      </c>
      <c r="P10" t="inlineStr"/>
      <c r="Q10" t="inlineStr"/>
      <c r="R10" t="n">
        <v>400.0326</v>
      </c>
      <c r="S10" t="n">
        <v>0.00012906</v>
      </c>
      <c r="T10" t="n">
        <v>0.00019658</v>
      </c>
      <c r="U10" t="n">
        <v>1279.5899</v>
      </c>
      <c r="V10" t="inlineStr">
        <is>
          <t>Supplier Reported Emissions</t>
        </is>
      </c>
      <c r="W10" t="b">
        <v>0</v>
      </c>
      <c r="X10" t="inlineStr">
        <is>
          <t>High</t>
        </is>
      </c>
      <c r="Y10" t="inlineStr">
        <is>
          <t>Scope_Emissions</t>
        </is>
      </c>
      <c r="Z10" t="n">
        <v>0.95</v>
      </c>
      <c r="AA10" t="inlineStr">
        <is>
          <t>Valid</t>
        </is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16663864.5</v>
      </c>
      <c r="F11" t="n">
        <v>33844140</v>
      </c>
      <c r="G11" t="inlineStr"/>
      <c r="H11" t="n">
        <v>79.7811</v>
      </c>
      <c r="I11" t="n">
        <v>186.6403</v>
      </c>
      <c r="J11" t="n">
        <v>668.1231</v>
      </c>
      <c r="K11" t="n">
        <v>2021</v>
      </c>
      <c r="L11" t="n">
        <v>2040</v>
      </c>
      <c r="M11" t="n">
        <v>0.478</v>
      </c>
      <c r="N11" t="n">
        <v>0.2876</v>
      </c>
      <c r="O11" t="n">
        <v>2020</v>
      </c>
      <c r="P11" t="inlineStr"/>
      <c r="Q11" t="inlineStr"/>
      <c r="R11" t="n">
        <v>400.0326</v>
      </c>
      <c r="S11" t="n">
        <v>0.00012906</v>
      </c>
      <c r="T11" t="n">
        <v>0.00019658</v>
      </c>
      <c r="U11" t="n">
        <v>934.5445</v>
      </c>
      <c r="V11" t="inlineStr">
        <is>
          <t>Scope 1 + Scope 2 + Scope 3</t>
        </is>
      </c>
      <c r="W11" t="b">
        <v>1</v>
      </c>
      <c r="X11" t="inlineStr">
        <is>
          <t>High</t>
        </is>
      </c>
      <c r="Y11" t="inlineStr">
        <is>
          <t>Reported_Emissions</t>
        </is>
      </c>
      <c r="Z11" t="n">
        <v>0.88</v>
      </c>
      <c r="AA11" t="inlineStr">
        <is>
          <t>Valid</t>
        </is>
      </c>
    </row>
    <row r="12">
      <c r="A12" t="inlineStr">
        <is>
          <t>SUP-0002</t>
        </is>
      </c>
      <c r="B12" t="inlineStr">
        <is>
          <t>Textiles Supplier 002</t>
        </is>
      </c>
      <c r="C12" t="inlineStr">
        <is>
          <t>Textiles</t>
        </is>
      </c>
      <c r="D12" t="n">
        <v>2015</v>
      </c>
      <c r="E12" t="n">
        <v>21562167.91</v>
      </c>
      <c r="F12" t="n">
        <v>72866699.56999999</v>
      </c>
      <c r="G12" t="n">
        <v>9040.966700000001</v>
      </c>
      <c r="H12" t="n">
        <v>1241.4006</v>
      </c>
      <c r="I12" t="n">
        <v>512.652</v>
      </c>
      <c r="J12" t="inlineStr"/>
      <c r="K12" t="n">
        <v>2021</v>
      </c>
      <c r="L12" t="n">
        <v>2040</v>
      </c>
      <c r="M12" t="n">
        <v>0.3164</v>
      </c>
      <c r="N12" t="n">
        <v>0.1385</v>
      </c>
      <c r="O12" t="n">
        <v>2019</v>
      </c>
      <c r="P12" t="n">
        <v>2030</v>
      </c>
      <c r="Q12" t="n">
        <v>0.3171</v>
      </c>
      <c r="R12" t="n">
        <v>401.7335</v>
      </c>
      <c r="S12" t="n">
        <v>0.00029221</v>
      </c>
      <c r="T12" t="n">
        <v>0.00017343</v>
      </c>
      <c r="U12" t="n">
        <v>9040.966700000001</v>
      </c>
      <c r="V12" t="inlineStr">
        <is>
          <t>Supplier Reported Emissions</t>
        </is>
      </c>
      <c r="W12" t="b">
        <v>0</v>
      </c>
      <c r="X12" t="inlineStr">
        <is>
          <t>High</t>
        </is>
      </c>
      <c r="Y12" t="inlineStr">
        <is>
          <t>Scope_Emissions</t>
        </is>
      </c>
      <c r="Z12" t="n">
        <v>0.95</v>
      </c>
      <c r="AA12" t="inlineStr">
        <is>
          <t>Valid</t>
        </is>
      </c>
    </row>
    <row r="13">
      <c r="A13" t="inlineStr">
        <is>
          <t>SUP-0002</t>
        </is>
      </c>
      <c r="B13" t="inlineStr">
        <is>
          <t>Textiles Supplier 002</t>
        </is>
      </c>
      <c r="C13" t="inlineStr">
        <is>
          <t>Textiles</t>
        </is>
      </c>
      <c r="D13" t="n">
        <v>2016</v>
      </c>
      <c r="E13" t="n">
        <v>21316278.19</v>
      </c>
      <c r="F13" t="n">
        <v>62811272.33</v>
      </c>
      <c r="G13" t="n">
        <v>7963.5569</v>
      </c>
      <c r="H13" t="n">
        <v>680.0877</v>
      </c>
      <c r="I13" t="n">
        <v>1740.6913</v>
      </c>
      <c r="J13" t="inlineStr"/>
      <c r="K13" t="n">
        <v>2021</v>
      </c>
      <c r="L13" t="n">
        <v>2040</v>
      </c>
      <c r="M13" t="n">
        <v>0.3164</v>
      </c>
      <c r="N13" t="n">
        <v>0.1385</v>
      </c>
      <c r="O13" t="n">
        <v>2019</v>
      </c>
      <c r="P13" t="n">
        <v>2030</v>
      </c>
      <c r="Q13" t="n">
        <v>0.3171</v>
      </c>
      <c r="R13" t="n">
        <v>401.7335</v>
      </c>
      <c r="S13" t="n">
        <v>0.00029221</v>
      </c>
      <c r="T13" t="n">
        <v>0.00017343</v>
      </c>
      <c r="U13" t="n">
        <v>7963.5569</v>
      </c>
      <c r="V13" t="inlineStr">
        <is>
          <t>Supplier Reported Emissions</t>
        </is>
      </c>
      <c r="W13" t="b">
        <v>0</v>
      </c>
      <c r="X13" t="inlineStr">
        <is>
          <t>High</t>
        </is>
      </c>
      <c r="Y13" t="inlineStr">
        <is>
          <t>Scope_Emissions</t>
        </is>
      </c>
      <c r="Z13" t="n">
        <v>0.95</v>
      </c>
      <c r="AA13" t="inlineStr">
        <is>
          <t>Valid</t>
        </is>
      </c>
    </row>
    <row r="14">
      <c r="A14" t="inlineStr">
        <is>
          <t>SUP-0002</t>
        </is>
      </c>
      <c r="B14" t="inlineStr">
        <is>
          <t>Textiles Supplier 002</t>
        </is>
      </c>
      <c r="C14" t="inlineStr">
        <is>
          <t>Textiles</t>
        </is>
      </c>
      <c r="D14" t="n">
        <v>2017</v>
      </c>
      <c r="E14" t="n">
        <v>18946796.12</v>
      </c>
      <c r="F14" t="n">
        <v>75186820.56</v>
      </c>
      <c r="G14" t="n">
        <v>8035.9235</v>
      </c>
      <c r="H14" t="n">
        <v>1001.9577</v>
      </c>
      <c r="I14" t="n">
        <v>1543.7679</v>
      </c>
      <c r="J14" t="n">
        <v>5168.2771</v>
      </c>
      <c r="K14" t="n">
        <v>2021</v>
      </c>
      <c r="L14" t="n">
        <v>2040</v>
      </c>
      <c r="M14" t="n">
        <v>0.3164</v>
      </c>
      <c r="N14" t="n">
        <v>0.1385</v>
      </c>
      <c r="O14" t="n">
        <v>2019</v>
      </c>
      <c r="P14" t="n">
        <v>2030</v>
      </c>
      <c r="Q14" t="n">
        <v>0.3171</v>
      </c>
      <c r="R14" t="n">
        <v>401.7335</v>
      </c>
      <c r="S14" t="n">
        <v>0.00029221</v>
      </c>
      <c r="T14" t="n">
        <v>0.00017343</v>
      </c>
      <c r="U14" t="n">
        <v>8035.9235</v>
      </c>
      <c r="V14" t="inlineStr">
        <is>
          <t>Supplier Reported Emissions</t>
        </is>
      </c>
      <c r="W14" t="b">
        <v>0</v>
      </c>
      <c r="X14" t="inlineStr">
        <is>
          <t>High</t>
        </is>
      </c>
      <c r="Y14" t="inlineStr">
        <is>
          <t>None</t>
        </is>
      </c>
      <c r="Z14" t="n">
        <v>0.95</v>
      </c>
      <c r="AA14" t="inlineStr">
        <is>
          <t>Valid</t>
        </is>
      </c>
    </row>
    <row r="15">
      <c r="A15" t="inlineStr">
        <is>
          <t>SUP-0002</t>
        </is>
      </c>
      <c r="B15" t="inlineStr">
        <is>
          <t>Textiles Supplier 002</t>
        </is>
      </c>
      <c r="C15" t="inlineStr">
        <is>
          <t>Textiles</t>
        </is>
      </c>
      <c r="D15" t="n">
        <v>2018</v>
      </c>
      <c r="E15" t="n">
        <v>22664638.32</v>
      </c>
      <c r="F15" t="n">
        <v>74932065.31</v>
      </c>
      <c r="G15" t="n">
        <v>8786.594999999999</v>
      </c>
      <c r="H15" t="inlineStr"/>
      <c r="I15" t="inlineStr"/>
      <c r="J15" t="n">
        <v>6683.3831</v>
      </c>
      <c r="K15" t="n">
        <v>2021</v>
      </c>
      <c r="L15" t="n">
        <v>2040</v>
      </c>
      <c r="M15" t="n">
        <v>0.3164</v>
      </c>
      <c r="N15" t="n">
        <v>0.1385</v>
      </c>
      <c r="O15" t="n">
        <v>2019</v>
      </c>
      <c r="P15" t="n">
        <v>2030</v>
      </c>
      <c r="Q15" t="n">
        <v>0.3171</v>
      </c>
      <c r="R15" t="n">
        <v>401.7335</v>
      </c>
      <c r="S15" t="n">
        <v>0.00029221</v>
      </c>
      <c r="T15" t="n">
        <v>0.00017343</v>
      </c>
      <c r="U15" t="n">
        <v>8786.594999999999</v>
      </c>
      <c r="V15" t="inlineStr">
        <is>
          <t>Supplier Reported Emissions</t>
        </is>
      </c>
      <c r="W15" t="b">
        <v>0</v>
      </c>
      <c r="X15" t="inlineStr">
        <is>
          <t>High</t>
        </is>
      </c>
      <c r="Y15" t="inlineStr">
        <is>
          <t>Scope_Emissions</t>
        </is>
      </c>
      <c r="Z15" t="n">
        <v>0.95</v>
      </c>
      <c r="AA15" t="inlineStr">
        <is>
          <t>Valid</t>
        </is>
      </c>
    </row>
    <row r="16">
      <c r="A16" t="inlineStr">
        <is>
          <t>SUP-0002</t>
        </is>
      </c>
      <c r="B16" t="inlineStr">
        <is>
          <t>Textiles Supplier 002</t>
        </is>
      </c>
      <c r="C16" t="inlineStr">
        <is>
          <t>Textiles</t>
        </is>
      </c>
      <c r="D16" t="n">
        <v>2019</v>
      </c>
      <c r="E16" t="n">
        <v>20430922.47</v>
      </c>
      <c r="F16" t="n">
        <v>71206667.77</v>
      </c>
      <c r="G16" t="n">
        <v>7258.539</v>
      </c>
      <c r="H16" t="n">
        <v>1282.3467</v>
      </c>
      <c r="I16" t="n">
        <v>1374.3187</v>
      </c>
      <c r="J16" t="inlineStr"/>
      <c r="K16" t="n">
        <v>2021</v>
      </c>
      <c r="L16" t="n">
        <v>2040</v>
      </c>
      <c r="M16" t="n">
        <v>0.3164</v>
      </c>
      <c r="N16" t="n">
        <v>0.1385</v>
      </c>
      <c r="O16" t="n">
        <v>2019</v>
      </c>
      <c r="P16" t="n">
        <v>2030</v>
      </c>
      <c r="Q16" t="n">
        <v>0.3171</v>
      </c>
      <c r="R16" t="n">
        <v>401.7335</v>
      </c>
      <c r="S16" t="n">
        <v>0.00029221</v>
      </c>
      <c r="T16" t="n">
        <v>0.00017343</v>
      </c>
      <c r="U16" t="n">
        <v>7258.539</v>
      </c>
      <c r="V16" t="inlineStr">
        <is>
          <t>Supplier Reported Emissions</t>
        </is>
      </c>
      <c r="W16" t="b">
        <v>0</v>
      </c>
      <c r="X16" t="inlineStr">
        <is>
          <t>High</t>
        </is>
      </c>
      <c r="Y16" t="inlineStr">
        <is>
          <t>Scope_Emissions</t>
        </is>
      </c>
      <c r="Z16" t="n">
        <v>0.95</v>
      </c>
      <c r="AA16" t="inlineStr">
        <is>
          <t>Valid</t>
        </is>
      </c>
    </row>
    <row r="17">
      <c r="A17" t="inlineStr">
        <is>
          <t>SUP-0002</t>
        </is>
      </c>
      <c r="B17" t="inlineStr">
        <is>
          <t>Textiles Supplier 002</t>
        </is>
      </c>
      <c r="C17" t="inlineStr">
        <is>
          <t>Textiles</t>
        </is>
      </c>
      <c r="D17" t="n">
        <v>2020</v>
      </c>
      <c r="E17" t="n">
        <v>28829769.51</v>
      </c>
      <c r="F17" t="n">
        <v>84061203.45</v>
      </c>
      <c r="G17" t="n">
        <v>12518.5458</v>
      </c>
      <c r="H17" t="n">
        <v>3353.9337</v>
      </c>
      <c r="I17" t="n">
        <v>1737.7147</v>
      </c>
      <c r="J17" t="inlineStr"/>
      <c r="K17" t="n">
        <v>2021</v>
      </c>
      <c r="L17" t="n">
        <v>2040</v>
      </c>
      <c r="M17" t="n">
        <v>0.3164</v>
      </c>
      <c r="N17" t="n">
        <v>0.1385</v>
      </c>
      <c r="O17" t="n">
        <v>2019</v>
      </c>
      <c r="P17" t="n">
        <v>2030</v>
      </c>
      <c r="Q17" t="n">
        <v>0.3171</v>
      </c>
      <c r="R17" t="n">
        <v>401.7335</v>
      </c>
      <c r="S17" t="n">
        <v>0.00029221</v>
      </c>
      <c r="T17" t="n">
        <v>0.00017343</v>
      </c>
      <c r="U17" t="n">
        <v>12518.5458</v>
      </c>
      <c r="V17" t="inlineStr">
        <is>
          <t>Supplier Reported Emissions</t>
        </is>
      </c>
      <c r="W17" t="b">
        <v>0</v>
      </c>
      <c r="X17" t="inlineStr">
        <is>
          <t>High</t>
        </is>
      </c>
      <c r="Y17" t="inlineStr">
        <is>
          <t>Scope_Emissions</t>
        </is>
      </c>
      <c r="Z17" t="n">
        <v>0.95</v>
      </c>
      <c r="AA17" t="inlineStr">
        <is>
          <t>Valid</t>
        </is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2021</v>
      </c>
      <c r="E18" t="n">
        <v>26771946.84</v>
      </c>
      <c r="F18" t="inlineStr"/>
      <c r="G18" t="inlineStr"/>
      <c r="H18" t="n">
        <v>1958.7766</v>
      </c>
      <c r="I18" t="n">
        <v>746.4904</v>
      </c>
      <c r="J18" t="n">
        <v>4772.2435</v>
      </c>
      <c r="K18" t="n">
        <v>2021</v>
      </c>
      <c r="L18" t="n">
        <v>2040</v>
      </c>
      <c r="M18" t="n">
        <v>0.3164</v>
      </c>
      <c r="N18" t="n">
        <v>0.1385</v>
      </c>
      <c r="O18" t="n">
        <v>2019</v>
      </c>
      <c r="P18" t="n">
        <v>2030</v>
      </c>
      <c r="Q18" t="n">
        <v>0.3171</v>
      </c>
      <c r="R18" t="n">
        <v>401.7335</v>
      </c>
      <c r="S18" t="n">
        <v>0.00029221</v>
      </c>
      <c r="T18" t="n">
        <v>0.00017343</v>
      </c>
      <c r="U18" t="n">
        <v>7477.5105</v>
      </c>
      <c r="V18" t="inlineStr">
        <is>
          <t>Scope 1 + Scope 2 + Scope 3</t>
        </is>
      </c>
      <c r="W18" t="b">
        <v>1</v>
      </c>
      <c r="X18" t="inlineStr">
        <is>
          <t>High</t>
        </is>
      </c>
      <c r="Y18" t="inlineStr">
        <is>
          <t>Reported_Emissions; Revenue</t>
        </is>
      </c>
      <c r="Z18" t="n">
        <v>0.88</v>
      </c>
      <c r="AA18" t="inlineStr">
        <is>
          <t>Valid</t>
        </is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2022</v>
      </c>
      <c r="E19" t="n">
        <v>28741343.46</v>
      </c>
      <c r="F19" t="n">
        <v>84176219.13</v>
      </c>
      <c r="G19" t="n">
        <v>8208.506100000001</v>
      </c>
      <c r="H19" t="n">
        <v>825.3989</v>
      </c>
      <c r="I19" t="n">
        <v>814.1481</v>
      </c>
      <c r="J19" t="inlineStr"/>
      <c r="K19" t="n">
        <v>2021</v>
      </c>
      <c r="L19" t="n">
        <v>2040</v>
      </c>
      <c r="M19" t="n">
        <v>0.3164</v>
      </c>
      <c r="N19" t="n">
        <v>0.1385</v>
      </c>
      <c r="O19" t="n">
        <v>2019</v>
      </c>
      <c r="P19" t="n">
        <v>2030</v>
      </c>
      <c r="Q19" t="n">
        <v>0.3171</v>
      </c>
      <c r="R19" t="n">
        <v>401.7335</v>
      </c>
      <c r="S19" t="n">
        <v>0.00029221</v>
      </c>
      <c r="T19" t="n">
        <v>0.00017343</v>
      </c>
      <c r="U19" t="n">
        <v>8208.506100000001</v>
      </c>
      <c r="V19" t="inlineStr">
        <is>
          <t>Supplier Reported Emissions</t>
        </is>
      </c>
      <c r="W19" t="b">
        <v>0</v>
      </c>
      <c r="X19" t="inlineStr">
        <is>
          <t>High</t>
        </is>
      </c>
      <c r="Y19" t="inlineStr">
        <is>
          <t>Scope_Emissions</t>
        </is>
      </c>
      <c r="Z19" t="n">
        <v>0.95</v>
      </c>
      <c r="AA19" t="inlineStr">
        <is>
          <t>Valid</t>
        </is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2023</v>
      </c>
      <c r="E20" t="n">
        <v>22644645.97</v>
      </c>
      <c r="F20" t="n">
        <v>77373171.61</v>
      </c>
      <c r="G20" t="n">
        <v>7231.8153</v>
      </c>
      <c r="H20" t="n">
        <v>1402.5033</v>
      </c>
      <c r="I20" t="n">
        <v>636.5549</v>
      </c>
      <c r="J20" t="n">
        <v>5559.0151</v>
      </c>
      <c r="K20" t="n">
        <v>2021</v>
      </c>
      <c r="L20" t="n">
        <v>2040</v>
      </c>
      <c r="M20" t="n">
        <v>0.3164</v>
      </c>
      <c r="N20" t="n">
        <v>0.1385</v>
      </c>
      <c r="O20" t="n">
        <v>2019</v>
      </c>
      <c r="P20" t="n">
        <v>2030</v>
      </c>
      <c r="Q20" t="n">
        <v>0.3171</v>
      </c>
      <c r="R20" t="n">
        <v>401.7335</v>
      </c>
      <c r="S20" t="n">
        <v>0.00029221</v>
      </c>
      <c r="T20" t="n">
        <v>0.00017343</v>
      </c>
      <c r="U20" t="n">
        <v>7231.8153</v>
      </c>
      <c r="V20" t="inlineStr">
        <is>
          <t>Supplier Reported Emissions</t>
        </is>
      </c>
      <c r="W20" t="b">
        <v>0</v>
      </c>
      <c r="X20" t="inlineStr">
        <is>
          <t>High</t>
        </is>
      </c>
      <c r="Y20" t="inlineStr">
        <is>
          <t>None</t>
        </is>
      </c>
      <c r="Z20" t="n">
        <v>0.95</v>
      </c>
      <c r="AA20" t="inlineStr">
        <is>
          <t>Valid</t>
        </is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28033642.13</v>
      </c>
      <c r="F21" t="n">
        <v>159297478.5</v>
      </c>
      <c r="G21" t="inlineStr"/>
      <c r="H21" t="n">
        <v>959.4414</v>
      </c>
      <c r="I21" t="n">
        <v>990.8535000000001</v>
      </c>
      <c r="J21" t="n">
        <v>7995.6351</v>
      </c>
      <c r="K21" t="n">
        <v>2021</v>
      </c>
      <c r="L21" t="n">
        <v>2040</v>
      </c>
      <c r="M21" t="n">
        <v>0.3164</v>
      </c>
      <c r="N21" t="n">
        <v>0.1385</v>
      </c>
      <c r="O21" t="n">
        <v>2019</v>
      </c>
      <c r="P21" t="n">
        <v>2030</v>
      </c>
      <c r="Q21" t="n">
        <v>0.3171</v>
      </c>
      <c r="R21" t="n">
        <v>401.7335</v>
      </c>
      <c r="S21" t="n">
        <v>0.00029221</v>
      </c>
      <c r="T21" t="n">
        <v>0.00017343</v>
      </c>
      <c r="U21" t="n">
        <v>9945.93</v>
      </c>
      <c r="V21" t="inlineStr">
        <is>
          <t>Scope 1 + Scope 2 + Scope 3</t>
        </is>
      </c>
      <c r="W21" t="b">
        <v>1</v>
      </c>
      <c r="X21" t="inlineStr">
        <is>
          <t>High</t>
        </is>
      </c>
      <c r="Y21" t="inlineStr">
        <is>
          <t>Reported_Emissions</t>
        </is>
      </c>
      <c r="Z21" t="n">
        <v>0.88</v>
      </c>
      <c r="AA21" t="inlineStr">
        <is>
          <t>Valid</t>
        </is>
      </c>
    </row>
    <row r="22">
      <c r="A22" t="inlineStr">
        <is>
          <t>SUP-0003</t>
        </is>
      </c>
      <c r="B22" t="inlineStr">
        <is>
          <t>Electronics Supplier 003</t>
        </is>
      </c>
      <c r="C22" t="inlineStr">
        <is>
          <t>Electronics</t>
        </is>
      </c>
      <c r="D22" t="n">
        <v>2015</v>
      </c>
      <c r="E22" t="n">
        <v>6238851.19</v>
      </c>
      <c r="F22" t="inlineStr"/>
      <c r="G22" t="n">
        <v>4290.6371</v>
      </c>
      <c r="H22" t="inlineStr"/>
      <c r="I22" t="n">
        <v>531.1107</v>
      </c>
      <c r="J22" t="inlineStr"/>
      <c r="K22" t="n">
        <v>2018</v>
      </c>
      <c r="L22" t="n">
        <v>2030</v>
      </c>
      <c r="M22" t="n">
        <v>0.4542</v>
      </c>
      <c r="N22" t="n">
        <v>0.214</v>
      </c>
      <c r="O22" t="n">
        <v>2018</v>
      </c>
      <c r="P22" t="n">
        <v>2040</v>
      </c>
      <c r="Q22" t="n">
        <v>0.3424</v>
      </c>
      <c r="R22" t="n">
        <v>635.1588</v>
      </c>
      <c r="S22" t="n">
        <v>0.00086105</v>
      </c>
      <c r="T22" t="n">
        <v>0.00013947</v>
      </c>
      <c r="U22" t="n">
        <v>4290.6371</v>
      </c>
      <c r="V22" t="inlineStr">
        <is>
          <t>Supplier Reported Emissions</t>
        </is>
      </c>
      <c r="W22" t="b">
        <v>0</v>
      </c>
      <c r="X22" t="inlineStr">
        <is>
          <t>High</t>
        </is>
      </c>
      <c r="Y22" t="inlineStr">
        <is>
          <t>Revenue; Scope_Emissions</t>
        </is>
      </c>
      <c r="Z22" t="n">
        <v>0.95</v>
      </c>
      <c r="AA22" t="inlineStr">
        <is>
          <t>Valid</t>
        </is>
      </c>
    </row>
    <row r="23">
      <c r="A23" t="inlineStr">
        <is>
          <t>SUP-0003</t>
        </is>
      </c>
      <c r="B23" t="inlineStr">
        <is>
          <t>Electronics Supplier 003</t>
        </is>
      </c>
      <c r="C23" t="inlineStr">
        <is>
          <t>Electronics</t>
        </is>
      </c>
      <c r="D23" t="n">
        <v>2016</v>
      </c>
      <c r="E23" t="n">
        <v>6962351.64</v>
      </c>
      <c r="F23" t="inlineStr"/>
      <c r="G23" t="n">
        <v>4781.2477</v>
      </c>
      <c r="H23" t="n">
        <v>805.9985</v>
      </c>
      <c r="I23" t="inlineStr"/>
      <c r="J23" t="n">
        <v>3019.1396</v>
      </c>
      <c r="K23" t="n">
        <v>2018</v>
      </c>
      <c r="L23" t="n">
        <v>2030</v>
      </c>
      <c r="M23" t="n">
        <v>0.4542</v>
      </c>
      <c r="N23" t="n">
        <v>0.214</v>
      </c>
      <c r="O23" t="n">
        <v>2018</v>
      </c>
      <c r="P23" t="n">
        <v>2040</v>
      </c>
      <c r="Q23" t="n">
        <v>0.3424</v>
      </c>
      <c r="R23" t="n">
        <v>635.1588</v>
      </c>
      <c r="S23" t="n">
        <v>0.00086105</v>
      </c>
      <c r="T23" t="n">
        <v>0.00013947</v>
      </c>
      <c r="U23" t="n">
        <v>4781.2477</v>
      </c>
      <c r="V23" t="inlineStr">
        <is>
          <t>Supplier Reported Emissions</t>
        </is>
      </c>
      <c r="W23" t="b">
        <v>0</v>
      </c>
      <c r="X23" t="inlineStr">
        <is>
          <t>High</t>
        </is>
      </c>
      <c r="Y23" t="inlineStr">
        <is>
          <t>Revenue; Scope_Emissions</t>
        </is>
      </c>
      <c r="Z23" t="n">
        <v>0.95</v>
      </c>
      <c r="AA23" t="inlineStr">
        <is>
          <t>Valid</t>
        </is>
      </c>
    </row>
    <row r="24">
      <c r="A24" t="inlineStr">
        <is>
          <t>SUP-0003</t>
        </is>
      </c>
      <c r="B24" t="inlineStr">
        <is>
          <t>Electronics Supplier 003</t>
        </is>
      </c>
      <c r="C24" t="inlineStr">
        <is>
          <t>Electronics</t>
        </is>
      </c>
      <c r="D24" t="n">
        <v>2017</v>
      </c>
      <c r="E24" t="n">
        <v>7126288.42</v>
      </c>
      <c r="F24" t="n">
        <v>27443905.47</v>
      </c>
      <c r="G24" t="n">
        <v>4327.548</v>
      </c>
      <c r="H24" t="n">
        <v>1038.6433</v>
      </c>
      <c r="I24" t="inlineStr"/>
      <c r="J24" t="n">
        <v>2882.6325</v>
      </c>
      <c r="K24" t="n">
        <v>2018</v>
      </c>
      <c r="L24" t="n">
        <v>2030</v>
      </c>
      <c r="M24" t="n">
        <v>0.4542</v>
      </c>
      <c r="N24" t="n">
        <v>0.214</v>
      </c>
      <c r="O24" t="n">
        <v>2018</v>
      </c>
      <c r="P24" t="n">
        <v>2040</v>
      </c>
      <c r="Q24" t="n">
        <v>0.3424</v>
      </c>
      <c r="R24" t="n">
        <v>635.1588</v>
      </c>
      <c r="S24" t="n">
        <v>0.00086105</v>
      </c>
      <c r="T24" t="n">
        <v>0.00013947</v>
      </c>
      <c r="U24" t="n">
        <v>4327.548</v>
      </c>
      <c r="V24" t="inlineStr">
        <is>
          <t>Supplier Reported Emissions</t>
        </is>
      </c>
      <c r="W24" t="b">
        <v>0</v>
      </c>
      <c r="X24" t="inlineStr">
        <is>
          <t>High</t>
        </is>
      </c>
      <c r="Y24" t="inlineStr">
        <is>
          <t>Scope_Emissions</t>
        </is>
      </c>
      <c r="Z24" t="n">
        <v>0.95</v>
      </c>
      <c r="AA24" t="inlineStr">
        <is>
          <t>Valid</t>
        </is>
      </c>
    </row>
    <row r="25">
      <c r="A25" t="inlineStr">
        <is>
          <t>SUP-0003</t>
        </is>
      </c>
      <c r="B25" t="inlineStr">
        <is>
          <t>Electronics Supplier 003</t>
        </is>
      </c>
      <c r="C25" t="inlineStr">
        <is>
          <t>Electronics</t>
        </is>
      </c>
      <c r="D25" t="n">
        <v>2018</v>
      </c>
      <c r="E25" t="inlineStr"/>
      <c r="F25" t="n">
        <v>24622697.24</v>
      </c>
      <c r="G25" t="n">
        <v>4242.1461</v>
      </c>
      <c r="H25" t="inlineStr"/>
      <c r="I25" t="n">
        <v>533.4873</v>
      </c>
      <c r="J25" t="n">
        <v>2705.2282</v>
      </c>
      <c r="K25" t="n">
        <v>2018</v>
      </c>
      <c r="L25" t="n">
        <v>2030</v>
      </c>
      <c r="M25" t="n">
        <v>0.4542</v>
      </c>
      <c r="N25" t="n">
        <v>0.214</v>
      </c>
      <c r="O25" t="n">
        <v>2018</v>
      </c>
      <c r="P25" t="n">
        <v>2040</v>
      </c>
      <c r="Q25" t="n">
        <v>0.3424</v>
      </c>
      <c r="R25" t="n">
        <v>635.1588</v>
      </c>
      <c r="S25" t="n">
        <v>0.00086105</v>
      </c>
      <c r="T25" t="n">
        <v>0.00013947</v>
      </c>
      <c r="U25" t="n">
        <v>4242.1461</v>
      </c>
      <c r="V25" t="inlineStr">
        <is>
          <t>Supplier Reported Emissions</t>
        </is>
      </c>
      <c r="W25" t="b">
        <v>0</v>
      </c>
      <c r="X25" t="inlineStr">
        <is>
          <t>High</t>
        </is>
      </c>
      <c r="Y25" t="inlineStr">
        <is>
          <t>Gross_Spend; Scope_Emissions</t>
        </is>
      </c>
      <c r="Z25" t="n">
        <v>0.95</v>
      </c>
      <c r="AA25" t="inlineStr">
        <is>
          <t>Valid</t>
        </is>
      </c>
    </row>
    <row r="26">
      <c r="A26" t="inlineStr">
        <is>
          <t>SUP-0003</t>
        </is>
      </c>
      <c r="B26" t="inlineStr">
        <is>
          <t>Electronics Supplier 003</t>
        </is>
      </c>
      <c r="C26" t="inlineStr">
        <is>
          <t>Electronics</t>
        </is>
      </c>
      <c r="D26" t="n">
        <v>2019</v>
      </c>
      <c r="E26" t="n">
        <v>8481437.220000001</v>
      </c>
      <c r="F26" t="n">
        <v>24670734.85</v>
      </c>
      <c r="G26" t="n">
        <v>5325.6246</v>
      </c>
      <c r="H26" t="n">
        <v>1447.5085</v>
      </c>
      <c r="I26" t="n">
        <v>610.8751</v>
      </c>
      <c r="J26" t="n">
        <v>3195.117</v>
      </c>
      <c r="K26" t="n">
        <v>2018</v>
      </c>
      <c r="L26" t="n">
        <v>2030</v>
      </c>
      <c r="M26" t="n">
        <v>0.4542</v>
      </c>
      <c r="N26" t="n">
        <v>0.214</v>
      </c>
      <c r="O26" t="n">
        <v>2018</v>
      </c>
      <c r="P26" t="n">
        <v>2040</v>
      </c>
      <c r="Q26" t="n">
        <v>0.3424</v>
      </c>
      <c r="R26" t="n">
        <v>635.1588</v>
      </c>
      <c r="S26" t="n">
        <v>0.00086105</v>
      </c>
      <c r="T26" t="n">
        <v>0.00013947</v>
      </c>
      <c r="U26" t="n">
        <v>5325.6246</v>
      </c>
      <c r="V26" t="inlineStr">
        <is>
          <t>Supplier Reported Emissions</t>
        </is>
      </c>
      <c r="W26" t="b">
        <v>0</v>
      </c>
      <c r="X26" t="inlineStr">
        <is>
          <t>High</t>
        </is>
      </c>
      <c r="Y26" t="inlineStr">
        <is>
          <t>None</t>
        </is>
      </c>
      <c r="Z26" t="n">
        <v>0.95</v>
      </c>
      <c r="AA26" t="inlineStr">
        <is>
          <t>Valid</t>
        </is>
      </c>
    </row>
    <row r="27">
      <c r="A27" t="inlineStr">
        <is>
          <t>SUP-0003</t>
        </is>
      </c>
      <c r="B27" t="inlineStr">
        <is>
          <t>Electronics Supplier 003</t>
        </is>
      </c>
      <c r="C27" t="inlineStr">
        <is>
          <t>Electronics</t>
        </is>
      </c>
      <c r="D27" t="n">
        <v>2020</v>
      </c>
      <c r="E27" t="n">
        <v>9413823.460000001</v>
      </c>
      <c r="F27" t="n">
        <v>30055273.3</v>
      </c>
      <c r="G27" t="n">
        <v>5235.5213</v>
      </c>
      <c r="H27" t="n">
        <v>1140.6453</v>
      </c>
      <c r="I27" t="n">
        <v>854.3442</v>
      </c>
      <c r="J27" t="inlineStr"/>
      <c r="K27" t="n">
        <v>2018</v>
      </c>
      <c r="L27" t="n">
        <v>2030</v>
      </c>
      <c r="M27" t="n">
        <v>0.4542</v>
      </c>
      <c r="N27" t="n">
        <v>0.214</v>
      </c>
      <c r="O27" t="n">
        <v>2018</v>
      </c>
      <c r="P27" t="n">
        <v>2040</v>
      </c>
      <c r="Q27" t="n">
        <v>0.3424</v>
      </c>
      <c r="R27" t="n">
        <v>635.1588</v>
      </c>
      <c r="S27" t="n">
        <v>0.00086105</v>
      </c>
      <c r="T27" t="n">
        <v>0.00013947</v>
      </c>
      <c r="U27" t="n">
        <v>5235.5213</v>
      </c>
      <c r="V27" t="inlineStr">
        <is>
          <t>Supplier Reported Emissions</t>
        </is>
      </c>
      <c r="W27" t="b">
        <v>0</v>
      </c>
      <c r="X27" t="inlineStr">
        <is>
          <t>High</t>
        </is>
      </c>
      <c r="Y27" t="inlineStr">
        <is>
          <t>Scope_Emissions</t>
        </is>
      </c>
      <c r="Z27" t="n">
        <v>0.95</v>
      </c>
      <c r="AA27" t="inlineStr">
        <is>
          <t>Valid</t>
        </is>
      </c>
    </row>
    <row r="28">
      <c r="A28" t="inlineStr">
        <is>
          <t>SUP-0003</t>
        </is>
      </c>
      <c r="B28" t="inlineStr">
        <is>
          <t>Electronics Supplier 003</t>
        </is>
      </c>
      <c r="C28" t="inlineStr">
        <is>
          <t>Electronics</t>
        </is>
      </c>
      <c r="D28" t="n">
        <v>2021</v>
      </c>
      <c r="E28" t="inlineStr"/>
      <c r="F28" t="n">
        <v>32913953.29</v>
      </c>
      <c r="G28" t="n">
        <v>5492.7382</v>
      </c>
      <c r="H28" t="n">
        <v>1023.7935</v>
      </c>
      <c r="I28" t="n">
        <v>884.2648</v>
      </c>
      <c r="J28" t="n">
        <v>3516.2967</v>
      </c>
      <c r="K28" t="n">
        <v>2018</v>
      </c>
      <c r="L28" t="n">
        <v>2030</v>
      </c>
      <c r="M28" t="n">
        <v>0.4542</v>
      </c>
      <c r="N28" t="n">
        <v>0.214</v>
      </c>
      <c r="O28" t="n">
        <v>2018</v>
      </c>
      <c r="P28" t="n">
        <v>2040</v>
      </c>
      <c r="Q28" t="n">
        <v>0.3424</v>
      </c>
      <c r="R28" t="n">
        <v>635.1588</v>
      </c>
      <c r="S28" t="n">
        <v>0.00086105</v>
      </c>
      <c r="T28" t="n">
        <v>0.00013947</v>
      </c>
      <c r="U28" t="n">
        <v>5492.7382</v>
      </c>
      <c r="V28" t="inlineStr">
        <is>
          <t>Supplier Reported Emissions</t>
        </is>
      </c>
      <c r="W28" t="b">
        <v>0</v>
      </c>
      <c r="X28" t="inlineStr">
        <is>
          <t>High</t>
        </is>
      </c>
      <c r="Y28" t="inlineStr">
        <is>
          <t>Gross_Spend</t>
        </is>
      </c>
      <c r="Z28" t="n">
        <v>0.95</v>
      </c>
      <c r="AA28" t="inlineStr">
        <is>
          <t>Valid</t>
        </is>
      </c>
    </row>
    <row r="29">
      <c r="A29" t="inlineStr">
        <is>
          <t>SUP-0003</t>
        </is>
      </c>
      <c r="B29" t="inlineStr">
        <is>
          <t>Electronics Supplier 003</t>
        </is>
      </c>
      <c r="C29" t="inlineStr">
        <is>
          <t>Electronics</t>
        </is>
      </c>
      <c r="D29" t="n">
        <v>2022</v>
      </c>
      <c r="E29" t="n">
        <v>11905233.58</v>
      </c>
      <c r="F29" t="n">
        <v>30820303.57</v>
      </c>
      <c r="G29" t="inlineStr"/>
      <c r="H29" t="n">
        <v>1605.351</v>
      </c>
      <c r="I29" t="n">
        <v>708.3299</v>
      </c>
      <c r="J29" t="n">
        <v>3977.8499</v>
      </c>
      <c r="K29" t="n">
        <v>2018</v>
      </c>
      <c r="L29" t="n">
        <v>2030</v>
      </c>
      <c r="M29" t="n">
        <v>0.4542</v>
      </c>
      <c r="N29" t="n">
        <v>0.214</v>
      </c>
      <c r="O29" t="n">
        <v>2018</v>
      </c>
      <c r="P29" t="n">
        <v>2040</v>
      </c>
      <c r="Q29" t="n">
        <v>0.3424</v>
      </c>
      <c r="R29" t="n">
        <v>635.1588</v>
      </c>
      <c r="S29" t="n">
        <v>0.00086105</v>
      </c>
      <c r="T29" t="n">
        <v>0.00013947</v>
      </c>
      <c r="U29" t="n">
        <v>6291.5308</v>
      </c>
      <c r="V29" t="inlineStr">
        <is>
          <t>Scope 1 + Scope 2 + Scope 3</t>
        </is>
      </c>
      <c r="W29" t="b">
        <v>1</v>
      </c>
      <c r="X29" t="inlineStr">
        <is>
          <t>High</t>
        </is>
      </c>
      <c r="Y29" t="inlineStr">
        <is>
          <t>Reported_Emissions</t>
        </is>
      </c>
      <c r="Z29" t="n">
        <v>0.88</v>
      </c>
      <c r="AA29" t="inlineStr">
        <is>
          <t>Valid</t>
        </is>
      </c>
    </row>
    <row r="30">
      <c r="A30" t="inlineStr">
        <is>
          <t>SUP-0003</t>
        </is>
      </c>
      <c r="B30" t="inlineStr">
        <is>
          <t>Electronics Supplier 003</t>
        </is>
      </c>
      <c r="C30" t="inlineStr">
        <is>
          <t>Electronics</t>
        </is>
      </c>
      <c r="D30" t="n">
        <v>2023</v>
      </c>
      <c r="E30" t="inlineStr"/>
      <c r="F30" t="n">
        <v>43015996.27</v>
      </c>
      <c r="G30" t="inlineStr"/>
      <c r="H30" t="n">
        <v>591.5886</v>
      </c>
      <c r="I30" t="n">
        <v>747.3334</v>
      </c>
      <c r="J30" t="inlineStr"/>
      <c r="K30" t="n">
        <v>2018</v>
      </c>
      <c r="L30" t="n">
        <v>2030</v>
      </c>
      <c r="M30" t="n">
        <v>0.4542</v>
      </c>
      <c r="N30" t="n">
        <v>0.214</v>
      </c>
      <c r="O30" t="n">
        <v>2018</v>
      </c>
      <c r="P30" t="n">
        <v>2040</v>
      </c>
      <c r="Q30" t="n">
        <v>0.3424</v>
      </c>
      <c r="R30" t="n">
        <v>635.1588</v>
      </c>
      <c r="S30" t="n">
        <v>0.00086105</v>
      </c>
      <c r="T30" t="n">
        <v>0.00013947</v>
      </c>
      <c r="U30" t="n">
        <v>5999.441</v>
      </c>
      <c r="V30" t="inlineStr">
        <is>
          <t>Revenue-Based Estimate</t>
        </is>
      </c>
      <c r="W30" t="b">
        <v>1</v>
      </c>
      <c r="X30" t="inlineStr">
        <is>
          <t>Medium-Low</t>
        </is>
      </c>
      <c r="Y30" t="inlineStr">
        <is>
          <t>Gross_Spend; Reported_Emissions; Scope_Emissions</t>
        </is>
      </c>
      <c r="Z30" t="n">
        <v>0.6</v>
      </c>
      <c r="AA30" t="inlineStr">
        <is>
          <t>Valid</t>
        </is>
      </c>
    </row>
    <row r="31">
      <c r="A31" t="inlineStr">
        <is>
          <t>SUP-0003</t>
        </is>
      </c>
      <c r="B31" t="inlineStr">
        <is>
          <t>Electronics Supplier 003</t>
        </is>
      </c>
      <c r="C31" t="inlineStr">
        <is>
          <t>Electronics</t>
        </is>
      </c>
      <c r="D31" t="n">
        <v>2024</v>
      </c>
      <c r="E31" t="n">
        <v>14433482.87</v>
      </c>
      <c r="F31" t="n">
        <v>41008991.04</v>
      </c>
      <c r="G31" t="n">
        <v>6408.6921</v>
      </c>
      <c r="H31" t="n">
        <v>597.869</v>
      </c>
      <c r="I31" t="n">
        <v>724.7649</v>
      </c>
      <c r="J31" t="inlineStr"/>
      <c r="K31" t="n">
        <v>2018</v>
      </c>
      <c r="L31" t="n">
        <v>2030</v>
      </c>
      <c r="M31" t="n">
        <v>0.4542</v>
      </c>
      <c r="N31" t="n">
        <v>0.214</v>
      </c>
      <c r="O31" t="n">
        <v>2018</v>
      </c>
      <c r="P31" t="n">
        <v>2040</v>
      </c>
      <c r="Q31" t="n">
        <v>0.3424</v>
      </c>
      <c r="R31" t="n">
        <v>635.1588</v>
      </c>
      <c r="S31" t="n">
        <v>0.00086105</v>
      </c>
      <c r="T31" t="n">
        <v>0.00013947</v>
      </c>
      <c r="U31" t="n">
        <v>6408.6921</v>
      </c>
      <c r="V31" t="inlineStr">
        <is>
          <t>Supplier Reported Emissions</t>
        </is>
      </c>
      <c r="W31" t="b">
        <v>0</v>
      </c>
      <c r="X31" t="inlineStr">
        <is>
          <t>High</t>
        </is>
      </c>
      <c r="Y31" t="inlineStr">
        <is>
          <t>Scope_Emissions</t>
        </is>
      </c>
      <c r="Z31" t="n">
        <v>0.95</v>
      </c>
      <c r="AA31" t="inlineStr">
        <is>
          <t>Valid</t>
        </is>
      </c>
    </row>
    <row r="32">
      <c r="A32" t="inlineStr">
        <is>
          <t>SUP-0004</t>
        </is>
      </c>
      <c r="B32" t="inlineStr">
        <is>
          <t>Agriculture Supplier 004</t>
        </is>
      </c>
      <c r="C32" t="inlineStr">
        <is>
          <t>Agriculture</t>
        </is>
      </c>
      <c r="D32" t="n">
        <v>2015</v>
      </c>
      <c r="E32" t="inlineStr"/>
      <c r="F32" t="n">
        <v>46660515.83</v>
      </c>
      <c r="G32" t="n">
        <v>7407.7346</v>
      </c>
      <c r="H32" t="n">
        <v>1546.9278</v>
      </c>
      <c r="I32" t="n">
        <v>1238.3659</v>
      </c>
      <c r="J32" t="n">
        <v>4704.4192</v>
      </c>
      <c r="K32" t="n">
        <v>2020</v>
      </c>
      <c r="L32" t="n">
        <v>2040</v>
      </c>
      <c r="M32" t="n">
        <v>0.5872000000000001</v>
      </c>
      <c r="N32" t="n">
        <v>0.3238</v>
      </c>
      <c r="O32" t="n">
        <v>2018</v>
      </c>
      <c r="P32" t="inlineStr"/>
      <c r="Q32" t="inlineStr"/>
      <c r="R32" t="n">
        <v>529.8294</v>
      </c>
      <c r="S32" t="n">
        <v>0.00091413</v>
      </c>
      <c r="T32" t="n">
        <v>0.00096913</v>
      </c>
      <c r="U32" t="n">
        <v>7407.7346</v>
      </c>
      <c r="V32" t="inlineStr">
        <is>
          <t>Supplier Reported Emissions</t>
        </is>
      </c>
      <c r="W32" t="b">
        <v>0</v>
      </c>
      <c r="X32" t="inlineStr">
        <is>
          <t>High</t>
        </is>
      </c>
      <c r="Y32" t="inlineStr">
        <is>
          <t>Gross_Spend</t>
        </is>
      </c>
      <c r="Z32" t="n">
        <v>0.95</v>
      </c>
      <c r="AA32" t="inlineStr">
        <is>
          <t>Valid</t>
        </is>
      </c>
    </row>
    <row r="33">
      <c r="A33" t="inlineStr">
        <is>
          <t>SUP-0004</t>
        </is>
      </c>
      <c r="B33" t="inlineStr">
        <is>
          <t>Agriculture Supplier 004</t>
        </is>
      </c>
      <c r="C33" t="inlineStr">
        <is>
          <t>Agriculture</t>
        </is>
      </c>
      <c r="D33" t="n">
        <v>2016</v>
      </c>
      <c r="E33" t="n">
        <v>7140247.37</v>
      </c>
      <c r="F33" t="inlineStr"/>
      <c r="G33" t="inlineStr"/>
      <c r="H33" t="n">
        <v>1137.1114</v>
      </c>
      <c r="I33" t="inlineStr"/>
      <c r="J33" t="inlineStr"/>
      <c r="K33" t="n">
        <v>2020</v>
      </c>
      <c r="L33" t="n">
        <v>2040</v>
      </c>
      <c r="M33" t="n">
        <v>0.5872000000000001</v>
      </c>
      <c r="N33" t="n">
        <v>0.3238</v>
      </c>
      <c r="O33" t="n">
        <v>2018</v>
      </c>
      <c r="P33" t="inlineStr"/>
      <c r="Q33" t="inlineStr"/>
      <c r="R33" t="n">
        <v>529.8294</v>
      </c>
      <c r="S33" t="n">
        <v>0.00091413</v>
      </c>
      <c r="T33" t="n">
        <v>0.00096913</v>
      </c>
      <c r="U33" t="n">
        <v>6527.1143</v>
      </c>
      <c r="V33" t="inlineStr">
        <is>
          <t>Spend-Based Estimate</t>
        </is>
      </c>
      <c r="W33" t="b">
        <v>1</v>
      </c>
      <c r="X33" t="inlineStr">
        <is>
          <t>Medium</t>
        </is>
      </c>
      <c r="Y33" t="inlineStr">
        <is>
          <t>Reported_Emissions; Revenue; Scope_Emissions</t>
        </is>
      </c>
      <c r="Z33" t="n">
        <v>0.7</v>
      </c>
      <c r="AA33" t="inlineStr">
        <is>
          <t>Valid</t>
        </is>
      </c>
    </row>
    <row r="34">
      <c r="A34" t="inlineStr">
        <is>
          <t>SUP-0004</t>
        </is>
      </c>
      <c r="B34" t="inlineStr">
        <is>
          <t>Agriculture Supplier 004</t>
        </is>
      </c>
      <c r="C34" t="inlineStr">
        <is>
          <t>Agriculture</t>
        </is>
      </c>
      <c r="D34" t="n">
        <v>2017</v>
      </c>
      <c r="E34" t="n">
        <v>6650789.17</v>
      </c>
      <c r="F34" t="n">
        <v>45579518.54</v>
      </c>
      <c r="G34" t="n">
        <v>5838.9102</v>
      </c>
      <c r="H34" t="n">
        <v>583.7569</v>
      </c>
      <c r="I34" t="n">
        <v>1044.4864</v>
      </c>
      <c r="J34" t="inlineStr"/>
      <c r="K34" t="n">
        <v>2020</v>
      </c>
      <c r="L34" t="n">
        <v>2040</v>
      </c>
      <c r="M34" t="n">
        <v>0.5872000000000001</v>
      </c>
      <c r="N34" t="n">
        <v>0.3238</v>
      </c>
      <c r="O34" t="n">
        <v>2018</v>
      </c>
      <c r="P34" t="inlineStr"/>
      <c r="Q34" t="inlineStr"/>
      <c r="R34" t="n">
        <v>529.8294</v>
      </c>
      <c r="S34" t="n">
        <v>0.00091413</v>
      </c>
      <c r="T34" t="n">
        <v>0.00096913</v>
      </c>
      <c r="U34" t="n">
        <v>5838.9102</v>
      </c>
      <c r="V34" t="inlineStr">
        <is>
          <t>Supplier Reported Emissions</t>
        </is>
      </c>
      <c r="W34" t="b">
        <v>0</v>
      </c>
      <c r="X34" t="inlineStr">
        <is>
          <t>High</t>
        </is>
      </c>
      <c r="Y34" t="inlineStr">
        <is>
          <t>Scope_Emissions</t>
        </is>
      </c>
      <c r="Z34" t="n">
        <v>0.95</v>
      </c>
      <c r="AA34" t="inlineStr">
        <is>
          <t>Valid</t>
        </is>
      </c>
    </row>
    <row r="35">
      <c r="A35" t="inlineStr">
        <is>
          <t>SUP-0004</t>
        </is>
      </c>
      <c r="B35" t="inlineStr">
        <is>
          <t>Agriculture Supplier 004</t>
        </is>
      </c>
      <c r="C35" t="inlineStr">
        <is>
          <t>Agriculture</t>
        </is>
      </c>
      <c r="D35" t="n">
        <v>2018</v>
      </c>
      <c r="E35" t="n">
        <v>6558376.45</v>
      </c>
      <c r="F35" t="n">
        <v>47649354.82</v>
      </c>
      <c r="G35" t="inlineStr"/>
      <c r="H35" t="inlineStr"/>
      <c r="I35" t="inlineStr"/>
      <c r="J35" t="n">
        <v>4382.5535</v>
      </c>
      <c r="K35" t="n">
        <v>2020</v>
      </c>
      <c r="L35" t="n">
        <v>2040</v>
      </c>
      <c r="M35" t="n">
        <v>0.5872000000000001</v>
      </c>
      <c r="N35" t="n">
        <v>0.3238</v>
      </c>
      <c r="O35" t="n">
        <v>2018</v>
      </c>
      <c r="P35" t="inlineStr"/>
      <c r="Q35" t="inlineStr"/>
      <c r="R35" t="n">
        <v>529.8294</v>
      </c>
      <c r="S35" t="n">
        <v>0.00091413</v>
      </c>
      <c r="T35" t="n">
        <v>0.00096913</v>
      </c>
      <c r="U35" t="n">
        <v>5995.2087</v>
      </c>
      <c r="V35" t="inlineStr">
        <is>
          <t>Spend-Based Estimate</t>
        </is>
      </c>
      <c r="W35" t="b">
        <v>1</v>
      </c>
      <c r="X35" t="inlineStr">
        <is>
          <t>Medium</t>
        </is>
      </c>
      <c r="Y35" t="inlineStr">
        <is>
          <t>Reported_Emissions; Scope_Emissions</t>
        </is>
      </c>
      <c r="Z35" t="n">
        <v>0.7</v>
      </c>
      <c r="AA35" t="inlineStr">
        <is>
          <t>Valid</t>
        </is>
      </c>
    </row>
    <row r="36">
      <c r="A36" t="inlineStr">
        <is>
          <t>SUP-0004</t>
        </is>
      </c>
      <c r="B36" t="inlineStr">
        <is>
          <t>Agriculture Supplier 004</t>
        </is>
      </c>
      <c r="C36" t="inlineStr">
        <is>
          <t>Agriculture</t>
        </is>
      </c>
      <c r="D36" t="n">
        <v>2019</v>
      </c>
      <c r="E36" t="n">
        <v>6141646.97</v>
      </c>
      <c r="F36" t="n">
        <v>51678348</v>
      </c>
      <c r="G36" t="n">
        <v>5526.4852</v>
      </c>
      <c r="H36" t="n">
        <v>1324.9754</v>
      </c>
      <c r="I36" t="n">
        <v>1160.3154</v>
      </c>
      <c r="J36" t="n">
        <v>2860.3629</v>
      </c>
      <c r="K36" t="n">
        <v>2020</v>
      </c>
      <c r="L36" t="n">
        <v>2040</v>
      </c>
      <c r="M36" t="n">
        <v>0.5872000000000001</v>
      </c>
      <c r="N36" t="n">
        <v>0.3238</v>
      </c>
      <c r="O36" t="n">
        <v>2018</v>
      </c>
      <c r="P36" t="inlineStr"/>
      <c r="Q36" t="inlineStr"/>
      <c r="R36" t="n">
        <v>529.8294</v>
      </c>
      <c r="S36" t="n">
        <v>0.00091413</v>
      </c>
      <c r="T36" t="n">
        <v>0.00096913</v>
      </c>
      <c r="U36" t="n">
        <v>5526.4852</v>
      </c>
      <c r="V36" t="inlineStr">
        <is>
          <t>Supplier Reported Emissions</t>
        </is>
      </c>
      <c r="W36" t="b">
        <v>0</v>
      </c>
      <c r="X36" t="inlineStr">
        <is>
          <t>High</t>
        </is>
      </c>
      <c r="Y36" t="inlineStr">
        <is>
          <t>None</t>
        </is>
      </c>
      <c r="Z36" t="n">
        <v>0.95</v>
      </c>
      <c r="AA36" t="inlineStr">
        <is>
          <t>Valid</t>
        </is>
      </c>
    </row>
    <row r="37">
      <c r="A37" t="inlineStr">
        <is>
          <t>SUP-0004</t>
        </is>
      </c>
      <c r="B37" t="inlineStr">
        <is>
          <t>Agriculture Supplier 004</t>
        </is>
      </c>
      <c r="C37" t="inlineStr">
        <is>
          <t>Agriculture</t>
        </is>
      </c>
      <c r="D37" t="n">
        <v>2020</v>
      </c>
      <c r="E37" t="n">
        <v>6139946.56</v>
      </c>
      <c r="F37" t="inlineStr"/>
      <c r="G37" t="inlineStr"/>
      <c r="H37" t="n">
        <v>537.0582000000001</v>
      </c>
      <c r="I37" t="n">
        <v>492.9686</v>
      </c>
      <c r="J37" t="n">
        <v>2952.5369</v>
      </c>
      <c r="K37" t="n">
        <v>2020</v>
      </c>
      <c r="L37" t="n">
        <v>2040</v>
      </c>
      <c r="M37" t="n">
        <v>0.5872000000000001</v>
      </c>
      <c r="N37" t="n">
        <v>0.3238</v>
      </c>
      <c r="O37" t="n">
        <v>2018</v>
      </c>
      <c r="P37" t="inlineStr"/>
      <c r="Q37" t="inlineStr"/>
      <c r="R37" t="n">
        <v>529.8294</v>
      </c>
      <c r="S37" t="n">
        <v>0.00091413</v>
      </c>
      <c r="T37" t="n">
        <v>0.00096913</v>
      </c>
      <c r="U37" t="n">
        <v>3982.5637</v>
      </c>
      <c r="V37" t="inlineStr">
        <is>
          <t>Scope 1 + Scope 2 + Scope 3</t>
        </is>
      </c>
      <c r="W37" t="b">
        <v>1</v>
      </c>
      <c r="X37" t="inlineStr">
        <is>
          <t>High</t>
        </is>
      </c>
      <c r="Y37" t="inlineStr">
        <is>
          <t>Reported_Emissions; Revenue</t>
        </is>
      </c>
      <c r="Z37" t="n">
        <v>0.88</v>
      </c>
      <c r="AA37" t="inlineStr">
        <is>
          <t>Valid</t>
        </is>
      </c>
    </row>
    <row r="38">
      <c r="A38" t="inlineStr">
        <is>
          <t>SUP-0004</t>
        </is>
      </c>
      <c r="B38" t="inlineStr">
        <is>
          <t>Agriculture Supplier 004</t>
        </is>
      </c>
      <c r="C38" t="inlineStr">
        <is>
          <t>Agriculture</t>
        </is>
      </c>
      <c r="D38" t="n">
        <v>2021</v>
      </c>
      <c r="E38" t="n">
        <v>5534260.62</v>
      </c>
      <c r="F38" t="n">
        <v>44754305.44</v>
      </c>
      <c r="G38" t="inlineStr"/>
      <c r="H38" t="n">
        <v>569.1272</v>
      </c>
      <c r="I38" t="inlineStr"/>
      <c r="J38" t="n">
        <v>3224.559</v>
      </c>
      <c r="K38" t="n">
        <v>2020</v>
      </c>
      <c r="L38" t="n">
        <v>2040</v>
      </c>
      <c r="M38" t="n">
        <v>0.5872000000000001</v>
      </c>
      <c r="N38" t="n">
        <v>0.3238</v>
      </c>
      <c r="O38" t="n">
        <v>2018</v>
      </c>
      <c r="P38" t="inlineStr"/>
      <c r="Q38" t="inlineStr"/>
      <c r="R38" t="n">
        <v>529.8294</v>
      </c>
      <c r="S38" t="n">
        <v>0.00091413</v>
      </c>
      <c r="T38" t="n">
        <v>0.00096913</v>
      </c>
      <c r="U38" t="n">
        <v>5059.0337</v>
      </c>
      <c r="V38" t="inlineStr">
        <is>
          <t>Spend-Based Estimate</t>
        </is>
      </c>
      <c r="W38" t="b">
        <v>1</v>
      </c>
      <c r="X38" t="inlineStr">
        <is>
          <t>Medium</t>
        </is>
      </c>
      <c r="Y38" t="inlineStr">
        <is>
          <t>Reported_Emissions; Scope_Emissions</t>
        </is>
      </c>
      <c r="Z38" t="n">
        <v>0.7</v>
      </c>
      <c r="AA38" t="inlineStr">
        <is>
          <t>Valid</t>
        </is>
      </c>
    </row>
    <row r="39">
      <c r="A39" t="inlineStr">
        <is>
          <t>SUP-0004</t>
        </is>
      </c>
      <c r="B39" t="inlineStr">
        <is>
          <t>Agriculture Supplier 004</t>
        </is>
      </c>
      <c r="C39" t="inlineStr">
        <is>
          <t>Agriculture</t>
        </is>
      </c>
      <c r="D39" t="n">
        <v>2022</v>
      </c>
      <c r="E39" t="n">
        <v>5878059.93</v>
      </c>
      <c r="F39" t="n">
        <v>40178921.02</v>
      </c>
      <c r="G39" t="n">
        <v>4623.9622</v>
      </c>
      <c r="H39" t="n">
        <v>1127.1784</v>
      </c>
      <c r="I39" t="n">
        <v>495.0129</v>
      </c>
      <c r="J39" t="n">
        <v>3108.5048</v>
      </c>
      <c r="K39" t="n">
        <v>2020</v>
      </c>
      <c r="L39" t="n">
        <v>2040</v>
      </c>
      <c r="M39" t="n">
        <v>0.5872000000000001</v>
      </c>
      <c r="N39" t="n">
        <v>0.3238</v>
      </c>
      <c r="O39" t="n">
        <v>2018</v>
      </c>
      <c r="P39" t="inlineStr"/>
      <c r="Q39" t="inlineStr"/>
      <c r="R39" t="n">
        <v>529.8294</v>
      </c>
      <c r="S39" t="n">
        <v>0.00091413</v>
      </c>
      <c r="T39" t="n">
        <v>0.00096913</v>
      </c>
      <c r="U39" t="n">
        <v>4623.9622</v>
      </c>
      <c r="V39" t="inlineStr">
        <is>
          <t>Supplier Reported Emissions</t>
        </is>
      </c>
      <c r="W39" t="b">
        <v>0</v>
      </c>
      <c r="X39" t="inlineStr">
        <is>
          <t>High</t>
        </is>
      </c>
      <c r="Y39" t="inlineStr">
        <is>
          <t>None</t>
        </is>
      </c>
      <c r="Z39" t="n">
        <v>0.95</v>
      </c>
      <c r="AA39" t="inlineStr">
        <is>
          <t>Valid</t>
        </is>
      </c>
    </row>
    <row r="40">
      <c r="A40" t="inlineStr">
        <is>
          <t>SUP-0004</t>
        </is>
      </c>
      <c r="B40" t="inlineStr">
        <is>
          <t>Agriculture Supplier 004</t>
        </is>
      </c>
      <c r="C40" t="inlineStr">
        <is>
          <t>Agriculture</t>
        </is>
      </c>
      <c r="D40" t="n">
        <v>2023</v>
      </c>
      <c r="E40" t="n">
        <v>4932034.1</v>
      </c>
      <c r="F40" t="n">
        <v>30436787.05</v>
      </c>
      <c r="G40" t="n">
        <v>4390.6953</v>
      </c>
      <c r="H40" t="n">
        <v>1005.0444</v>
      </c>
      <c r="I40" t="n">
        <v>841.4374</v>
      </c>
      <c r="J40" t="n">
        <v>2418.4452</v>
      </c>
      <c r="K40" t="n">
        <v>2020</v>
      </c>
      <c r="L40" t="n">
        <v>2040</v>
      </c>
      <c r="M40" t="n">
        <v>0.5872000000000001</v>
      </c>
      <c r="N40" t="n">
        <v>0.3238</v>
      </c>
      <c r="O40" t="n">
        <v>2018</v>
      </c>
      <c r="P40" t="inlineStr"/>
      <c r="Q40" t="inlineStr"/>
      <c r="R40" t="n">
        <v>529.8294</v>
      </c>
      <c r="S40" t="n">
        <v>0.00091413</v>
      </c>
      <c r="T40" t="n">
        <v>0.00096913</v>
      </c>
      <c r="U40" t="n">
        <v>4390.6953</v>
      </c>
      <c r="V40" t="inlineStr">
        <is>
          <t>Supplier Reported Emissions</t>
        </is>
      </c>
      <c r="W40" t="b">
        <v>0</v>
      </c>
      <c r="X40" t="inlineStr">
        <is>
          <t>High</t>
        </is>
      </c>
      <c r="Y40" t="inlineStr">
        <is>
          <t>None</t>
        </is>
      </c>
      <c r="Z40" t="n">
        <v>0.95</v>
      </c>
      <c r="AA40" t="inlineStr">
        <is>
          <t>Valid</t>
        </is>
      </c>
    </row>
    <row r="41">
      <c r="A41" t="inlineStr">
        <is>
          <t>SUP-0004</t>
        </is>
      </c>
      <c r="B41" t="inlineStr">
        <is>
          <t>Agriculture Supplier 004</t>
        </is>
      </c>
      <c r="C41" t="inlineStr">
        <is>
          <t>Agriculture</t>
        </is>
      </c>
      <c r="D41" t="n">
        <v>2024</v>
      </c>
      <c r="E41" t="n">
        <v>5955769.2</v>
      </c>
      <c r="F41" t="n">
        <v>37921597.27</v>
      </c>
      <c r="G41" t="n">
        <v>3720.5628</v>
      </c>
      <c r="H41" t="n">
        <v>416.9159</v>
      </c>
      <c r="I41" t="n">
        <v>451.7582</v>
      </c>
      <c r="J41" t="n">
        <v>3151.0702</v>
      </c>
      <c r="K41" t="n">
        <v>2020</v>
      </c>
      <c r="L41" t="n">
        <v>2040</v>
      </c>
      <c r="M41" t="n">
        <v>0.5872000000000001</v>
      </c>
      <c r="N41" t="n">
        <v>0.3238</v>
      </c>
      <c r="O41" t="n">
        <v>2018</v>
      </c>
      <c r="P41" t="inlineStr"/>
      <c r="Q41" t="inlineStr"/>
      <c r="R41" t="n">
        <v>529.8294</v>
      </c>
      <c r="S41" t="n">
        <v>0.00091413</v>
      </c>
      <c r="T41" t="n">
        <v>0.00096913</v>
      </c>
      <c r="U41" t="n">
        <v>3720.5628</v>
      </c>
      <c r="V41" t="inlineStr">
        <is>
          <t>Supplier Reported Emissions</t>
        </is>
      </c>
      <c r="W41" t="b">
        <v>0</v>
      </c>
      <c r="X41" t="inlineStr">
        <is>
          <t>High</t>
        </is>
      </c>
      <c r="Y41" t="inlineStr">
        <is>
          <t>None</t>
        </is>
      </c>
      <c r="Z41" t="n">
        <v>0.95</v>
      </c>
      <c r="AA41" t="inlineStr">
        <is>
          <t>Valid</t>
        </is>
      </c>
    </row>
    <row r="42">
      <c r="A42" t="inlineStr">
        <is>
          <t>SUP-0005</t>
        </is>
      </c>
      <c r="B42" t="inlineStr">
        <is>
          <t>Professional Supplier 005</t>
        </is>
      </c>
      <c r="C42" t="inlineStr">
        <is>
          <t>Professional Services</t>
        </is>
      </c>
      <c r="D42" t="n">
        <v>2015</v>
      </c>
      <c r="E42" t="n">
        <v>9305308.890000001</v>
      </c>
      <c r="F42" t="n">
        <v>31837165.56</v>
      </c>
      <c r="G42" t="n">
        <v>1369.0155</v>
      </c>
      <c r="H42" t="n">
        <v>203.6157</v>
      </c>
      <c r="I42" t="n">
        <v>102.6865</v>
      </c>
      <c r="J42" t="n">
        <v>1023.4625</v>
      </c>
      <c r="K42" t="inlineStr"/>
      <c r="L42" t="inlineStr"/>
      <c r="M42" t="inlineStr"/>
      <c r="N42" t="inlineStr"/>
      <c r="O42" t="n">
        <v>2020</v>
      </c>
      <c r="P42" t="inlineStr"/>
      <c r="Q42" t="inlineStr"/>
      <c r="R42" t="n">
        <v>400.0326</v>
      </c>
      <c r="S42" t="n">
        <v>0.00012906</v>
      </c>
      <c r="T42" t="n">
        <v>0.00019658</v>
      </c>
      <c r="U42" t="n">
        <v>1369.0155</v>
      </c>
      <c r="V42" t="inlineStr">
        <is>
          <t>Supplier Reported Emissions</t>
        </is>
      </c>
      <c r="W42" t="b">
        <v>0</v>
      </c>
      <c r="X42" t="inlineStr">
        <is>
          <t>High</t>
        </is>
      </c>
      <c r="Y42" t="inlineStr">
        <is>
          <t>None</t>
        </is>
      </c>
      <c r="Z42" t="n">
        <v>0.95</v>
      </c>
      <c r="AA42" t="inlineStr">
        <is>
          <t>Valid</t>
        </is>
      </c>
    </row>
    <row r="43">
      <c r="A43" t="inlineStr">
        <is>
          <t>SUP-0005</t>
        </is>
      </c>
      <c r="B43" t="inlineStr">
        <is>
          <t>Professional Supplier 005</t>
        </is>
      </c>
      <c r="C43" t="inlineStr">
        <is>
          <t>Professional Services</t>
        </is>
      </c>
      <c r="D43" t="n">
        <v>2016</v>
      </c>
      <c r="E43" t="n">
        <v>11516447.87</v>
      </c>
      <c r="F43" t="inlineStr"/>
      <c r="G43" t="inlineStr"/>
      <c r="H43" t="n">
        <v>372.5678</v>
      </c>
      <c r="I43" t="n">
        <v>210.7603</v>
      </c>
      <c r="J43" t="n">
        <v>858.9834</v>
      </c>
      <c r="K43" t="inlineStr"/>
      <c r="L43" t="inlineStr"/>
      <c r="M43" t="inlineStr"/>
      <c r="N43" t="inlineStr"/>
      <c r="O43" t="n">
        <v>2020</v>
      </c>
      <c r="P43" t="inlineStr"/>
      <c r="Q43" t="inlineStr"/>
      <c r="R43" t="n">
        <v>400.0326</v>
      </c>
      <c r="S43" t="n">
        <v>0.00012906</v>
      </c>
      <c r="T43" t="n">
        <v>0.00019658</v>
      </c>
      <c r="U43" t="n">
        <v>1442.3115</v>
      </c>
      <c r="V43" t="inlineStr">
        <is>
          <t>Scope 1 + Scope 2 + Scope 3</t>
        </is>
      </c>
      <c r="W43" t="b">
        <v>1</v>
      </c>
      <c r="X43" t="inlineStr">
        <is>
          <t>High</t>
        </is>
      </c>
      <c r="Y43" t="inlineStr">
        <is>
          <t>Reported_Emissions; Revenue</t>
        </is>
      </c>
      <c r="Z43" t="n">
        <v>0.88</v>
      </c>
      <c r="AA43" t="inlineStr">
        <is>
          <t>Valid</t>
        </is>
      </c>
    </row>
    <row r="44">
      <c r="A44" t="inlineStr">
        <is>
          <t>SUP-0005</t>
        </is>
      </c>
      <c r="B44" t="inlineStr">
        <is>
          <t>Professional Supplier 005</t>
        </is>
      </c>
      <c r="C44" t="inlineStr">
        <is>
          <t>Professional Services</t>
        </is>
      </c>
      <c r="D44" t="n">
        <v>2017</v>
      </c>
      <c r="E44" t="n">
        <v>9516989.07</v>
      </c>
      <c r="F44" t="n">
        <v>37201051.87</v>
      </c>
      <c r="G44" t="n">
        <v>1494.2746</v>
      </c>
      <c r="H44" t="n">
        <v>281.7161</v>
      </c>
      <c r="I44" t="n">
        <v>150.9093</v>
      </c>
      <c r="J44" t="inlineStr"/>
      <c r="K44" t="inlineStr"/>
      <c r="L44" t="inlineStr"/>
      <c r="M44" t="inlineStr"/>
      <c r="N44" t="inlineStr"/>
      <c r="O44" t="n">
        <v>2020</v>
      </c>
      <c r="P44" t="inlineStr"/>
      <c r="Q44" t="inlineStr"/>
      <c r="R44" t="n">
        <v>400.0326</v>
      </c>
      <c r="S44" t="n">
        <v>0.00012906</v>
      </c>
      <c r="T44" t="n">
        <v>0.00019658</v>
      </c>
      <c r="U44" t="n">
        <v>1494.2746</v>
      </c>
      <c r="V44" t="inlineStr">
        <is>
          <t>Supplier Reported Emissions</t>
        </is>
      </c>
      <c r="W44" t="b">
        <v>0</v>
      </c>
      <c r="X44" t="inlineStr">
        <is>
          <t>High</t>
        </is>
      </c>
      <c r="Y44" t="inlineStr">
        <is>
          <t>Scope_Emissions</t>
        </is>
      </c>
      <c r="Z44" t="n">
        <v>0.95</v>
      </c>
      <c r="AA44" t="inlineStr">
        <is>
          <t>Valid</t>
        </is>
      </c>
    </row>
    <row r="45">
      <c r="A45" t="inlineStr">
        <is>
          <t>SUP-0005</t>
        </is>
      </c>
      <c r="B45" t="inlineStr">
        <is>
          <t>Professional Supplier 005</t>
        </is>
      </c>
      <c r="C45" t="inlineStr">
        <is>
          <t>Professional Services</t>
        </is>
      </c>
      <c r="D45" t="n">
        <v>2018</v>
      </c>
      <c r="E45" t="n">
        <v>11596085.91</v>
      </c>
      <c r="F45" t="inlineStr"/>
      <c r="G45" t="n">
        <v>1315.6871</v>
      </c>
      <c r="H45" t="n">
        <v>395.829</v>
      </c>
      <c r="I45" t="n">
        <v>198.9226</v>
      </c>
      <c r="J45" t="n">
        <v>773.9908</v>
      </c>
      <c r="K45" t="inlineStr"/>
      <c r="L45" t="inlineStr"/>
      <c r="M45" t="inlineStr"/>
      <c r="N45" t="inlineStr"/>
      <c r="O45" t="n">
        <v>2020</v>
      </c>
      <c r="P45" t="inlineStr"/>
      <c r="Q45" t="inlineStr"/>
      <c r="R45" t="n">
        <v>400.0326</v>
      </c>
      <c r="S45" t="n">
        <v>0.00012906</v>
      </c>
      <c r="T45" t="n">
        <v>0.00019658</v>
      </c>
      <c r="U45" t="n">
        <v>1315.6871</v>
      </c>
      <c r="V45" t="inlineStr">
        <is>
          <t>Supplier Reported Emissions</t>
        </is>
      </c>
      <c r="W45" t="b">
        <v>0</v>
      </c>
      <c r="X45" t="inlineStr">
        <is>
          <t>High</t>
        </is>
      </c>
      <c r="Y45" t="inlineStr">
        <is>
          <t>Revenue</t>
        </is>
      </c>
      <c r="Z45" t="n">
        <v>0.95</v>
      </c>
      <c r="AA45" t="inlineStr">
        <is>
          <t>Valid</t>
        </is>
      </c>
    </row>
    <row r="46">
      <c r="A46" t="inlineStr">
        <is>
          <t>SUP-0005</t>
        </is>
      </c>
      <c r="B46" t="inlineStr">
        <is>
          <t>Professional Supplier 005</t>
        </is>
      </c>
      <c r="C46" t="inlineStr">
        <is>
          <t>Professional Services</t>
        </is>
      </c>
      <c r="D46" t="n">
        <v>2019</v>
      </c>
      <c r="E46" t="n">
        <v>10111383.74</v>
      </c>
      <c r="F46" t="n">
        <v>46195221.1</v>
      </c>
      <c r="G46" t="inlineStr"/>
      <c r="H46" t="inlineStr"/>
      <c r="I46" t="inlineStr"/>
      <c r="J46" t="n">
        <v>757.7592</v>
      </c>
      <c r="K46" t="inlineStr"/>
      <c r="L46" t="inlineStr"/>
      <c r="M46" t="inlineStr"/>
      <c r="N46" t="inlineStr"/>
      <c r="O46" t="n">
        <v>2020</v>
      </c>
      <c r="P46" t="inlineStr"/>
      <c r="Q46" t="inlineStr"/>
      <c r="R46" t="n">
        <v>400.0326</v>
      </c>
      <c r="S46" t="n">
        <v>0.00012906</v>
      </c>
      <c r="T46" t="n">
        <v>0.00019658</v>
      </c>
      <c r="U46" t="n">
        <v>1304.9752</v>
      </c>
      <c r="V46" t="inlineStr">
        <is>
          <t>Spend-Based Estimate</t>
        </is>
      </c>
      <c r="W46" t="b">
        <v>1</v>
      </c>
      <c r="X46" t="inlineStr">
        <is>
          <t>Medium</t>
        </is>
      </c>
      <c r="Y46" t="inlineStr">
        <is>
          <t>Reported_Emissions; Scope_Emissions</t>
        </is>
      </c>
      <c r="Z46" t="n">
        <v>0.7</v>
      </c>
      <c r="AA46" t="inlineStr">
        <is>
          <t>Valid</t>
        </is>
      </c>
    </row>
    <row r="47">
      <c r="A47" t="inlineStr">
        <is>
          <t>SUP-0005</t>
        </is>
      </c>
      <c r="B47" t="inlineStr">
        <is>
          <t>Professional Supplier 005</t>
        </is>
      </c>
      <c r="C47" t="inlineStr">
        <is>
          <t>Professional Services</t>
        </is>
      </c>
      <c r="D47" t="n">
        <v>2020</v>
      </c>
      <c r="E47" t="n">
        <v>12305006.02</v>
      </c>
      <c r="F47" t="n">
        <v>50936116.2</v>
      </c>
      <c r="G47" t="n">
        <v>1559.415</v>
      </c>
      <c r="H47" t="n">
        <v>320.2702</v>
      </c>
      <c r="I47" t="n">
        <v>298.305</v>
      </c>
      <c r="J47" t="inlineStr"/>
      <c r="K47" t="inlineStr"/>
      <c r="L47" t="inlineStr"/>
      <c r="M47" t="inlineStr"/>
      <c r="N47" t="inlineStr"/>
      <c r="O47" t="n">
        <v>2020</v>
      </c>
      <c r="P47" t="inlineStr"/>
      <c r="Q47" t="inlineStr"/>
      <c r="R47" t="n">
        <v>400.0326</v>
      </c>
      <c r="S47" t="n">
        <v>0.00012906</v>
      </c>
      <c r="T47" t="n">
        <v>0.00019658</v>
      </c>
      <c r="U47" t="n">
        <v>1559.415</v>
      </c>
      <c r="V47" t="inlineStr">
        <is>
          <t>Supplier Reported Emissions</t>
        </is>
      </c>
      <c r="W47" t="b">
        <v>0</v>
      </c>
      <c r="X47" t="inlineStr">
        <is>
          <t>High</t>
        </is>
      </c>
      <c r="Y47" t="inlineStr">
        <is>
          <t>Scope_Emissions</t>
        </is>
      </c>
      <c r="Z47" t="n">
        <v>0.95</v>
      </c>
      <c r="AA47" t="inlineStr">
        <is>
          <t>Valid</t>
        </is>
      </c>
    </row>
    <row r="48">
      <c r="A48" t="inlineStr">
        <is>
          <t>SUP-0005</t>
        </is>
      </c>
      <c r="B48" t="inlineStr">
        <is>
          <t>Professional Supplier 005</t>
        </is>
      </c>
      <c r="C48" t="inlineStr">
        <is>
          <t>Professional Services</t>
        </is>
      </c>
      <c r="D48" t="n">
        <v>2021</v>
      </c>
      <c r="E48" t="n">
        <v>12116695.13</v>
      </c>
      <c r="F48" t="n">
        <v>45714673.5</v>
      </c>
      <c r="G48" t="n">
        <v>1159.0675</v>
      </c>
      <c r="H48" t="n">
        <v>129.4754</v>
      </c>
      <c r="I48" t="n">
        <v>83.4592</v>
      </c>
      <c r="J48" t="inlineStr"/>
      <c r="K48" t="inlineStr"/>
      <c r="L48" t="inlineStr"/>
      <c r="M48" t="inlineStr"/>
      <c r="N48" t="inlineStr"/>
      <c r="O48" t="n">
        <v>2020</v>
      </c>
      <c r="P48" t="inlineStr"/>
      <c r="Q48" t="inlineStr"/>
      <c r="R48" t="n">
        <v>400.0326</v>
      </c>
      <c r="S48" t="n">
        <v>0.00012906</v>
      </c>
      <c r="T48" t="n">
        <v>0.00019658</v>
      </c>
      <c r="U48" t="n">
        <v>1159.0675</v>
      </c>
      <c r="V48" t="inlineStr">
        <is>
          <t>Supplier Reported Emissions</t>
        </is>
      </c>
      <c r="W48" t="b">
        <v>0</v>
      </c>
      <c r="X48" t="inlineStr">
        <is>
          <t>High</t>
        </is>
      </c>
      <c r="Y48" t="inlineStr">
        <is>
          <t>Scope_Emissions</t>
        </is>
      </c>
      <c r="Z48" t="n">
        <v>0.95</v>
      </c>
      <c r="AA48" t="inlineStr">
        <is>
          <t>Valid</t>
        </is>
      </c>
    </row>
    <row r="49">
      <c r="A49" t="inlineStr">
        <is>
          <t>SUP-0005</t>
        </is>
      </c>
      <c r="B49" t="inlineStr">
        <is>
          <t>Professional Supplier 005</t>
        </is>
      </c>
      <c r="C49" t="inlineStr">
        <is>
          <t>Professional Services</t>
        </is>
      </c>
      <c r="D49" t="n">
        <v>2022</v>
      </c>
      <c r="E49" t="n">
        <v>13225867.99</v>
      </c>
      <c r="F49" t="n">
        <v>38694230.11</v>
      </c>
      <c r="G49" t="inlineStr"/>
      <c r="H49" t="n">
        <v>420.1288</v>
      </c>
      <c r="I49" t="n">
        <v>308.3373</v>
      </c>
      <c r="J49" t="n">
        <v>1007.5881</v>
      </c>
      <c r="K49" t="inlineStr"/>
      <c r="L49" t="inlineStr"/>
      <c r="M49" t="inlineStr"/>
      <c r="N49" t="inlineStr"/>
      <c r="O49" t="n">
        <v>2020</v>
      </c>
      <c r="P49" t="inlineStr"/>
      <c r="Q49" t="inlineStr"/>
      <c r="R49" t="n">
        <v>400.0326</v>
      </c>
      <c r="S49" t="n">
        <v>0.00012906</v>
      </c>
      <c r="T49" t="n">
        <v>0.00019658</v>
      </c>
      <c r="U49" t="n">
        <v>1736.0542</v>
      </c>
      <c r="V49" t="inlineStr">
        <is>
          <t>Scope 1 + Scope 2 + Scope 3</t>
        </is>
      </c>
      <c r="W49" t="b">
        <v>1</v>
      </c>
      <c r="X49" t="inlineStr">
        <is>
          <t>High</t>
        </is>
      </c>
      <c r="Y49" t="inlineStr">
        <is>
          <t>Reported_Emissions</t>
        </is>
      </c>
      <c r="Z49" t="n">
        <v>0.88</v>
      </c>
      <c r="AA49" t="inlineStr">
        <is>
          <t>Valid</t>
        </is>
      </c>
    </row>
    <row r="50">
      <c r="A50" t="inlineStr">
        <is>
          <t>SUP-0005</t>
        </is>
      </c>
      <c r="B50" t="inlineStr">
        <is>
          <t>Professional Supplier 005</t>
        </is>
      </c>
      <c r="C50" t="inlineStr">
        <is>
          <t>Professional Services</t>
        </is>
      </c>
      <c r="D50" t="n">
        <v>2023</v>
      </c>
      <c r="E50" t="n">
        <v>10271439.72</v>
      </c>
      <c r="F50" t="n">
        <v>54529520.37</v>
      </c>
      <c r="G50" t="n">
        <v>1076.3994</v>
      </c>
      <c r="H50" t="n">
        <v>176.5674</v>
      </c>
      <c r="I50" t="inlineStr"/>
      <c r="J50" t="inlineStr"/>
      <c r="K50" t="inlineStr"/>
      <c r="L50" t="inlineStr"/>
      <c r="M50" t="inlineStr"/>
      <c r="N50" t="inlineStr"/>
      <c r="O50" t="n">
        <v>2020</v>
      </c>
      <c r="P50" t="inlineStr"/>
      <c r="Q50" t="inlineStr"/>
      <c r="R50" t="n">
        <v>400.0326</v>
      </c>
      <c r="S50" t="n">
        <v>0.00012906</v>
      </c>
      <c r="T50" t="n">
        <v>0.00019658</v>
      </c>
      <c r="U50" t="n">
        <v>1076.3994</v>
      </c>
      <c r="V50" t="inlineStr">
        <is>
          <t>Supplier Reported Emissions</t>
        </is>
      </c>
      <c r="W50" t="b">
        <v>0</v>
      </c>
      <c r="X50" t="inlineStr">
        <is>
          <t>High</t>
        </is>
      </c>
      <c r="Y50" t="inlineStr">
        <is>
          <t>Scope_Emissions</t>
        </is>
      </c>
      <c r="Z50" t="n">
        <v>0.95</v>
      </c>
      <c r="AA50" t="inlineStr">
        <is>
          <t>Valid</t>
        </is>
      </c>
    </row>
    <row r="51">
      <c r="A51" t="inlineStr">
        <is>
          <t>SUP-0005</t>
        </is>
      </c>
      <c r="B51" t="inlineStr">
        <is>
          <t>Professional Supplier 005</t>
        </is>
      </c>
      <c r="C51" t="inlineStr">
        <is>
          <t>Professional Services</t>
        </is>
      </c>
      <c r="D51" t="n">
        <v>2024</v>
      </c>
      <c r="E51" t="n">
        <v>13635020.82</v>
      </c>
      <c r="F51" t="n">
        <v>57675629.87</v>
      </c>
      <c r="G51" t="n">
        <v>1266.1984</v>
      </c>
      <c r="H51" t="n">
        <v>155.835</v>
      </c>
      <c r="I51" t="n">
        <v>82.36669999999999</v>
      </c>
      <c r="J51" t="inlineStr"/>
      <c r="K51" t="inlineStr"/>
      <c r="L51" t="inlineStr"/>
      <c r="M51" t="inlineStr"/>
      <c r="N51" t="inlineStr"/>
      <c r="O51" t="n">
        <v>2020</v>
      </c>
      <c r="P51" t="inlineStr"/>
      <c r="Q51" t="inlineStr"/>
      <c r="R51" t="n">
        <v>400.0326</v>
      </c>
      <c r="S51" t="n">
        <v>0.00012906</v>
      </c>
      <c r="T51" t="n">
        <v>0.00019658</v>
      </c>
      <c r="U51" t="n">
        <v>1266.1984</v>
      </c>
      <c r="V51" t="inlineStr">
        <is>
          <t>Supplier Reported Emissions</t>
        </is>
      </c>
      <c r="W51" t="b">
        <v>0</v>
      </c>
      <c r="X51" t="inlineStr">
        <is>
          <t>High</t>
        </is>
      </c>
      <c r="Y51" t="inlineStr">
        <is>
          <t>Scope_Emissions</t>
        </is>
      </c>
      <c r="Z51" t="n">
        <v>0.95</v>
      </c>
      <c r="AA51" t="inlineStr">
        <is>
          <t>Valid</t>
        </is>
      </c>
    </row>
    <row r="52">
      <c r="A52" t="inlineStr">
        <is>
          <t>SUP-0006</t>
        </is>
      </c>
      <c r="B52" t="inlineStr">
        <is>
          <t>Agriculture Supplier 006</t>
        </is>
      </c>
      <c r="C52" t="inlineStr">
        <is>
          <t>Agriculture</t>
        </is>
      </c>
      <c r="D52" t="n">
        <v>2015</v>
      </c>
      <c r="E52" t="n">
        <v>23303777.47</v>
      </c>
      <c r="F52" t="n">
        <v>165931875.98</v>
      </c>
      <c r="G52" t="inlineStr"/>
      <c r="H52" t="n">
        <v>3775.0429</v>
      </c>
      <c r="I52" t="inlineStr"/>
      <c r="J52" t="n">
        <v>13537.9233</v>
      </c>
      <c r="K52" t="inlineStr"/>
      <c r="L52" t="inlineStr"/>
      <c r="M52" t="inlineStr"/>
      <c r="N52" t="inlineStr"/>
      <c r="O52" t="n">
        <v>2018</v>
      </c>
      <c r="P52" t="inlineStr"/>
      <c r="Q52" t="inlineStr"/>
      <c r="R52" t="n">
        <v>529.8294</v>
      </c>
      <c r="S52" t="n">
        <v>0.00091413</v>
      </c>
      <c r="T52" t="n">
        <v>0.00096913</v>
      </c>
      <c r="U52" t="n">
        <v>21302.6821</v>
      </c>
      <c r="V52" t="inlineStr">
        <is>
          <t>Spend-Based Estimate</t>
        </is>
      </c>
      <c r="W52" t="b">
        <v>1</v>
      </c>
      <c r="X52" t="inlineStr">
        <is>
          <t>Medium</t>
        </is>
      </c>
      <c r="Y52" t="inlineStr">
        <is>
          <t>Reported_Emissions; Scope_Emissions</t>
        </is>
      </c>
      <c r="Z52" t="n">
        <v>0.7</v>
      </c>
      <c r="AA52" t="inlineStr">
        <is>
          <t>Valid</t>
        </is>
      </c>
    </row>
    <row r="53">
      <c r="A53" t="inlineStr">
        <is>
          <t>SUP-0006</t>
        </is>
      </c>
      <c r="B53" t="inlineStr">
        <is>
          <t>Agriculture Supplier 006</t>
        </is>
      </c>
      <c r="C53" t="inlineStr">
        <is>
          <t>Agriculture</t>
        </is>
      </c>
      <c r="D53" t="n">
        <v>2016</v>
      </c>
      <c r="E53" t="n">
        <v>21612182.6</v>
      </c>
      <c r="F53" t="n">
        <v>156938286.98</v>
      </c>
      <c r="G53" t="inlineStr"/>
      <c r="H53" t="n">
        <v>4985.5951</v>
      </c>
      <c r="I53" t="inlineStr"/>
      <c r="J53" t="n">
        <v>10193.4602</v>
      </c>
      <c r="K53" t="inlineStr"/>
      <c r="L53" t="inlineStr"/>
      <c r="M53" t="inlineStr"/>
      <c r="N53" t="inlineStr"/>
      <c r="O53" t="n">
        <v>2018</v>
      </c>
      <c r="P53" t="inlineStr"/>
      <c r="Q53" t="inlineStr"/>
      <c r="R53" t="n">
        <v>529.8294</v>
      </c>
      <c r="S53" t="n">
        <v>0.00091413</v>
      </c>
      <c r="T53" t="n">
        <v>0.00096913</v>
      </c>
      <c r="U53" t="n">
        <v>19756.3445</v>
      </c>
      <c r="V53" t="inlineStr">
        <is>
          <t>Spend-Based Estimate</t>
        </is>
      </c>
      <c r="W53" t="b">
        <v>1</v>
      </c>
      <c r="X53" t="inlineStr">
        <is>
          <t>Medium</t>
        </is>
      </c>
      <c r="Y53" t="inlineStr">
        <is>
          <t>Reported_Emissions; Scope_Emissions</t>
        </is>
      </c>
      <c r="Z53" t="n">
        <v>0.7</v>
      </c>
      <c r="AA53" t="inlineStr">
        <is>
          <t>Valid</t>
        </is>
      </c>
    </row>
    <row r="54">
      <c r="A54" t="inlineStr">
        <is>
          <t>SUP-0006</t>
        </is>
      </c>
      <c r="B54" t="inlineStr">
        <is>
          <t>Agriculture Supplier 006</t>
        </is>
      </c>
      <c r="C54" t="inlineStr">
        <is>
          <t>Agriculture</t>
        </is>
      </c>
      <c r="D54" t="n">
        <v>2017</v>
      </c>
      <c r="E54" t="n">
        <v>20262544.64</v>
      </c>
      <c r="F54" t="n">
        <v>165383768.62</v>
      </c>
      <c r="G54" t="n">
        <v>18020.1668</v>
      </c>
      <c r="H54" t="n">
        <v>3961.5909</v>
      </c>
      <c r="I54" t="n">
        <v>2310.4793</v>
      </c>
      <c r="J54" t="n">
        <v>10711.5691</v>
      </c>
      <c r="K54" t="inlineStr"/>
      <c r="L54" t="inlineStr"/>
      <c r="M54" t="inlineStr"/>
      <c r="N54" t="inlineStr"/>
      <c r="O54" t="n">
        <v>2018</v>
      </c>
      <c r="P54" t="inlineStr"/>
      <c r="Q54" t="inlineStr"/>
      <c r="R54" t="n">
        <v>529.8294</v>
      </c>
      <c r="S54" t="n">
        <v>0.00091413</v>
      </c>
      <c r="T54" t="n">
        <v>0.00096913</v>
      </c>
      <c r="U54" t="n">
        <v>18020.1668</v>
      </c>
      <c r="V54" t="inlineStr">
        <is>
          <t>Supplier Reported Emissions</t>
        </is>
      </c>
      <c r="W54" t="b">
        <v>0</v>
      </c>
      <c r="X54" t="inlineStr">
        <is>
          <t>High</t>
        </is>
      </c>
      <c r="Y54" t="inlineStr">
        <is>
          <t>None</t>
        </is>
      </c>
      <c r="Z54" t="n">
        <v>0.95</v>
      </c>
      <c r="AA54" t="inlineStr">
        <is>
          <t>Valid</t>
        </is>
      </c>
    </row>
    <row r="55">
      <c r="A55" t="inlineStr">
        <is>
          <t>SUP-0006</t>
        </is>
      </c>
      <c r="B55" t="inlineStr">
        <is>
          <t>Agriculture Supplier 006</t>
        </is>
      </c>
      <c r="C55" t="inlineStr">
        <is>
          <t>Agriculture</t>
        </is>
      </c>
      <c r="D55" t="n">
        <v>2018</v>
      </c>
      <c r="E55" t="n">
        <v>18306317.88</v>
      </c>
      <c r="F55" t="n">
        <v>137287450.4</v>
      </c>
      <c r="G55" t="inlineStr"/>
      <c r="H55" t="inlineStr"/>
      <c r="I55" t="n">
        <v>1027.6309</v>
      </c>
      <c r="J55" t="inlineStr"/>
      <c r="K55" t="inlineStr"/>
      <c r="L55" t="inlineStr"/>
      <c r="M55" t="inlineStr"/>
      <c r="N55" t="inlineStr"/>
      <c r="O55" t="n">
        <v>2018</v>
      </c>
      <c r="P55" t="inlineStr"/>
      <c r="Q55" t="inlineStr"/>
      <c r="R55" t="n">
        <v>529.8294</v>
      </c>
      <c r="S55" t="n">
        <v>0.00091413</v>
      </c>
      <c r="T55" t="n">
        <v>0.00096913</v>
      </c>
      <c r="U55" t="n">
        <v>16734.3544</v>
      </c>
      <c r="V55" t="inlineStr">
        <is>
          <t>Spend-Based Estimate</t>
        </is>
      </c>
      <c r="W55" t="b">
        <v>1</v>
      </c>
      <c r="X55" t="inlineStr">
        <is>
          <t>Medium</t>
        </is>
      </c>
      <c r="Y55" t="inlineStr">
        <is>
          <t>Reported_Emissions; Scope_Emissions</t>
        </is>
      </c>
      <c r="Z55" t="n">
        <v>0.7</v>
      </c>
      <c r="AA55" t="inlineStr">
        <is>
          <t>Valid</t>
        </is>
      </c>
    </row>
    <row r="56">
      <c r="A56" t="inlineStr">
        <is>
          <t>SUP-0006</t>
        </is>
      </c>
      <c r="B56" t="inlineStr">
        <is>
          <t>Agriculture Supplier 006</t>
        </is>
      </c>
      <c r="C56" t="inlineStr">
        <is>
          <t>Agriculture</t>
        </is>
      </c>
      <c r="D56" t="n">
        <v>2019</v>
      </c>
      <c r="E56" t="n">
        <v>20199464.39</v>
      </c>
      <c r="F56" t="n">
        <v>168215398.68</v>
      </c>
      <c r="G56" t="inlineStr"/>
      <c r="H56" t="n">
        <v>2028.6103</v>
      </c>
      <c r="I56" t="n">
        <v>2177.3343</v>
      </c>
      <c r="J56" t="inlineStr"/>
      <c r="K56" t="inlineStr"/>
      <c r="L56" t="inlineStr"/>
      <c r="M56" t="inlineStr"/>
      <c r="N56" t="inlineStr"/>
      <c r="O56" t="n">
        <v>2018</v>
      </c>
      <c r="P56" t="inlineStr"/>
      <c r="Q56" t="inlineStr"/>
      <c r="R56" t="n">
        <v>529.8294</v>
      </c>
      <c r="S56" t="n">
        <v>0.00091413</v>
      </c>
      <c r="T56" t="n">
        <v>0.00096913</v>
      </c>
      <c r="U56" t="n">
        <v>18464.9364</v>
      </c>
      <c r="V56" t="inlineStr">
        <is>
          <t>Spend-Based Estimate</t>
        </is>
      </c>
      <c r="W56" t="b">
        <v>1</v>
      </c>
      <c r="X56" t="inlineStr">
        <is>
          <t>Medium</t>
        </is>
      </c>
      <c r="Y56" t="inlineStr">
        <is>
          <t>Reported_Emissions; Scope_Emissions</t>
        </is>
      </c>
      <c r="Z56" t="n">
        <v>0.7</v>
      </c>
      <c r="AA56" t="inlineStr">
        <is>
          <t>Valid</t>
        </is>
      </c>
    </row>
    <row r="57">
      <c r="A57" t="inlineStr">
        <is>
          <t>SUP-0006</t>
        </is>
      </c>
      <c r="B57" t="inlineStr">
        <is>
          <t>Agriculture Supplier 006</t>
        </is>
      </c>
      <c r="C57" t="inlineStr">
        <is>
          <t>Agriculture</t>
        </is>
      </c>
      <c r="D57" t="n">
        <v>2020</v>
      </c>
      <c r="E57" t="n">
        <v>20751330.16</v>
      </c>
      <c r="F57" t="n">
        <v>122215064.98</v>
      </c>
      <c r="G57" t="n">
        <v>14680.7946</v>
      </c>
      <c r="H57" t="n">
        <v>2074.8816</v>
      </c>
      <c r="I57" t="n">
        <v>1875.4654</v>
      </c>
      <c r="J57" t="inlineStr"/>
      <c r="K57" t="inlineStr"/>
      <c r="L57" t="inlineStr"/>
      <c r="M57" t="inlineStr"/>
      <c r="N57" t="inlineStr"/>
      <c r="O57" t="n">
        <v>2018</v>
      </c>
      <c r="P57" t="inlineStr"/>
      <c r="Q57" t="inlineStr"/>
      <c r="R57" t="n">
        <v>529.8294</v>
      </c>
      <c r="S57" t="n">
        <v>0.00091413</v>
      </c>
      <c r="T57" t="n">
        <v>0.00096913</v>
      </c>
      <c r="U57" t="n">
        <v>14680.7946</v>
      </c>
      <c r="V57" t="inlineStr">
        <is>
          <t>Supplier Reported Emissions</t>
        </is>
      </c>
      <c r="W57" t="b">
        <v>0</v>
      </c>
      <c r="X57" t="inlineStr">
        <is>
          <t>High</t>
        </is>
      </c>
      <c r="Y57" t="inlineStr">
        <is>
          <t>Scope_Emissions</t>
        </is>
      </c>
      <c r="Z57" t="n">
        <v>0.95</v>
      </c>
      <c r="AA57" t="inlineStr">
        <is>
          <t>Valid</t>
        </is>
      </c>
    </row>
    <row r="58">
      <c r="A58" t="inlineStr">
        <is>
          <t>SUP-0006</t>
        </is>
      </c>
      <c r="B58" t="inlineStr">
        <is>
          <t>Agriculture Supplier 006</t>
        </is>
      </c>
      <c r="C58" t="inlineStr">
        <is>
          <t>Agriculture</t>
        </is>
      </c>
      <c r="D58" t="n">
        <v>2021</v>
      </c>
      <c r="E58" t="inlineStr"/>
      <c r="F58" t="n">
        <v>124125605.64</v>
      </c>
      <c r="G58" t="n">
        <v>12452.4094</v>
      </c>
      <c r="H58" t="n">
        <v>2126.4122</v>
      </c>
      <c r="I58" t="n">
        <v>1969.5347</v>
      </c>
      <c r="J58" t="inlineStr"/>
      <c r="K58" t="inlineStr"/>
      <c r="L58" t="inlineStr"/>
      <c r="M58" t="inlineStr"/>
      <c r="N58" t="inlineStr"/>
      <c r="O58" t="n">
        <v>2018</v>
      </c>
      <c r="P58" t="inlineStr"/>
      <c r="Q58" t="inlineStr"/>
      <c r="R58" t="n">
        <v>529.8294</v>
      </c>
      <c r="S58" t="n">
        <v>0.00091413</v>
      </c>
      <c r="T58" t="n">
        <v>0.00096913</v>
      </c>
      <c r="U58" t="n">
        <v>12452.4094</v>
      </c>
      <c r="V58" t="inlineStr">
        <is>
          <t>Supplier Reported Emissions</t>
        </is>
      </c>
      <c r="W58" t="b">
        <v>0</v>
      </c>
      <c r="X58" t="inlineStr">
        <is>
          <t>High</t>
        </is>
      </c>
      <c r="Y58" t="inlineStr">
        <is>
          <t>Gross_Spend; Scope_Emissions</t>
        </is>
      </c>
      <c r="Z58" t="n">
        <v>0.95</v>
      </c>
      <c r="AA58" t="inlineStr">
        <is>
          <t>Valid</t>
        </is>
      </c>
    </row>
    <row r="59">
      <c r="A59" t="inlineStr">
        <is>
          <t>SUP-0006</t>
        </is>
      </c>
      <c r="B59" t="inlineStr">
        <is>
          <t>Agriculture Supplier 006</t>
        </is>
      </c>
      <c r="C59" t="inlineStr">
        <is>
          <t>Agriculture</t>
        </is>
      </c>
      <c r="D59" t="n">
        <v>2022</v>
      </c>
      <c r="E59" t="n">
        <v>19728289.82</v>
      </c>
      <c r="F59" t="n">
        <v>167014581.44</v>
      </c>
      <c r="G59" t="n">
        <v>17434.3103</v>
      </c>
      <c r="H59" t="n">
        <v>4349.6432</v>
      </c>
      <c r="I59" t="n">
        <v>1432.7962</v>
      </c>
      <c r="J59" t="n">
        <v>11609.2755</v>
      </c>
      <c r="K59" t="inlineStr"/>
      <c r="L59" t="inlineStr"/>
      <c r="M59" t="inlineStr"/>
      <c r="N59" t="inlineStr"/>
      <c r="O59" t="n">
        <v>2018</v>
      </c>
      <c r="P59" t="inlineStr"/>
      <c r="Q59" t="inlineStr"/>
      <c r="R59" t="n">
        <v>529.8294</v>
      </c>
      <c r="S59" t="n">
        <v>0.00091413</v>
      </c>
      <c r="T59" t="n">
        <v>0.00096913</v>
      </c>
      <c r="U59" t="n">
        <v>17434.3103</v>
      </c>
      <c r="V59" t="inlineStr">
        <is>
          <t>Supplier Reported Emissions</t>
        </is>
      </c>
      <c r="W59" t="b">
        <v>0</v>
      </c>
      <c r="X59" t="inlineStr">
        <is>
          <t>High</t>
        </is>
      </c>
      <c r="Y59" t="inlineStr">
        <is>
          <t>None</t>
        </is>
      </c>
      <c r="Z59" t="n">
        <v>0.95</v>
      </c>
      <c r="AA59" t="inlineStr">
        <is>
          <t>Valid</t>
        </is>
      </c>
    </row>
    <row r="60">
      <c r="A60" t="inlineStr">
        <is>
          <t>SUP-0006</t>
        </is>
      </c>
      <c r="B60" t="inlineStr">
        <is>
          <t>Agriculture Supplier 006</t>
        </is>
      </c>
      <c r="C60" t="inlineStr">
        <is>
          <t>Agriculture</t>
        </is>
      </c>
      <c r="D60" t="n">
        <v>2023</v>
      </c>
      <c r="E60" t="n">
        <v>15888272.73</v>
      </c>
      <c r="F60" t="n">
        <v>131177654.8</v>
      </c>
      <c r="G60" t="n">
        <v>13082.6638</v>
      </c>
      <c r="H60" t="n">
        <v>1543.4487</v>
      </c>
      <c r="I60" t="inlineStr"/>
      <c r="J60" t="n">
        <v>10883.2029</v>
      </c>
      <c r="K60" t="inlineStr"/>
      <c r="L60" t="inlineStr"/>
      <c r="M60" t="inlineStr"/>
      <c r="N60" t="inlineStr"/>
      <c r="O60" t="n">
        <v>2018</v>
      </c>
      <c r="P60" t="inlineStr"/>
      <c r="Q60" t="inlineStr"/>
      <c r="R60" t="n">
        <v>529.8294</v>
      </c>
      <c r="S60" t="n">
        <v>0.00091413</v>
      </c>
      <c r="T60" t="n">
        <v>0.00096913</v>
      </c>
      <c r="U60" t="n">
        <v>13082.6638</v>
      </c>
      <c r="V60" t="inlineStr">
        <is>
          <t>Supplier Reported Emissions</t>
        </is>
      </c>
      <c r="W60" t="b">
        <v>0</v>
      </c>
      <c r="X60" t="inlineStr">
        <is>
          <t>High</t>
        </is>
      </c>
      <c r="Y60" t="inlineStr">
        <is>
          <t>Scope_Emissions</t>
        </is>
      </c>
      <c r="Z60" t="n">
        <v>0.95</v>
      </c>
      <c r="AA60" t="inlineStr">
        <is>
          <t>Valid</t>
        </is>
      </c>
    </row>
    <row r="61">
      <c r="A61" t="inlineStr">
        <is>
          <t>SUP-0006</t>
        </is>
      </c>
      <c r="B61" t="inlineStr">
        <is>
          <t>Agriculture Supplier 006</t>
        </is>
      </c>
      <c r="C61" t="inlineStr">
        <is>
          <t>Agriculture</t>
        </is>
      </c>
      <c r="D61" t="n">
        <v>2024</v>
      </c>
      <c r="E61" t="n">
        <v>16986081.37</v>
      </c>
      <c r="F61" t="inlineStr"/>
      <c r="G61" t="n">
        <v>12271.2118</v>
      </c>
      <c r="H61" t="n">
        <v>1665.9707</v>
      </c>
      <c r="I61" t="n">
        <v>2684.8791</v>
      </c>
      <c r="J61" t="n">
        <v>7593.9697</v>
      </c>
      <c r="K61" t="inlineStr"/>
      <c r="L61" t="inlineStr"/>
      <c r="M61" t="inlineStr"/>
      <c r="N61" t="inlineStr"/>
      <c r="O61" t="n">
        <v>2018</v>
      </c>
      <c r="P61" t="inlineStr"/>
      <c r="Q61" t="inlineStr"/>
      <c r="R61" t="n">
        <v>529.8294</v>
      </c>
      <c r="S61" t="n">
        <v>0.00091413</v>
      </c>
      <c r="T61" t="n">
        <v>0.00096913</v>
      </c>
      <c r="U61" t="n">
        <v>12271.2118</v>
      </c>
      <c r="V61" t="inlineStr">
        <is>
          <t>Supplier Reported Emissions</t>
        </is>
      </c>
      <c r="W61" t="b">
        <v>0</v>
      </c>
      <c r="X61" t="inlineStr">
        <is>
          <t>High</t>
        </is>
      </c>
      <c r="Y61" t="inlineStr">
        <is>
          <t>Revenue</t>
        </is>
      </c>
      <c r="Z61" t="n">
        <v>0.95</v>
      </c>
      <c r="AA61" t="inlineStr">
        <is>
          <t>Valid</t>
        </is>
      </c>
    </row>
    <row r="62">
      <c r="A62" t="inlineStr">
        <is>
          <t>SUP-0007</t>
        </is>
      </c>
      <c r="B62" t="inlineStr">
        <is>
          <t>Chemicals Supplier 007</t>
        </is>
      </c>
      <c r="C62" t="inlineStr">
        <is>
          <t>Chemicals</t>
        </is>
      </c>
      <c r="D62" t="n">
        <v>2015</v>
      </c>
      <c r="E62" t="n">
        <v>13536750.73</v>
      </c>
      <c r="F62" t="n">
        <v>112807632.84</v>
      </c>
      <c r="G62" t="n">
        <v>7016.2181</v>
      </c>
      <c r="H62" t="n">
        <v>1113.4689</v>
      </c>
      <c r="I62" t="n">
        <v>661.6248000000001</v>
      </c>
      <c r="J62" t="n">
        <v>5383.7638</v>
      </c>
      <c r="K62" t="n">
        <v>2019</v>
      </c>
      <c r="L62" t="n">
        <v>2030</v>
      </c>
      <c r="M62" t="n">
        <v>0.5673</v>
      </c>
      <c r="N62" t="n">
        <v>0.2314</v>
      </c>
      <c r="O62" t="n">
        <v>2019</v>
      </c>
      <c r="P62" t="n">
        <v>2035</v>
      </c>
      <c r="Q62" t="n">
        <v>0.5229</v>
      </c>
      <c r="R62" t="n">
        <v>506.3191</v>
      </c>
      <c r="S62" t="n">
        <v>0.00100149</v>
      </c>
      <c r="T62" t="n">
        <v>0.00047124</v>
      </c>
      <c r="U62" t="n">
        <v>7016.2181</v>
      </c>
      <c r="V62" t="inlineStr">
        <is>
          <t>Supplier Reported Emissions</t>
        </is>
      </c>
      <c r="W62" t="b">
        <v>0</v>
      </c>
      <c r="X62" t="inlineStr">
        <is>
          <t>High</t>
        </is>
      </c>
      <c r="Y62" t="inlineStr">
        <is>
          <t>None</t>
        </is>
      </c>
      <c r="Z62" t="n">
        <v>0.95</v>
      </c>
      <c r="AA62" t="inlineStr">
        <is>
          <t>Valid</t>
        </is>
      </c>
    </row>
    <row r="63">
      <c r="A63" t="inlineStr">
        <is>
          <t>SUP-0007</t>
        </is>
      </c>
      <c r="B63" t="inlineStr">
        <is>
          <t>Chemicals Supplier 007</t>
        </is>
      </c>
      <c r="C63" t="inlineStr">
        <is>
          <t>Chemicals</t>
        </is>
      </c>
      <c r="D63" t="n">
        <v>2016</v>
      </c>
      <c r="E63" t="n">
        <v>13052345.59</v>
      </c>
      <c r="F63" t="n">
        <v>116763288.93</v>
      </c>
      <c r="G63" t="n">
        <v>9947.781800000001</v>
      </c>
      <c r="H63" t="n">
        <v>1697.9466</v>
      </c>
      <c r="I63" t="n">
        <v>946.0271</v>
      </c>
      <c r="J63" t="n">
        <v>7358.1591</v>
      </c>
      <c r="K63" t="n">
        <v>2019</v>
      </c>
      <c r="L63" t="n">
        <v>2030</v>
      </c>
      <c r="M63" t="n">
        <v>0.5673</v>
      </c>
      <c r="N63" t="n">
        <v>0.2314</v>
      </c>
      <c r="O63" t="n">
        <v>2019</v>
      </c>
      <c r="P63" t="n">
        <v>2035</v>
      </c>
      <c r="Q63" t="n">
        <v>0.5229</v>
      </c>
      <c r="R63" t="n">
        <v>506.3191</v>
      </c>
      <c r="S63" t="n">
        <v>0.00100149</v>
      </c>
      <c r="T63" t="n">
        <v>0.00047124</v>
      </c>
      <c r="U63" t="n">
        <v>9947.781800000001</v>
      </c>
      <c r="V63" t="inlineStr">
        <is>
          <t>Supplier Reported Emissions</t>
        </is>
      </c>
      <c r="W63" t="b">
        <v>0</v>
      </c>
      <c r="X63" t="inlineStr">
        <is>
          <t>High</t>
        </is>
      </c>
      <c r="Y63" t="inlineStr">
        <is>
          <t>None</t>
        </is>
      </c>
      <c r="Z63" t="n">
        <v>0.95</v>
      </c>
      <c r="AA63" t="inlineStr">
        <is>
          <t>Valid</t>
        </is>
      </c>
    </row>
    <row r="64">
      <c r="A64" t="inlineStr">
        <is>
          <t>SUP-0007</t>
        </is>
      </c>
      <c r="B64" t="inlineStr">
        <is>
          <t>Chemicals Supplier 007</t>
        </is>
      </c>
      <c r="C64" t="inlineStr">
        <is>
          <t>Chemicals</t>
        </is>
      </c>
      <c r="D64" t="n">
        <v>2017</v>
      </c>
      <c r="E64" t="inlineStr"/>
      <c r="F64" t="n">
        <v>143853591.56</v>
      </c>
      <c r="G64" t="n">
        <v>7925.9302</v>
      </c>
      <c r="H64" t="n">
        <v>1230.939</v>
      </c>
      <c r="I64" t="n">
        <v>497.4265</v>
      </c>
      <c r="J64" t="n">
        <v>5997.284</v>
      </c>
      <c r="K64" t="n">
        <v>2019</v>
      </c>
      <c r="L64" t="n">
        <v>2030</v>
      </c>
      <c r="M64" t="n">
        <v>0.5673</v>
      </c>
      <c r="N64" t="n">
        <v>0.2314</v>
      </c>
      <c r="O64" t="n">
        <v>2019</v>
      </c>
      <c r="P64" t="n">
        <v>2035</v>
      </c>
      <c r="Q64" t="n">
        <v>0.5229</v>
      </c>
      <c r="R64" t="n">
        <v>506.3191</v>
      </c>
      <c r="S64" t="n">
        <v>0.00100149</v>
      </c>
      <c r="T64" t="n">
        <v>0.00047124</v>
      </c>
      <c r="U64" t="n">
        <v>7925.9302</v>
      </c>
      <c r="V64" t="inlineStr">
        <is>
          <t>Supplier Reported Emissions</t>
        </is>
      </c>
      <c r="W64" t="b">
        <v>0</v>
      </c>
      <c r="X64" t="inlineStr">
        <is>
          <t>High</t>
        </is>
      </c>
      <c r="Y64" t="inlineStr">
        <is>
          <t>Gross_Spend</t>
        </is>
      </c>
      <c r="Z64" t="n">
        <v>0.95</v>
      </c>
      <c r="AA64" t="inlineStr">
        <is>
          <t>Valid</t>
        </is>
      </c>
    </row>
    <row r="65">
      <c r="A65" t="inlineStr">
        <is>
          <t>SUP-0007</t>
        </is>
      </c>
      <c r="B65" t="inlineStr">
        <is>
          <t>Chemicals Supplier 007</t>
        </is>
      </c>
      <c r="C65" t="inlineStr">
        <is>
          <t>Chemicals</t>
        </is>
      </c>
      <c r="D65" t="n">
        <v>2018</v>
      </c>
      <c r="E65" t="n">
        <v>13188765.95</v>
      </c>
      <c r="F65" t="n">
        <v>108359036.59</v>
      </c>
      <c r="G65" t="n">
        <v>8283.4475</v>
      </c>
      <c r="H65" t="n">
        <v>1867.9103</v>
      </c>
      <c r="I65" t="n">
        <v>1806.448</v>
      </c>
      <c r="J65" t="n">
        <v>4625.1408</v>
      </c>
      <c r="K65" t="n">
        <v>2019</v>
      </c>
      <c r="L65" t="n">
        <v>2030</v>
      </c>
      <c r="M65" t="n">
        <v>0.5673</v>
      </c>
      <c r="N65" t="n">
        <v>0.2314</v>
      </c>
      <c r="O65" t="n">
        <v>2019</v>
      </c>
      <c r="P65" t="n">
        <v>2035</v>
      </c>
      <c r="Q65" t="n">
        <v>0.5229</v>
      </c>
      <c r="R65" t="n">
        <v>506.3191</v>
      </c>
      <c r="S65" t="n">
        <v>0.00100149</v>
      </c>
      <c r="T65" t="n">
        <v>0.00047124</v>
      </c>
      <c r="U65" t="n">
        <v>8283.4475</v>
      </c>
      <c r="V65" t="inlineStr">
        <is>
          <t>Supplier Reported Emissions</t>
        </is>
      </c>
      <c r="W65" t="b">
        <v>0</v>
      </c>
      <c r="X65" t="inlineStr">
        <is>
          <t>High</t>
        </is>
      </c>
      <c r="Y65" t="inlineStr">
        <is>
          <t>None</t>
        </is>
      </c>
      <c r="Z65" t="n">
        <v>0.95</v>
      </c>
      <c r="AA65" t="inlineStr">
        <is>
          <t>Valid</t>
        </is>
      </c>
    </row>
    <row r="66">
      <c r="A66" t="inlineStr">
        <is>
          <t>SUP-0007</t>
        </is>
      </c>
      <c r="B66" t="inlineStr">
        <is>
          <t>Chemicals Supplier 007</t>
        </is>
      </c>
      <c r="C66" t="inlineStr">
        <is>
          <t>Chemicals</t>
        </is>
      </c>
      <c r="D66" t="n">
        <v>2019</v>
      </c>
      <c r="E66" t="n">
        <v>13922501.66</v>
      </c>
      <c r="F66" t="n">
        <v>127994072.57</v>
      </c>
      <c r="G66" t="inlineStr"/>
      <c r="H66" t="n">
        <v>2079.899</v>
      </c>
      <c r="I66" t="n">
        <v>1767.4425</v>
      </c>
      <c r="J66" t="n">
        <v>4642.4885</v>
      </c>
      <c r="K66" t="n">
        <v>2019</v>
      </c>
      <c r="L66" t="n">
        <v>2030</v>
      </c>
      <c r="M66" t="n">
        <v>0.5673</v>
      </c>
      <c r="N66" t="n">
        <v>0.2314</v>
      </c>
      <c r="O66" t="n">
        <v>2019</v>
      </c>
      <c r="P66" t="n">
        <v>2035</v>
      </c>
      <c r="Q66" t="n">
        <v>0.5229</v>
      </c>
      <c r="R66" t="n">
        <v>506.3191</v>
      </c>
      <c r="S66" t="n">
        <v>0.00100149</v>
      </c>
      <c r="T66" t="n">
        <v>0.00047124</v>
      </c>
      <c r="U66" t="n">
        <v>8489.83</v>
      </c>
      <c r="V66" t="inlineStr">
        <is>
          <t>Scope 1 + Scope 2 + Scope 3</t>
        </is>
      </c>
      <c r="W66" t="b">
        <v>1</v>
      </c>
      <c r="X66" t="inlineStr">
        <is>
          <t>High</t>
        </is>
      </c>
      <c r="Y66" t="inlineStr">
        <is>
          <t>Reported_Emissions</t>
        </is>
      </c>
      <c r="Z66" t="n">
        <v>0.88</v>
      </c>
      <c r="AA66" t="inlineStr">
        <is>
          <t>Valid</t>
        </is>
      </c>
    </row>
    <row r="67">
      <c r="A67" t="inlineStr">
        <is>
          <t>SUP-0007</t>
        </is>
      </c>
      <c r="B67" t="inlineStr">
        <is>
          <t>Chemicals Supplier 007</t>
        </is>
      </c>
      <c r="C67" t="inlineStr">
        <is>
          <t>Chemicals</t>
        </is>
      </c>
      <c r="D67" t="n">
        <v>2020</v>
      </c>
      <c r="E67" t="n">
        <v>13870797.66</v>
      </c>
      <c r="F67" t="n">
        <v>121857320.04</v>
      </c>
      <c r="G67" t="n">
        <v>9553.6944</v>
      </c>
      <c r="H67" t="n">
        <v>946.9778</v>
      </c>
      <c r="I67" t="n">
        <v>1218.107</v>
      </c>
      <c r="J67" t="n">
        <v>7277.3379</v>
      </c>
      <c r="K67" t="n">
        <v>2019</v>
      </c>
      <c r="L67" t="n">
        <v>2030</v>
      </c>
      <c r="M67" t="n">
        <v>0.5673</v>
      </c>
      <c r="N67" t="n">
        <v>0.2314</v>
      </c>
      <c r="O67" t="n">
        <v>2019</v>
      </c>
      <c r="P67" t="n">
        <v>2035</v>
      </c>
      <c r="Q67" t="n">
        <v>0.5229</v>
      </c>
      <c r="R67" t="n">
        <v>506.3191</v>
      </c>
      <c r="S67" t="n">
        <v>0.00100149</v>
      </c>
      <c r="T67" t="n">
        <v>0.00047124</v>
      </c>
      <c r="U67" t="n">
        <v>9553.6944</v>
      </c>
      <c r="V67" t="inlineStr">
        <is>
          <t>Supplier Reported Emissions</t>
        </is>
      </c>
      <c r="W67" t="b">
        <v>0</v>
      </c>
      <c r="X67" t="inlineStr">
        <is>
          <t>High</t>
        </is>
      </c>
      <c r="Y67" t="inlineStr">
        <is>
          <t>None</t>
        </is>
      </c>
      <c r="Z67" t="n">
        <v>0.95</v>
      </c>
      <c r="AA67" t="inlineStr">
        <is>
          <t>Valid</t>
        </is>
      </c>
    </row>
    <row r="68">
      <c r="A68" t="inlineStr">
        <is>
          <t>SUP-0007</t>
        </is>
      </c>
      <c r="B68" t="inlineStr">
        <is>
          <t>Chemicals Supplier 007</t>
        </is>
      </c>
      <c r="C68" t="inlineStr">
        <is>
          <t>Chemicals</t>
        </is>
      </c>
      <c r="D68" t="n">
        <v>2021</v>
      </c>
      <c r="E68" t="n">
        <v>13106960.56</v>
      </c>
      <c r="F68" t="n">
        <v>115380051.67</v>
      </c>
      <c r="G68" t="inlineStr"/>
      <c r="H68" t="n">
        <v>1463.0324</v>
      </c>
      <c r="I68" t="n">
        <v>934.515</v>
      </c>
      <c r="J68" t="inlineStr"/>
      <c r="K68" t="n">
        <v>2019</v>
      </c>
      <c r="L68" t="n">
        <v>2030</v>
      </c>
      <c r="M68" t="n">
        <v>0.5673</v>
      </c>
      <c r="N68" t="n">
        <v>0.2314</v>
      </c>
      <c r="O68" t="n">
        <v>2019</v>
      </c>
      <c r="P68" t="n">
        <v>2035</v>
      </c>
      <c r="Q68" t="n">
        <v>0.5229</v>
      </c>
      <c r="R68" t="n">
        <v>506.3191</v>
      </c>
      <c r="S68" t="n">
        <v>0.00100149</v>
      </c>
      <c r="T68" t="n">
        <v>0.00047124</v>
      </c>
      <c r="U68" t="n">
        <v>13126.4899</v>
      </c>
      <c r="V68" t="inlineStr">
        <is>
          <t>Spend-Based Estimate</t>
        </is>
      </c>
      <c r="W68" t="b">
        <v>1</v>
      </c>
      <c r="X68" t="inlineStr">
        <is>
          <t>Medium</t>
        </is>
      </c>
      <c r="Y68" t="inlineStr">
        <is>
          <t>Reported_Emissions; Scope_Emissions</t>
        </is>
      </c>
      <c r="Z68" t="n">
        <v>0.7</v>
      </c>
      <c r="AA68" t="inlineStr">
        <is>
          <t>Valid</t>
        </is>
      </c>
    </row>
    <row r="69">
      <c r="A69" t="inlineStr">
        <is>
          <t>SUP-0007</t>
        </is>
      </c>
      <c r="B69" t="inlineStr">
        <is>
          <t>Chemicals Supplier 007</t>
        </is>
      </c>
      <c r="C69" t="inlineStr">
        <is>
          <t>Chemicals</t>
        </is>
      </c>
      <c r="D69" t="n">
        <v>2022</v>
      </c>
      <c r="E69" t="n">
        <v>13255925.8</v>
      </c>
      <c r="F69" t="n">
        <v>83734559.75</v>
      </c>
      <c r="G69" t="n">
        <v>7858.7419</v>
      </c>
      <c r="H69" t="n">
        <v>1792.2614</v>
      </c>
      <c r="I69" t="n">
        <v>801.0444</v>
      </c>
      <c r="J69" t="n">
        <v>5149.5934</v>
      </c>
      <c r="K69" t="n">
        <v>2019</v>
      </c>
      <c r="L69" t="n">
        <v>2030</v>
      </c>
      <c r="M69" t="n">
        <v>0.5673</v>
      </c>
      <c r="N69" t="n">
        <v>0.2314</v>
      </c>
      <c r="O69" t="n">
        <v>2019</v>
      </c>
      <c r="P69" t="n">
        <v>2035</v>
      </c>
      <c r="Q69" t="n">
        <v>0.5229</v>
      </c>
      <c r="R69" t="n">
        <v>506.3191</v>
      </c>
      <c r="S69" t="n">
        <v>0.00100149</v>
      </c>
      <c r="T69" t="n">
        <v>0.00047124</v>
      </c>
      <c r="U69" t="n">
        <v>7858.7419</v>
      </c>
      <c r="V69" t="inlineStr">
        <is>
          <t>Supplier Reported Emissions</t>
        </is>
      </c>
      <c r="W69" t="b">
        <v>0</v>
      </c>
      <c r="X69" t="inlineStr">
        <is>
          <t>High</t>
        </is>
      </c>
      <c r="Y69" t="inlineStr">
        <is>
          <t>None</t>
        </is>
      </c>
      <c r="Z69" t="n">
        <v>0.95</v>
      </c>
      <c r="AA69" t="inlineStr">
        <is>
          <t>Valid</t>
        </is>
      </c>
    </row>
    <row r="70">
      <c r="A70" t="inlineStr">
        <is>
          <t>SUP-0007</t>
        </is>
      </c>
      <c r="B70" t="inlineStr">
        <is>
          <t>Chemicals Supplier 007</t>
        </is>
      </c>
      <c r="C70" t="inlineStr">
        <is>
          <t>Chemicals</t>
        </is>
      </c>
      <c r="D70" t="n">
        <v>2023</v>
      </c>
      <c r="E70" t="n">
        <v>13594572.55</v>
      </c>
      <c r="F70" t="n">
        <v>124433110.8</v>
      </c>
      <c r="G70" t="inlineStr"/>
      <c r="H70" t="n">
        <v>1055.3321</v>
      </c>
      <c r="I70" t="inlineStr"/>
      <c r="J70" t="inlineStr"/>
      <c r="K70" t="n">
        <v>2019</v>
      </c>
      <c r="L70" t="n">
        <v>2030</v>
      </c>
      <c r="M70" t="n">
        <v>0.5673</v>
      </c>
      <c r="N70" t="n">
        <v>0.2314</v>
      </c>
      <c r="O70" t="n">
        <v>2019</v>
      </c>
      <c r="P70" t="n">
        <v>2035</v>
      </c>
      <c r="Q70" t="n">
        <v>0.5229</v>
      </c>
      <c r="R70" t="n">
        <v>506.3191</v>
      </c>
      <c r="S70" t="n">
        <v>0.00100149</v>
      </c>
      <c r="T70" t="n">
        <v>0.00047124</v>
      </c>
      <c r="U70" t="n">
        <v>13614.8285</v>
      </c>
      <c r="V70" t="inlineStr">
        <is>
          <t>Spend-Based Estimate</t>
        </is>
      </c>
      <c r="W70" t="b">
        <v>1</v>
      </c>
      <c r="X70" t="inlineStr">
        <is>
          <t>Medium</t>
        </is>
      </c>
      <c r="Y70" t="inlineStr">
        <is>
          <t>Reported_Emissions; Scope_Emissions</t>
        </is>
      </c>
      <c r="Z70" t="n">
        <v>0.7</v>
      </c>
      <c r="AA70" t="inlineStr">
        <is>
          <t>Valid</t>
        </is>
      </c>
    </row>
    <row r="71">
      <c r="A71" t="inlineStr">
        <is>
          <t>SUP-0007</t>
        </is>
      </c>
      <c r="B71" t="inlineStr">
        <is>
          <t>Chemicals Supplier 007</t>
        </is>
      </c>
      <c r="C71" t="inlineStr">
        <is>
          <t>Chemicals</t>
        </is>
      </c>
      <c r="D71" t="n">
        <v>2024</v>
      </c>
      <c r="E71" t="n">
        <v>13812841.6</v>
      </c>
      <c r="F71" t="n">
        <v>123886547.06</v>
      </c>
      <c r="G71" t="n">
        <v>6696.6134</v>
      </c>
      <c r="H71" t="n">
        <v>1664.6513</v>
      </c>
      <c r="I71" t="n">
        <v>1142.706</v>
      </c>
      <c r="J71" t="inlineStr"/>
      <c r="K71" t="n">
        <v>2019</v>
      </c>
      <c r="L71" t="n">
        <v>2030</v>
      </c>
      <c r="M71" t="n">
        <v>0.5673</v>
      </c>
      <c r="N71" t="n">
        <v>0.2314</v>
      </c>
      <c r="O71" t="n">
        <v>2019</v>
      </c>
      <c r="P71" t="n">
        <v>2035</v>
      </c>
      <c r="Q71" t="n">
        <v>0.5229</v>
      </c>
      <c r="R71" t="n">
        <v>506.3191</v>
      </c>
      <c r="S71" t="n">
        <v>0.00100149</v>
      </c>
      <c r="T71" t="n">
        <v>0.00047124</v>
      </c>
      <c r="U71" t="n">
        <v>6696.6134</v>
      </c>
      <c r="V71" t="inlineStr">
        <is>
          <t>Supplier Reported Emissions</t>
        </is>
      </c>
      <c r="W71" t="b">
        <v>0</v>
      </c>
      <c r="X71" t="inlineStr">
        <is>
          <t>High</t>
        </is>
      </c>
      <c r="Y71" t="inlineStr">
        <is>
          <t>Scope_Emissions</t>
        </is>
      </c>
      <c r="Z71" t="n">
        <v>0.95</v>
      </c>
      <c r="AA71" t="inlineStr">
        <is>
          <t>Valid</t>
        </is>
      </c>
    </row>
    <row r="72">
      <c r="A72" t="inlineStr">
        <is>
          <t>SUP-0008</t>
        </is>
      </c>
      <c r="B72" t="inlineStr">
        <is>
          <t>Electronics Supplier 008</t>
        </is>
      </c>
      <c r="C72" t="inlineStr">
        <is>
          <t>Electronics</t>
        </is>
      </c>
      <c r="D72" t="n">
        <v>2015</v>
      </c>
      <c r="E72" t="n">
        <v>3782223.73</v>
      </c>
      <c r="F72" t="n">
        <v>11758675.33</v>
      </c>
      <c r="G72" t="n">
        <v>4234.703</v>
      </c>
      <c r="H72" t="n">
        <v>490.959</v>
      </c>
      <c r="I72" t="n">
        <v>676.8933</v>
      </c>
      <c r="J72" t="n">
        <v>2816.9898</v>
      </c>
      <c r="K72" t="inlineStr"/>
      <c r="L72" t="inlineStr"/>
      <c r="M72" t="inlineStr"/>
      <c r="N72" t="inlineStr"/>
      <c r="O72" t="n">
        <v>2018</v>
      </c>
      <c r="P72" t="n">
        <v>2040</v>
      </c>
      <c r="Q72" t="n">
        <v>0.3424</v>
      </c>
      <c r="R72" t="n">
        <v>635.1588</v>
      </c>
      <c r="S72" t="n">
        <v>0.00086105</v>
      </c>
      <c r="T72" t="n">
        <v>0.00013947</v>
      </c>
      <c r="U72" t="n">
        <v>4234.703</v>
      </c>
      <c r="V72" t="inlineStr">
        <is>
          <t>Supplier Reported Emissions</t>
        </is>
      </c>
      <c r="W72" t="b">
        <v>0</v>
      </c>
      <c r="X72" t="inlineStr">
        <is>
          <t>High</t>
        </is>
      </c>
      <c r="Y72" t="inlineStr">
        <is>
          <t>None</t>
        </is>
      </c>
      <c r="Z72" t="n">
        <v>0.95</v>
      </c>
      <c r="AA72" t="inlineStr">
        <is>
          <t>Valid</t>
        </is>
      </c>
    </row>
    <row r="73">
      <c r="A73" t="inlineStr">
        <is>
          <t>SUP-0008</t>
        </is>
      </c>
      <c r="B73" t="inlineStr">
        <is>
          <t>Electronics Supplier 008</t>
        </is>
      </c>
      <c r="C73" t="inlineStr">
        <is>
          <t>Electronics</t>
        </is>
      </c>
      <c r="D73" t="n">
        <v>2016</v>
      </c>
      <c r="E73" t="n">
        <v>3801622.34</v>
      </c>
      <c r="F73" t="n">
        <v>10202037.79</v>
      </c>
      <c r="G73" t="n">
        <v>3588.9609</v>
      </c>
      <c r="H73" t="n">
        <v>606.3379</v>
      </c>
      <c r="I73" t="n">
        <v>262.5714</v>
      </c>
      <c r="J73" t="n">
        <v>3029.0103</v>
      </c>
      <c r="K73" t="inlineStr"/>
      <c r="L73" t="inlineStr"/>
      <c r="M73" t="inlineStr"/>
      <c r="N73" t="inlineStr"/>
      <c r="O73" t="n">
        <v>2018</v>
      </c>
      <c r="P73" t="n">
        <v>2040</v>
      </c>
      <c r="Q73" t="n">
        <v>0.3424</v>
      </c>
      <c r="R73" t="n">
        <v>635.1588</v>
      </c>
      <c r="S73" t="n">
        <v>0.00086105</v>
      </c>
      <c r="T73" t="n">
        <v>0.00013947</v>
      </c>
      <c r="U73" t="n">
        <v>3588.9609</v>
      </c>
      <c r="V73" t="inlineStr">
        <is>
          <t>Supplier Reported Emissions</t>
        </is>
      </c>
      <c r="W73" t="b">
        <v>0</v>
      </c>
      <c r="X73" t="inlineStr">
        <is>
          <t>High</t>
        </is>
      </c>
      <c r="Y73" t="inlineStr">
        <is>
          <t>None</t>
        </is>
      </c>
      <c r="Z73" t="n">
        <v>0.95</v>
      </c>
      <c r="AA73" t="inlineStr">
        <is>
          <t>Valid</t>
        </is>
      </c>
    </row>
    <row r="74">
      <c r="A74" t="inlineStr">
        <is>
          <t>SUP-0008</t>
        </is>
      </c>
      <c r="B74" t="inlineStr">
        <is>
          <t>Electronics Supplier 008</t>
        </is>
      </c>
      <c r="C74" t="inlineStr">
        <is>
          <t>Electronics</t>
        </is>
      </c>
      <c r="D74" t="n">
        <v>2017</v>
      </c>
      <c r="E74" t="inlineStr"/>
      <c r="F74" t="n">
        <v>13553870.16</v>
      </c>
      <c r="G74" t="n">
        <v>4478.0967</v>
      </c>
      <c r="H74" t="n">
        <v>762.1002</v>
      </c>
      <c r="I74" t="n">
        <v>599.7962</v>
      </c>
      <c r="J74" t="inlineStr"/>
      <c r="K74" t="inlineStr"/>
      <c r="L74" t="inlineStr"/>
      <c r="M74" t="inlineStr"/>
      <c r="N74" t="inlineStr"/>
      <c r="O74" t="n">
        <v>2018</v>
      </c>
      <c r="P74" t="n">
        <v>2040</v>
      </c>
      <c r="Q74" t="n">
        <v>0.3424</v>
      </c>
      <c r="R74" t="n">
        <v>635.1588</v>
      </c>
      <c r="S74" t="n">
        <v>0.00086105</v>
      </c>
      <c r="T74" t="n">
        <v>0.00013947</v>
      </c>
      <c r="U74" t="n">
        <v>4478.0967</v>
      </c>
      <c r="V74" t="inlineStr">
        <is>
          <t>Supplier Reported Emissions</t>
        </is>
      </c>
      <c r="W74" t="b">
        <v>0</v>
      </c>
      <c r="X74" t="inlineStr">
        <is>
          <t>High</t>
        </is>
      </c>
      <c r="Y74" t="inlineStr">
        <is>
          <t>Gross_Spend; Scope_Emissions</t>
        </is>
      </c>
      <c r="Z74" t="n">
        <v>0.95</v>
      </c>
      <c r="AA74" t="inlineStr">
        <is>
          <t>Valid</t>
        </is>
      </c>
    </row>
    <row r="75">
      <c r="A75" t="inlineStr">
        <is>
          <t>SUP-0008</t>
        </is>
      </c>
      <c r="B75" t="inlineStr">
        <is>
          <t>Electronics Supplier 008</t>
        </is>
      </c>
      <c r="C75" t="inlineStr">
        <is>
          <t>Electronics</t>
        </is>
      </c>
      <c r="D75" t="n">
        <v>2018</v>
      </c>
      <c r="E75" t="n">
        <v>3476179.36</v>
      </c>
      <c r="F75" t="n">
        <v>11337144.22</v>
      </c>
      <c r="G75" t="n">
        <v>3383.0948</v>
      </c>
      <c r="H75" t="n">
        <v>374.6158</v>
      </c>
      <c r="I75" t="n">
        <v>720.3084</v>
      </c>
      <c r="J75" t="n">
        <v>2354.8173</v>
      </c>
      <c r="K75" t="inlineStr"/>
      <c r="L75" t="inlineStr"/>
      <c r="M75" t="inlineStr"/>
      <c r="N75" t="inlineStr"/>
      <c r="O75" t="n">
        <v>2018</v>
      </c>
      <c r="P75" t="n">
        <v>2040</v>
      </c>
      <c r="Q75" t="n">
        <v>0.3424</v>
      </c>
      <c r="R75" t="n">
        <v>635.1588</v>
      </c>
      <c r="S75" t="n">
        <v>0.00086105</v>
      </c>
      <c r="T75" t="n">
        <v>0.00013947</v>
      </c>
      <c r="U75" t="n">
        <v>3383.0948</v>
      </c>
      <c r="V75" t="inlineStr">
        <is>
          <t>Supplier Reported Emissions</t>
        </is>
      </c>
      <c r="W75" t="b">
        <v>0</v>
      </c>
      <c r="X75" t="inlineStr">
        <is>
          <t>High</t>
        </is>
      </c>
      <c r="Y75" t="inlineStr">
        <is>
          <t>None</t>
        </is>
      </c>
      <c r="Z75" t="n">
        <v>0.95</v>
      </c>
      <c r="AA75" t="inlineStr">
        <is>
          <t>Valid</t>
        </is>
      </c>
    </row>
    <row r="76">
      <c r="A76" t="inlineStr">
        <is>
          <t>SUP-0008</t>
        </is>
      </c>
      <c r="B76" t="inlineStr">
        <is>
          <t>Electronics Supplier 008</t>
        </is>
      </c>
      <c r="C76" t="inlineStr">
        <is>
          <t>Electronics</t>
        </is>
      </c>
      <c r="D76" t="n">
        <v>2019</v>
      </c>
      <c r="E76" t="n">
        <v>3476458.19</v>
      </c>
      <c r="F76" t="n">
        <v>10375922.86</v>
      </c>
      <c r="G76" t="n">
        <v>3623.6743</v>
      </c>
      <c r="H76" t="n">
        <v>456.0279</v>
      </c>
      <c r="I76" t="n">
        <v>370.0373</v>
      </c>
      <c r="J76" t="inlineStr"/>
      <c r="K76" t="inlineStr"/>
      <c r="L76" t="inlineStr"/>
      <c r="M76" t="inlineStr"/>
      <c r="N76" t="inlineStr"/>
      <c r="O76" t="n">
        <v>2018</v>
      </c>
      <c r="P76" t="n">
        <v>2040</v>
      </c>
      <c r="Q76" t="n">
        <v>0.3424</v>
      </c>
      <c r="R76" t="n">
        <v>635.1588</v>
      </c>
      <c r="S76" t="n">
        <v>0.00086105</v>
      </c>
      <c r="T76" t="n">
        <v>0.00013947</v>
      </c>
      <c r="U76" t="n">
        <v>3623.6743</v>
      </c>
      <c r="V76" t="inlineStr">
        <is>
          <t>Supplier Reported Emissions</t>
        </is>
      </c>
      <c r="W76" t="b">
        <v>0</v>
      </c>
      <c r="X76" t="inlineStr">
        <is>
          <t>High</t>
        </is>
      </c>
      <c r="Y76" t="inlineStr">
        <is>
          <t>Scope_Emissions</t>
        </is>
      </c>
      <c r="Z76" t="n">
        <v>0.95</v>
      </c>
      <c r="AA76" t="inlineStr">
        <is>
          <t>Valid</t>
        </is>
      </c>
    </row>
    <row r="77">
      <c r="A77" t="inlineStr">
        <is>
          <t>SUP-0008</t>
        </is>
      </c>
      <c r="B77" t="inlineStr">
        <is>
          <t>Electronics Supplier 008</t>
        </is>
      </c>
      <c r="C77" t="inlineStr">
        <is>
          <t>Electronics</t>
        </is>
      </c>
      <c r="D77" t="n">
        <v>2020</v>
      </c>
      <c r="E77" t="n">
        <v>4446147.63</v>
      </c>
      <c r="F77" t="n">
        <v>15037685.63</v>
      </c>
      <c r="G77" t="n">
        <v>3890.7677</v>
      </c>
      <c r="H77" t="n">
        <v>995.0698</v>
      </c>
      <c r="I77" t="n">
        <v>690.0402</v>
      </c>
      <c r="J77" t="n">
        <v>2121.48</v>
      </c>
      <c r="K77" t="inlineStr"/>
      <c r="L77" t="inlineStr"/>
      <c r="M77" t="inlineStr"/>
      <c r="N77" t="inlineStr"/>
      <c r="O77" t="n">
        <v>2018</v>
      </c>
      <c r="P77" t="n">
        <v>2040</v>
      </c>
      <c r="Q77" t="n">
        <v>0.3424</v>
      </c>
      <c r="R77" t="n">
        <v>635.1588</v>
      </c>
      <c r="S77" t="n">
        <v>0.00086105</v>
      </c>
      <c r="T77" t="n">
        <v>0.00013947</v>
      </c>
      <c r="U77" t="n">
        <v>3890.7677</v>
      </c>
      <c r="V77" t="inlineStr">
        <is>
          <t>Supplier Reported Emissions</t>
        </is>
      </c>
      <c r="W77" t="b">
        <v>0</v>
      </c>
      <c r="X77" t="inlineStr">
        <is>
          <t>High</t>
        </is>
      </c>
      <c r="Y77" t="inlineStr">
        <is>
          <t>None</t>
        </is>
      </c>
      <c r="Z77" t="n">
        <v>0.95</v>
      </c>
      <c r="AA77" t="inlineStr">
        <is>
          <t>Valid</t>
        </is>
      </c>
    </row>
    <row r="78">
      <c r="A78" t="inlineStr">
        <is>
          <t>SUP-0008</t>
        </is>
      </c>
      <c r="B78" t="inlineStr">
        <is>
          <t>Electronics Supplier 008</t>
        </is>
      </c>
      <c r="C78" t="inlineStr">
        <is>
          <t>Electronics</t>
        </is>
      </c>
      <c r="D78" t="n">
        <v>2021</v>
      </c>
      <c r="E78" t="n">
        <v>4495128.34</v>
      </c>
      <c r="F78" t="inlineStr"/>
      <c r="G78" t="n">
        <v>3405.8349</v>
      </c>
      <c r="H78" t="n">
        <v>424.2206</v>
      </c>
      <c r="I78" t="inlineStr"/>
      <c r="J78" t="inlineStr"/>
      <c r="K78" t="inlineStr"/>
      <c r="L78" t="inlineStr"/>
      <c r="M78" t="inlineStr"/>
      <c r="N78" t="inlineStr"/>
      <c r="O78" t="n">
        <v>2018</v>
      </c>
      <c r="P78" t="n">
        <v>2040</v>
      </c>
      <c r="Q78" t="n">
        <v>0.3424</v>
      </c>
      <c r="R78" t="n">
        <v>635.1588</v>
      </c>
      <c r="S78" t="n">
        <v>0.00086105</v>
      </c>
      <c r="T78" t="n">
        <v>0.00013947</v>
      </c>
      <c r="U78" t="n">
        <v>3405.8349</v>
      </c>
      <c r="V78" t="inlineStr">
        <is>
          <t>Supplier Reported Emissions</t>
        </is>
      </c>
      <c r="W78" t="b">
        <v>0</v>
      </c>
      <c r="X78" t="inlineStr">
        <is>
          <t>High</t>
        </is>
      </c>
      <c r="Y78" t="inlineStr">
        <is>
          <t>Revenue; Scope_Emissions</t>
        </is>
      </c>
      <c r="Z78" t="n">
        <v>0.95</v>
      </c>
      <c r="AA78" t="inlineStr">
        <is>
          <t>Valid</t>
        </is>
      </c>
    </row>
    <row r="79">
      <c r="A79" t="inlineStr">
        <is>
          <t>SUP-0008</t>
        </is>
      </c>
      <c r="B79" t="inlineStr">
        <is>
          <t>Electronics Supplier 008</t>
        </is>
      </c>
      <c r="C79" t="inlineStr">
        <is>
          <t>Electronics</t>
        </is>
      </c>
      <c r="D79" t="n">
        <v>2022</v>
      </c>
      <c r="E79" t="n">
        <v>4373673.35</v>
      </c>
      <c r="F79" t="n">
        <v>12345363.16</v>
      </c>
      <c r="G79" t="n">
        <v>4167.4076</v>
      </c>
      <c r="H79" t="n">
        <v>730.1894</v>
      </c>
      <c r="I79" t="inlineStr"/>
      <c r="J79" t="inlineStr"/>
      <c r="K79" t="inlineStr"/>
      <c r="L79" t="inlineStr"/>
      <c r="M79" t="inlineStr"/>
      <c r="N79" t="inlineStr"/>
      <c r="O79" t="n">
        <v>2018</v>
      </c>
      <c r="P79" t="n">
        <v>2040</v>
      </c>
      <c r="Q79" t="n">
        <v>0.3424</v>
      </c>
      <c r="R79" t="n">
        <v>635.1588</v>
      </c>
      <c r="S79" t="n">
        <v>0.00086105</v>
      </c>
      <c r="T79" t="n">
        <v>0.00013947</v>
      </c>
      <c r="U79" t="n">
        <v>4167.4076</v>
      </c>
      <c r="V79" t="inlineStr">
        <is>
          <t>Supplier Reported Emissions</t>
        </is>
      </c>
      <c r="W79" t="b">
        <v>0</v>
      </c>
      <c r="X79" t="inlineStr">
        <is>
          <t>High</t>
        </is>
      </c>
      <c r="Y79" t="inlineStr">
        <is>
          <t>Scope_Emissions</t>
        </is>
      </c>
      <c r="Z79" t="n">
        <v>0.95</v>
      </c>
      <c r="AA79" t="inlineStr">
        <is>
          <t>Valid</t>
        </is>
      </c>
    </row>
    <row r="80">
      <c r="A80" t="inlineStr">
        <is>
          <t>SUP-0008</t>
        </is>
      </c>
      <c r="B80" t="inlineStr">
        <is>
          <t>Electronics Supplier 008</t>
        </is>
      </c>
      <c r="C80" t="inlineStr">
        <is>
          <t>Electronics</t>
        </is>
      </c>
      <c r="D80" t="n">
        <v>2023</v>
      </c>
      <c r="E80" t="n">
        <v>3916477.11</v>
      </c>
      <c r="F80" t="n">
        <v>8816162.289999999</v>
      </c>
      <c r="G80" t="inlineStr"/>
      <c r="H80" t="n">
        <v>611.3185</v>
      </c>
      <c r="I80" t="n">
        <v>439.9423</v>
      </c>
      <c r="J80" t="n">
        <v>2700.2903</v>
      </c>
      <c r="K80" t="inlineStr"/>
      <c r="L80" t="inlineStr"/>
      <c r="M80" t="inlineStr"/>
      <c r="N80" t="inlineStr"/>
      <c r="O80" t="n">
        <v>2018</v>
      </c>
      <c r="P80" t="n">
        <v>2040</v>
      </c>
      <c r="Q80" t="n">
        <v>0.3424</v>
      </c>
      <c r="R80" t="n">
        <v>635.1588</v>
      </c>
      <c r="S80" t="n">
        <v>0.00086105</v>
      </c>
      <c r="T80" t="n">
        <v>0.00013947</v>
      </c>
      <c r="U80" t="n">
        <v>3751.5511</v>
      </c>
      <c r="V80" t="inlineStr">
        <is>
          <t>Scope 1 + Scope 2 + Scope 3</t>
        </is>
      </c>
      <c r="W80" t="b">
        <v>1</v>
      </c>
      <c r="X80" t="inlineStr">
        <is>
          <t>High</t>
        </is>
      </c>
      <c r="Y80" t="inlineStr">
        <is>
          <t>Reported_Emissions</t>
        </is>
      </c>
      <c r="Z80" t="n">
        <v>0.88</v>
      </c>
      <c r="AA80" t="inlineStr">
        <is>
          <t>Valid</t>
        </is>
      </c>
    </row>
    <row r="81">
      <c r="A81" t="inlineStr">
        <is>
          <t>SUP-0008</t>
        </is>
      </c>
      <c r="B81" t="inlineStr">
        <is>
          <t>Electronics Supplier 008</t>
        </is>
      </c>
      <c r="C81" t="inlineStr">
        <is>
          <t>Electronics</t>
        </is>
      </c>
      <c r="D81" t="n">
        <v>2024</v>
      </c>
      <c r="E81" t="inlineStr"/>
      <c r="F81" t="n">
        <v>13053571.69</v>
      </c>
      <c r="G81" t="n">
        <v>3292.5056</v>
      </c>
      <c r="H81" t="n">
        <v>425.3445</v>
      </c>
      <c r="I81" t="n">
        <v>213.5756</v>
      </c>
      <c r="J81" t="n">
        <v>2732.5965</v>
      </c>
      <c r="K81" t="inlineStr"/>
      <c r="L81" t="inlineStr"/>
      <c r="M81" t="inlineStr"/>
      <c r="N81" t="inlineStr"/>
      <c r="O81" t="n">
        <v>2018</v>
      </c>
      <c r="P81" t="n">
        <v>2040</v>
      </c>
      <c r="Q81" t="n">
        <v>0.3424</v>
      </c>
      <c r="R81" t="n">
        <v>635.1588</v>
      </c>
      <c r="S81" t="n">
        <v>0.00086105</v>
      </c>
      <c r="T81" t="n">
        <v>0.00013947</v>
      </c>
      <c r="U81" t="n">
        <v>3292.5056</v>
      </c>
      <c r="V81" t="inlineStr">
        <is>
          <t>Supplier Reported Emissions</t>
        </is>
      </c>
      <c r="W81" t="b">
        <v>0</v>
      </c>
      <c r="X81" t="inlineStr">
        <is>
          <t>High</t>
        </is>
      </c>
      <c r="Y81" t="inlineStr">
        <is>
          <t>Gross_Spend</t>
        </is>
      </c>
      <c r="Z81" t="n">
        <v>0.95</v>
      </c>
      <c r="AA81" t="inlineStr">
        <is>
          <t>Valid</t>
        </is>
      </c>
    </row>
    <row r="82">
      <c r="A82" t="inlineStr">
        <is>
          <t>SUP-0009</t>
        </is>
      </c>
      <c r="B82" t="inlineStr">
        <is>
          <t>Professional Supplier 009</t>
        </is>
      </c>
      <c r="C82" t="inlineStr">
        <is>
          <t>Professional Services</t>
        </is>
      </c>
      <c r="D82" t="n">
        <v>2015</v>
      </c>
      <c r="E82" t="n">
        <v>24776350.54</v>
      </c>
      <c r="F82" t="n">
        <v>32201566.49</v>
      </c>
      <c r="G82" t="inlineStr"/>
      <c r="H82" t="n">
        <v>521.326</v>
      </c>
      <c r="I82" t="n">
        <v>427.5766</v>
      </c>
      <c r="J82" t="n">
        <v>1657.6</v>
      </c>
      <c r="K82" t="inlineStr"/>
      <c r="L82" t="inlineStr"/>
      <c r="M82" t="inlineStr"/>
      <c r="N82" t="inlineStr"/>
      <c r="O82" t="n">
        <v>2020</v>
      </c>
      <c r="P82" t="inlineStr"/>
      <c r="Q82" t="inlineStr"/>
      <c r="R82" t="n">
        <v>400.0326</v>
      </c>
      <c r="S82" t="n">
        <v>0.00012906</v>
      </c>
      <c r="T82" t="n">
        <v>0.00019658</v>
      </c>
      <c r="U82" t="n">
        <v>2606.5026</v>
      </c>
      <c r="V82" t="inlineStr">
        <is>
          <t>Scope 1 + Scope 2 + Scope 3</t>
        </is>
      </c>
      <c r="W82" t="b">
        <v>1</v>
      </c>
      <c r="X82" t="inlineStr">
        <is>
          <t>High</t>
        </is>
      </c>
      <c r="Y82" t="inlineStr">
        <is>
          <t>Reported_Emissions</t>
        </is>
      </c>
      <c r="Z82" t="n">
        <v>0.88</v>
      </c>
      <c r="AA82" t="inlineStr">
        <is>
          <t>Valid</t>
        </is>
      </c>
    </row>
    <row r="83">
      <c r="A83" t="inlineStr">
        <is>
          <t>SUP-0009</t>
        </is>
      </c>
      <c r="B83" t="inlineStr">
        <is>
          <t>Professional Supplier 009</t>
        </is>
      </c>
      <c r="C83" t="inlineStr">
        <is>
          <t>Professional Services</t>
        </is>
      </c>
      <c r="D83" t="n">
        <v>2016</v>
      </c>
      <c r="E83" t="n">
        <v>23758134.24</v>
      </c>
      <c r="F83" t="n">
        <v>35844584.02</v>
      </c>
      <c r="G83" t="n">
        <v>4255.4701</v>
      </c>
      <c r="H83" t="n">
        <v>482.6913</v>
      </c>
      <c r="I83" t="n">
        <v>557.5871</v>
      </c>
      <c r="J83" t="n">
        <v>2846.4294</v>
      </c>
      <c r="K83" t="inlineStr"/>
      <c r="L83" t="inlineStr"/>
      <c r="M83" t="inlineStr"/>
      <c r="N83" t="inlineStr"/>
      <c r="O83" t="n">
        <v>2020</v>
      </c>
      <c r="P83" t="inlineStr"/>
      <c r="Q83" t="inlineStr"/>
      <c r="R83" t="n">
        <v>400.0326</v>
      </c>
      <c r="S83" t="n">
        <v>0.00012906</v>
      </c>
      <c r="T83" t="n">
        <v>0.00019658</v>
      </c>
      <c r="U83" t="n">
        <v>4255.4701</v>
      </c>
      <c r="V83" t="inlineStr">
        <is>
          <t>Supplier Reported Emissions</t>
        </is>
      </c>
      <c r="W83" t="b">
        <v>0</v>
      </c>
      <c r="X83" t="inlineStr">
        <is>
          <t>High</t>
        </is>
      </c>
      <c r="Y83" t="inlineStr">
        <is>
          <t>None</t>
        </is>
      </c>
      <c r="Z83" t="n">
        <v>0.95</v>
      </c>
      <c r="AA83" t="inlineStr">
        <is>
          <t>Valid</t>
        </is>
      </c>
    </row>
    <row r="84">
      <c r="A84" t="inlineStr">
        <is>
          <t>SUP-0009</t>
        </is>
      </c>
      <c r="B84" t="inlineStr">
        <is>
          <t>Professional Supplier 009</t>
        </is>
      </c>
      <c r="C84" t="inlineStr">
        <is>
          <t>Professional Services</t>
        </is>
      </c>
      <c r="D84" t="n">
        <v>2017</v>
      </c>
      <c r="E84" t="n">
        <v>23196858.01</v>
      </c>
      <c r="F84" t="n">
        <v>33570242.17</v>
      </c>
      <c r="G84" t="n">
        <v>2701.2809</v>
      </c>
      <c r="H84" t="n">
        <v>559.6794</v>
      </c>
      <c r="I84" t="n">
        <v>324.2734</v>
      </c>
      <c r="J84" t="n">
        <v>1797.4528</v>
      </c>
      <c r="K84" t="inlineStr"/>
      <c r="L84" t="inlineStr"/>
      <c r="M84" t="inlineStr"/>
      <c r="N84" t="inlineStr"/>
      <c r="O84" t="n">
        <v>2020</v>
      </c>
      <c r="P84" t="inlineStr"/>
      <c r="Q84" t="inlineStr"/>
      <c r="R84" t="n">
        <v>400.0326</v>
      </c>
      <c r="S84" t="n">
        <v>0.00012906</v>
      </c>
      <c r="T84" t="n">
        <v>0.00019658</v>
      </c>
      <c r="U84" t="n">
        <v>2701.2809</v>
      </c>
      <c r="V84" t="inlineStr">
        <is>
          <t>Supplier Reported Emissions</t>
        </is>
      </c>
      <c r="W84" t="b">
        <v>0</v>
      </c>
      <c r="X84" t="inlineStr">
        <is>
          <t>High</t>
        </is>
      </c>
      <c r="Y84" t="inlineStr">
        <is>
          <t>None</t>
        </is>
      </c>
      <c r="Z84" t="n">
        <v>0.95</v>
      </c>
      <c r="AA84" t="inlineStr">
        <is>
          <t>Valid</t>
        </is>
      </c>
    </row>
    <row r="85">
      <c r="A85" t="inlineStr">
        <is>
          <t>SUP-0009</t>
        </is>
      </c>
      <c r="B85" t="inlineStr">
        <is>
          <t>Professional Supplier 009</t>
        </is>
      </c>
      <c r="C85" t="inlineStr">
        <is>
          <t>Professional Services</t>
        </is>
      </c>
      <c r="D85" t="n">
        <v>2018</v>
      </c>
      <c r="E85" t="inlineStr"/>
      <c r="F85" t="n">
        <v>39759348.71</v>
      </c>
      <c r="G85" t="n">
        <v>3745.867</v>
      </c>
      <c r="H85" t="n">
        <v>398.2531</v>
      </c>
      <c r="I85" t="n">
        <v>322.0091</v>
      </c>
      <c r="J85" t="n">
        <v>3056.2788</v>
      </c>
      <c r="K85" t="inlineStr"/>
      <c r="L85" t="inlineStr"/>
      <c r="M85" t="inlineStr"/>
      <c r="N85" t="inlineStr"/>
      <c r="O85" t="n">
        <v>2020</v>
      </c>
      <c r="P85" t="inlineStr"/>
      <c r="Q85" t="inlineStr"/>
      <c r="R85" t="n">
        <v>400.0326</v>
      </c>
      <c r="S85" t="n">
        <v>0.00012906</v>
      </c>
      <c r="T85" t="n">
        <v>0.00019658</v>
      </c>
      <c r="U85" t="n">
        <v>3745.867</v>
      </c>
      <c r="V85" t="inlineStr">
        <is>
          <t>Supplier Reported Emissions</t>
        </is>
      </c>
      <c r="W85" t="b">
        <v>0</v>
      </c>
      <c r="X85" t="inlineStr">
        <is>
          <t>High</t>
        </is>
      </c>
      <c r="Y85" t="inlineStr">
        <is>
          <t>Gross_Spend</t>
        </is>
      </c>
      <c r="Z85" t="n">
        <v>0.95</v>
      </c>
      <c r="AA85" t="inlineStr">
        <is>
          <t>Valid</t>
        </is>
      </c>
    </row>
    <row r="86">
      <c r="A86" t="inlineStr">
        <is>
          <t>SUP-0009</t>
        </is>
      </c>
      <c r="B86" t="inlineStr">
        <is>
          <t>Professional Supplier 009</t>
        </is>
      </c>
      <c r="C86" t="inlineStr">
        <is>
          <t>Professional Services</t>
        </is>
      </c>
      <c r="D86" t="n">
        <v>2019</v>
      </c>
      <c r="E86" t="n">
        <v>35207077.02</v>
      </c>
      <c r="F86" t="n">
        <v>32102692.02</v>
      </c>
      <c r="G86" t="n">
        <v>4760.4401</v>
      </c>
      <c r="H86" t="inlineStr"/>
      <c r="I86" t="n">
        <v>629.0584</v>
      </c>
      <c r="J86" t="n">
        <v>3548.8928</v>
      </c>
      <c r="K86" t="inlineStr"/>
      <c r="L86" t="inlineStr"/>
      <c r="M86" t="inlineStr"/>
      <c r="N86" t="inlineStr"/>
      <c r="O86" t="n">
        <v>2020</v>
      </c>
      <c r="P86" t="inlineStr"/>
      <c r="Q86" t="inlineStr"/>
      <c r="R86" t="n">
        <v>400.0326</v>
      </c>
      <c r="S86" t="n">
        <v>0.00012906</v>
      </c>
      <c r="T86" t="n">
        <v>0.00019658</v>
      </c>
      <c r="U86" t="n">
        <v>4760.4401</v>
      </c>
      <c r="V86" t="inlineStr">
        <is>
          <t>Supplier Reported Emissions</t>
        </is>
      </c>
      <c r="W86" t="b">
        <v>0</v>
      </c>
      <c r="X86" t="inlineStr">
        <is>
          <t>High</t>
        </is>
      </c>
      <c r="Y86" t="inlineStr">
        <is>
          <t>Scope_Emissions</t>
        </is>
      </c>
      <c r="Z86" t="n">
        <v>0.95</v>
      </c>
      <c r="AA86" t="inlineStr">
        <is>
          <t>Valid</t>
        </is>
      </c>
    </row>
    <row r="87">
      <c r="A87" t="inlineStr">
        <is>
          <t>SUP-0009</t>
        </is>
      </c>
      <c r="B87" t="inlineStr">
        <is>
          <t>Professional Supplier 009</t>
        </is>
      </c>
      <c r="C87" t="inlineStr">
        <is>
          <t>Professional Services</t>
        </is>
      </c>
      <c r="D87" t="n">
        <v>2020</v>
      </c>
      <c r="E87" t="n">
        <v>37602611.08</v>
      </c>
      <c r="F87" t="n">
        <v>49935560.02</v>
      </c>
      <c r="G87" t="inlineStr"/>
      <c r="H87" t="n">
        <v>1247.8186</v>
      </c>
      <c r="I87" t="n">
        <v>559.2795</v>
      </c>
      <c r="J87" t="inlineStr"/>
      <c r="K87" t="inlineStr"/>
      <c r="L87" t="inlineStr"/>
      <c r="M87" t="inlineStr"/>
      <c r="N87" t="inlineStr"/>
      <c r="O87" t="n">
        <v>2020</v>
      </c>
      <c r="P87" t="inlineStr"/>
      <c r="Q87" t="inlineStr"/>
      <c r="R87" t="n">
        <v>400.0326</v>
      </c>
      <c r="S87" t="n">
        <v>0.00012906</v>
      </c>
      <c r="T87" t="n">
        <v>0.00019658</v>
      </c>
      <c r="U87" t="n">
        <v>4852.993</v>
      </c>
      <c r="V87" t="inlineStr">
        <is>
          <t>Spend-Based Estimate</t>
        </is>
      </c>
      <c r="W87" t="b">
        <v>1</v>
      </c>
      <c r="X87" t="inlineStr">
        <is>
          <t>Medium</t>
        </is>
      </c>
      <c r="Y87" t="inlineStr">
        <is>
          <t>Reported_Emissions; Scope_Emissions</t>
        </is>
      </c>
      <c r="Z87" t="n">
        <v>0.7</v>
      </c>
      <c r="AA87" t="inlineStr">
        <is>
          <t>Valid</t>
        </is>
      </c>
    </row>
    <row r="88">
      <c r="A88" t="inlineStr">
        <is>
          <t>SUP-0009</t>
        </is>
      </c>
      <c r="B88" t="inlineStr">
        <is>
          <t>Professional Supplier 009</t>
        </is>
      </c>
      <c r="C88" t="inlineStr">
        <is>
          <t>Professional Services</t>
        </is>
      </c>
      <c r="D88" t="n">
        <v>2021</v>
      </c>
      <c r="E88" t="n">
        <v>35665704.28</v>
      </c>
      <c r="F88" t="n">
        <v>57179614.73</v>
      </c>
      <c r="G88" t="n">
        <v>4646.8409</v>
      </c>
      <c r="H88" t="inlineStr"/>
      <c r="I88" t="n">
        <v>999.3069</v>
      </c>
      <c r="J88" t="n">
        <v>2939.1592</v>
      </c>
      <c r="K88" t="inlineStr"/>
      <c r="L88" t="inlineStr"/>
      <c r="M88" t="inlineStr"/>
      <c r="N88" t="inlineStr"/>
      <c r="O88" t="n">
        <v>2020</v>
      </c>
      <c r="P88" t="inlineStr"/>
      <c r="Q88" t="inlineStr"/>
      <c r="R88" t="n">
        <v>400.0326</v>
      </c>
      <c r="S88" t="n">
        <v>0.00012906</v>
      </c>
      <c r="T88" t="n">
        <v>0.00019658</v>
      </c>
      <c r="U88" t="n">
        <v>4646.8409</v>
      </c>
      <c r="V88" t="inlineStr">
        <is>
          <t>Supplier Reported Emissions</t>
        </is>
      </c>
      <c r="W88" t="b">
        <v>0</v>
      </c>
      <c r="X88" t="inlineStr">
        <is>
          <t>High</t>
        </is>
      </c>
      <c r="Y88" t="inlineStr">
        <is>
          <t>Scope_Emissions</t>
        </is>
      </c>
      <c r="Z88" t="n">
        <v>0.95</v>
      </c>
      <c r="AA88" t="inlineStr">
        <is>
          <t>Valid</t>
        </is>
      </c>
    </row>
    <row r="89">
      <c r="A89" t="inlineStr">
        <is>
          <t>SUP-0009</t>
        </is>
      </c>
      <c r="B89" t="inlineStr">
        <is>
          <t>Professional Supplier 009</t>
        </is>
      </c>
      <c r="C89" t="inlineStr">
        <is>
          <t>Professional Services</t>
        </is>
      </c>
      <c r="D89" t="n">
        <v>2022</v>
      </c>
      <c r="E89" t="n">
        <v>42290241.88</v>
      </c>
      <c r="F89" t="n">
        <v>49528531.02</v>
      </c>
      <c r="G89" t="n">
        <v>3909.5303</v>
      </c>
      <c r="H89" t="inlineStr"/>
      <c r="I89" t="n">
        <v>773.9299999999999</v>
      </c>
      <c r="J89" t="inlineStr"/>
      <c r="K89" t="inlineStr"/>
      <c r="L89" t="inlineStr"/>
      <c r="M89" t="inlineStr"/>
      <c r="N89" t="inlineStr"/>
      <c r="O89" t="n">
        <v>2020</v>
      </c>
      <c r="P89" t="inlineStr"/>
      <c r="Q89" t="inlineStr"/>
      <c r="R89" t="n">
        <v>400.0326</v>
      </c>
      <c r="S89" t="n">
        <v>0.00012906</v>
      </c>
      <c r="T89" t="n">
        <v>0.00019658</v>
      </c>
      <c r="U89" t="n">
        <v>3909.5303</v>
      </c>
      <c r="V89" t="inlineStr">
        <is>
          <t>Supplier Reported Emissions</t>
        </is>
      </c>
      <c r="W89" t="b">
        <v>0</v>
      </c>
      <c r="X89" t="inlineStr">
        <is>
          <t>High</t>
        </is>
      </c>
      <c r="Y89" t="inlineStr">
        <is>
          <t>Scope_Emissions</t>
        </is>
      </c>
      <c r="Z89" t="n">
        <v>0.95</v>
      </c>
      <c r="AA89" t="inlineStr">
        <is>
          <t>Valid</t>
        </is>
      </c>
    </row>
    <row r="90">
      <c r="A90" t="inlineStr">
        <is>
          <t>SUP-0009</t>
        </is>
      </c>
      <c r="B90" t="inlineStr">
        <is>
          <t>Professional Supplier 009</t>
        </is>
      </c>
      <c r="C90" t="inlineStr">
        <is>
          <t>Professional Services</t>
        </is>
      </c>
      <c r="D90" t="n">
        <v>2023</v>
      </c>
      <c r="E90" t="n">
        <v>47292024.59</v>
      </c>
      <c r="F90" t="n">
        <v>58804939.13</v>
      </c>
      <c r="G90" t="n">
        <v>5670.6263</v>
      </c>
      <c r="H90" t="n">
        <v>1190.4245</v>
      </c>
      <c r="I90" t="inlineStr"/>
      <c r="J90" t="n">
        <v>3640.2184</v>
      </c>
      <c r="K90" t="inlineStr"/>
      <c r="L90" t="inlineStr"/>
      <c r="M90" t="inlineStr"/>
      <c r="N90" t="inlineStr"/>
      <c r="O90" t="n">
        <v>2020</v>
      </c>
      <c r="P90" t="inlineStr"/>
      <c r="Q90" t="inlineStr"/>
      <c r="R90" t="n">
        <v>400.0326</v>
      </c>
      <c r="S90" t="n">
        <v>0.00012906</v>
      </c>
      <c r="T90" t="n">
        <v>0.00019658</v>
      </c>
      <c r="U90" t="n">
        <v>5670.6263</v>
      </c>
      <c r="V90" t="inlineStr">
        <is>
          <t>Supplier Reported Emissions</t>
        </is>
      </c>
      <c r="W90" t="b">
        <v>0</v>
      </c>
      <c r="X90" t="inlineStr">
        <is>
          <t>High</t>
        </is>
      </c>
      <c r="Y90" t="inlineStr">
        <is>
          <t>Scope_Emissions</t>
        </is>
      </c>
      <c r="Z90" t="n">
        <v>0.95</v>
      </c>
      <c r="AA90" t="inlineStr">
        <is>
          <t>Valid</t>
        </is>
      </c>
    </row>
    <row r="91">
      <c r="A91" t="inlineStr">
        <is>
          <t>SUP-0009</t>
        </is>
      </c>
      <c r="B91" t="inlineStr">
        <is>
          <t>Professional Supplier 009</t>
        </is>
      </c>
      <c r="C91" t="inlineStr">
        <is>
          <t>Professional Services</t>
        </is>
      </c>
      <c r="D91" t="n">
        <v>2024</v>
      </c>
      <c r="E91" t="n">
        <v>52537789.25</v>
      </c>
      <c r="F91" t="n">
        <v>67311812.73</v>
      </c>
      <c r="G91" t="n">
        <v>4325.7647</v>
      </c>
      <c r="H91" t="inlineStr"/>
      <c r="I91" t="n">
        <v>780.5117</v>
      </c>
      <c r="J91" t="inlineStr"/>
      <c r="K91" t="inlineStr"/>
      <c r="L91" t="inlineStr"/>
      <c r="M91" t="inlineStr"/>
      <c r="N91" t="inlineStr"/>
      <c r="O91" t="n">
        <v>2020</v>
      </c>
      <c r="P91" t="inlineStr"/>
      <c r="Q91" t="inlineStr"/>
      <c r="R91" t="n">
        <v>400.0326</v>
      </c>
      <c r="S91" t="n">
        <v>0.00012906</v>
      </c>
      <c r="T91" t="n">
        <v>0.00019658</v>
      </c>
      <c r="U91" t="n">
        <v>4325.7647</v>
      </c>
      <c r="V91" t="inlineStr">
        <is>
          <t>Supplier Reported Emissions</t>
        </is>
      </c>
      <c r="W91" t="b">
        <v>0</v>
      </c>
      <c r="X91" t="inlineStr">
        <is>
          <t>High</t>
        </is>
      </c>
      <c r="Y91" t="inlineStr">
        <is>
          <t>Scope_Emissions</t>
        </is>
      </c>
      <c r="Z91" t="n">
        <v>0.95</v>
      </c>
      <c r="AA91" t="inlineStr">
        <is>
          <t>Valid</t>
        </is>
      </c>
    </row>
    <row r="92">
      <c r="A92" t="inlineStr">
        <is>
          <t>SUP-0010</t>
        </is>
      </c>
      <c r="B92" t="inlineStr">
        <is>
          <t>Packaging Supplier 010</t>
        </is>
      </c>
      <c r="C92" t="inlineStr">
        <is>
          <t>Packaging</t>
        </is>
      </c>
      <c r="D92" t="n">
        <v>2015</v>
      </c>
      <c r="E92" t="n">
        <v>1016489.03</v>
      </c>
      <c r="F92" t="n">
        <v>2186171.93</v>
      </c>
      <c r="G92" t="n">
        <v>936.6947</v>
      </c>
      <c r="H92" t="n">
        <v>139.2539</v>
      </c>
      <c r="I92" t="n">
        <v>105.9001</v>
      </c>
      <c r="J92" t="n">
        <v>664.7074</v>
      </c>
      <c r="K92" t="n">
        <v>2018</v>
      </c>
      <c r="L92" t="n">
        <v>2035</v>
      </c>
      <c r="M92" t="n">
        <v>0.3963</v>
      </c>
      <c r="N92" t="n">
        <v>0.1482</v>
      </c>
      <c r="O92" t="n">
        <v>2018</v>
      </c>
      <c r="P92" t="n">
        <v>2040</v>
      </c>
      <c r="Q92" t="n">
        <v>0.3112</v>
      </c>
      <c r="R92" t="n">
        <v>702.4188</v>
      </c>
      <c r="S92" t="n">
        <v>0.0010803</v>
      </c>
      <c r="T92" t="n">
        <v>0.00078946</v>
      </c>
      <c r="U92" t="n">
        <v>936.6947</v>
      </c>
      <c r="V92" t="inlineStr">
        <is>
          <t>Supplier Reported Emissions</t>
        </is>
      </c>
      <c r="W92" t="b">
        <v>0</v>
      </c>
      <c r="X92" t="inlineStr">
        <is>
          <t>High</t>
        </is>
      </c>
      <c r="Y92" t="inlineStr">
        <is>
          <t>None</t>
        </is>
      </c>
      <c r="Z92" t="n">
        <v>0.95</v>
      </c>
      <c r="AA92" t="inlineStr">
        <is>
          <t>Valid</t>
        </is>
      </c>
    </row>
    <row r="93">
      <c r="A93" t="inlineStr">
        <is>
          <t>SUP-0010</t>
        </is>
      </c>
      <c r="B93" t="inlineStr">
        <is>
          <t>Packaging Supplier 010</t>
        </is>
      </c>
      <c r="C93" t="inlineStr">
        <is>
          <t>Packaging</t>
        </is>
      </c>
      <c r="D93" t="n">
        <v>2016</v>
      </c>
      <c r="E93" t="n">
        <v>1193538.1</v>
      </c>
      <c r="F93" t="n">
        <v>2247959.7</v>
      </c>
      <c r="G93" t="n">
        <v>1276.2001</v>
      </c>
      <c r="H93" t="inlineStr"/>
      <c r="I93" t="n">
        <v>221.7209</v>
      </c>
      <c r="J93" t="inlineStr"/>
      <c r="K93" t="n">
        <v>2018</v>
      </c>
      <c r="L93" t="n">
        <v>2035</v>
      </c>
      <c r="M93" t="n">
        <v>0.3963</v>
      </c>
      <c r="N93" t="n">
        <v>0.1482</v>
      </c>
      <c r="O93" t="n">
        <v>2018</v>
      </c>
      <c r="P93" t="n">
        <v>2040</v>
      </c>
      <c r="Q93" t="n">
        <v>0.3112</v>
      </c>
      <c r="R93" t="n">
        <v>702.4188</v>
      </c>
      <c r="S93" t="n">
        <v>0.0010803</v>
      </c>
      <c r="T93" t="n">
        <v>0.00078946</v>
      </c>
      <c r="U93" t="n">
        <v>1276.2001</v>
      </c>
      <c r="V93" t="inlineStr">
        <is>
          <t>Supplier Reported Emissions</t>
        </is>
      </c>
      <c r="W93" t="b">
        <v>0</v>
      </c>
      <c r="X93" t="inlineStr">
        <is>
          <t>High</t>
        </is>
      </c>
      <c r="Y93" t="inlineStr">
        <is>
          <t>Scope_Emissions</t>
        </is>
      </c>
      <c r="Z93" t="n">
        <v>0.95</v>
      </c>
      <c r="AA93" t="inlineStr">
        <is>
          <t>Valid</t>
        </is>
      </c>
    </row>
    <row r="94">
      <c r="A94" t="inlineStr">
        <is>
          <t>SUP-0010</t>
        </is>
      </c>
      <c r="B94" t="inlineStr">
        <is>
          <t>Packaging Supplier 010</t>
        </is>
      </c>
      <c r="C94" t="inlineStr">
        <is>
          <t>Packaging</t>
        </is>
      </c>
      <c r="D94" t="n">
        <v>2017</v>
      </c>
      <c r="E94" t="n">
        <v>1044103.95</v>
      </c>
      <c r="F94" t="n">
        <v>2154422.64</v>
      </c>
      <c r="G94" t="n">
        <v>979.1795</v>
      </c>
      <c r="H94" t="n">
        <v>165.5201</v>
      </c>
      <c r="I94" t="n">
        <v>66.4815</v>
      </c>
      <c r="J94" t="n">
        <v>773.4256</v>
      </c>
      <c r="K94" t="n">
        <v>2018</v>
      </c>
      <c r="L94" t="n">
        <v>2035</v>
      </c>
      <c r="M94" t="n">
        <v>0.3963</v>
      </c>
      <c r="N94" t="n">
        <v>0.1482</v>
      </c>
      <c r="O94" t="n">
        <v>2018</v>
      </c>
      <c r="P94" t="n">
        <v>2040</v>
      </c>
      <c r="Q94" t="n">
        <v>0.3112</v>
      </c>
      <c r="R94" t="n">
        <v>702.4188</v>
      </c>
      <c r="S94" t="n">
        <v>0.0010803</v>
      </c>
      <c r="T94" t="n">
        <v>0.00078946</v>
      </c>
      <c r="U94" t="n">
        <v>979.1795</v>
      </c>
      <c r="V94" t="inlineStr">
        <is>
          <t>Supplier Reported Emissions</t>
        </is>
      </c>
      <c r="W94" t="b">
        <v>0</v>
      </c>
      <c r="X94" t="inlineStr">
        <is>
          <t>High</t>
        </is>
      </c>
      <c r="Y94" t="inlineStr">
        <is>
          <t>None</t>
        </is>
      </c>
      <c r="Z94" t="n">
        <v>0.95</v>
      </c>
      <c r="AA94" t="inlineStr">
        <is>
          <t>Valid</t>
        </is>
      </c>
    </row>
    <row r="95">
      <c r="A95" t="inlineStr">
        <is>
          <t>SUP-0010</t>
        </is>
      </c>
      <c r="B95" t="inlineStr">
        <is>
          <t>Packaging Supplier 010</t>
        </is>
      </c>
      <c r="C95" t="inlineStr">
        <is>
          <t>Packaging</t>
        </is>
      </c>
      <c r="D95" t="n">
        <v>2018</v>
      </c>
      <c r="E95" t="n">
        <v>1149037.69</v>
      </c>
      <c r="F95" t="n">
        <v>2143940.82</v>
      </c>
      <c r="G95" t="n">
        <v>1197.5142</v>
      </c>
      <c r="H95" t="n">
        <v>166.7751</v>
      </c>
      <c r="I95" t="n">
        <v>170.1263</v>
      </c>
      <c r="J95" t="inlineStr"/>
      <c r="K95" t="n">
        <v>2018</v>
      </c>
      <c r="L95" t="n">
        <v>2035</v>
      </c>
      <c r="M95" t="n">
        <v>0.3963</v>
      </c>
      <c r="N95" t="n">
        <v>0.1482</v>
      </c>
      <c r="O95" t="n">
        <v>2018</v>
      </c>
      <c r="P95" t="n">
        <v>2040</v>
      </c>
      <c r="Q95" t="n">
        <v>0.3112</v>
      </c>
      <c r="R95" t="n">
        <v>702.4188</v>
      </c>
      <c r="S95" t="n">
        <v>0.0010803</v>
      </c>
      <c r="T95" t="n">
        <v>0.00078946</v>
      </c>
      <c r="U95" t="n">
        <v>1197.5142</v>
      </c>
      <c r="V95" t="inlineStr">
        <is>
          <t>Supplier Reported Emissions</t>
        </is>
      </c>
      <c r="W95" t="b">
        <v>0</v>
      </c>
      <c r="X95" t="inlineStr">
        <is>
          <t>High</t>
        </is>
      </c>
      <c r="Y95" t="inlineStr">
        <is>
          <t>Scope_Emissions</t>
        </is>
      </c>
      <c r="Z95" t="n">
        <v>0.95</v>
      </c>
      <c r="AA95" t="inlineStr">
        <is>
          <t>Valid</t>
        </is>
      </c>
    </row>
    <row r="96">
      <c r="A96" t="inlineStr">
        <is>
          <t>SUP-0010</t>
        </is>
      </c>
      <c r="B96" t="inlineStr">
        <is>
          <t>Packaging Supplier 010</t>
        </is>
      </c>
      <c r="C96" t="inlineStr">
        <is>
          <t>Packaging</t>
        </is>
      </c>
      <c r="D96" t="n">
        <v>2019</v>
      </c>
      <c r="E96" t="n">
        <v>1261577.84</v>
      </c>
      <c r="F96" t="n">
        <v>2293653.8</v>
      </c>
      <c r="G96" t="inlineStr"/>
      <c r="H96" t="n">
        <v>114.6407</v>
      </c>
      <c r="I96" t="n">
        <v>167.2639</v>
      </c>
      <c r="J96" t="n">
        <v>825.1528</v>
      </c>
      <c r="K96" t="n">
        <v>2018</v>
      </c>
      <c r="L96" t="n">
        <v>2035</v>
      </c>
      <c r="M96" t="n">
        <v>0.3963</v>
      </c>
      <c r="N96" t="n">
        <v>0.1482</v>
      </c>
      <c r="O96" t="n">
        <v>2018</v>
      </c>
      <c r="P96" t="n">
        <v>2040</v>
      </c>
      <c r="Q96" t="n">
        <v>0.3112</v>
      </c>
      <c r="R96" t="n">
        <v>702.4188</v>
      </c>
      <c r="S96" t="n">
        <v>0.0010803</v>
      </c>
      <c r="T96" t="n">
        <v>0.00078946</v>
      </c>
      <c r="U96" t="n">
        <v>1107.0574</v>
      </c>
      <c r="V96" t="inlineStr">
        <is>
          <t>Scope 1 + Scope 2 + Scope 3</t>
        </is>
      </c>
      <c r="W96" t="b">
        <v>1</v>
      </c>
      <c r="X96" t="inlineStr">
        <is>
          <t>High</t>
        </is>
      </c>
      <c r="Y96" t="inlineStr">
        <is>
          <t>Reported_Emissions</t>
        </is>
      </c>
      <c r="Z96" t="n">
        <v>0.88</v>
      </c>
      <c r="AA96" t="inlineStr">
        <is>
          <t>Valid</t>
        </is>
      </c>
    </row>
    <row r="97">
      <c r="A97" t="inlineStr">
        <is>
          <t>SUP-0010</t>
        </is>
      </c>
      <c r="B97" t="inlineStr">
        <is>
          <t>Packaging Supplier 010</t>
        </is>
      </c>
      <c r="C97" t="inlineStr">
        <is>
          <t>Packaging</t>
        </is>
      </c>
      <c r="D97" t="n">
        <v>2020</v>
      </c>
      <c r="E97" t="n">
        <v>1204677.36</v>
      </c>
      <c r="F97" t="n">
        <v>2404871.91</v>
      </c>
      <c r="G97" t="n">
        <v>1055.2041</v>
      </c>
      <c r="H97" t="inlineStr"/>
      <c r="I97" t="inlineStr"/>
      <c r="J97" t="n">
        <v>690.3007</v>
      </c>
      <c r="K97" t="n">
        <v>2018</v>
      </c>
      <c r="L97" t="n">
        <v>2035</v>
      </c>
      <c r="M97" t="n">
        <v>0.3963</v>
      </c>
      <c r="N97" t="n">
        <v>0.1482</v>
      </c>
      <c r="O97" t="n">
        <v>2018</v>
      </c>
      <c r="P97" t="n">
        <v>2040</v>
      </c>
      <c r="Q97" t="n">
        <v>0.3112</v>
      </c>
      <c r="R97" t="n">
        <v>702.4188</v>
      </c>
      <c r="S97" t="n">
        <v>0.0010803</v>
      </c>
      <c r="T97" t="n">
        <v>0.00078946</v>
      </c>
      <c r="U97" t="n">
        <v>1055.2041</v>
      </c>
      <c r="V97" t="inlineStr">
        <is>
          <t>Supplier Reported Emissions</t>
        </is>
      </c>
      <c r="W97" t="b">
        <v>0</v>
      </c>
      <c r="X97" t="inlineStr">
        <is>
          <t>High</t>
        </is>
      </c>
      <c r="Y97" t="inlineStr">
        <is>
          <t>Scope_Emissions</t>
        </is>
      </c>
      <c r="Z97" t="n">
        <v>0.95</v>
      </c>
      <c r="AA97" t="inlineStr">
        <is>
          <t>Valid</t>
        </is>
      </c>
    </row>
    <row r="98">
      <c r="A98" t="inlineStr">
        <is>
          <t>SUP-0010</t>
        </is>
      </c>
      <c r="B98" t="inlineStr">
        <is>
          <t>Packaging Supplier 010</t>
        </is>
      </c>
      <c r="C98" t="inlineStr">
        <is>
          <t>Packaging</t>
        </is>
      </c>
      <c r="D98" t="n">
        <v>2021</v>
      </c>
      <c r="E98" t="n">
        <v>1053342.84</v>
      </c>
      <c r="F98" t="n">
        <v>2034680.5</v>
      </c>
      <c r="G98" t="n">
        <v>845.0359999999999</v>
      </c>
      <c r="H98" t="n">
        <v>225.9767</v>
      </c>
      <c r="I98" t="inlineStr"/>
      <c r="J98" t="n">
        <v>558.7769</v>
      </c>
      <c r="K98" t="n">
        <v>2018</v>
      </c>
      <c r="L98" t="n">
        <v>2035</v>
      </c>
      <c r="M98" t="n">
        <v>0.3963</v>
      </c>
      <c r="N98" t="n">
        <v>0.1482</v>
      </c>
      <c r="O98" t="n">
        <v>2018</v>
      </c>
      <c r="P98" t="n">
        <v>2040</v>
      </c>
      <c r="Q98" t="n">
        <v>0.3112</v>
      </c>
      <c r="R98" t="n">
        <v>702.4188</v>
      </c>
      <c r="S98" t="n">
        <v>0.0010803</v>
      </c>
      <c r="T98" t="n">
        <v>0.00078946</v>
      </c>
      <c r="U98" t="n">
        <v>845.0359999999999</v>
      </c>
      <c r="V98" t="inlineStr">
        <is>
          <t>Supplier Reported Emissions</t>
        </is>
      </c>
      <c r="W98" t="b">
        <v>0</v>
      </c>
      <c r="X98" t="inlineStr">
        <is>
          <t>High</t>
        </is>
      </c>
      <c r="Y98" t="inlineStr">
        <is>
          <t>Scope_Emissions</t>
        </is>
      </c>
      <c r="Z98" t="n">
        <v>0.95</v>
      </c>
      <c r="AA98" t="inlineStr">
        <is>
          <t>Valid</t>
        </is>
      </c>
    </row>
    <row r="99">
      <c r="A99" t="inlineStr">
        <is>
          <t>SUP-0010</t>
        </is>
      </c>
      <c r="B99" t="inlineStr">
        <is>
          <t>Packaging Supplier 010</t>
        </is>
      </c>
      <c r="C99" t="inlineStr">
        <is>
          <t>Packaging</t>
        </is>
      </c>
      <c r="D99" t="n">
        <v>2022</v>
      </c>
      <c r="E99" t="n">
        <v>1112700.54</v>
      </c>
      <c r="F99" t="n">
        <v>2741371.97</v>
      </c>
      <c r="G99" t="inlineStr"/>
      <c r="H99" t="n">
        <v>154.1106</v>
      </c>
      <c r="I99" t="n">
        <v>79.5401</v>
      </c>
      <c r="J99" t="n">
        <v>906.259</v>
      </c>
      <c r="K99" t="n">
        <v>2018</v>
      </c>
      <c r="L99" t="n">
        <v>2035</v>
      </c>
      <c r="M99" t="n">
        <v>0.3963</v>
      </c>
      <c r="N99" t="n">
        <v>0.1482</v>
      </c>
      <c r="O99" t="n">
        <v>2018</v>
      </c>
      <c r="P99" t="n">
        <v>2040</v>
      </c>
      <c r="Q99" t="n">
        <v>0.3112</v>
      </c>
      <c r="R99" t="n">
        <v>702.4188</v>
      </c>
      <c r="S99" t="n">
        <v>0.0010803</v>
      </c>
      <c r="T99" t="n">
        <v>0.00078946</v>
      </c>
      <c r="U99" t="n">
        <v>1139.9097</v>
      </c>
      <c r="V99" t="inlineStr">
        <is>
          <t>Scope 1 + Scope 2 + Scope 3</t>
        </is>
      </c>
      <c r="W99" t="b">
        <v>1</v>
      </c>
      <c r="X99" t="inlineStr">
        <is>
          <t>High</t>
        </is>
      </c>
      <c r="Y99" t="inlineStr">
        <is>
          <t>Reported_Emissions</t>
        </is>
      </c>
      <c r="Z99" t="n">
        <v>0.88</v>
      </c>
      <c r="AA99" t="inlineStr">
        <is>
          <t>Valid</t>
        </is>
      </c>
    </row>
    <row r="100">
      <c r="A100" t="inlineStr">
        <is>
          <t>SUP-0010</t>
        </is>
      </c>
      <c r="B100" t="inlineStr">
        <is>
          <t>Packaging Supplier 010</t>
        </is>
      </c>
      <c r="C100" t="inlineStr">
        <is>
          <t>Packaging</t>
        </is>
      </c>
      <c r="D100" t="n">
        <v>2023</v>
      </c>
      <c r="E100" t="n">
        <v>1215430.28</v>
      </c>
      <c r="F100" t="n">
        <v>2621916.4</v>
      </c>
      <c r="G100" t="n">
        <v>1180.296</v>
      </c>
      <c r="H100" t="inlineStr"/>
      <c r="I100" t="n">
        <v>209.6126</v>
      </c>
      <c r="J100" t="inlineStr"/>
      <c r="K100" t="n">
        <v>2018</v>
      </c>
      <c r="L100" t="n">
        <v>2035</v>
      </c>
      <c r="M100" t="n">
        <v>0.3963</v>
      </c>
      <c r="N100" t="n">
        <v>0.1482</v>
      </c>
      <c r="O100" t="n">
        <v>2018</v>
      </c>
      <c r="P100" t="n">
        <v>2040</v>
      </c>
      <c r="Q100" t="n">
        <v>0.3112</v>
      </c>
      <c r="R100" t="n">
        <v>702.4188</v>
      </c>
      <c r="S100" t="n">
        <v>0.0010803</v>
      </c>
      <c r="T100" t="n">
        <v>0.00078946</v>
      </c>
      <c r="U100" t="n">
        <v>1180.296</v>
      </c>
      <c r="V100" t="inlineStr">
        <is>
          <t>Supplier Reported Emissions</t>
        </is>
      </c>
      <c r="W100" t="b">
        <v>0</v>
      </c>
      <c r="X100" t="inlineStr">
        <is>
          <t>High</t>
        </is>
      </c>
      <c r="Y100" t="inlineStr">
        <is>
          <t>Scope_Emissions</t>
        </is>
      </c>
      <c r="Z100" t="n">
        <v>0.95</v>
      </c>
      <c r="AA100" t="inlineStr">
        <is>
          <t>Valid</t>
        </is>
      </c>
    </row>
    <row r="101">
      <c r="A101" t="inlineStr">
        <is>
          <t>SUP-0010</t>
        </is>
      </c>
      <c r="B101" t="inlineStr">
        <is>
          <t>Packaging Supplier 010</t>
        </is>
      </c>
      <c r="C101" t="inlineStr">
        <is>
          <t>Packaging</t>
        </is>
      </c>
      <c r="D101" t="n">
        <v>2024</v>
      </c>
      <c r="E101" t="n">
        <v>1024486.81</v>
      </c>
      <c r="F101" t="n">
        <v>2139138.22</v>
      </c>
      <c r="G101" t="n">
        <v>929.0374</v>
      </c>
      <c r="H101" t="n">
        <v>202.7525</v>
      </c>
      <c r="I101" t="n">
        <v>178.1147</v>
      </c>
      <c r="J101" t="inlineStr"/>
      <c r="K101" t="n">
        <v>2018</v>
      </c>
      <c r="L101" t="n">
        <v>2035</v>
      </c>
      <c r="M101" t="n">
        <v>0.3963</v>
      </c>
      <c r="N101" t="n">
        <v>0.1482</v>
      </c>
      <c r="O101" t="n">
        <v>2018</v>
      </c>
      <c r="P101" t="n">
        <v>2040</v>
      </c>
      <c r="Q101" t="n">
        <v>0.3112</v>
      </c>
      <c r="R101" t="n">
        <v>702.4188</v>
      </c>
      <c r="S101" t="n">
        <v>0.0010803</v>
      </c>
      <c r="T101" t="n">
        <v>0.00078946</v>
      </c>
      <c r="U101" t="n">
        <v>929.0374</v>
      </c>
      <c r="V101" t="inlineStr">
        <is>
          <t>Supplier Reported Emissions</t>
        </is>
      </c>
      <c r="W101" t="b">
        <v>0</v>
      </c>
      <c r="X101" t="inlineStr">
        <is>
          <t>High</t>
        </is>
      </c>
      <c r="Y101" t="inlineStr">
        <is>
          <t>Scope_Emissions</t>
        </is>
      </c>
      <c r="Z101" t="n">
        <v>0.95</v>
      </c>
      <c r="AA101" t="inlineStr">
        <is>
          <t>Valid</t>
        </is>
      </c>
    </row>
    <row r="102">
      <c r="A102" t="inlineStr">
        <is>
          <t>SUP-0011</t>
        </is>
      </c>
      <c r="B102" t="inlineStr">
        <is>
          <t>Agriculture Supplier 011</t>
        </is>
      </c>
      <c r="C102" t="inlineStr">
        <is>
          <t>Agriculture</t>
        </is>
      </c>
      <c r="D102" t="n">
        <v>2015</v>
      </c>
      <c r="E102" t="n">
        <v>5742541.72</v>
      </c>
      <c r="F102" t="n">
        <v>8827281.17</v>
      </c>
      <c r="G102" t="n">
        <v>5934.0913</v>
      </c>
      <c r="H102" t="n">
        <v>826</v>
      </c>
      <c r="I102" t="n">
        <v>611.0082</v>
      </c>
      <c r="J102" t="n">
        <v>4364.2621</v>
      </c>
      <c r="K102" t="n">
        <v>2020</v>
      </c>
      <c r="L102" t="n">
        <v>2040</v>
      </c>
      <c r="M102" t="n">
        <v>0.3477</v>
      </c>
      <c r="N102" t="n">
        <v>0.1695</v>
      </c>
      <c r="O102" t="n">
        <v>2018</v>
      </c>
      <c r="P102" t="inlineStr"/>
      <c r="Q102" t="inlineStr"/>
      <c r="R102" t="n">
        <v>529.8294</v>
      </c>
      <c r="S102" t="n">
        <v>0.00091413</v>
      </c>
      <c r="T102" t="n">
        <v>0.00096913</v>
      </c>
      <c r="U102" t="n">
        <v>5934.0913</v>
      </c>
      <c r="V102" t="inlineStr">
        <is>
          <t>Supplier Reported Emissions</t>
        </is>
      </c>
      <c r="W102" t="b">
        <v>0</v>
      </c>
      <c r="X102" t="inlineStr">
        <is>
          <t>High</t>
        </is>
      </c>
      <c r="Y102" t="inlineStr">
        <is>
          <t>None</t>
        </is>
      </c>
      <c r="Z102" t="n">
        <v>0.95</v>
      </c>
      <c r="AA102" t="inlineStr">
        <is>
          <t>Valid</t>
        </is>
      </c>
    </row>
    <row r="103">
      <c r="A103" t="inlineStr">
        <is>
          <t>SUP-0011</t>
        </is>
      </c>
      <c r="B103" t="inlineStr">
        <is>
          <t>Agriculture Supplier 011</t>
        </is>
      </c>
      <c r="C103" t="inlineStr">
        <is>
          <t>Agriculture</t>
        </is>
      </c>
      <c r="D103" t="n">
        <v>2016</v>
      </c>
      <c r="E103" t="n">
        <v>5698381.6</v>
      </c>
      <c r="F103" t="inlineStr"/>
      <c r="G103" t="n">
        <v>8137.4689</v>
      </c>
      <c r="H103" t="inlineStr"/>
      <c r="I103" t="n">
        <v>1757.5639</v>
      </c>
      <c r="J103" t="n">
        <v>4137.1948</v>
      </c>
      <c r="K103" t="n">
        <v>2020</v>
      </c>
      <c r="L103" t="n">
        <v>2040</v>
      </c>
      <c r="M103" t="n">
        <v>0.3477</v>
      </c>
      <c r="N103" t="n">
        <v>0.1695</v>
      </c>
      <c r="O103" t="n">
        <v>2018</v>
      </c>
      <c r="P103" t="inlineStr"/>
      <c r="Q103" t="inlineStr"/>
      <c r="R103" t="n">
        <v>529.8294</v>
      </c>
      <c r="S103" t="n">
        <v>0.00091413</v>
      </c>
      <c r="T103" t="n">
        <v>0.00096913</v>
      </c>
      <c r="U103" t="n">
        <v>8137.4689</v>
      </c>
      <c r="V103" t="inlineStr">
        <is>
          <t>Supplier Reported Emissions</t>
        </is>
      </c>
      <c r="W103" t="b">
        <v>0</v>
      </c>
      <c r="X103" t="inlineStr">
        <is>
          <t>High</t>
        </is>
      </c>
      <c r="Y103" t="inlineStr">
        <is>
          <t>Revenue; Scope_Emissions</t>
        </is>
      </c>
      <c r="Z103" t="n">
        <v>0.95</v>
      </c>
      <c r="AA103" t="inlineStr">
        <is>
          <t>Valid</t>
        </is>
      </c>
    </row>
    <row r="104">
      <c r="A104" t="inlineStr">
        <is>
          <t>SUP-0011</t>
        </is>
      </c>
      <c r="B104" t="inlineStr">
        <is>
          <t>Agriculture Supplier 011</t>
        </is>
      </c>
      <c r="C104" t="inlineStr">
        <is>
          <t>Agriculture</t>
        </is>
      </c>
      <c r="D104" t="n">
        <v>2017</v>
      </c>
      <c r="E104" t="n">
        <v>6191105.14</v>
      </c>
      <c r="F104" t="n">
        <v>11482602.88</v>
      </c>
      <c r="G104" t="n">
        <v>8153.7818</v>
      </c>
      <c r="H104" t="n">
        <v>2275.7324</v>
      </c>
      <c r="I104" t="inlineStr"/>
      <c r="J104" t="n">
        <v>4598.9745</v>
      </c>
      <c r="K104" t="n">
        <v>2020</v>
      </c>
      <c r="L104" t="n">
        <v>2040</v>
      </c>
      <c r="M104" t="n">
        <v>0.3477</v>
      </c>
      <c r="N104" t="n">
        <v>0.1695</v>
      </c>
      <c r="O104" t="n">
        <v>2018</v>
      </c>
      <c r="P104" t="inlineStr"/>
      <c r="Q104" t="inlineStr"/>
      <c r="R104" t="n">
        <v>529.8294</v>
      </c>
      <c r="S104" t="n">
        <v>0.00091413</v>
      </c>
      <c r="T104" t="n">
        <v>0.00096913</v>
      </c>
      <c r="U104" t="n">
        <v>8153.7818</v>
      </c>
      <c r="V104" t="inlineStr">
        <is>
          <t>Supplier Reported Emissions</t>
        </is>
      </c>
      <c r="W104" t="b">
        <v>0</v>
      </c>
      <c r="X104" t="inlineStr">
        <is>
          <t>High</t>
        </is>
      </c>
      <c r="Y104" t="inlineStr">
        <is>
          <t>Scope_Emissions</t>
        </is>
      </c>
      <c r="Z104" t="n">
        <v>0.95</v>
      </c>
      <c r="AA104" t="inlineStr">
        <is>
          <t>Valid</t>
        </is>
      </c>
    </row>
    <row r="105">
      <c r="A105" t="inlineStr">
        <is>
          <t>SUP-0011</t>
        </is>
      </c>
      <c r="B105" t="inlineStr">
        <is>
          <t>Agriculture Supplier 011</t>
        </is>
      </c>
      <c r="C105" t="inlineStr">
        <is>
          <t>Agriculture</t>
        </is>
      </c>
      <c r="D105" t="n">
        <v>2018</v>
      </c>
      <c r="E105" t="n">
        <v>6743188.4</v>
      </c>
      <c r="F105" t="n">
        <v>10987073.44</v>
      </c>
      <c r="G105" t="n">
        <v>9657.440399999999</v>
      </c>
      <c r="H105" t="inlineStr"/>
      <c r="I105" t="inlineStr"/>
      <c r="J105" t="inlineStr"/>
      <c r="K105" t="n">
        <v>2020</v>
      </c>
      <c r="L105" t="n">
        <v>2040</v>
      </c>
      <c r="M105" t="n">
        <v>0.3477</v>
      </c>
      <c r="N105" t="n">
        <v>0.1695</v>
      </c>
      <c r="O105" t="n">
        <v>2018</v>
      </c>
      <c r="P105" t="inlineStr"/>
      <c r="Q105" t="inlineStr"/>
      <c r="R105" t="n">
        <v>529.8294</v>
      </c>
      <c r="S105" t="n">
        <v>0.00091413</v>
      </c>
      <c r="T105" t="n">
        <v>0.00096913</v>
      </c>
      <c r="U105" t="n">
        <v>9657.440399999999</v>
      </c>
      <c r="V105" t="inlineStr">
        <is>
          <t>Supplier Reported Emissions</t>
        </is>
      </c>
      <c r="W105" t="b">
        <v>0</v>
      </c>
      <c r="X105" t="inlineStr">
        <is>
          <t>High</t>
        </is>
      </c>
      <c r="Y105" t="inlineStr">
        <is>
          <t>Scope_Emissions</t>
        </is>
      </c>
      <c r="Z105" t="n">
        <v>0.95</v>
      </c>
      <c r="AA105" t="inlineStr">
        <is>
          <t>Valid</t>
        </is>
      </c>
    </row>
    <row r="106">
      <c r="A106" t="inlineStr">
        <is>
          <t>SUP-0011</t>
        </is>
      </c>
      <c r="B106" t="inlineStr">
        <is>
          <t>Agriculture Supplier 011</t>
        </is>
      </c>
      <c r="C106" t="inlineStr">
        <is>
          <t>Agriculture</t>
        </is>
      </c>
      <c r="D106" t="n">
        <v>2019</v>
      </c>
      <c r="E106" t="n">
        <v>6839527.49</v>
      </c>
      <c r="F106" t="n">
        <v>11474758.89</v>
      </c>
      <c r="G106" t="n">
        <v>10923.4372</v>
      </c>
      <c r="H106" t="n">
        <v>1880.1531</v>
      </c>
      <c r="I106" t="n">
        <v>2316.3739</v>
      </c>
      <c r="J106" t="n">
        <v>6282.7467</v>
      </c>
      <c r="K106" t="n">
        <v>2020</v>
      </c>
      <c r="L106" t="n">
        <v>2040</v>
      </c>
      <c r="M106" t="n">
        <v>0.3477</v>
      </c>
      <c r="N106" t="n">
        <v>0.1695</v>
      </c>
      <c r="O106" t="n">
        <v>2018</v>
      </c>
      <c r="P106" t="inlineStr"/>
      <c r="Q106" t="inlineStr"/>
      <c r="R106" t="n">
        <v>529.8294</v>
      </c>
      <c r="S106" t="n">
        <v>0.00091413</v>
      </c>
      <c r="T106" t="n">
        <v>0.00096913</v>
      </c>
      <c r="U106" t="n">
        <v>10923.4372</v>
      </c>
      <c r="V106" t="inlineStr">
        <is>
          <t>Supplier Reported Emissions</t>
        </is>
      </c>
      <c r="W106" t="b">
        <v>0</v>
      </c>
      <c r="X106" t="inlineStr">
        <is>
          <t>High</t>
        </is>
      </c>
      <c r="Y106" t="inlineStr">
        <is>
          <t>None</t>
        </is>
      </c>
      <c r="Z106" t="n">
        <v>0.95</v>
      </c>
      <c r="AA106" t="inlineStr">
        <is>
          <t>Valid</t>
        </is>
      </c>
    </row>
    <row r="107">
      <c r="A107" t="inlineStr">
        <is>
          <t>SUP-0011</t>
        </is>
      </c>
      <c r="B107" t="inlineStr">
        <is>
          <t>Agriculture Supplier 011</t>
        </is>
      </c>
      <c r="C107" t="inlineStr">
        <is>
          <t>Agriculture</t>
        </is>
      </c>
      <c r="D107" t="n">
        <v>2020</v>
      </c>
      <c r="E107" t="inlineStr"/>
      <c r="F107" t="inlineStr"/>
      <c r="G107" t="n">
        <v>10221.962</v>
      </c>
      <c r="H107" t="n">
        <v>1342.1262</v>
      </c>
      <c r="I107" t="n">
        <v>1122.1598</v>
      </c>
      <c r="J107" t="inlineStr"/>
      <c r="K107" t="n">
        <v>2020</v>
      </c>
      <c r="L107" t="n">
        <v>2040</v>
      </c>
      <c r="M107" t="n">
        <v>0.3477</v>
      </c>
      <c r="N107" t="n">
        <v>0.1695</v>
      </c>
      <c r="O107" t="n">
        <v>2018</v>
      </c>
      <c r="P107" t="inlineStr"/>
      <c r="Q107" t="inlineStr"/>
      <c r="R107" t="n">
        <v>529.8294</v>
      </c>
      <c r="S107" t="n">
        <v>0.00091413</v>
      </c>
      <c r="T107" t="n">
        <v>0.00096913</v>
      </c>
      <c r="U107" t="n">
        <v>10221.962</v>
      </c>
      <c r="V107" t="inlineStr">
        <is>
          <t>Supplier Reported Emissions</t>
        </is>
      </c>
      <c r="W107" t="b">
        <v>0</v>
      </c>
      <c r="X107" t="inlineStr">
        <is>
          <t>High</t>
        </is>
      </c>
      <c r="Y107" t="inlineStr">
        <is>
          <t>Gross_Spend; Revenue; Scope_Emissions</t>
        </is>
      </c>
      <c r="Z107" t="n">
        <v>0.95</v>
      </c>
      <c r="AA107" t="inlineStr">
        <is>
          <t>Valid</t>
        </is>
      </c>
    </row>
    <row r="108">
      <c r="A108" t="inlineStr">
        <is>
          <t>SUP-0011</t>
        </is>
      </c>
      <c r="B108" t="inlineStr">
        <is>
          <t>Agriculture Supplier 011</t>
        </is>
      </c>
      <c r="C108" t="inlineStr">
        <is>
          <t>Agriculture</t>
        </is>
      </c>
      <c r="D108" t="n">
        <v>2021</v>
      </c>
      <c r="E108" t="n">
        <v>9146253.689999999</v>
      </c>
      <c r="F108" t="n">
        <v>15456764.63</v>
      </c>
      <c r="G108" t="n">
        <v>12987.4338</v>
      </c>
      <c r="H108" t="n">
        <v>1180.3418</v>
      </c>
      <c r="I108" t="inlineStr"/>
      <c r="J108" t="inlineStr"/>
      <c r="K108" t="n">
        <v>2020</v>
      </c>
      <c r="L108" t="n">
        <v>2040</v>
      </c>
      <c r="M108" t="n">
        <v>0.3477</v>
      </c>
      <c r="N108" t="n">
        <v>0.1695</v>
      </c>
      <c r="O108" t="n">
        <v>2018</v>
      </c>
      <c r="P108" t="inlineStr"/>
      <c r="Q108" t="inlineStr"/>
      <c r="R108" t="n">
        <v>529.8294</v>
      </c>
      <c r="S108" t="n">
        <v>0.00091413</v>
      </c>
      <c r="T108" t="n">
        <v>0.00096913</v>
      </c>
      <c r="U108" t="n">
        <v>12987.4338</v>
      </c>
      <c r="V108" t="inlineStr">
        <is>
          <t>Supplier Reported Emissions</t>
        </is>
      </c>
      <c r="W108" t="b">
        <v>0</v>
      </c>
      <c r="X108" t="inlineStr">
        <is>
          <t>High</t>
        </is>
      </c>
      <c r="Y108" t="inlineStr">
        <is>
          <t>Scope_Emissions</t>
        </is>
      </c>
      <c r="Z108" t="n">
        <v>0.95</v>
      </c>
      <c r="AA108" t="inlineStr">
        <is>
          <t>Valid</t>
        </is>
      </c>
    </row>
    <row r="109">
      <c r="A109" t="inlineStr">
        <is>
          <t>SUP-0011</t>
        </is>
      </c>
      <c r="B109" t="inlineStr">
        <is>
          <t>Agriculture Supplier 011</t>
        </is>
      </c>
      <c r="C109" t="inlineStr">
        <is>
          <t>Agriculture</t>
        </is>
      </c>
      <c r="D109" t="n">
        <v>2022</v>
      </c>
      <c r="E109" t="n">
        <v>7926747.22</v>
      </c>
      <c r="F109" t="n">
        <v>16552013.65</v>
      </c>
      <c r="G109" t="n">
        <v>8800.554599999999</v>
      </c>
      <c r="H109" t="n">
        <v>1082.3628</v>
      </c>
      <c r="I109" t="n">
        <v>1278.0482</v>
      </c>
      <c r="J109" t="n">
        <v>6256.9625</v>
      </c>
      <c r="K109" t="n">
        <v>2020</v>
      </c>
      <c r="L109" t="n">
        <v>2040</v>
      </c>
      <c r="M109" t="n">
        <v>0.3477</v>
      </c>
      <c r="N109" t="n">
        <v>0.1695</v>
      </c>
      <c r="O109" t="n">
        <v>2018</v>
      </c>
      <c r="P109" t="inlineStr"/>
      <c r="Q109" t="inlineStr"/>
      <c r="R109" t="n">
        <v>529.8294</v>
      </c>
      <c r="S109" t="n">
        <v>0.00091413</v>
      </c>
      <c r="T109" t="n">
        <v>0.00096913</v>
      </c>
      <c r="U109" t="n">
        <v>8800.554599999999</v>
      </c>
      <c r="V109" t="inlineStr">
        <is>
          <t>Supplier Reported Emissions</t>
        </is>
      </c>
      <c r="W109" t="b">
        <v>0</v>
      </c>
      <c r="X109" t="inlineStr">
        <is>
          <t>High</t>
        </is>
      </c>
      <c r="Y109" t="inlineStr">
        <is>
          <t>None</t>
        </is>
      </c>
      <c r="Z109" t="n">
        <v>0.95</v>
      </c>
      <c r="AA109" t="inlineStr">
        <is>
          <t>Valid</t>
        </is>
      </c>
    </row>
    <row r="110">
      <c r="A110" t="inlineStr">
        <is>
          <t>SUP-0011</t>
        </is>
      </c>
      <c r="B110" t="inlineStr">
        <is>
          <t>Agriculture Supplier 011</t>
        </is>
      </c>
      <c r="C110" t="inlineStr">
        <is>
          <t>Agriculture</t>
        </is>
      </c>
      <c r="D110" t="n">
        <v>2023</v>
      </c>
      <c r="E110" t="n">
        <v>7844614.16</v>
      </c>
      <c r="F110" t="n">
        <v>16475753.12</v>
      </c>
      <c r="G110" t="n">
        <v>8433.68</v>
      </c>
      <c r="H110" t="n">
        <v>1035.9329</v>
      </c>
      <c r="I110" t="n">
        <v>1492.2528</v>
      </c>
      <c r="J110" t="n">
        <v>5347.6585</v>
      </c>
      <c r="K110" t="n">
        <v>2020</v>
      </c>
      <c r="L110" t="n">
        <v>2040</v>
      </c>
      <c r="M110" t="n">
        <v>0.3477</v>
      </c>
      <c r="N110" t="n">
        <v>0.1695</v>
      </c>
      <c r="O110" t="n">
        <v>2018</v>
      </c>
      <c r="P110" t="inlineStr"/>
      <c r="Q110" t="inlineStr"/>
      <c r="R110" t="n">
        <v>529.8294</v>
      </c>
      <c r="S110" t="n">
        <v>0.00091413</v>
      </c>
      <c r="T110" t="n">
        <v>0.00096913</v>
      </c>
      <c r="U110" t="n">
        <v>8433.68</v>
      </c>
      <c r="V110" t="inlineStr">
        <is>
          <t>Supplier Reported Emissions</t>
        </is>
      </c>
      <c r="W110" t="b">
        <v>0</v>
      </c>
      <c r="X110" t="inlineStr">
        <is>
          <t>High</t>
        </is>
      </c>
      <c r="Y110" t="inlineStr">
        <is>
          <t>None</t>
        </is>
      </c>
      <c r="Z110" t="n">
        <v>0.95</v>
      </c>
      <c r="AA110" t="inlineStr">
        <is>
          <t>Valid</t>
        </is>
      </c>
    </row>
    <row r="111">
      <c r="A111" t="inlineStr">
        <is>
          <t>SUP-0011</t>
        </is>
      </c>
      <c r="B111" t="inlineStr">
        <is>
          <t>Agriculture Supplier 011</t>
        </is>
      </c>
      <c r="C111" t="inlineStr">
        <is>
          <t>Agriculture</t>
        </is>
      </c>
      <c r="D111" t="n">
        <v>2024</v>
      </c>
      <c r="E111" t="n">
        <v>9452299.33</v>
      </c>
      <c r="F111" t="n">
        <v>14891854.76</v>
      </c>
      <c r="G111" t="n">
        <v>8620.5301</v>
      </c>
      <c r="H111" t="n">
        <v>1962.8937</v>
      </c>
      <c r="I111" t="n">
        <v>1129.2387</v>
      </c>
      <c r="J111" t="inlineStr"/>
      <c r="K111" t="n">
        <v>2020</v>
      </c>
      <c r="L111" t="n">
        <v>2040</v>
      </c>
      <c r="M111" t="n">
        <v>0.3477</v>
      </c>
      <c r="N111" t="n">
        <v>0.1695</v>
      </c>
      <c r="O111" t="n">
        <v>2018</v>
      </c>
      <c r="P111" t="inlineStr"/>
      <c r="Q111" t="inlineStr"/>
      <c r="R111" t="n">
        <v>529.8294</v>
      </c>
      <c r="S111" t="n">
        <v>0.00091413</v>
      </c>
      <c r="T111" t="n">
        <v>0.00096913</v>
      </c>
      <c r="U111" t="n">
        <v>8620.5301</v>
      </c>
      <c r="V111" t="inlineStr">
        <is>
          <t>Supplier Reported Emissions</t>
        </is>
      </c>
      <c r="W111" t="b">
        <v>0</v>
      </c>
      <c r="X111" t="inlineStr">
        <is>
          <t>High</t>
        </is>
      </c>
      <c r="Y111" t="inlineStr">
        <is>
          <t>Scope_Emissions</t>
        </is>
      </c>
      <c r="Z111" t="n">
        <v>0.95</v>
      </c>
      <c r="AA111" t="inlineStr">
        <is>
          <t>Valid</t>
        </is>
      </c>
    </row>
    <row r="112">
      <c r="A112" t="inlineStr">
        <is>
          <t>SUP-0012</t>
        </is>
      </c>
      <c r="B112" t="inlineStr">
        <is>
          <t>Textiles Supplier 012</t>
        </is>
      </c>
      <c r="C112" t="inlineStr">
        <is>
          <t>Textiles</t>
        </is>
      </c>
      <c r="D112" t="n">
        <v>2015</v>
      </c>
      <c r="E112" t="n">
        <v>12755603.16</v>
      </c>
      <c r="F112" t="n">
        <v>85723631.56</v>
      </c>
      <c r="G112" t="n">
        <v>4123.5761</v>
      </c>
      <c r="H112" t="n">
        <v>1083.9685</v>
      </c>
      <c r="I112" t="n">
        <v>772.8661</v>
      </c>
      <c r="J112" t="n">
        <v>2394.8733</v>
      </c>
      <c r="K112" t="inlineStr"/>
      <c r="L112" t="inlineStr"/>
      <c r="M112" t="inlineStr"/>
      <c r="N112" t="inlineStr"/>
      <c r="O112" t="n">
        <v>2019</v>
      </c>
      <c r="P112" t="n">
        <v>2030</v>
      </c>
      <c r="Q112" t="n">
        <v>0.3171</v>
      </c>
      <c r="R112" t="n">
        <v>401.7335</v>
      </c>
      <c r="S112" t="n">
        <v>0.00029221</v>
      </c>
      <c r="T112" t="n">
        <v>0.00017343</v>
      </c>
      <c r="U112" t="n">
        <v>4123.5761</v>
      </c>
      <c r="V112" t="inlineStr">
        <is>
          <t>Supplier Reported Emissions</t>
        </is>
      </c>
      <c r="W112" t="b">
        <v>0</v>
      </c>
      <c r="X112" t="inlineStr">
        <is>
          <t>High</t>
        </is>
      </c>
      <c r="Y112" t="inlineStr">
        <is>
          <t>None</t>
        </is>
      </c>
      <c r="Z112" t="n">
        <v>0.95</v>
      </c>
      <c r="AA112" t="inlineStr">
        <is>
          <t>Valid</t>
        </is>
      </c>
    </row>
    <row r="113">
      <c r="A113" t="inlineStr">
        <is>
          <t>SUP-0012</t>
        </is>
      </c>
      <c r="B113" t="inlineStr">
        <is>
          <t>Textiles Supplier 012</t>
        </is>
      </c>
      <c r="C113" t="inlineStr">
        <is>
          <t>Textiles</t>
        </is>
      </c>
      <c r="D113" t="n">
        <v>2016</v>
      </c>
      <c r="E113" t="n">
        <v>15036852.25</v>
      </c>
      <c r="F113" t="n">
        <v>97991047.3</v>
      </c>
      <c r="G113" t="inlineStr"/>
      <c r="H113" t="n">
        <v>565.1797</v>
      </c>
      <c r="I113" t="n">
        <v>437.1589</v>
      </c>
      <c r="J113" t="n">
        <v>3916.3631</v>
      </c>
      <c r="K113" t="inlineStr"/>
      <c r="L113" t="inlineStr"/>
      <c r="M113" t="inlineStr"/>
      <c r="N113" t="inlineStr"/>
      <c r="O113" t="n">
        <v>2019</v>
      </c>
      <c r="P113" t="n">
        <v>2030</v>
      </c>
      <c r="Q113" t="n">
        <v>0.3171</v>
      </c>
      <c r="R113" t="n">
        <v>401.7335</v>
      </c>
      <c r="S113" t="n">
        <v>0.00029221</v>
      </c>
      <c r="T113" t="n">
        <v>0.00017343</v>
      </c>
      <c r="U113" t="n">
        <v>4918.7017</v>
      </c>
      <c r="V113" t="inlineStr">
        <is>
          <t>Scope 1 + Scope 2 + Scope 3</t>
        </is>
      </c>
      <c r="W113" t="b">
        <v>1</v>
      </c>
      <c r="X113" t="inlineStr">
        <is>
          <t>High</t>
        </is>
      </c>
      <c r="Y113" t="inlineStr">
        <is>
          <t>Reported_Emissions</t>
        </is>
      </c>
      <c r="Z113" t="n">
        <v>0.88</v>
      </c>
      <c r="AA113" t="inlineStr">
        <is>
          <t>Valid</t>
        </is>
      </c>
    </row>
    <row r="114">
      <c r="A114" t="inlineStr">
        <is>
          <t>SUP-0012</t>
        </is>
      </c>
      <c r="B114" t="inlineStr">
        <is>
          <t>Textiles Supplier 012</t>
        </is>
      </c>
      <c r="C114" t="inlineStr">
        <is>
          <t>Textiles</t>
        </is>
      </c>
      <c r="D114" t="n">
        <v>2017</v>
      </c>
      <c r="E114" t="n">
        <v>16461200.92</v>
      </c>
      <c r="F114" t="inlineStr"/>
      <c r="G114" t="inlineStr"/>
      <c r="H114" t="n">
        <v>1329.9478</v>
      </c>
      <c r="I114" t="n">
        <v>782.9113</v>
      </c>
      <c r="J114" t="n">
        <v>3278.6661</v>
      </c>
      <c r="K114" t="inlineStr"/>
      <c r="L114" t="inlineStr"/>
      <c r="M114" t="inlineStr"/>
      <c r="N114" t="inlineStr"/>
      <c r="O114" t="n">
        <v>2019</v>
      </c>
      <c r="P114" t="n">
        <v>2030</v>
      </c>
      <c r="Q114" t="n">
        <v>0.3171</v>
      </c>
      <c r="R114" t="n">
        <v>401.7335</v>
      </c>
      <c r="S114" t="n">
        <v>0.00029221</v>
      </c>
      <c r="T114" t="n">
        <v>0.00017343</v>
      </c>
      <c r="U114" t="n">
        <v>5391.5252</v>
      </c>
      <c r="V114" t="inlineStr">
        <is>
          <t>Scope 1 + Scope 2 + Scope 3</t>
        </is>
      </c>
      <c r="W114" t="b">
        <v>1</v>
      </c>
      <c r="X114" t="inlineStr">
        <is>
          <t>High</t>
        </is>
      </c>
      <c r="Y114" t="inlineStr">
        <is>
          <t>Reported_Emissions; Revenue</t>
        </is>
      </c>
      <c r="Z114" t="n">
        <v>0.88</v>
      </c>
      <c r="AA114" t="inlineStr">
        <is>
          <t>Valid</t>
        </is>
      </c>
    </row>
    <row r="115">
      <c r="A115" t="inlineStr">
        <is>
          <t>SUP-0012</t>
        </is>
      </c>
      <c r="B115" t="inlineStr">
        <is>
          <t>Textiles Supplier 012</t>
        </is>
      </c>
      <c r="C115" t="inlineStr">
        <is>
          <t>Textiles</t>
        </is>
      </c>
      <c r="D115" t="n">
        <v>2018</v>
      </c>
      <c r="E115" t="n">
        <v>15745411.34</v>
      </c>
      <c r="F115" t="n">
        <v>95606198.34999999</v>
      </c>
      <c r="G115" t="inlineStr"/>
      <c r="H115" t="n">
        <v>818.748</v>
      </c>
      <c r="I115" t="n">
        <v>602.0672</v>
      </c>
      <c r="J115" t="inlineStr"/>
      <c r="K115" t="inlineStr"/>
      <c r="L115" t="inlineStr"/>
      <c r="M115" t="inlineStr"/>
      <c r="N115" t="inlineStr"/>
      <c r="O115" t="n">
        <v>2019</v>
      </c>
      <c r="P115" t="n">
        <v>2030</v>
      </c>
      <c r="Q115" t="n">
        <v>0.3171</v>
      </c>
      <c r="R115" t="n">
        <v>401.7335</v>
      </c>
      <c r="S115" t="n">
        <v>0.00029221</v>
      </c>
      <c r="T115" t="n">
        <v>0.00017343</v>
      </c>
      <c r="U115" t="n">
        <v>4600.9666</v>
      </c>
      <c r="V115" t="inlineStr">
        <is>
          <t>Spend-Based Estimate</t>
        </is>
      </c>
      <c r="W115" t="b">
        <v>1</v>
      </c>
      <c r="X115" t="inlineStr">
        <is>
          <t>Medium</t>
        </is>
      </c>
      <c r="Y115" t="inlineStr">
        <is>
          <t>Reported_Emissions; Scope_Emissions</t>
        </is>
      </c>
      <c r="Z115" t="n">
        <v>0.7</v>
      </c>
      <c r="AA115" t="inlineStr">
        <is>
          <t>Valid</t>
        </is>
      </c>
    </row>
    <row r="116">
      <c r="A116" t="inlineStr">
        <is>
          <t>SUP-0012</t>
        </is>
      </c>
      <c r="B116" t="inlineStr">
        <is>
          <t>Textiles Supplier 012</t>
        </is>
      </c>
      <c r="C116" t="inlineStr">
        <is>
          <t>Textiles</t>
        </is>
      </c>
      <c r="D116" t="n">
        <v>2019</v>
      </c>
      <c r="E116" t="n">
        <v>17676816.06</v>
      </c>
      <c r="F116" t="n">
        <v>101802937.2</v>
      </c>
      <c r="G116" t="n">
        <v>5113.7407</v>
      </c>
      <c r="H116" t="inlineStr"/>
      <c r="I116" t="n">
        <v>1037.5974</v>
      </c>
      <c r="J116" t="n">
        <v>2537.6023</v>
      </c>
      <c r="K116" t="inlineStr"/>
      <c r="L116" t="inlineStr"/>
      <c r="M116" t="inlineStr"/>
      <c r="N116" t="inlineStr"/>
      <c r="O116" t="n">
        <v>2019</v>
      </c>
      <c r="P116" t="n">
        <v>2030</v>
      </c>
      <c r="Q116" t="n">
        <v>0.3171</v>
      </c>
      <c r="R116" t="n">
        <v>401.7335</v>
      </c>
      <c r="S116" t="n">
        <v>0.00029221</v>
      </c>
      <c r="T116" t="n">
        <v>0.00017343</v>
      </c>
      <c r="U116" t="n">
        <v>5113.7407</v>
      </c>
      <c r="V116" t="inlineStr">
        <is>
          <t>Supplier Reported Emissions</t>
        </is>
      </c>
      <c r="W116" t="b">
        <v>0</v>
      </c>
      <c r="X116" t="inlineStr">
        <is>
          <t>High</t>
        </is>
      </c>
      <c r="Y116" t="inlineStr">
        <is>
          <t>Scope_Emissions</t>
        </is>
      </c>
      <c r="Z116" t="n">
        <v>0.95</v>
      </c>
      <c r="AA116" t="inlineStr">
        <is>
          <t>Valid</t>
        </is>
      </c>
    </row>
    <row r="117">
      <c r="A117" t="inlineStr">
        <is>
          <t>SUP-0012</t>
        </is>
      </c>
      <c r="B117" t="inlineStr">
        <is>
          <t>Textiles Supplier 012</t>
        </is>
      </c>
      <c r="C117" t="inlineStr">
        <is>
          <t>Textiles</t>
        </is>
      </c>
      <c r="D117" t="n">
        <v>2020</v>
      </c>
      <c r="E117" t="n">
        <v>18314476.63</v>
      </c>
      <c r="F117" t="n">
        <v>107547512.87</v>
      </c>
      <c r="G117" t="n">
        <v>5688.8645</v>
      </c>
      <c r="H117" t="n">
        <v>871.9072</v>
      </c>
      <c r="I117" t="n">
        <v>585.1143</v>
      </c>
      <c r="J117" t="n">
        <v>4509.7481</v>
      </c>
      <c r="K117" t="inlineStr"/>
      <c r="L117" t="inlineStr"/>
      <c r="M117" t="inlineStr"/>
      <c r="N117" t="inlineStr"/>
      <c r="O117" t="n">
        <v>2019</v>
      </c>
      <c r="P117" t="n">
        <v>2030</v>
      </c>
      <c r="Q117" t="n">
        <v>0.3171</v>
      </c>
      <c r="R117" t="n">
        <v>401.7335</v>
      </c>
      <c r="S117" t="n">
        <v>0.00029221</v>
      </c>
      <c r="T117" t="n">
        <v>0.00017343</v>
      </c>
      <c r="U117" t="n">
        <v>5688.8645</v>
      </c>
      <c r="V117" t="inlineStr">
        <is>
          <t>Supplier Reported Emissions</t>
        </is>
      </c>
      <c r="W117" t="b">
        <v>0</v>
      </c>
      <c r="X117" t="inlineStr">
        <is>
          <t>High</t>
        </is>
      </c>
      <c r="Y117" t="inlineStr">
        <is>
          <t>None</t>
        </is>
      </c>
      <c r="Z117" t="n">
        <v>0.95</v>
      </c>
      <c r="AA117" t="inlineStr">
        <is>
          <t>Valid</t>
        </is>
      </c>
    </row>
    <row r="118">
      <c r="A118" t="inlineStr">
        <is>
          <t>SUP-0012</t>
        </is>
      </c>
      <c r="B118" t="inlineStr">
        <is>
          <t>Textiles Supplier 012</t>
        </is>
      </c>
      <c r="C118" t="inlineStr">
        <is>
          <t>Textiles</t>
        </is>
      </c>
      <c r="D118" t="n">
        <v>2021</v>
      </c>
      <c r="E118" t="n">
        <v>21259121.5</v>
      </c>
      <c r="F118" t="n">
        <v>112600574.26</v>
      </c>
      <c r="G118" t="n">
        <v>6175.6183</v>
      </c>
      <c r="H118" t="n">
        <v>1090.1274</v>
      </c>
      <c r="I118" t="inlineStr"/>
      <c r="J118" t="inlineStr"/>
      <c r="K118" t="inlineStr"/>
      <c r="L118" t="inlineStr"/>
      <c r="M118" t="inlineStr"/>
      <c r="N118" t="inlineStr"/>
      <c r="O118" t="n">
        <v>2019</v>
      </c>
      <c r="P118" t="n">
        <v>2030</v>
      </c>
      <c r="Q118" t="n">
        <v>0.3171</v>
      </c>
      <c r="R118" t="n">
        <v>401.7335</v>
      </c>
      <c r="S118" t="n">
        <v>0.00029221</v>
      </c>
      <c r="T118" t="n">
        <v>0.00017343</v>
      </c>
      <c r="U118" t="n">
        <v>6175.6183</v>
      </c>
      <c r="V118" t="inlineStr">
        <is>
          <t>Supplier Reported Emissions</t>
        </is>
      </c>
      <c r="W118" t="b">
        <v>0</v>
      </c>
      <c r="X118" t="inlineStr">
        <is>
          <t>High</t>
        </is>
      </c>
      <c r="Y118" t="inlineStr">
        <is>
          <t>Scope_Emissions</t>
        </is>
      </c>
      <c r="Z118" t="n">
        <v>0.95</v>
      </c>
      <c r="AA118" t="inlineStr">
        <is>
          <t>Valid</t>
        </is>
      </c>
    </row>
    <row r="119">
      <c r="A119" t="inlineStr">
        <is>
          <t>SUP-0012</t>
        </is>
      </c>
      <c r="B119" t="inlineStr">
        <is>
          <t>Textiles Supplier 012</t>
        </is>
      </c>
      <c r="C119" t="inlineStr">
        <is>
          <t>Textiles</t>
        </is>
      </c>
      <c r="D119" t="n">
        <v>2022</v>
      </c>
      <c r="E119" t="n">
        <v>19310565.95</v>
      </c>
      <c r="F119" t="n">
        <v>120678385.15</v>
      </c>
      <c r="G119" t="inlineStr"/>
      <c r="H119" t="n">
        <v>1133.4453</v>
      </c>
      <c r="I119" t="inlineStr"/>
      <c r="J119" t="n">
        <v>3908.0454</v>
      </c>
      <c r="K119" t="inlineStr"/>
      <c r="L119" t="inlineStr"/>
      <c r="M119" t="inlineStr"/>
      <c r="N119" t="inlineStr"/>
      <c r="O119" t="n">
        <v>2019</v>
      </c>
      <c r="P119" t="n">
        <v>2030</v>
      </c>
      <c r="Q119" t="n">
        <v>0.3171</v>
      </c>
      <c r="R119" t="n">
        <v>401.7335</v>
      </c>
      <c r="S119" t="n">
        <v>0.00029221</v>
      </c>
      <c r="T119" t="n">
        <v>0.00017343</v>
      </c>
      <c r="U119" t="n">
        <v>5642.7405</v>
      </c>
      <c r="V119" t="inlineStr">
        <is>
          <t>Spend-Based Estimate</t>
        </is>
      </c>
      <c r="W119" t="b">
        <v>1</v>
      </c>
      <c r="X119" t="inlineStr">
        <is>
          <t>Medium</t>
        </is>
      </c>
      <c r="Y119" t="inlineStr">
        <is>
          <t>Reported_Emissions; Scope_Emissions</t>
        </is>
      </c>
      <c r="Z119" t="n">
        <v>0.7</v>
      </c>
      <c r="AA119" t="inlineStr">
        <is>
          <t>Valid</t>
        </is>
      </c>
    </row>
    <row r="120">
      <c r="A120" t="inlineStr">
        <is>
          <t>SUP-0012</t>
        </is>
      </c>
      <c r="B120" t="inlineStr">
        <is>
          <t>Textiles Supplier 012</t>
        </is>
      </c>
      <c r="C120" t="inlineStr">
        <is>
          <t>Textiles</t>
        </is>
      </c>
      <c r="D120" t="n">
        <v>2023</v>
      </c>
      <c r="E120" t="n">
        <v>22133374.76</v>
      </c>
      <c r="F120" t="n">
        <v>149565312.35</v>
      </c>
      <c r="G120" t="n">
        <v>5896.3152</v>
      </c>
      <c r="H120" t="n">
        <v>1179.8604</v>
      </c>
      <c r="I120" t="n">
        <v>447.9093</v>
      </c>
      <c r="J120" t="n">
        <v>3884.8524</v>
      </c>
      <c r="K120" t="inlineStr"/>
      <c r="L120" t="inlineStr"/>
      <c r="M120" t="inlineStr"/>
      <c r="N120" t="inlineStr"/>
      <c r="O120" t="n">
        <v>2019</v>
      </c>
      <c r="P120" t="n">
        <v>2030</v>
      </c>
      <c r="Q120" t="n">
        <v>0.3171</v>
      </c>
      <c r="R120" t="n">
        <v>401.7335</v>
      </c>
      <c r="S120" t="n">
        <v>0.00029221</v>
      </c>
      <c r="T120" t="n">
        <v>0.00017343</v>
      </c>
      <c r="U120" t="n">
        <v>5896.3152</v>
      </c>
      <c r="V120" t="inlineStr">
        <is>
          <t>Supplier Reported Emissions</t>
        </is>
      </c>
      <c r="W120" t="b">
        <v>0</v>
      </c>
      <c r="X120" t="inlineStr">
        <is>
          <t>High</t>
        </is>
      </c>
      <c r="Y120" t="inlineStr">
        <is>
          <t>None</t>
        </is>
      </c>
      <c r="Z120" t="n">
        <v>0.95</v>
      </c>
      <c r="AA120" t="inlineStr">
        <is>
          <t>Valid</t>
        </is>
      </c>
    </row>
    <row r="121">
      <c r="A121" t="inlineStr">
        <is>
          <t>SUP-0012</t>
        </is>
      </c>
      <c r="B121" t="inlineStr">
        <is>
          <t>Textiles Supplier 012</t>
        </is>
      </c>
      <c r="C121" t="inlineStr">
        <is>
          <t>Textiles</t>
        </is>
      </c>
      <c r="D121" t="n">
        <v>2024</v>
      </c>
      <c r="E121" t="n">
        <v>21655788.06</v>
      </c>
      <c r="F121" t="n">
        <v>146539952.95</v>
      </c>
      <c r="G121" t="inlineStr"/>
      <c r="H121" t="n">
        <v>892.7094</v>
      </c>
      <c r="I121" t="inlineStr"/>
      <c r="J121" t="n">
        <v>2640.714</v>
      </c>
      <c r="K121" t="inlineStr"/>
      <c r="L121" t="inlineStr"/>
      <c r="M121" t="inlineStr"/>
      <c r="N121" t="inlineStr"/>
      <c r="O121" t="n">
        <v>2019</v>
      </c>
      <c r="P121" t="n">
        <v>2030</v>
      </c>
      <c r="Q121" t="n">
        <v>0.3171</v>
      </c>
      <c r="R121" t="n">
        <v>401.7335</v>
      </c>
      <c r="S121" t="n">
        <v>0.00029221</v>
      </c>
      <c r="T121" t="n">
        <v>0.00017343</v>
      </c>
      <c r="U121" t="n">
        <v>6328.0378</v>
      </c>
      <c r="V121" t="inlineStr">
        <is>
          <t>Spend-Based Estimate</t>
        </is>
      </c>
      <c r="W121" t="b">
        <v>1</v>
      </c>
      <c r="X121" t="inlineStr">
        <is>
          <t>Medium</t>
        </is>
      </c>
      <c r="Y121" t="inlineStr">
        <is>
          <t>Reported_Emissions; Scope_Emissions</t>
        </is>
      </c>
      <c r="Z121" t="n">
        <v>0.7</v>
      </c>
      <c r="AA121" t="inlineStr">
        <is>
          <t>Valid</t>
        </is>
      </c>
    </row>
    <row r="122">
      <c r="A122" t="inlineStr">
        <is>
          <t>SUP-0013</t>
        </is>
      </c>
      <c r="B122" t="inlineStr">
        <is>
          <t>Electronics Supplier 013</t>
        </is>
      </c>
      <c r="C122" t="inlineStr">
        <is>
          <t>Electronics</t>
        </is>
      </c>
      <c r="D122" t="n">
        <v>2015</v>
      </c>
      <c r="E122" t="n">
        <v>22727279.79</v>
      </c>
      <c r="F122" t="n">
        <v>138917336.37</v>
      </c>
      <c r="G122" t="n">
        <v>17475.0503</v>
      </c>
      <c r="H122" t="n">
        <v>2305.3172</v>
      </c>
      <c r="I122" t="n">
        <v>1266.6728</v>
      </c>
      <c r="J122" t="n">
        <v>13714.8623</v>
      </c>
      <c r="K122" t="inlineStr"/>
      <c r="L122" t="inlineStr"/>
      <c r="M122" t="inlineStr"/>
      <c r="N122" t="inlineStr"/>
      <c r="O122" t="n">
        <v>2018</v>
      </c>
      <c r="P122" t="n">
        <v>2040</v>
      </c>
      <c r="Q122" t="n">
        <v>0.3424</v>
      </c>
      <c r="R122" t="n">
        <v>635.1588</v>
      </c>
      <c r="S122" t="n">
        <v>0.00086105</v>
      </c>
      <c r="T122" t="n">
        <v>0.00013947</v>
      </c>
      <c r="U122" t="n">
        <v>17475.0503</v>
      </c>
      <c r="V122" t="inlineStr">
        <is>
          <t>Supplier Reported Emissions</t>
        </is>
      </c>
      <c r="W122" t="b">
        <v>0</v>
      </c>
      <c r="X122" t="inlineStr">
        <is>
          <t>High</t>
        </is>
      </c>
      <c r="Y122" t="inlineStr">
        <is>
          <t>None</t>
        </is>
      </c>
      <c r="Z122" t="n">
        <v>0.95</v>
      </c>
      <c r="AA122" t="inlineStr">
        <is>
          <t>Valid</t>
        </is>
      </c>
    </row>
    <row r="123">
      <c r="A123" t="inlineStr">
        <is>
          <t>SUP-0013</t>
        </is>
      </c>
      <c r="B123" t="inlineStr">
        <is>
          <t>Electronics Supplier 013</t>
        </is>
      </c>
      <c r="C123" t="inlineStr">
        <is>
          <t>Electronics</t>
        </is>
      </c>
      <c r="D123" t="n">
        <v>2016</v>
      </c>
      <c r="E123" t="n">
        <v>24397343.52</v>
      </c>
      <c r="F123" t="n">
        <v>192541453.76</v>
      </c>
      <c r="G123" t="n">
        <v>20692.9304</v>
      </c>
      <c r="H123" t="n">
        <v>4927.8185</v>
      </c>
      <c r="I123" t="n">
        <v>3428.9517</v>
      </c>
      <c r="J123" t="n">
        <v>10529.797</v>
      </c>
      <c r="K123" t="inlineStr"/>
      <c r="L123" t="inlineStr"/>
      <c r="M123" t="inlineStr"/>
      <c r="N123" t="inlineStr"/>
      <c r="O123" t="n">
        <v>2018</v>
      </c>
      <c r="P123" t="n">
        <v>2040</v>
      </c>
      <c r="Q123" t="n">
        <v>0.3424</v>
      </c>
      <c r="R123" t="n">
        <v>635.1588</v>
      </c>
      <c r="S123" t="n">
        <v>0.00086105</v>
      </c>
      <c r="T123" t="n">
        <v>0.00013947</v>
      </c>
      <c r="U123" t="n">
        <v>20692.9304</v>
      </c>
      <c r="V123" t="inlineStr">
        <is>
          <t>Supplier Reported Emissions</t>
        </is>
      </c>
      <c r="W123" t="b">
        <v>0</v>
      </c>
      <c r="X123" t="inlineStr">
        <is>
          <t>High</t>
        </is>
      </c>
      <c r="Y123" t="inlineStr">
        <is>
          <t>None</t>
        </is>
      </c>
      <c r="Z123" t="n">
        <v>0.95</v>
      </c>
      <c r="AA123" t="inlineStr">
        <is>
          <t>Valid</t>
        </is>
      </c>
    </row>
    <row r="124">
      <c r="A124" t="inlineStr">
        <is>
          <t>SUP-0013</t>
        </is>
      </c>
      <c r="B124" t="inlineStr">
        <is>
          <t>Electronics Supplier 013</t>
        </is>
      </c>
      <c r="C124" t="inlineStr">
        <is>
          <t>Electronics</t>
        </is>
      </c>
      <c r="D124" t="n">
        <v>2017</v>
      </c>
      <c r="E124" t="n">
        <v>27829305.82</v>
      </c>
      <c r="F124" t="n">
        <v>177626319.91</v>
      </c>
      <c r="G124" t="inlineStr"/>
      <c r="H124" t="n">
        <v>3642.5105</v>
      </c>
      <c r="I124" t="n">
        <v>2644.2438</v>
      </c>
      <c r="J124" t="n">
        <v>15375.6436</v>
      </c>
      <c r="K124" t="inlineStr"/>
      <c r="L124" t="inlineStr"/>
      <c r="M124" t="inlineStr"/>
      <c r="N124" t="inlineStr"/>
      <c r="O124" t="n">
        <v>2018</v>
      </c>
      <c r="P124" t="n">
        <v>2040</v>
      </c>
      <c r="Q124" t="n">
        <v>0.3424</v>
      </c>
      <c r="R124" t="n">
        <v>635.1588</v>
      </c>
      <c r="S124" t="n">
        <v>0.00086105</v>
      </c>
      <c r="T124" t="n">
        <v>0.00013947</v>
      </c>
      <c r="U124" t="n">
        <v>21662.3979</v>
      </c>
      <c r="V124" t="inlineStr">
        <is>
          <t>Scope 1 + Scope 2 + Scope 3</t>
        </is>
      </c>
      <c r="W124" t="b">
        <v>1</v>
      </c>
      <c r="X124" t="inlineStr">
        <is>
          <t>High</t>
        </is>
      </c>
      <c r="Y124" t="inlineStr">
        <is>
          <t>Reported_Emissions</t>
        </is>
      </c>
      <c r="Z124" t="n">
        <v>0.88</v>
      </c>
      <c r="AA124" t="inlineStr">
        <is>
          <t>Valid</t>
        </is>
      </c>
    </row>
    <row r="125">
      <c r="A125" t="inlineStr">
        <is>
          <t>SUP-0013</t>
        </is>
      </c>
      <c r="B125" t="inlineStr">
        <is>
          <t>Electronics Supplier 013</t>
        </is>
      </c>
      <c r="C125" t="inlineStr">
        <is>
          <t>Electronics</t>
        </is>
      </c>
      <c r="D125" t="n">
        <v>2018</v>
      </c>
      <c r="E125" t="n">
        <v>26287428.87</v>
      </c>
      <c r="F125" t="n">
        <v>198106564.7</v>
      </c>
      <c r="G125" t="n">
        <v>19455.3513</v>
      </c>
      <c r="H125" t="n">
        <v>4602.4367</v>
      </c>
      <c r="I125" t="n">
        <v>3388.2695</v>
      </c>
      <c r="J125" t="n">
        <v>11647.5877</v>
      </c>
      <c r="K125" t="inlineStr"/>
      <c r="L125" t="inlineStr"/>
      <c r="M125" t="inlineStr"/>
      <c r="N125" t="inlineStr"/>
      <c r="O125" t="n">
        <v>2018</v>
      </c>
      <c r="P125" t="n">
        <v>2040</v>
      </c>
      <c r="Q125" t="n">
        <v>0.3424</v>
      </c>
      <c r="R125" t="n">
        <v>635.1588</v>
      </c>
      <c r="S125" t="n">
        <v>0.00086105</v>
      </c>
      <c r="T125" t="n">
        <v>0.00013947</v>
      </c>
      <c r="U125" t="n">
        <v>19455.3513</v>
      </c>
      <c r="V125" t="inlineStr">
        <is>
          <t>Supplier Reported Emissions</t>
        </is>
      </c>
      <c r="W125" t="b">
        <v>0</v>
      </c>
      <c r="X125" t="inlineStr">
        <is>
          <t>High</t>
        </is>
      </c>
      <c r="Y125" t="inlineStr">
        <is>
          <t>None</t>
        </is>
      </c>
      <c r="Z125" t="n">
        <v>0.95</v>
      </c>
      <c r="AA125" t="inlineStr">
        <is>
          <t>Valid</t>
        </is>
      </c>
    </row>
    <row r="126">
      <c r="A126" t="inlineStr">
        <is>
          <t>SUP-0013</t>
        </is>
      </c>
      <c r="B126" t="inlineStr">
        <is>
          <t>Electronics Supplier 013</t>
        </is>
      </c>
      <c r="C126" t="inlineStr">
        <is>
          <t>Electronics</t>
        </is>
      </c>
      <c r="D126" t="n">
        <v>2019</v>
      </c>
      <c r="E126" t="n">
        <v>27699049.87</v>
      </c>
      <c r="F126" t="n">
        <v>236727032.3</v>
      </c>
      <c r="G126" t="n">
        <v>17649.4627</v>
      </c>
      <c r="H126" t="n">
        <v>5039.8998</v>
      </c>
      <c r="I126" t="n">
        <v>3688.8885</v>
      </c>
      <c r="J126" t="n">
        <v>9211.962100000001</v>
      </c>
      <c r="K126" t="inlineStr"/>
      <c r="L126" t="inlineStr"/>
      <c r="M126" t="inlineStr"/>
      <c r="N126" t="inlineStr"/>
      <c r="O126" t="n">
        <v>2018</v>
      </c>
      <c r="P126" t="n">
        <v>2040</v>
      </c>
      <c r="Q126" t="n">
        <v>0.3424</v>
      </c>
      <c r="R126" t="n">
        <v>635.1588</v>
      </c>
      <c r="S126" t="n">
        <v>0.00086105</v>
      </c>
      <c r="T126" t="n">
        <v>0.00013947</v>
      </c>
      <c r="U126" t="n">
        <v>17649.4627</v>
      </c>
      <c r="V126" t="inlineStr">
        <is>
          <t>Supplier Reported Emissions</t>
        </is>
      </c>
      <c r="W126" t="b">
        <v>0</v>
      </c>
      <c r="X126" t="inlineStr">
        <is>
          <t>High</t>
        </is>
      </c>
      <c r="Y126" t="inlineStr">
        <is>
          <t>None</t>
        </is>
      </c>
      <c r="Z126" t="n">
        <v>0.95</v>
      </c>
      <c r="AA126" t="inlineStr">
        <is>
          <t>Valid</t>
        </is>
      </c>
    </row>
    <row r="127">
      <c r="A127" t="inlineStr">
        <is>
          <t>SUP-0013</t>
        </is>
      </c>
      <c r="B127" t="inlineStr">
        <is>
          <t>Electronics Supplier 013</t>
        </is>
      </c>
      <c r="C127" t="inlineStr">
        <is>
          <t>Electronics</t>
        </is>
      </c>
      <c r="D127" t="n">
        <v>2020</v>
      </c>
      <c r="E127" t="n">
        <v>32125016.43</v>
      </c>
      <c r="F127" t="n">
        <v>337002204.35</v>
      </c>
      <c r="G127" t="n">
        <v>18213.1839</v>
      </c>
      <c r="H127" t="n">
        <v>3803.8618</v>
      </c>
      <c r="I127" t="inlineStr"/>
      <c r="J127" t="n">
        <v>11266.8246</v>
      </c>
      <c r="K127" t="inlineStr"/>
      <c r="L127" t="inlineStr"/>
      <c r="M127" t="inlineStr"/>
      <c r="N127" t="inlineStr"/>
      <c r="O127" t="n">
        <v>2018</v>
      </c>
      <c r="P127" t="n">
        <v>2040</v>
      </c>
      <c r="Q127" t="n">
        <v>0.3424</v>
      </c>
      <c r="R127" t="n">
        <v>635.1588</v>
      </c>
      <c r="S127" t="n">
        <v>0.00086105</v>
      </c>
      <c r="T127" t="n">
        <v>0.00013947</v>
      </c>
      <c r="U127" t="n">
        <v>18213.1839</v>
      </c>
      <c r="V127" t="inlineStr">
        <is>
          <t>Supplier Reported Emissions</t>
        </is>
      </c>
      <c r="W127" t="b">
        <v>0</v>
      </c>
      <c r="X127" t="inlineStr">
        <is>
          <t>High</t>
        </is>
      </c>
      <c r="Y127" t="inlineStr">
        <is>
          <t>Scope_Emissions</t>
        </is>
      </c>
      <c r="Z127" t="n">
        <v>0.95</v>
      </c>
      <c r="AA127" t="inlineStr">
        <is>
          <t>Valid</t>
        </is>
      </c>
    </row>
    <row r="128">
      <c r="A128" t="inlineStr">
        <is>
          <t>SUP-0013</t>
        </is>
      </c>
      <c r="B128" t="inlineStr">
        <is>
          <t>Electronics Supplier 013</t>
        </is>
      </c>
      <c r="C128" t="inlineStr">
        <is>
          <t>Electronics</t>
        </is>
      </c>
      <c r="D128" t="n">
        <v>2021</v>
      </c>
      <c r="E128" t="n">
        <v>33222763.87</v>
      </c>
      <c r="F128" t="n">
        <v>243869479.68</v>
      </c>
      <c r="G128" t="n">
        <v>16294.4446</v>
      </c>
      <c r="H128" t="n">
        <v>3917.3069</v>
      </c>
      <c r="I128" t="n">
        <v>1358.7424</v>
      </c>
      <c r="J128" t="n">
        <v>11391.8242</v>
      </c>
      <c r="K128" t="inlineStr"/>
      <c r="L128" t="inlineStr"/>
      <c r="M128" t="inlineStr"/>
      <c r="N128" t="inlineStr"/>
      <c r="O128" t="n">
        <v>2018</v>
      </c>
      <c r="P128" t="n">
        <v>2040</v>
      </c>
      <c r="Q128" t="n">
        <v>0.3424</v>
      </c>
      <c r="R128" t="n">
        <v>635.1588</v>
      </c>
      <c r="S128" t="n">
        <v>0.00086105</v>
      </c>
      <c r="T128" t="n">
        <v>0.00013947</v>
      </c>
      <c r="U128" t="n">
        <v>16294.4446</v>
      </c>
      <c r="V128" t="inlineStr">
        <is>
          <t>Supplier Reported Emissions</t>
        </is>
      </c>
      <c r="W128" t="b">
        <v>0</v>
      </c>
      <c r="X128" t="inlineStr">
        <is>
          <t>High</t>
        </is>
      </c>
      <c r="Y128" t="inlineStr">
        <is>
          <t>None</t>
        </is>
      </c>
      <c r="Z128" t="n">
        <v>0.95</v>
      </c>
      <c r="AA128" t="inlineStr">
        <is>
          <t>Valid</t>
        </is>
      </c>
    </row>
    <row r="129">
      <c r="A129" t="inlineStr">
        <is>
          <t>SUP-0013</t>
        </is>
      </c>
      <c r="B129" t="inlineStr">
        <is>
          <t>Electronics Supplier 013</t>
        </is>
      </c>
      <c r="C129" t="inlineStr">
        <is>
          <t>Electronics</t>
        </is>
      </c>
      <c r="D129" t="n">
        <v>2022</v>
      </c>
      <c r="E129" t="n">
        <v>39622690.59</v>
      </c>
      <c r="F129" t="n">
        <v>298953714.55</v>
      </c>
      <c r="G129" t="n">
        <v>24849.3803</v>
      </c>
      <c r="H129" t="inlineStr"/>
      <c r="I129" t="n">
        <v>4413.0366</v>
      </c>
      <c r="J129" t="n">
        <v>16588.2356</v>
      </c>
      <c r="K129" t="inlineStr"/>
      <c r="L129" t="inlineStr"/>
      <c r="M129" t="inlineStr"/>
      <c r="N129" t="inlineStr"/>
      <c r="O129" t="n">
        <v>2018</v>
      </c>
      <c r="P129" t="n">
        <v>2040</v>
      </c>
      <c r="Q129" t="n">
        <v>0.3424</v>
      </c>
      <c r="R129" t="n">
        <v>635.1588</v>
      </c>
      <c r="S129" t="n">
        <v>0.00086105</v>
      </c>
      <c r="T129" t="n">
        <v>0.00013947</v>
      </c>
      <c r="U129" t="n">
        <v>24849.3803</v>
      </c>
      <c r="V129" t="inlineStr">
        <is>
          <t>Supplier Reported Emissions</t>
        </is>
      </c>
      <c r="W129" t="b">
        <v>0</v>
      </c>
      <c r="X129" t="inlineStr">
        <is>
          <t>High</t>
        </is>
      </c>
      <c r="Y129" t="inlineStr">
        <is>
          <t>Scope_Emissions</t>
        </is>
      </c>
      <c r="Z129" t="n">
        <v>0.95</v>
      </c>
      <c r="AA129" t="inlineStr">
        <is>
          <t>Valid</t>
        </is>
      </c>
    </row>
    <row r="130">
      <c r="A130" t="inlineStr">
        <is>
          <t>SUP-0013</t>
        </is>
      </c>
      <c r="B130" t="inlineStr">
        <is>
          <t>Electronics Supplier 013</t>
        </is>
      </c>
      <c r="C130" t="inlineStr">
        <is>
          <t>Electronics</t>
        </is>
      </c>
      <c r="D130" t="n">
        <v>2023</v>
      </c>
      <c r="E130" t="n">
        <v>39983436.04</v>
      </c>
      <c r="F130" t="n">
        <v>373195319.42</v>
      </c>
      <c r="G130" t="inlineStr"/>
      <c r="H130" t="n">
        <v>5573.1601</v>
      </c>
      <c r="I130" t="n">
        <v>3597.0055</v>
      </c>
      <c r="J130" t="n">
        <v>16861.7229</v>
      </c>
      <c r="K130" t="inlineStr"/>
      <c r="L130" t="inlineStr"/>
      <c r="M130" t="inlineStr"/>
      <c r="N130" t="inlineStr"/>
      <c r="O130" t="n">
        <v>2018</v>
      </c>
      <c r="P130" t="n">
        <v>2040</v>
      </c>
      <c r="Q130" t="n">
        <v>0.3424</v>
      </c>
      <c r="R130" t="n">
        <v>635.1588</v>
      </c>
      <c r="S130" t="n">
        <v>0.00086105</v>
      </c>
      <c r="T130" t="n">
        <v>0.00013947</v>
      </c>
      <c r="U130" t="n">
        <v>26031.8885</v>
      </c>
      <c r="V130" t="inlineStr">
        <is>
          <t>Scope 1 + Scope 2 + Scope 3</t>
        </is>
      </c>
      <c r="W130" t="b">
        <v>1</v>
      </c>
      <c r="X130" t="inlineStr">
        <is>
          <t>High</t>
        </is>
      </c>
      <c r="Y130" t="inlineStr">
        <is>
          <t>Reported_Emissions</t>
        </is>
      </c>
      <c r="Z130" t="n">
        <v>0.88</v>
      </c>
      <c r="AA130" t="inlineStr">
        <is>
          <t>Valid</t>
        </is>
      </c>
    </row>
    <row r="131">
      <c r="A131" t="inlineStr">
        <is>
          <t>SUP-0013</t>
        </is>
      </c>
      <c r="B131" t="inlineStr">
        <is>
          <t>Electronics Supplier 013</t>
        </is>
      </c>
      <c r="C131" t="inlineStr">
        <is>
          <t>Electronics</t>
        </is>
      </c>
      <c r="D131" t="n">
        <v>2024</v>
      </c>
      <c r="E131" t="n">
        <v>44154429.98</v>
      </c>
      <c r="F131" t="n">
        <v>373405405.33</v>
      </c>
      <c r="G131" t="inlineStr"/>
      <c r="H131" t="inlineStr"/>
      <c r="I131" t="n">
        <v>3136.7134</v>
      </c>
      <c r="J131" t="n">
        <v>17552.63</v>
      </c>
      <c r="K131" t="inlineStr"/>
      <c r="L131" t="inlineStr"/>
      <c r="M131" t="inlineStr"/>
      <c r="N131" t="inlineStr"/>
      <c r="O131" t="n">
        <v>2018</v>
      </c>
      <c r="P131" t="n">
        <v>2040</v>
      </c>
      <c r="Q131" t="n">
        <v>0.3424</v>
      </c>
      <c r="R131" t="n">
        <v>635.1588</v>
      </c>
      <c r="S131" t="n">
        <v>0.00086105</v>
      </c>
      <c r="T131" t="n">
        <v>0.00013947</v>
      </c>
      <c r="U131" t="n">
        <v>38019.1719</v>
      </c>
      <c r="V131" t="inlineStr">
        <is>
          <t>Spend-Based Estimate</t>
        </is>
      </c>
      <c r="W131" t="b">
        <v>1</v>
      </c>
      <c r="X131" t="inlineStr">
        <is>
          <t>Medium</t>
        </is>
      </c>
      <c r="Y131" t="inlineStr">
        <is>
          <t>Reported_Emissions; Scope_Emissions</t>
        </is>
      </c>
      <c r="Z131" t="n">
        <v>0.7</v>
      </c>
      <c r="AA131" t="inlineStr">
        <is>
          <t>Valid</t>
        </is>
      </c>
    </row>
    <row r="132">
      <c r="A132" t="inlineStr">
        <is>
          <t>SUP-0014</t>
        </is>
      </c>
      <c r="B132" t="inlineStr">
        <is>
          <t>Textiles Supplier 014</t>
        </is>
      </c>
      <c r="C132" t="inlineStr">
        <is>
          <t>Textiles</t>
        </is>
      </c>
      <c r="D132" t="n">
        <v>2015</v>
      </c>
      <c r="E132" t="n">
        <v>15607124.3</v>
      </c>
      <c r="F132" t="n">
        <v>72880870.98</v>
      </c>
      <c r="G132" t="n">
        <v>8453.938200000001</v>
      </c>
      <c r="H132" t="inlineStr"/>
      <c r="I132" t="n">
        <v>1198.7544</v>
      </c>
      <c r="J132" t="inlineStr"/>
      <c r="K132" t="inlineStr"/>
      <c r="L132" t="inlineStr"/>
      <c r="M132" t="inlineStr"/>
      <c r="N132" t="inlineStr"/>
      <c r="O132" t="n">
        <v>2019</v>
      </c>
      <c r="P132" t="n">
        <v>2030</v>
      </c>
      <c r="Q132" t="n">
        <v>0.3171</v>
      </c>
      <c r="R132" t="n">
        <v>401.7335</v>
      </c>
      <c r="S132" t="n">
        <v>0.00029221</v>
      </c>
      <c r="T132" t="n">
        <v>0.00017343</v>
      </c>
      <c r="U132" t="n">
        <v>8453.938200000001</v>
      </c>
      <c r="V132" t="inlineStr">
        <is>
          <t>Supplier Reported Emissions</t>
        </is>
      </c>
      <c r="W132" t="b">
        <v>0</v>
      </c>
      <c r="X132" t="inlineStr">
        <is>
          <t>High</t>
        </is>
      </c>
      <c r="Y132" t="inlineStr">
        <is>
          <t>Scope_Emissions</t>
        </is>
      </c>
      <c r="Z132" t="n">
        <v>0.95</v>
      </c>
      <c r="AA132" t="inlineStr">
        <is>
          <t>Valid</t>
        </is>
      </c>
    </row>
    <row r="133">
      <c r="A133" t="inlineStr">
        <is>
          <t>SUP-0014</t>
        </is>
      </c>
      <c r="B133" t="inlineStr">
        <is>
          <t>Textiles Supplier 014</t>
        </is>
      </c>
      <c r="C133" t="inlineStr">
        <is>
          <t>Textiles</t>
        </is>
      </c>
      <c r="D133" t="n">
        <v>2016</v>
      </c>
      <c r="E133" t="n">
        <v>18962308.62</v>
      </c>
      <c r="F133" t="inlineStr"/>
      <c r="G133" t="n">
        <v>7287.5983</v>
      </c>
      <c r="H133" t="n">
        <v>1869.0545</v>
      </c>
      <c r="I133" t="n">
        <v>1225.5986</v>
      </c>
      <c r="J133" t="n">
        <v>3964.5536</v>
      </c>
      <c r="K133" t="inlineStr"/>
      <c r="L133" t="inlineStr"/>
      <c r="M133" t="inlineStr"/>
      <c r="N133" t="inlineStr"/>
      <c r="O133" t="n">
        <v>2019</v>
      </c>
      <c r="P133" t="n">
        <v>2030</v>
      </c>
      <c r="Q133" t="n">
        <v>0.3171</v>
      </c>
      <c r="R133" t="n">
        <v>401.7335</v>
      </c>
      <c r="S133" t="n">
        <v>0.00029221</v>
      </c>
      <c r="T133" t="n">
        <v>0.00017343</v>
      </c>
      <c r="U133" t="n">
        <v>7287.5983</v>
      </c>
      <c r="V133" t="inlineStr">
        <is>
          <t>Supplier Reported Emissions</t>
        </is>
      </c>
      <c r="W133" t="b">
        <v>0</v>
      </c>
      <c r="X133" t="inlineStr">
        <is>
          <t>High</t>
        </is>
      </c>
      <c r="Y133" t="inlineStr">
        <is>
          <t>Revenue</t>
        </is>
      </c>
      <c r="Z133" t="n">
        <v>0.95</v>
      </c>
      <c r="AA133" t="inlineStr">
        <is>
          <t>Valid</t>
        </is>
      </c>
    </row>
    <row r="134">
      <c r="A134" t="inlineStr">
        <is>
          <t>SUP-0014</t>
        </is>
      </c>
      <c r="B134" t="inlineStr">
        <is>
          <t>Textiles Supplier 014</t>
        </is>
      </c>
      <c r="C134" t="inlineStr">
        <is>
          <t>Textiles</t>
        </is>
      </c>
      <c r="D134" t="n">
        <v>2017</v>
      </c>
      <c r="E134" t="n">
        <v>15482074.3</v>
      </c>
      <c r="F134" t="n">
        <v>80713457.01000001</v>
      </c>
      <c r="G134" t="n">
        <v>6589.2584</v>
      </c>
      <c r="H134" t="n">
        <v>749.3383</v>
      </c>
      <c r="I134" t="n">
        <v>1278.4341</v>
      </c>
      <c r="J134" t="n">
        <v>4493.8045</v>
      </c>
      <c r="K134" t="inlineStr"/>
      <c r="L134" t="inlineStr"/>
      <c r="M134" t="inlineStr"/>
      <c r="N134" t="inlineStr"/>
      <c r="O134" t="n">
        <v>2019</v>
      </c>
      <c r="P134" t="n">
        <v>2030</v>
      </c>
      <c r="Q134" t="n">
        <v>0.3171</v>
      </c>
      <c r="R134" t="n">
        <v>401.7335</v>
      </c>
      <c r="S134" t="n">
        <v>0.00029221</v>
      </c>
      <c r="T134" t="n">
        <v>0.00017343</v>
      </c>
      <c r="U134" t="n">
        <v>6589.2584</v>
      </c>
      <c r="V134" t="inlineStr">
        <is>
          <t>Supplier Reported Emissions</t>
        </is>
      </c>
      <c r="W134" t="b">
        <v>0</v>
      </c>
      <c r="X134" t="inlineStr">
        <is>
          <t>High</t>
        </is>
      </c>
      <c r="Y134" t="inlineStr">
        <is>
          <t>None</t>
        </is>
      </c>
      <c r="Z134" t="n">
        <v>0.95</v>
      </c>
      <c r="AA134" t="inlineStr">
        <is>
          <t>Valid</t>
        </is>
      </c>
    </row>
    <row r="135">
      <c r="A135" t="inlineStr">
        <is>
          <t>SUP-0014</t>
        </is>
      </c>
      <c r="B135" t="inlineStr">
        <is>
          <t>Textiles Supplier 014</t>
        </is>
      </c>
      <c r="C135" t="inlineStr">
        <is>
          <t>Textiles</t>
        </is>
      </c>
      <c r="D135" t="n">
        <v>2018</v>
      </c>
      <c r="E135" t="n">
        <v>17400779.8</v>
      </c>
      <c r="F135" t="n">
        <v>96172377.88</v>
      </c>
      <c r="G135" t="n">
        <v>5472.1674</v>
      </c>
      <c r="H135" t="n">
        <v>714.2181</v>
      </c>
      <c r="I135" t="n">
        <v>526.0691</v>
      </c>
      <c r="J135" t="n">
        <v>4287.0807</v>
      </c>
      <c r="K135" t="inlineStr"/>
      <c r="L135" t="inlineStr"/>
      <c r="M135" t="inlineStr"/>
      <c r="N135" t="inlineStr"/>
      <c r="O135" t="n">
        <v>2019</v>
      </c>
      <c r="P135" t="n">
        <v>2030</v>
      </c>
      <c r="Q135" t="n">
        <v>0.3171</v>
      </c>
      <c r="R135" t="n">
        <v>401.7335</v>
      </c>
      <c r="S135" t="n">
        <v>0.00029221</v>
      </c>
      <c r="T135" t="n">
        <v>0.00017343</v>
      </c>
      <c r="U135" t="n">
        <v>5472.1674</v>
      </c>
      <c r="V135" t="inlineStr">
        <is>
          <t>Supplier Reported Emissions</t>
        </is>
      </c>
      <c r="W135" t="b">
        <v>0</v>
      </c>
      <c r="X135" t="inlineStr">
        <is>
          <t>High</t>
        </is>
      </c>
      <c r="Y135" t="inlineStr">
        <is>
          <t>None</t>
        </is>
      </c>
      <c r="Z135" t="n">
        <v>0.95</v>
      </c>
      <c r="AA135" t="inlineStr">
        <is>
          <t>Valid</t>
        </is>
      </c>
    </row>
    <row r="136">
      <c r="A136" t="inlineStr">
        <is>
          <t>SUP-0014</t>
        </is>
      </c>
      <c r="B136" t="inlineStr">
        <is>
          <t>Textiles Supplier 014</t>
        </is>
      </c>
      <c r="C136" t="inlineStr">
        <is>
          <t>Textiles</t>
        </is>
      </c>
      <c r="D136" t="n">
        <v>2019</v>
      </c>
      <c r="E136" t="n">
        <v>17606408.77</v>
      </c>
      <c r="F136" t="n">
        <v>95681510.05</v>
      </c>
      <c r="G136" t="n">
        <v>6737.1463</v>
      </c>
      <c r="H136" t="n">
        <v>1074.574</v>
      </c>
      <c r="I136" t="n">
        <v>916.1774</v>
      </c>
      <c r="J136" t="inlineStr"/>
      <c r="K136" t="inlineStr"/>
      <c r="L136" t="inlineStr"/>
      <c r="M136" t="inlineStr"/>
      <c r="N136" t="inlineStr"/>
      <c r="O136" t="n">
        <v>2019</v>
      </c>
      <c r="P136" t="n">
        <v>2030</v>
      </c>
      <c r="Q136" t="n">
        <v>0.3171</v>
      </c>
      <c r="R136" t="n">
        <v>401.7335</v>
      </c>
      <c r="S136" t="n">
        <v>0.00029221</v>
      </c>
      <c r="T136" t="n">
        <v>0.00017343</v>
      </c>
      <c r="U136" t="n">
        <v>6737.1463</v>
      </c>
      <c r="V136" t="inlineStr">
        <is>
          <t>Supplier Reported Emissions</t>
        </is>
      </c>
      <c r="W136" t="b">
        <v>0</v>
      </c>
      <c r="X136" t="inlineStr">
        <is>
          <t>High</t>
        </is>
      </c>
      <c r="Y136" t="inlineStr">
        <is>
          <t>Scope_Emissions</t>
        </is>
      </c>
      <c r="Z136" t="n">
        <v>0.95</v>
      </c>
      <c r="AA136" t="inlineStr">
        <is>
          <t>Valid</t>
        </is>
      </c>
    </row>
    <row r="137">
      <c r="A137" t="inlineStr">
        <is>
          <t>SUP-0014</t>
        </is>
      </c>
      <c r="B137" t="inlineStr">
        <is>
          <t>Textiles Supplier 014</t>
        </is>
      </c>
      <c r="C137" t="inlineStr">
        <is>
          <t>Textiles</t>
        </is>
      </c>
      <c r="D137" t="n">
        <v>2020</v>
      </c>
      <c r="E137" t="n">
        <v>16608847.12</v>
      </c>
      <c r="F137" t="n">
        <v>89333852.98999999</v>
      </c>
      <c r="G137" t="n">
        <v>5333.2155</v>
      </c>
      <c r="H137" t="n">
        <v>829.0312</v>
      </c>
      <c r="I137" t="n">
        <v>736.0807</v>
      </c>
      <c r="J137" t="inlineStr"/>
      <c r="K137" t="inlineStr"/>
      <c r="L137" t="inlineStr"/>
      <c r="M137" t="inlineStr"/>
      <c r="N137" t="inlineStr"/>
      <c r="O137" t="n">
        <v>2019</v>
      </c>
      <c r="P137" t="n">
        <v>2030</v>
      </c>
      <c r="Q137" t="n">
        <v>0.3171</v>
      </c>
      <c r="R137" t="n">
        <v>401.7335</v>
      </c>
      <c r="S137" t="n">
        <v>0.00029221</v>
      </c>
      <c r="T137" t="n">
        <v>0.00017343</v>
      </c>
      <c r="U137" t="n">
        <v>5333.2155</v>
      </c>
      <c r="V137" t="inlineStr">
        <is>
          <t>Supplier Reported Emissions</t>
        </is>
      </c>
      <c r="W137" t="b">
        <v>0</v>
      </c>
      <c r="X137" t="inlineStr">
        <is>
          <t>High</t>
        </is>
      </c>
      <c r="Y137" t="inlineStr">
        <is>
          <t>Scope_Emissions</t>
        </is>
      </c>
      <c r="Z137" t="n">
        <v>0.95</v>
      </c>
      <c r="AA137" t="inlineStr">
        <is>
          <t>Valid</t>
        </is>
      </c>
    </row>
    <row r="138">
      <c r="A138" t="inlineStr">
        <is>
          <t>SUP-0014</t>
        </is>
      </c>
      <c r="B138" t="inlineStr">
        <is>
          <t>Textiles Supplier 014</t>
        </is>
      </c>
      <c r="C138" t="inlineStr">
        <is>
          <t>Textiles</t>
        </is>
      </c>
      <c r="D138" t="n">
        <v>2021</v>
      </c>
      <c r="E138" t="n">
        <v>18790235.58</v>
      </c>
      <c r="F138" t="n">
        <v>112676775.71</v>
      </c>
      <c r="G138" t="n">
        <v>6911.219</v>
      </c>
      <c r="H138" t="n">
        <v>1414.4591</v>
      </c>
      <c r="I138" t="n">
        <v>1614.3547</v>
      </c>
      <c r="J138" t="inlineStr"/>
      <c r="K138" t="inlineStr"/>
      <c r="L138" t="inlineStr"/>
      <c r="M138" t="inlineStr"/>
      <c r="N138" t="inlineStr"/>
      <c r="O138" t="n">
        <v>2019</v>
      </c>
      <c r="P138" t="n">
        <v>2030</v>
      </c>
      <c r="Q138" t="n">
        <v>0.3171</v>
      </c>
      <c r="R138" t="n">
        <v>401.7335</v>
      </c>
      <c r="S138" t="n">
        <v>0.00029221</v>
      </c>
      <c r="T138" t="n">
        <v>0.00017343</v>
      </c>
      <c r="U138" t="n">
        <v>6911.219</v>
      </c>
      <c r="V138" t="inlineStr">
        <is>
          <t>Supplier Reported Emissions</t>
        </is>
      </c>
      <c r="W138" t="b">
        <v>0</v>
      </c>
      <c r="X138" t="inlineStr">
        <is>
          <t>High</t>
        </is>
      </c>
      <c r="Y138" t="inlineStr">
        <is>
          <t>Scope_Emissions</t>
        </is>
      </c>
      <c r="Z138" t="n">
        <v>0.95</v>
      </c>
      <c r="AA138" t="inlineStr">
        <is>
          <t>Valid</t>
        </is>
      </c>
    </row>
    <row r="139">
      <c r="A139" t="inlineStr">
        <is>
          <t>SUP-0014</t>
        </is>
      </c>
      <c r="B139" t="inlineStr">
        <is>
          <t>Textiles Supplier 014</t>
        </is>
      </c>
      <c r="C139" t="inlineStr">
        <is>
          <t>Textiles</t>
        </is>
      </c>
      <c r="D139" t="n">
        <v>2022</v>
      </c>
      <c r="E139" t="n">
        <v>20964971.39</v>
      </c>
      <c r="F139" t="n">
        <v>100602315.56</v>
      </c>
      <c r="G139" t="inlineStr"/>
      <c r="H139" t="n">
        <v>1290.4898</v>
      </c>
      <c r="I139" t="n">
        <v>1149.5572</v>
      </c>
      <c r="J139" t="inlineStr"/>
      <c r="K139" t="inlineStr"/>
      <c r="L139" t="inlineStr"/>
      <c r="M139" t="inlineStr"/>
      <c r="N139" t="inlineStr"/>
      <c r="O139" t="n">
        <v>2019</v>
      </c>
      <c r="P139" t="n">
        <v>2030</v>
      </c>
      <c r="Q139" t="n">
        <v>0.3171</v>
      </c>
      <c r="R139" t="n">
        <v>401.7335</v>
      </c>
      <c r="S139" t="n">
        <v>0.00029221</v>
      </c>
      <c r="T139" t="n">
        <v>0.00017343</v>
      </c>
      <c r="U139" t="n">
        <v>6126.1743</v>
      </c>
      <c r="V139" t="inlineStr">
        <is>
          <t>Spend-Based Estimate</t>
        </is>
      </c>
      <c r="W139" t="b">
        <v>1</v>
      </c>
      <c r="X139" t="inlineStr">
        <is>
          <t>Medium</t>
        </is>
      </c>
      <c r="Y139" t="inlineStr">
        <is>
          <t>Reported_Emissions; Scope_Emissions</t>
        </is>
      </c>
      <c r="Z139" t="n">
        <v>0.7</v>
      </c>
      <c r="AA139" t="inlineStr">
        <is>
          <t>Valid</t>
        </is>
      </c>
    </row>
    <row r="140">
      <c r="A140" t="inlineStr">
        <is>
          <t>SUP-0014</t>
        </is>
      </c>
      <c r="B140" t="inlineStr">
        <is>
          <t>Textiles Supplier 014</t>
        </is>
      </c>
      <c r="C140" t="inlineStr">
        <is>
          <t>Textiles</t>
        </is>
      </c>
      <c r="D140" t="n">
        <v>2023</v>
      </c>
      <c r="E140" t="n">
        <v>19785770.5</v>
      </c>
      <c r="F140" t="n">
        <v>94951710.11</v>
      </c>
      <c r="G140" t="inlineStr"/>
      <c r="H140" t="n">
        <v>970.9787</v>
      </c>
      <c r="I140" t="n">
        <v>929.2206</v>
      </c>
      <c r="J140" t="n">
        <v>3074.0431</v>
      </c>
      <c r="K140" t="inlineStr"/>
      <c r="L140" t="inlineStr"/>
      <c r="M140" t="inlineStr"/>
      <c r="N140" t="inlineStr"/>
      <c r="O140" t="n">
        <v>2019</v>
      </c>
      <c r="P140" t="n">
        <v>2030</v>
      </c>
      <c r="Q140" t="n">
        <v>0.3171</v>
      </c>
      <c r="R140" t="n">
        <v>401.7335</v>
      </c>
      <c r="S140" t="n">
        <v>0.00029221</v>
      </c>
      <c r="T140" t="n">
        <v>0.00017343</v>
      </c>
      <c r="U140" t="n">
        <v>4974.2424</v>
      </c>
      <c r="V140" t="inlineStr">
        <is>
          <t>Scope 1 + Scope 2 + Scope 3</t>
        </is>
      </c>
      <c r="W140" t="b">
        <v>1</v>
      </c>
      <c r="X140" t="inlineStr">
        <is>
          <t>High</t>
        </is>
      </c>
      <c r="Y140" t="inlineStr">
        <is>
          <t>Reported_Emissions</t>
        </is>
      </c>
      <c r="Z140" t="n">
        <v>0.88</v>
      </c>
      <c r="AA140" t="inlineStr">
        <is>
          <t>Valid</t>
        </is>
      </c>
    </row>
    <row r="141">
      <c r="A141" t="inlineStr">
        <is>
          <t>SUP-0014</t>
        </is>
      </c>
      <c r="B141" t="inlineStr">
        <is>
          <t>Textiles Supplier 014</t>
        </is>
      </c>
      <c r="C141" t="inlineStr">
        <is>
          <t>Textiles</t>
        </is>
      </c>
      <c r="D141" t="n">
        <v>2024</v>
      </c>
      <c r="E141" t="n">
        <v>16888486.43</v>
      </c>
      <c r="F141" t="n">
        <v>86249629.91</v>
      </c>
      <c r="G141" t="n">
        <v>3472.4816</v>
      </c>
      <c r="H141" t="n">
        <v>406.9801</v>
      </c>
      <c r="I141" t="n">
        <v>645.8626</v>
      </c>
      <c r="J141" t="inlineStr"/>
      <c r="K141" t="inlineStr"/>
      <c r="L141" t="inlineStr"/>
      <c r="M141" t="inlineStr"/>
      <c r="N141" t="inlineStr"/>
      <c r="O141" t="n">
        <v>2019</v>
      </c>
      <c r="P141" t="n">
        <v>2030</v>
      </c>
      <c r="Q141" t="n">
        <v>0.3171</v>
      </c>
      <c r="R141" t="n">
        <v>401.7335</v>
      </c>
      <c r="S141" t="n">
        <v>0.00029221</v>
      </c>
      <c r="T141" t="n">
        <v>0.00017343</v>
      </c>
      <c r="U141" t="n">
        <v>3472.4816</v>
      </c>
      <c r="V141" t="inlineStr">
        <is>
          <t>Supplier Reported Emissions</t>
        </is>
      </c>
      <c r="W141" t="b">
        <v>0</v>
      </c>
      <c r="X141" t="inlineStr">
        <is>
          <t>High</t>
        </is>
      </c>
      <c r="Y141" t="inlineStr">
        <is>
          <t>Scope_Emissions</t>
        </is>
      </c>
      <c r="Z141" t="n">
        <v>0.95</v>
      </c>
      <c r="AA141" t="inlineStr">
        <is>
          <t>Valid</t>
        </is>
      </c>
    </row>
    <row r="142">
      <c r="A142" t="inlineStr">
        <is>
          <t>SUP-0015</t>
        </is>
      </c>
      <c r="B142" t="inlineStr">
        <is>
          <t>Packaging Supplier 015</t>
        </is>
      </c>
      <c r="C142" t="inlineStr">
        <is>
          <t>Packaging</t>
        </is>
      </c>
      <c r="D142" t="n">
        <v>2015</v>
      </c>
      <c r="E142" t="n">
        <v>21637068.33</v>
      </c>
      <c r="F142" t="n">
        <v>94818936.43000001</v>
      </c>
      <c r="G142" t="n">
        <v>24987.7933</v>
      </c>
      <c r="H142" t="n">
        <v>3231.7945</v>
      </c>
      <c r="I142" t="inlineStr"/>
      <c r="J142" t="n">
        <v>16594.8585</v>
      </c>
      <c r="K142" t="n">
        <v>2019</v>
      </c>
      <c r="L142" t="n">
        <v>2040</v>
      </c>
      <c r="M142" t="n">
        <v>0.2525</v>
      </c>
      <c r="N142" t="n">
        <v>0.1186</v>
      </c>
      <c r="O142" t="n">
        <v>2018</v>
      </c>
      <c r="P142" t="n">
        <v>2040</v>
      </c>
      <c r="Q142" t="n">
        <v>0.3112</v>
      </c>
      <c r="R142" t="n">
        <v>702.4188</v>
      </c>
      <c r="S142" t="n">
        <v>0.0010803</v>
      </c>
      <c r="T142" t="n">
        <v>0.00078946</v>
      </c>
      <c r="U142" t="n">
        <v>24987.7933</v>
      </c>
      <c r="V142" t="inlineStr">
        <is>
          <t>Supplier Reported Emissions</t>
        </is>
      </c>
      <c r="W142" t="b">
        <v>0</v>
      </c>
      <c r="X142" t="inlineStr">
        <is>
          <t>High</t>
        </is>
      </c>
      <c r="Y142" t="inlineStr">
        <is>
          <t>Scope_Emissions</t>
        </is>
      </c>
      <c r="Z142" t="n">
        <v>0.95</v>
      </c>
      <c r="AA142" t="inlineStr">
        <is>
          <t>Valid</t>
        </is>
      </c>
    </row>
    <row r="143">
      <c r="A143" t="inlineStr">
        <is>
          <t>SUP-0015</t>
        </is>
      </c>
      <c r="B143" t="inlineStr">
        <is>
          <t>Packaging Supplier 015</t>
        </is>
      </c>
      <c r="C143" t="inlineStr">
        <is>
          <t>Packaging</t>
        </is>
      </c>
      <c r="D143" t="n">
        <v>2016</v>
      </c>
      <c r="E143" t="n">
        <v>21716037.3</v>
      </c>
      <c r="F143" t="n">
        <v>128708369.94</v>
      </c>
      <c r="G143" t="inlineStr"/>
      <c r="H143" t="n">
        <v>4668.1644</v>
      </c>
      <c r="I143" t="inlineStr"/>
      <c r="J143" t="n">
        <v>15901.253</v>
      </c>
      <c r="K143" t="n">
        <v>2019</v>
      </c>
      <c r="L143" t="n">
        <v>2040</v>
      </c>
      <c r="M143" t="n">
        <v>0.2525</v>
      </c>
      <c r="N143" t="n">
        <v>0.1186</v>
      </c>
      <c r="O143" t="n">
        <v>2018</v>
      </c>
      <c r="P143" t="n">
        <v>2040</v>
      </c>
      <c r="Q143" t="n">
        <v>0.3112</v>
      </c>
      <c r="R143" t="n">
        <v>702.4188</v>
      </c>
      <c r="S143" t="n">
        <v>0.0010803</v>
      </c>
      <c r="T143" t="n">
        <v>0.00078946</v>
      </c>
      <c r="U143" t="n">
        <v>23459.8351</v>
      </c>
      <c r="V143" t="inlineStr">
        <is>
          <t>Spend-Based Estimate</t>
        </is>
      </c>
      <c r="W143" t="b">
        <v>1</v>
      </c>
      <c r="X143" t="inlineStr">
        <is>
          <t>Medium</t>
        </is>
      </c>
      <c r="Y143" t="inlineStr">
        <is>
          <t>Reported_Emissions; Scope_Emissions</t>
        </is>
      </c>
      <c r="Z143" t="n">
        <v>0.7</v>
      </c>
      <c r="AA143" t="inlineStr">
        <is>
          <t>Valid</t>
        </is>
      </c>
    </row>
    <row r="144">
      <c r="A144" t="inlineStr">
        <is>
          <t>SUP-0015</t>
        </is>
      </c>
      <c r="B144" t="inlineStr">
        <is>
          <t>Packaging Supplier 015</t>
        </is>
      </c>
      <c r="C144" t="inlineStr">
        <is>
          <t>Packaging</t>
        </is>
      </c>
      <c r="D144" t="n">
        <v>2017</v>
      </c>
      <c r="E144" t="n">
        <v>23771627.95</v>
      </c>
      <c r="F144" t="n">
        <v>113094649.24</v>
      </c>
      <c r="G144" t="inlineStr"/>
      <c r="H144" t="n">
        <v>4361.9779</v>
      </c>
      <c r="I144" t="inlineStr"/>
      <c r="J144" t="n">
        <v>14452.0744</v>
      </c>
      <c r="K144" t="n">
        <v>2019</v>
      </c>
      <c r="L144" t="n">
        <v>2040</v>
      </c>
      <c r="M144" t="n">
        <v>0.2525</v>
      </c>
      <c r="N144" t="n">
        <v>0.1186</v>
      </c>
      <c r="O144" t="n">
        <v>2018</v>
      </c>
      <c r="P144" t="n">
        <v>2040</v>
      </c>
      <c r="Q144" t="n">
        <v>0.3112</v>
      </c>
      <c r="R144" t="n">
        <v>702.4188</v>
      </c>
      <c r="S144" t="n">
        <v>0.0010803</v>
      </c>
      <c r="T144" t="n">
        <v>0.00078946</v>
      </c>
      <c r="U144" t="n">
        <v>25680.4897</v>
      </c>
      <c r="V144" t="inlineStr">
        <is>
          <t>Spend-Based Estimate</t>
        </is>
      </c>
      <c r="W144" t="b">
        <v>1</v>
      </c>
      <c r="X144" t="inlineStr">
        <is>
          <t>Medium</t>
        </is>
      </c>
      <c r="Y144" t="inlineStr">
        <is>
          <t>Reported_Emissions; Scope_Emissions</t>
        </is>
      </c>
      <c r="Z144" t="n">
        <v>0.7</v>
      </c>
      <c r="AA144" t="inlineStr">
        <is>
          <t>Valid</t>
        </is>
      </c>
    </row>
    <row r="145">
      <c r="A145" t="inlineStr">
        <is>
          <t>SUP-0015</t>
        </is>
      </c>
      <c r="B145" t="inlineStr">
        <is>
          <t>Packaging Supplier 015</t>
        </is>
      </c>
      <c r="C145" t="inlineStr">
        <is>
          <t>Packaging</t>
        </is>
      </c>
      <c r="D145" t="n">
        <v>2018</v>
      </c>
      <c r="E145" t="n">
        <v>22134503.81</v>
      </c>
      <c r="F145" t="n">
        <v>110017974.02</v>
      </c>
      <c r="G145" t="n">
        <v>21193.5197</v>
      </c>
      <c r="H145" t="n">
        <v>5232.9458</v>
      </c>
      <c r="I145" t="n">
        <v>3900.9251</v>
      </c>
      <c r="J145" t="n">
        <v>13713.2819</v>
      </c>
      <c r="K145" t="n">
        <v>2019</v>
      </c>
      <c r="L145" t="n">
        <v>2040</v>
      </c>
      <c r="M145" t="n">
        <v>0.2525</v>
      </c>
      <c r="N145" t="n">
        <v>0.1186</v>
      </c>
      <c r="O145" t="n">
        <v>2018</v>
      </c>
      <c r="P145" t="n">
        <v>2040</v>
      </c>
      <c r="Q145" t="n">
        <v>0.3112</v>
      </c>
      <c r="R145" t="n">
        <v>702.4188</v>
      </c>
      <c r="S145" t="n">
        <v>0.0010803</v>
      </c>
      <c r="T145" t="n">
        <v>0.00078946</v>
      </c>
      <c r="U145" t="n">
        <v>21193.5197</v>
      </c>
      <c r="V145" t="inlineStr">
        <is>
          <t>Supplier Reported Emissions</t>
        </is>
      </c>
      <c r="W145" t="b">
        <v>0</v>
      </c>
      <c r="X145" t="inlineStr">
        <is>
          <t>High</t>
        </is>
      </c>
      <c r="Y145" t="inlineStr">
        <is>
          <t>None</t>
        </is>
      </c>
      <c r="Z145" t="n">
        <v>0.95</v>
      </c>
      <c r="AA145" t="inlineStr">
        <is>
          <t>Valid</t>
        </is>
      </c>
    </row>
    <row r="146">
      <c r="A146" t="inlineStr">
        <is>
          <t>SUP-0015</t>
        </is>
      </c>
      <c r="B146" t="inlineStr">
        <is>
          <t>Packaging Supplier 015</t>
        </is>
      </c>
      <c r="C146" t="inlineStr">
        <is>
          <t>Packaging</t>
        </is>
      </c>
      <c r="D146" t="n">
        <v>2019</v>
      </c>
      <c r="E146" t="n">
        <v>22043698.75</v>
      </c>
      <c r="F146" t="n">
        <v>111369202.98</v>
      </c>
      <c r="G146" t="n">
        <v>26229.5269</v>
      </c>
      <c r="H146" t="n">
        <v>5669.4445</v>
      </c>
      <c r="I146" t="n">
        <v>3301.5797</v>
      </c>
      <c r="J146" t="inlineStr"/>
      <c r="K146" t="n">
        <v>2019</v>
      </c>
      <c r="L146" t="n">
        <v>2040</v>
      </c>
      <c r="M146" t="n">
        <v>0.2525</v>
      </c>
      <c r="N146" t="n">
        <v>0.1186</v>
      </c>
      <c r="O146" t="n">
        <v>2018</v>
      </c>
      <c r="P146" t="n">
        <v>2040</v>
      </c>
      <c r="Q146" t="n">
        <v>0.3112</v>
      </c>
      <c r="R146" t="n">
        <v>702.4188</v>
      </c>
      <c r="S146" t="n">
        <v>0.0010803</v>
      </c>
      <c r="T146" t="n">
        <v>0.00078946</v>
      </c>
      <c r="U146" t="n">
        <v>26229.5269</v>
      </c>
      <c r="V146" t="inlineStr">
        <is>
          <t>Supplier Reported Emissions</t>
        </is>
      </c>
      <c r="W146" t="b">
        <v>0</v>
      </c>
      <c r="X146" t="inlineStr">
        <is>
          <t>High</t>
        </is>
      </c>
      <c r="Y146" t="inlineStr">
        <is>
          <t>Scope_Emissions</t>
        </is>
      </c>
      <c r="Z146" t="n">
        <v>0.95</v>
      </c>
      <c r="AA146" t="inlineStr">
        <is>
          <t>Valid</t>
        </is>
      </c>
    </row>
    <row r="147">
      <c r="A147" t="inlineStr">
        <is>
          <t>SUP-0015</t>
        </is>
      </c>
      <c r="B147" t="inlineStr">
        <is>
          <t>Packaging Supplier 015</t>
        </is>
      </c>
      <c r="C147" t="inlineStr">
        <is>
          <t>Packaging</t>
        </is>
      </c>
      <c r="D147" t="n">
        <v>2020</v>
      </c>
      <c r="E147" t="n">
        <v>20591848.61</v>
      </c>
      <c r="F147" t="n">
        <v>105547613.03</v>
      </c>
      <c r="G147" t="n">
        <v>24268.4614</v>
      </c>
      <c r="H147" t="inlineStr"/>
      <c r="I147" t="n">
        <v>4783.8384</v>
      </c>
      <c r="J147" t="n">
        <v>12087.5288</v>
      </c>
      <c r="K147" t="n">
        <v>2019</v>
      </c>
      <c r="L147" t="n">
        <v>2040</v>
      </c>
      <c r="M147" t="n">
        <v>0.2525</v>
      </c>
      <c r="N147" t="n">
        <v>0.1186</v>
      </c>
      <c r="O147" t="n">
        <v>2018</v>
      </c>
      <c r="P147" t="n">
        <v>2040</v>
      </c>
      <c r="Q147" t="n">
        <v>0.3112</v>
      </c>
      <c r="R147" t="n">
        <v>702.4188</v>
      </c>
      <c r="S147" t="n">
        <v>0.0010803</v>
      </c>
      <c r="T147" t="n">
        <v>0.00078946</v>
      </c>
      <c r="U147" t="n">
        <v>24268.4614</v>
      </c>
      <c r="V147" t="inlineStr">
        <is>
          <t>Supplier Reported Emissions</t>
        </is>
      </c>
      <c r="W147" t="b">
        <v>0</v>
      </c>
      <c r="X147" t="inlineStr">
        <is>
          <t>High</t>
        </is>
      </c>
      <c r="Y147" t="inlineStr">
        <is>
          <t>Scope_Emissions</t>
        </is>
      </c>
      <c r="Z147" t="n">
        <v>0.95</v>
      </c>
      <c r="AA147" t="inlineStr">
        <is>
          <t>Valid</t>
        </is>
      </c>
    </row>
    <row r="148">
      <c r="A148" t="inlineStr">
        <is>
          <t>SUP-0015</t>
        </is>
      </c>
      <c r="B148" t="inlineStr">
        <is>
          <t>Packaging Supplier 015</t>
        </is>
      </c>
      <c r="C148" t="inlineStr">
        <is>
          <t>Packaging</t>
        </is>
      </c>
      <c r="D148" t="n">
        <v>2021</v>
      </c>
      <c r="E148" t="inlineStr"/>
      <c r="F148" t="n">
        <v>140294489.77</v>
      </c>
      <c r="G148" t="n">
        <v>22941.1853</v>
      </c>
      <c r="H148" t="n">
        <v>4896.63</v>
      </c>
      <c r="I148" t="n">
        <v>3052.4636</v>
      </c>
      <c r="J148" t="n">
        <v>16792.414</v>
      </c>
      <c r="K148" t="n">
        <v>2019</v>
      </c>
      <c r="L148" t="n">
        <v>2040</v>
      </c>
      <c r="M148" t="n">
        <v>0.2525</v>
      </c>
      <c r="N148" t="n">
        <v>0.1186</v>
      </c>
      <c r="O148" t="n">
        <v>2018</v>
      </c>
      <c r="P148" t="n">
        <v>2040</v>
      </c>
      <c r="Q148" t="n">
        <v>0.3112</v>
      </c>
      <c r="R148" t="n">
        <v>702.4188</v>
      </c>
      <c r="S148" t="n">
        <v>0.0010803</v>
      </c>
      <c r="T148" t="n">
        <v>0.00078946</v>
      </c>
      <c r="U148" t="n">
        <v>22941.1853</v>
      </c>
      <c r="V148" t="inlineStr">
        <is>
          <t>Supplier Reported Emissions</t>
        </is>
      </c>
      <c r="W148" t="b">
        <v>0</v>
      </c>
      <c r="X148" t="inlineStr">
        <is>
          <t>High</t>
        </is>
      </c>
      <c r="Y148" t="inlineStr">
        <is>
          <t>Gross_Spend</t>
        </is>
      </c>
      <c r="Z148" t="n">
        <v>0.95</v>
      </c>
      <c r="AA148" t="inlineStr">
        <is>
          <t>Valid</t>
        </is>
      </c>
    </row>
    <row r="149">
      <c r="A149" t="inlineStr">
        <is>
          <t>SUP-0015</t>
        </is>
      </c>
      <c r="B149" t="inlineStr">
        <is>
          <t>Packaging Supplier 015</t>
        </is>
      </c>
      <c r="C149" t="inlineStr">
        <is>
          <t>Packaging</t>
        </is>
      </c>
      <c r="D149" t="n">
        <v>2022</v>
      </c>
      <c r="E149" t="n">
        <v>24444037.34</v>
      </c>
      <c r="F149" t="n">
        <v>95224607.09999999</v>
      </c>
      <c r="G149" t="n">
        <v>27424.5089</v>
      </c>
      <c r="H149" t="n">
        <v>3813.7481</v>
      </c>
      <c r="I149" t="n">
        <v>3921.0987</v>
      </c>
      <c r="J149" t="n">
        <v>17796.1188</v>
      </c>
      <c r="K149" t="n">
        <v>2019</v>
      </c>
      <c r="L149" t="n">
        <v>2040</v>
      </c>
      <c r="M149" t="n">
        <v>0.2525</v>
      </c>
      <c r="N149" t="n">
        <v>0.1186</v>
      </c>
      <c r="O149" t="n">
        <v>2018</v>
      </c>
      <c r="P149" t="n">
        <v>2040</v>
      </c>
      <c r="Q149" t="n">
        <v>0.3112</v>
      </c>
      <c r="R149" t="n">
        <v>702.4188</v>
      </c>
      <c r="S149" t="n">
        <v>0.0010803</v>
      </c>
      <c r="T149" t="n">
        <v>0.00078946</v>
      </c>
      <c r="U149" t="n">
        <v>27424.5089</v>
      </c>
      <c r="V149" t="inlineStr">
        <is>
          <t>Supplier Reported Emissions</t>
        </is>
      </c>
      <c r="W149" t="b">
        <v>0</v>
      </c>
      <c r="X149" t="inlineStr">
        <is>
          <t>High</t>
        </is>
      </c>
      <c r="Y149" t="inlineStr">
        <is>
          <t>None</t>
        </is>
      </c>
      <c r="Z149" t="n">
        <v>0.95</v>
      </c>
      <c r="AA149" t="inlineStr">
        <is>
          <t>Valid</t>
        </is>
      </c>
    </row>
    <row r="150">
      <c r="A150" t="inlineStr">
        <is>
          <t>SUP-0015</t>
        </is>
      </c>
      <c r="B150" t="inlineStr">
        <is>
          <t>Packaging Supplier 015</t>
        </is>
      </c>
      <c r="C150" t="inlineStr">
        <is>
          <t>Packaging</t>
        </is>
      </c>
      <c r="D150" t="n">
        <v>2023</v>
      </c>
      <c r="E150" t="n">
        <v>21518797.62</v>
      </c>
      <c r="F150" t="n">
        <v>95064649.04000001</v>
      </c>
      <c r="G150" t="inlineStr"/>
      <c r="H150" t="n">
        <v>3317.6708</v>
      </c>
      <c r="I150" t="n">
        <v>1319.0935</v>
      </c>
      <c r="J150" t="n">
        <v>14899.452</v>
      </c>
      <c r="K150" t="n">
        <v>2019</v>
      </c>
      <c r="L150" t="n">
        <v>2040</v>
      </c>
      <c r="M150" t="n">
        <v>0.2525</v>
      </c>
      <c r="N150" t="n">
        <v>0.1186</v>
      </c>
      <c r="O150" t="n">
        <v>2018</v>
      </c>
      <c r="P150" t="n">
        <v>2040</v>
      </c>
      <c r="Q150" t="n">
        <v>0.3112</v>
      </c>
      <c r="R150" t="n">
        <v>702.4188</v>
      </c>
      <c r="S150" t="n">
        <v>0.0010803</v>
      </c>
      <c r="T150" t="n">
        <v>0.00078946</v>
      </c>
      <c r="U150" t="n">
        <v>19536.2163</v>
      </c>
      <c r="V150" t="inlineStr">
        <is>
          <t>Scope 1 + Scope 2 + Scope 3</t>
        </is>
      </c>
      <c r="W150" t="b">
        <v>1</v>
      </c>
      <c r="X150" t="inlineStr">
        <is>
          <t>High</t>
        </is>
      </c>
      <c r="Y150" t="inlineStr">
        <is>
          <t>Reported_Emissions</t>
        </is>
      </c>
      <c r="Z150" t="n">
        <v>0.88</v>
      </c>
      <c r="AA150" t="inlineStr">
        <is>
          <t>Valid</t>
        </is>
      </c>
    </row>
    <row r="151">
      <c r="A151" t="inlineStr">
        <is>
          <t>SUP-0015</t>
        </is>
      </c>
      <c r="B151" t="inlineStr">
        <is>
          <t>Packaging Supplier 015</t>
        </is>
      </c>
      <c r="C151" t="inlineStr">
        <is>
          <t>Packaging</t>
        </is>
      </c>
      <c r="D151" t="n">
        <v>2024</v>
      </c>
      <c r="E151" t="n">
        <v>22456674.89</v>
      </c>
      <c r="F151" t="n">
        <v>113404484.34</v>
      </c>
      <c r="G151" t="n">
        <v>23747.9613</v>
      </c>
      <c r="H151" t="n">
        <v>3219.745</v>
      </c>
      <c r="I151" t="n">
        <v>4441.0993</v>
      </c>
      <c r="J151" t="inlineStr"/>
      <c r="K151" t="n">
        <v>2019</v>
      </c>
      <c r="L151" t="n">
        <v>2040</v>
      </c>
      <c r="M151" t="n">
        <v>0.2525</v>
      </c>
      <c r="N151" t="n">
        <v>0.1186</v>
      </c>
      <c r="O151" t="n">
        <v>2018</v>
      </c>
      <c r="P151" t="n">
        <v>2040</v>
      </c>
      <c r="Q151" t="n">
        <v>0.3112</v>
      </c>
      <c r="R151" t="n">
        <v>702.4188</v>
      </c>
      <c r="S151" t="n">
        <v>0.0010803</v>
      </c>
      <c r="T151" t="n">
        <v>0.00078946</v>
      </c>
      <c r="U151" t="n">
        <v>23747.9613</v>
      </c>
      <c r="V151" t="inlineStr">
        <is>
          <t>Supplier Reported Emissions</t>
        </is>
      </c>
      <c r="W151" t="b">
        <v>0</v>
      </c>
      <c r="X151" t="inlineStr">
        <is>
          <t>High</t>
        </is>
      </c>
      <c r="Y151" t="inlineStr">
        <is>
          <t>Scope_Emissions</t>
        </is>
      </c>
      <c r="Z151" t="n">
        <v>0.95</v>
      </c>
      <c r="AA151" t="inlineStr">
        <is>
          <t>Valid</t>
        </is>
      </c>
    </row>
    <row r="152">
      <c r="A152" t="inlineStr">
        <is>
          <t>SUP-0016</t>
        </is>
      </c>
      <c r="B152" t="inlineStr">
        <is>
          <t>Metals Supplier 016</t>
        </is>
      </c>
      <c r="C152" t="inlineStr">
        <is>
          <t>Metals</t>
        </is>
      </c>
      <c r="D152" t="n">
        <v>2015</v>
      </c>
      <c r="E152" t="n">
        <v>10394884.35</v>
      </c>
      <c r="F152" t="inlineStr"/>
      <c r="G152" t="n">
        <v>7994.5398</v>
      </c>
      <c r="H152" t="n">
        <v>819.3425</v>
      </c>
      <c r="I152" t="n">
        <v>534.1729</v>
      </c>
      <c r="J152" t="inlineStr"/>
      <c r="K152" t="n">
        <v>2018</v>
      </c>
      <c r="L152" t="n">
        <v>2040</v>
      </c>
      <c r="M152" t="n">
        <v>0.2599</v>
      </c>
      <c r="N152" t="n">
        <v>0.1001</v>
      </c>
      <c r="O152" t="n">
        <v>2019</v>
      </c>
      <c r="P152" t="n">
        <v>2030</v>
      </c>
      <c r="Q152" t="n">
        <v>0.3852</v>
      </c>
      <c r="R152" t="n">
        <v>158.2904</v>
      </c>
      <c r="S152" t="n">
        <v>0.00100695</v>
      </c>
      <c r="T152" t="n">
        <v>0.00065008</v>
      </c>
      <c r="U152" t="n">
        <v>7994.5398</v>
      </c>
      <c r="V152" t="inlineStr">
        <is>
          <t>Supplier Reported Emissions</t>
        </is>
      </c>
      <c r="W152" t="b">
        <v>0</v>
      </c>
      <c r="X152" t="inlineStr">
        <is>
          <t>High</t>
        </is>
      </c>
      <c r="Y152" t="inlineStr">
        <is>
          <t>Revenue; Scope_Emissions</t>
        </is>
      </c>
      <c r="Z152" t="n">
        <v>0.95</v>
      </c>
      <c r="AA152" t="inlineStr">
        <is>
          <t>Valid</t>
        </is>
      </c>
    </row>
    <row r="153">
      <c r="A153" t="inlineStr">
        <is>
          <t>SUP-0016</t>
        </is>
      </c>
      <c r="B153" t="inlineStr">
        <is>
          <t>Metals Supplier 016</t>
        </is>
      </c>
      <c r="C153" t="inlineStr">
        <is>
          <t>Metals</t>
        </is>
      </c>
      <c r="D153" t="n">
        <v>2016</v>
      </c>
      <c r="E153" t="n">
        <v>12033446.16</v>
      </c>
      <c r="F153" t="n">
        <v>25383399.65</v>
      </c>
      <c r="G153" t="inlineStr"/>
      <c r="H153" t="n">
        <v>2683.7171</v>
      </c>
      <c r="I153" t="inlineStr"/>
      <c r="J153" t="inlineStr"/>
      <c r="K153" t="n">
        <v>2018</v>
      </c>
      <c r="L153" t="n">
        <v>2040</v>
      </c>
      <c r="M153" t="n">
        <v>0.2599</v>
      </c>
      <c r="N153" t="n">
        <v>0.1001</v>
      </c>
      <c r="O153" t="n">
        <v>2019</v>
      </c>
      <c r="P153" t="n">
        <v>2030</v>
      </c>
      <c r="Q153" t="n">
        <v>0.3852</v>
      </c>
      <c r="R153" t="n">
        <v>158.2904</v>
      </c>
      <c r="S153" t="n">
        <v>0.00100695</v>
      </c>
      <c r="T153" t="n">
        <v>0.00065008</v>
      </c>
      <c r="U153" t="n">
        <v>12117.0786</v>
      </c>
      <c r="V153" t="inlineStr">
        <is>
          <t>Spend-Based Estimate</t>
        </is>
      </c>
      <c r="W153" t="b">
        <v>1</v>
      </c>
      <c r="X153" t="inlineStr">
        <is>
          <t>Medium</t>
        </is>
      </c>
      <c r="Y153" t="inlineStr">
        <is>
          <t>Reported_Emissions; Scope_Emissions</t>
        </is>
      </c>
      <c r="Z153" t="n">
        <v>0.7</v>
      </c>
      <c r="AA153" t="inlineStr">
        <is>
          <t>Valid</t>
        </is>
      </c>
    </row>
    <row r="154">
      <c r="A154" t="inlineStr">
        <is>
          <t>SUP-0016</t>
        </is>
      </c>
      <c r="B154" t="inlineStr">
        <is>
          <t>Metals Supplier 016</t>
        </is>
      </c>
      <c r="C154" t="inlineStr">
        <is>
          <t>Metals</t>
        </is>
      </c>
      <c r="D154" t="n">
        <v>2017</v>
      </c>
      <c r="E154" t="n">
        <v>11363768.57</v>
      </c>
      <c r="F154" t="inlineStr"/>
      <c r="G154" t="n">
        <v>9841.249100000001</v>
      </c>
      <c r="H154" t="n">
        <v>2121.4373</v>
      </c>
      <c r="I154" t="n">
        <v>1716.3318</v>
      </c>
      <c r="J154" t="n">
        <v>6843.1038</v>
      </c>
      <c r="K154" t="n">
        <v>2018</v>
      </c>
      <c r="L154" t="n">
        <v>2040</v>
      </c>
      <c r="M154" t="n">
        <v>0.2599</v>
      </c>
      <c r="N154" t="n">
        <v>0.1001</v>
      </c>
      <c r="O154" t="n">
        <v>2019</v>
      </c>
      <c r="P154" t="n">
        <v>2030</v>
      </c>
      <c r="Q154" t="n">
        <v>0.3852</v>
      </c>
      <c r="R154" t="n">
        <v>158.2904</v>
      </c>
      <c r="S154" t="n">
        <v>0.00100695</v>
      </c>
      <c r="T154" t="n">
        <v>0.00065008</v>
      </c>
      <c r="U154" t="n">
        <v>9841.249100000001</v>
      </c>
      <c r="V154" t="inlineStr">
        <is>
          <t>Supplier Reported Emissions</t>
        </is>
      </c>
      <c r="W154" t="b">
        <v>0</v>
      </c>
      <c r="X154" t="inlineStr">
        <is>
          <t>High</t>
        </is>
      </c>
      <c r="Y154" t="inlineStr">
        <is>
          <t>Revenue</t>
        </is>
      </c>
      <c r="Z154" t="n">
        <v>0.95</v>
      </c>
      <c r="AA154" t="inlineStr">
        <is>
          <t>Valid</t>
        </is>
      </c>
    </row>
    <row r="155">
      <c r="A155" t="inlineStr">
        <is>
          <t>SUP-0016</t>
        </is>
      </c>
      <c r="B155" t="inlineStr">
        <is>
          <t>Metals Supplier 016</t>
        </is>
      </c>
      <c r="C155" t="inlineStr">
        <is>
          <t>Metals</t>
        </is>
      </c>
      <c r="D155" t="n">
        <v>2018</v>
      </c>
      <c r="E155" t="n">
        <v>13747803.66</v>
      </c>
      <c r="F155" t="inlineStr"/>
      <c r="G155" t="n">
        <v>11796.9131</v>
      </c>
      <c r="H155" t="n">
        <v>2891.5336</v>
      </c>
      <c r="I155" t="inlineStr"/>
      <c r="J155" t="n">
        <v>7153.5937</v>
      </c>
      <c r="K155" t="n">
        <v>2018</v>
      </c>
      <c r="L155" t="n">
        <v>2040</v>
      </c>
      <c r="M155" t="n">
        <v>0.2599</v>
      </c>
      <c r="N155" t="n">
        <v>0.1001</v>
      </c>
      <c r="O155" t="n">
        <v>2019</v>
      </c>
      <c r="P155" t="n">
        <v>2030</v>
      </c>
      <c r="Q155" t="n">
        <v>0.3852</v>
      </c>
      <c r="R155" t="n">
        <v>158.2904</v>
      </c>
      <c r="S155" t="n">
        <v>0.00100695</v>
      </c>
      <c r="T155" t="n">
        <v>0.00065008</v>
      </c>
      <c r="U155" t="n">
        <v>11796.9131</v>
      </c>
      <c r="V155" t="inlineStr">
        <is>
          <t>Supplier Reported Emissions</t>
        </is>
      </c>
      <c r="W155" t="b">
        <v>0</v>
      </c>
      <c r="X155" t="inlineStr">
        <is>
          <t>High</t>
        </is>
      </c>
      <c r="Y155" t="inlineStr">
        <is>
          <t>Revenue; Scope_Emissions</t>
        </is>
      </c>
      <c r="Z155" t="n">
        <v>0.95</v>
      </c>
      <c r="AA155" t="inlineStr">
        <is>
          <t>Valid</t>
        </is>
      </c>
    </row>
    <row r="156">
      <c r="A156" t="inlineStr">
        <is>
          <t>SUP-0016</t>
        </is>
      </c>
      <c r="B156" t="inlineStr">
        <is>
          <t>Metals Supplier 016</t>
        </is>
      </c>
      <c r="C156" t="inlineStr">
        <is>
          <t>Metals</t>
        </is>
      </c>
      <c r="D156" t="n">
        <v>2019</v>
      </c>
      <c r="E156" t="inlineStr"/>
      <c r="F156" t="inlineStr"/>
      <c r="G156" t="n">
        <v>10007.6187</v>
      </c>
      <c r="H156" t="n">
        <v>1894.1075</v>
      </c>
      <c r="I156" t="n">
        <v>751.2658</v>
      </c>
      <c r="J156" t="n">
        <v>7216.4231</v>
      </c>
      <c r="K156" t="n">
        <v>2018</v>
      </c>
      <c r="L156" t="n">
        <v>2040</v>
      </c>
      <c r="M156" t="n">
        <v>0.2599</v>
      </c>
      <c r="N156" t="n">
        <v>0.1001</v>
      </c>
      <c r="O156" t="n">
        <v>2019</v>
      </c>
      <c r="P156" t="n">
        <v>2030</v>
      </c>
      <c r="Q156" t="n">
        <v>0.3852</v>
      </c>
      <c r="R156" t="n">
        <v>158.2904</v>
      </c>
      <c r="S156" t="n">
        <v>0.00100695</v>
      </c>
      <c r="T156" t="n">
        <v>0.00065008</v>
      </c>
      <c r="U156" t="n">
        <v>10007.6187</v>
      </c>
      <c r="V156" t="inlineStr">
        <is>
          <t>Supplier Reported Emissions</t>
        </is>
      </c>
      <c r="W156" t="b">
        <v>0</v>
      </c>
      <c r="X156" t="inlineStr">
        <is>
          <t>High</t>
        </is>
      </c>
      <c r="Y156" t="inlineStr">
        <is>
          <t>Gross_Spend; Revenue</t>
        </is>
      </c>
      <c r="Z156" t="n">
        <v>0.95</v>
      </c>
      <c r="AA156" t="inlineStr">
        <is>
          <t>Valid</t>
        </is>
      </c>
    </row>
    <row r="157">
      <c r="A157" t="inlineStr">
        <is>
          <t>SUP-0016</t>
        </is>
      </c>
      <c r="B157" t="inlineStr">
        <is>
          <t>Metals Supplier 016</t>
        </is>
      </c>
      <c r="C157" t="inlineStr">
        <is>
          <t>Metals</t>
        </is>
      </c>
      <c r="D157" t="n">
        <v>2020</v>
      </c>
      <c r="E157" t="n">
        <v>12360934.94</v>
      </c>
      <c r="F157" t="n">
        <v>37359385.15</v>
      </c>
      <c r="G157" t="n">
        <v>11500.8611</v>
      </c>
      <c r="H157" t="n">
        <v>2695.6324</v>
      </c>
      <c r="I157" t="n">
        <v>1918.0898</v>
      </c>
      <c r="J157" t="n">
        <v>6868.2433</v>
      </c>
      <c r="K157" t="n">
        <v>2018</v>
      </c>
      <c r="L157" t="n">
        <v>2040</v>
      </c>
      <c r="M157" t="n">
        <v>0.2599</v>
      </c>
      <c r="N157" t="n">
        <v>0.1001</v>
      </c>
      <c r="O157" t="n">
        <v>2019</v>
      </c>
      <c r="P157" t="n">
        <v>2030</v>
      </c>
      <c r="Q157" t="n">
        <v>0.3852</v>
      </c>
      <c r="R157" t="n">
        <v>158.2904</v>
      </c>
      <c r="S157" t="n">
        <v>0.00100695</v>
      </c>
      <c r="T157" t="n">
        <v>0.00065008</v>
      </c>
      <c r="U157" t="n">
        <v>11500.8611</v>
      </c>
      <c r="V157" t="inlineStr">
        <is>
          <t>Supplier Reported Emissions</t>
        </is>
      </c>
      <c r="W157" t="b">
        <v>0</v>
      </c>
      <c r="X157" t="inlineStr">
        <is>
          <t>High</t>
        </is>
      </c>
      <c r="Y157" t="inlineStr">
        <is>
          <t>None</t>
        </is>
      </c>
      <c r="Z157" t="n">
        <v>0.95</v>
      </c>
      <c r="AA157" t="inlineStr">
        <is>
          <t>Valid</t>
        </is>
      </c>
    </row>
    <row r="158">
      <c r="A158" t="inlineStr">
        <is>
          <t>SUP-0016</t>
        </is>
      </c>
      <c r="B158" t="inlineStr">
        <is>
          <t>Metals Supplier 016</t>
        </is>
      </c>
      <c r="C158" t="inlineStr">
        <is>
          <t>Metals</t>
        </is>
      </c>
      <c r="D158" t="n">
        <v>2021</v>
      </c>
      <c r="E158" t="n">
        <v>13036535.17</v>
      </c>
      <c r="F158" t="n">
        <v>38683820.78</v>
      </c>
      <c r="G158" t="inlineStr"/>
      <c r="H158" t="n">
        <v>2002.428</v>
      </c>
      <c r="I158" t="n">
        <v>1356.1698</v>
      </c>
      <c r="J158" t="n">
        <v>6952.7</v>
      </c>
      <c r="K158" t="n">
        <v>2018</v>
      </c>
      <c r="L158" t="n">
        <v>2040</v>
      </c>
      <c r="M158" t="n">
        <v>0.2599</v>
      </c>
      <c r="N158" t="n">
        <v>0.1001</v>
      </c>
      <c r="O158" t="n">
        <v>2019</v>
      </c>
      <c r="P158" t="n">
        <v>2030</v>
      </c>
      <c r="Q158" t="n">
        <v>0.3852</v>
      </c>
      <c r="R158" t="n">
        <v>158.2904</v>
      </c>
      <c r="S158" t="n">
        <v>0.00100695</v>
      </c>
      <c r="T158" t="n">
        <v>0.00065008</v>
      </c>
      <c r="U158" t="n">
        <v>10311.2978</v>
      </c>
      <c r="V158" t="inlineStr">
        <is>
          <t>Scope 1 + Scope 2 + Scope 3</t>
        </is>
      </c>
      <c r="W158" t="b">
        <v>1</v>
      </c>
      <c r="X158" t="inlineStr">
        <is>
          <t>High</t>
        </is>
      </c>
      <c r="Y158" t="inlineStr">
        <is>
          <t>Reported_Emissions</t>
        </is>
      </c>
      <c r="Z158" t="n">
        <v>0.88</v>
      </c>
      <c r="AA158" t="inlineStr">
        <is>
          <t>Valid</t>
        </is>
      </c>
    </row>
    <row r="159">
      <c r="A159" t="inlineStr">
        <is>
          <t>SUP-0016</t>
        </is>
      </c>
      <c r="B159" t="inlineStr">
        <is>
          <t>Metals Supplier 016</t>
        </is>
      </c>
      <c r="C159" t="inlineStr">
        <is>
          <t>Metals</t>
        </is>
      </c>
      <c r="D159" t="n">
        <v>2022</v>
      </c>
      <c r="E159" t="n">
        <v>13829760.23</v>
      </c>
      <c r="F159" t="n">
        <v>30643509.81</v>
      </c>
      <c r="G159" t="n">
        <v>9029.8372</v>
      </c>
      <c r="H159" t="n">
        <v>1912.2161</v>
      </c>
      <c r="I159" t="n">
        <v>1121.2335</v>
      </c>
      <c r="J159" t="inlineStr"/>
      <c r="K159" t="n">
        <v>2018</v>
      </c>
      <c r="L159" t="n">
        <v>2040</v>
      </c>
      <c r="M159" t="n">
        <v>0.2599</v>
      </c>
      <c r="N159" t="n">
        <v>0.1001</v>
      </c>
      <c r="O159" t="n">
        <v>2019</v>
      </c>
      <c r="P159" t="n">
        <v>2030</v>
      </c>
      <c r="Q159" t="n">
        <v>0.3852</v>
      </c>
      <c r="R159" t="n">
        <v>158.2904</v>
      </c>
      <c r="S159" t="n">
        <v>0.00100695</v>
      </c>
      <c r="T159" t="n">
        <v>0.00065008</v>
      </c>
      <c r="U159" t="n">
        <v>9029.8372</v>
      </c>
      <c r="V159" t="inlineStr">
        <is>
          <t>Supplier Reported Emissions</t>
        </is>
      </c>
      <c r="W159" t="b">
        <v>0</v>
      </c>
      <c r="X159" t="inlineStr">
        <is>
          <t>High</t>
        </is>
      </c>
      <c r="Y159" t="inlineStr">
        <is>
          <t>Scope_Emissions</t>
        </is>
      </c>
      <c r="Z159" t="n">
        <v>0.95</v>
      </c>
      <c r="AA159" t="inlineStr">
        <is>
          <t>Valid</t>
        </is>
      </c>
    </row>
    <row r="160">
      <c r="A160" t="inlineStr">
        <is>
          <t>SUP-0016</t>
        </is>
      </c>
      <c r="B160" t="inlineStr">
        <is>
          <t>Metals Supplier 016</t>
        </is>
      </c>
      <c r="C160" t="inlineStr">
        <is>
          <t>Metals</t>
        </is>
      </c>
      <c r="D160" t="n">
        <v>2023</v>
      </c>
      <c r="E160" t="n">
        <v>15741125.94</v>
      </c>
      <c r="F160" t="n">
        <v>37802937.7</v>
      </c>
      <c r="G160" t="n">
        <v>10441.5095</v>
      </c>
      <c r="H160" t="n">
        <v>2341.4572</v>
      </c>
      <c r="I160" t="inlineStr"/>
      <c r="J160" t="n">
        <v>7331.1275</v>
      </c>
      <c r="K160" t="n">
        <v>2018</v>
      </c>
      <c r="L160" t="n">
        <v>2040</v>
      </c>
      <c r="M160" t="n">
        <v>0.2599</v>
      </c>
      <c r="N160" t="n">
        <v>0.1001</v>
      </c>
      <c r="O160" t="n">
        <v>2019</v>
      </c>
      <c r="P160" t="n">
        <v>2030</v>
      </c>
      <c r="Q160" t="n">
        <v>0.3852</v>
      </c>
      <c r="R160" t="n">
        <v>158.2904</v>
      </c>
      <c r="S160" t="n">
        <v>0.00100695</v>
      </c>
      <c r="T160" t="n">
        <v>0.00065008</v>
      </c>
      <c r="U160" t="n">
        <v>10441.5095</v>
      </c>
      <c r="V160" t="inlineStr">
        <is>
          <t>Supplier Reported Emissions</t>
        </is>
      </c>
      <c r="W160" t="b">
        <v>0</v>
      </c>
      <c r="X160" t="inlineStr">
        <is>
          <t>High</t>
        </is>
      </c>
      <c r="Y160" t="inlineStr">
        <is>
          <t>Scope_Emissions</t>
        </is>
      </c>
      <c r="Z160" t="n">
        <v>0.95</v>
      </c>
      <c r="AA160" t="inlineStr">
        <is>
          <t>Valid</t>
        </is>
      </c>
    </row>
    <row r="161">
      <c r="A161" t="inlineStr">
        <is>
          <t>SUP-0016</t>
        </is>
      </c>
      <c r="B161" t="inlineStr">
        <is>
          <t>Metals Supplier 016</t>
        </is>
      </c>
      <c r="C161" t="inlineStr">
        <is>
          <t>Metals</t>
        </is>
      </c>
      <c r="D161" t="n">
        <v>2024</v>
      </c>
      <c r="E161" t="n">
        <v>15066149.88</v>
      </c>
      <c r="F161" t="n">
        <v>44846003.77</v>
      </c>
      <c r="G161" t="inlineStr"/>
      <c r="H161" t="n">
        <v>2668.1832</v>
      </c>
      <c r="I161" t="n">
        <v>1561.6493</v>
      </c>
      <c r="J161" t="n">
        <v>10042.1493</v>
      </c>
      <c r="K161" t="n">
        <v>2018</v>
      </c>
      <c r="L161" t="n">
        <v>2040</v>
      </c>
      <c r="M161" t="n">
        <v>0.2599</v>
      </c>
      <c r="N161" t="n">
        <v>0.1001</v>
      </c>
      <c r="O161" t="n">
        <v>2019</v>
      </c>
      <c r="P161" t="n">
        <v>2030</v>
      </c>
      <c r="Q161" t="n">
        <v>0.3852</v>
      </c>
      <c r="R161" t="n">
        <v>158.2904</v>
      </c>
      <c r="S161" t="n">
        <v>0.00100695</v>
      </c>
      <c r="T161" t="n">
        <v>0.00065008</v>
      </c>
      <c r="U161" t="n">
        <v>14271.9818</v>
      </c>
      <c r="V161" t="inlineStr">
        <is>
          <t>Scope 1 + Scope 2 + Scope 3</t>
        </is>
      </c>
      <c r="W161" t="b">
        <v>1</v>
      </c>
      <c r="X161" t="inlineStr">
        <is>
          <t>High</t>
        </is>
      </c>
      <c r="Y161" t="inlineStr">
        <is>
          <t>Reported_Emissions</t>
        </is>
      </c>
      <c r="Z161" t="n">
        <v>0.88</v>
      </c>
      <c r="AA161" t="inlineStr">
        <is>
          <t>Valid</t>
        </is>
      </c>
    </row>
    <row r="162">
      <c r="A162" t="inlineStr">
        <is>
          <t>SUP-0017</t>
        </is>
      </c>
      <c r="B162" t="inlineStr">
        <is>
          <t>Electronics Supplier 017</t>
        </is>
      </c>
      <c r="C162" t="inlineStr">
        <is>
          <t>Electronics</t>
        </is>
      </c>
      <c r="D162" t="n">
        <v>2015</v>
      </c>
      <c r="E162" t="n">
        <v>12165880.58</v>
      </c>
      <c r="F162" t="n">
        <v>39630521.96</v>
      </c>
      <c r="G162" t="inlineStr"/>
      <c r="H162" t="inlineStr"/>
      <c r="I162" t="n">
        <v>642.5681</v>
      </c>
      <c r="J162" t="inlineStr"/>
      <c r="K162" t="n">
        <v>2020</v>
      </c>
      <c r="L162" t="n">
        <v>2035</v>
      </c>
      <c r="M162" t="n">
        <v>0.5999</v>
      </c>
      <c r="N162" t="n">
        <v>0.2666</v>
      </c>
      <c r="O162" t="n">
        <v>2018</v>
      </c>
      <c r="P162" t="n">
        <v>2040</v>
      </c>
      <c r="Q162" t="n">
        <v>0.3424</v>
      </c>
      <c r="R162" t="n">
        <v>635.1588</v>
      </c>
      <c r="S162" t="n">
        <v>0.00086105</v>
      </c>
      <c r="T162" t="n">
        <v>0.00013947</v>
      </c>
      <c r="U162" t="n">
        <v>10475.4315</v>
      </c>
      <c r="V162" t="inlineStr">
        <is>
          <t>Spend-Based Estimate</t>
        </is>
      </c>
      <c r="W162" t="b">
        <v>1</v>
      </c>
      <c r="X162" t="inlineStr">
        <is>
          <t>Medium</t>
        </is>
      </c>
      <c r="Y162" t="inlineStr">
        <is>
          <t>Reported_Emissions; Scope_Emissions</t>
        </is>
      </c>
      <c r="Z162" t="n">
        <v>0.7</v>
      </c>
      <c r="AA162" t="inlineStr">
        <is>
          <t>Valid</t>
        </is>
      </c>
    </row>
    <row r="163">
      <c r="A163" t="inlineStr">
        <is>
          <t>SUP-0017</t>
        </is>
      </c>
      <c r="B163" t="inlineStr">
        <is>
          <t>Electronics Supplier 017</t>
        </is>
      </c>
      <c r="C163" t="inlineStr">
        <is>
          <t>Electronics</t>
        </is>
      </c>
      <c r="D163" t="n">
        <v>2016</v>
      </c>
      <c r="E163" t="n">
        <v>12346887.14</v>
      </c>
      <c r="F163" t="n">
        <v>44500131.5</v>
      </c>
      <c r="G163" t="n">
        <v>14417.2948</v>
      </c>
      <c r="H163" t="n">
        <v>3135.0841</v>
      </c>
      <c r="I163" t="n">
        <v>1087.2989</v>
      </c>
      <c r="J163" t="n">
        <v>9922.853499999999</v>
      </c>
      <c r="K163" t="n">
        <v>2020</v>
      </c>
      <c r="L163" t="n">
        <v>2035</v>
      </c>
      <c r="M163" t="n">
        <v>0.5999</v>
      </c>
      <c r="N163" t="n">
        <v>0.2666</v>
      </c>
      <c r="O163" t="n">
        <v>2018</v>
      </c>
      <c r="P163" t="n">
        <v>2040</v>
      </c>
      <c r="Q163" t="n">
        <v>0.3424</v>
      </c>
      <c r="R163" t="n">
        <v>635.1588</v>
      </c>
      <c r="S163" t="n">
        <v>0.00086105</v>
      </c>
      <c r="T163" t="n">
        <v>0.00013947</v>
      </c>
      <c r="U163" t="n">
        <v>14417.2948</v>
      </c>
      <c r="V163" t="inlineStr">
        <is>
          <t>Supplier Reported Emissions</t>
        </is>
      </c>
      <c r="W163" t="b">
        <v>0</v>
      </c>
      <c r="X163" t="inlineStr">
        <is>
          <t>High</t>
        </is>
      </c>
      <c r="Y163" t="inlineStr">
        <is>
          <t>None</t>
        </is>
      </c>
      <c r="Z163" t="n">
        <v>0.95</v>
      </c>
      <c r="AA163" t="inlineStr">
        <is>
          <t>Valid</t>
        </is>
      </c>
    </row>
    <row r="164">
      <c r="A164" t="inlineStr">
        <is>
          <t>SUP-0017</t>
        </is>
      </c>
      <c r="B164" t="inlineStr">
        <is>
          <t>Electronics Supplier 017</t>
        </is>
      </c>
      <c r="C164" t="inlineStr">
        <is>
          <t>Electronics</t>
        </is>
      </c>
      <c r="D164" t="n">
        <v>2017</v>
      </c>
      <c r="E164" t="n">
        <v>10472304.58</v>
      </c>
      <c r="F164" t="n">
        <v>46937973.18</v>
      </c>
      <c r="G164" t="n">
        <v>10151.5007</v>
      </c>
      <c r="H164" t="n">
        <v>904.1164</v>
      </c>
      <c r="I164" t="n">
        <v>972.688</v>
      </c>
      <c r="J164" t="n">
        <v>8163.9971</v>
      </c>
      <c r="K164" t="n">
        <v>2020</v>
      </c>
      <c r="L164" t="n">
        <v>2035</v>
      </c>
      <c r="M164" t="n">
        <v>0.5999</v>
      </c>
      <c r="N164" t="n">
        <v>0.2666</v>
      </c>
      <c r="O164" t="n">
        <v>2018</v>
      </c>
      <c r="P164" t="n">
        <v>2040</v>
      </c>
      <c r="Q164" t="n">
        <v>0.3424</v>
      </c>
      <c r="R164" t="n">
        <v>635.1588</v>
      </c>
      <c r="S164" t="n">
        <v>0.00086105</v>
      </c>
      <c r="T164" t="n">
        <v>0.00013947</v>
      </c>
      <c r="U164" t="n">
        <v>10151.5007</v>
      </c>
      <c r="V164" t="inlineStr">
        <is>
          <t>Supplier Reported Emissions</t>
        </is>
      </c>
      <c r="W164" t="b">
        <v>0</v>
      </c>
      <c r="X164" t="inlineStr">
        <is>
          <t>High</t>
        </is>
      </c>
      <c r="Y164" t="inlineStr">
        <is>
          <t>None</t>
        </is>
      </c>
      <c r="Z164" t="n">
        <v>0.95</v>
      </c>
      <c r="AA164" t="inlineStr">
        <is>
          <t>Valid</t>
        </is>
      </c>
    </row>
    <row r="165">
      <c r="A165" t="inlineStr">
        <is>
          <t>SUP-0017</t>
        </is>
      </c>
      <c r="B165" t="inlineStr">
        <is>
          <t>Electronics Supplier 017</t>
        </is>
      </c>
      <c r="C165" t="inlineStr">
        <is>
          <t>Electronics</t>
        </is>
      </c>
      <c r="D165" t="n">
        <v>2018</v>
      </c>
      <c r="E165" t="n">
        <v>11957328.71</v>
      </c>
      <c r="F165" t="n">
        <v>41028122.36</v>
      </c>
      <c r="G165" t="n">
        <v>13859.2104</v>
      </c>
      <c r="H165" t="n">
        <v>3097.8161</v>
      </c>
      <c r="I165" t="n">
        <v>1545.0837</v>
      </c>
      <c r="J165" t="n">
        <v>8282.3567</v>
      </c>
      <c r="K165" t="n">
        <v>2020</v>
      </c>
      <c r="L165" t="n">
        <v>2035</v>
      </c>
      <c r="M165" t="n">
        <v>0.5999</v>
      </c>
      <c r="N165" t="n">
        <v>0.2666</v>
      </c>
      <c r="O165" t="n">
        <v>2018</v>
      </c>
      <c r="P165" t="n">
        <v>2040</v>
      </c>
      <c r="Q165" t="n">
        <v>0.3424</v>
      </c>
      <c r="R165" t="n">
        <v>635.1588</v>
      </c>
      <c r="S165" t="n">
        <v>0.00086105</v>
      </c>
      <c r="T165" t="n">
        <v>0.00013947</v>
      </c>
      <c r="U165" t="n">
        <v>13859.2104</v>
      </c>
      <c r="V165" t="inlineStr">
        <is>
          <t>Supplier Reported Emissions</t>
        </is>
      </c>
      <c r="W165" t="b">
        <v>0</v>
      </c>
      <c r="X165" t="inlineStr">
        <is>
          <t>High</t>
        </is>
      </c>
      <c r="Y165" t="inlineStr">
        <is>
          <t>None</t>
        </is>
      </c>
      <c r="Z165" t="n">
        <v>0.95</v>
      </c>
      <c r="AA165" t="inlineStr">
        <is>
          <t>Valid</t>
        </is>
      </c>
    </row>
    <row r="166">
      <c r="A166" t="inlineStr">
        <is>
          <t>SUP-0017</t>
        </is>
      </c>
      <c r="B166" t="inlineStr">
        <is>
          <t>Electronics Supplier 017</t>
        </is>
      </c>
      <c r="C166" t="inlineStr">
        <is>
          <t>Electronics</t>
        </is>
      </c>
      <c r="D166" t="n">
        <v>2019</v>
      </c>
      <c r="E166" t="n">
        <v>11993463.23</v>
      </c>
      <c r="F166" t="n">
        <v>56275177.58</v>
      </c>
      <c r="G166" t="n">
        <v>9507.0411</v>
      </c>
      <c r="H166" t="inlineStr"/>
      <c r="I166" t="n">
        <v>1087.4085</v>
      </c>
      <c r="J166" t="inlineStr"/>
      <c r="K166" t="n">
        <v>2020</v>
      </c>
      <c r="L166" t="n">
        <v>2035</v>
      </c>
      <c r="M166" t="n">
        <v>0.5999</v>
      </c>
      <c r="N166" t="n">
        <v>0.2666</v>
      </c>
      <c r="O166" t="n">
        <v>2018</v>
      </c>
      <c r="P166" t="n">
        <v>2040</v>
      </c>
      <c r="Q166" t="n">
        <v>0.3424</v>
      </c>
      <c r="R166" t="n">
        <v>635.1588</v>
      </c>
      <c r="S166" t="n">
        <v>0.00086105</v>
      </c>
      <c r="T166" t="n">
        <v>0.00013947</v>
      </c>
      <c r="U166" t="n">
        <v>9507.0411</v>
      </c>
      <c r="V166" t="inlineStr">
        <is>
          <t>Supplier Reported Emissions</t>
        </is>
      </c>
      <c r="W166" t="b">
        <v>0</v>
      </c>
      <c r="X166" t="inlineStr">
        <is>
          <t>High</t>
        </is>
      </c>
      <c r="Y166" t="inlineStr">
        <is>
          <t>Scope_Emissions</t>
        </is>
      </c>
      <c r="Z166" t="n">
        <v>0.95</v>
      </c>
      <c r="AA166" t="inlineStr">
        <is>
          <t>Valid</t>
        </is>
      </c>
    </row>
    <row r="167">
      <c r="A167" t="inlineStr">
        <is>
          <t>SUP-0017</t>
        </is>
      </c>
      <c r="B167" t="inlineStr">
        <is>
          <t>Electronics Supplier 017</t>
        </is>
      </c>
      <c r="C167" t="inlineStr">
        <is>
          <t>Electronics</t>
        </is>
      </c>
      <c r="D167" t="n">
        <v>2020</v>
      </c>
      <c r="E167" t="n">
        <v>13835433.25</v>
      </c>
      <c r="F167" t="n">
        <v>59692644.04</v>
      </c>
      <c r="G167" t="n">
        <v>13961.8183</v>
      </c>
      <c r="H167" t="n">
        <v>2029.2178</v>
      </c>
      <c r="I167" t="n">
        <v>2931.5018</v>
      </c>
      <c r="J167" t="n">
        <v>9865.2678</v>
      </c>
      <c r="K167" t="n">
        <v>2020</v>
      </c>
      <c r="L167" t="n">
        <v>2035</v>
      </c>
      <c r="M167" t="n">
        <v>0.5999</v>
      </c>
      <c r="N167" t="n">
        <v>0.2666</v>
      </c>
      <c r="O167" t="n">
        <v>2018</v>
      </c>
      <c r="P167" t="n">
        <v>2040</v>
      </c>
      <c r="Q167" t="n">
        <v>0.3424</v>
      </c>
      <c r="R167" t="n">
        <v>635.1588</v>
      </c>
      <c r="S167" t="n">
        <v>0.00086105</v>
      </c>
      <c r="T167" t="n">
        <v>0.00013947</v>
      </c>
      <c r="U167" t="n">
        <v>13961.8183</v>
      </c>
      <c r="V167" t="inlineStr">
        <is>
          <t>Supplier Reported Emissions</t>
        </is>
      </c>
      <c r="W167" t="b">
        <v>0</v>
      </c>
      <c r="X167" t="inlineStr">
        <is>
          <t>High</t>
        </is>
      </c>
      <c r="Y167" t="inlineStr">
        <is>
          <t>None</t>
        </is>
      </c>
      <c r="Z167" t="n">
        <v>0.95</v>
      </c>
      <c r="AA167" t="inlineStr">
        <is>
          <t>Valid</t>
        </is>
      </c>
    </row>
    <row r="168">
      <c r="A168" t="inlineStr">
        <is>
          <t>SUP-0017</t>
        </is>
      </c>
      <c r="B168" t="inlineStr">
        <is>
          <t>Electronics Supplier 017</t>
        </is>
      </c>
      <c r="C168" t="inlineStr">
        <is>
          <t>Electronics</t>
        </is>
      </c>
      <c r="D168" t="n">
        <v>2021</v>
      </c>
      <c r="E168" t="n">
        <v>13597086.66</v>
      </c>
      <c r="F168" t="n">
        <v>52012040.88</v>
      </c>
      <c r="G168" t="n">
        <v>14799.7001</v>
      </c>
      <c r="H168" t="n">
        <v>1343.2236</v>
      </c>
      <c r="I168" t="n">
        <v>1114.0095</v>
      </c>
      <c r="J168" t="n">
        <v>12091.453</v>
      </c>
      <c r="K168" t="n">
        <v>2020</v>
      </c>
      <c r="L168" t="n">
        <v>2035</v>
      </c>
      <c r="M168" t="n">
        <v>0.5999</v>
      </c>
      <c r="N168" t="n">
        <v>0.2666</v>
      </c>
      <c r="O168" t="n">
        <v>2018</v>
      </c>
      <c r="P168" t="n">
        <v>2040</v>
      </c>
      <c r="Q168" t="n">
        <v>0.3424</v>
      </c>
      <c r="R168" t="n">
        <v>635.1588</v>
      </c>
      <c r="S168" t="n">
        <v>0.00086105</v>
      </c>
      <c r="T168" t="n">
        <v>0.00013947</v>
      </c>
      <c r="U168" t="n">
        <v>14799.7001</v>
      </c>
      <c r="V168" t="inlineStr">
        <is>
          <t>Supplier Reported Emissions</t>
        </is>
      </c>
      <c r="W168" t="b">
        <v>0</v>
      </c>
      <c r="X168" t="inlineStr">
        <is>
          <t>High</t>
        </is>
      </c>
      <c r="Y168" t="inlineStr">
        <is>
          <t>None</t>
        </is>
      </c>
      <c r="Z168" t="n">
        <v>0.95</v>
      </c>
      <c r="AA168" t="inlineStr">
        <is>
          <t>Valid</t>
        </is>
      </c>
    </row>
    <row r="169">
      <c r="A169" t="inlineStr">
        <is>
          <t>SUP-0017</t>
        </is>
      </c>
      <c r="B169" t="inlineStr">
        <is>
          <t>Electronics Supplier 017</t>
        </is>
      </c>
      <c r="C169" t="inlineStr">
        <is>
          <t>Electronics</t>
        </is>
      </c>
      <c r="D169" t="n">
        <v>2022</v>
      </c>
      <c r="E169" t="n">
        <v>12159208.61</v>
      </c>
      <c r="F169" t="n">
        <v>50958395.95</v>
      </c>
      <c r="G169" t="inlineStr"/>
      <c r="H169" t="n">
        <v>2046.1533</v>
      </c>
      <c r="I169" t="n">
        <v>735.6464999999999</v>
      </c>
      <c r="J169" t="n">
        <v>7884.3805</v>
      </c>
      <c r="K169" t="n">
        <v>2020</v>
      </c>
      <c r="L169" t="n">
        <v>2035</v>
      </c>
      <c r="M169" t="n">
        <v>0.5999</v>
      </c>
      <c r="N169" t="n">
        <v>0.2666</v>
      </c>
      <c r="O169" t="n">
        <v>2018</v>
      </c>
      <c r="P169" t="n">
        <v>2040</v>
      </c>
      <c r="Q169" t="n">
        <v>0.3424</v>
      </c>
      <c r="R169" t="n">
        <v>635.1588</v>
      </c>
      <c r="S169" t="n">
        <v>0.00086105</v>
      </c>
      <c r="T169" t="n">
        <v>0.00013947</v>
      </c>
      <c r="U169" t="n">
        <v>10666.1803</v>
      </c>
      <c r="V169" t="inlineStr">
        <is>
          <t>Scope 1 + Scope 2 + Scope 3</t>
        </is>
      </c>
      <c r="W169" t="b">
        <v>1</v>
      </c>
      <c r="X169" t="inlineStr">
        <is>
          <t>High</t>
        </is>
      </c>
      <c r="Y169" t="inlineStr">
        <is>
          <t>Reported_Emissions</t>
        </is>
      </c>
      <c r="Z169" t="n">
        <v>0.88</v>
      </c>
      <c r="AA169" t="inlineStr">
        <is>
          <t>Valid</t>
        </is>
      </c>
    </row>
    <row r="170">
      <c r="A170" t="inlineStr">
        <is>
          <t>SUP-0017</t>
        </is>
      </c>
      <c r="B170" t="inlineStr">
        <is>
          <t>Electronics Supplier 017</t>
        </is>
      </c>
      <c r="C170" t="inlineStr">
        <is>
          <t>Electronics</t>
        </is>
      </c>
      <c r="D170" t="n">
        <v>2023</v>
      </c>
      <c r="E170" t="n">
        <v>15526753.27</v>
      </c>
      <c r="F170" t="n">
        <v>51807608.43</v>
      </c>
      <c r="G170" t="n">
        <v>13491.207</v>
      </c>
      <c r="H170" t="n">
        <v>3575.7706</v>
      </c>
      <c r="I170" t="n">
        <v>2621.4192</v>
      </c>
      <c r="J170" t="inlineStr"/>
      <c r="K170" t="n">
        <v>2020</v>
      </c>
      <c r="L170" t="n">
        <v>2035</v>
      </c>
      <c r="M170" t="n">
        <v>0.5999</v>
      </c>
      <c r="N170" t="n">
        <v>0.2666</v>
      </c>
      <c r="O170" t="n">
        <v>2018</v>
      </c>
      <c r="P170" t="n">
        <v>2040</v>
      </c>
      <c r="Q170" t="n">
        <v>0.3424</v>
      </c>
      <c r="R170" t="n">
        <v>635.1588</v>
      </c>
      <c r="S170" t="n">
        <v>0.00086105</v>
      </c>
      <c r="T170" t="n">
        <v>0.00013947</v>
      </c>
      <c r="U170" t="n">
        <v>13491.207</v>
      </c>
      <c r="V170" t="inlineStr">
        <is>
          <t>Supplier Reported Emissions</t>
        </is>
      </c>
      <c r="W170" t="b">
        <v>0</v>
      </c>
      <c r="X170" t="inlineStr">
        <is>
          <t>High</t>
        </is>
      </c>
      <c r="Y170" t="inlineStr">
        <is>
          <t>Scope_Emissions</t>
        </is>
      </c>
      <c r="Z170" t="n">
        <v>0.95</v>
      </c>
      <c r="AA170" t="inlineStr">
        <is>
          <t>Valid</t>
        </is>
      </c>
    </row>
    <row r="171">
      <c r="A171" t="inlineStr">
        <is>
          <t>SUP-0017</t>
        </is>
      </c>
      <c r="B171" t="inlineStr">
        <is>
          <t>Electronics Supplier 017</t>
        </is>
      </c>
      <c r="C171" t="inlineStr">
        <is>
          <t>Electronics</t>
        </is>
      </c>
      <c r="D171" t="n">
        <v>2024</v>
      </c>
      <c r="E171" t="n">
        <v>16073434.72</v>
      </c>
      <c r="F171" t="n">
        <v>43836752.72</v>
      </c>
      <c r="G171" t="n">
        <v>13125.3202</v>
      </c>
      <c r="H171" t="inlineStr"/>
      <c r="I171" t="inlineStr"/>
      <c r="J171" t="n">
        <v>9101.945900000001</v>
      </c>
      <c r="K171" t="n">
        <v>2020</v>
      </c>
      <c r="L171" t="n">
        <v>2035</v>
      </c>
      <c r="M171" t="n">
        <v>0.5999</v>
      </c>
      <c r="N171" t="n">
        <v>0.2666</v>
      </c>
      <c r="O171" t="n">
        <v>2018</v>
      </c>
      <c r="P171" t="n">
        <v>2040</v>
      </c>
      <c r="Q171" t="n">
        <v>0.3424</v>
      </c>
      <c r="R171" t="n">
        <v>635.1588</v>
      </c>
      <c r="S171" t="n">
        <v>0.00086105</v>
      </c>
      <c r="T171" t="n">
        <v>0.00013947</v>
      </c>
      <c r="U171" t="n">
        <v>13125.3202</v>
      </c>
      <c r="V171" t="inlineStr">
        <is>
          <t>Supplier Reported Emissions</t>
        </is>
      </c>
      <c r="W171" t="b">
        <v>0</v>
      </c>
      <c r="X171" t="inlineStr">
        <is>
          <t>High</t>
        </is>
      </c>
      <c r="Y171" t="inlineStr">
        <is>
          <t>Scope_Emissions</t>
        </is>
      </c>
      <c r="Z171" t="n">
        <v>0.95</v>
      </c>
      <c r="AA171" t="inlineStr">
        <is>
          <t>Valid</t>
        </is>
      </c>
    </row>
    <row r="172">
      <c r="A172" t="inlineStr">
        <is>
          <t>SUP-0018</t>
        </is>
      </c>
      <c r="B172" t="inlineStr">
        <is>
          <t>Professional Supplier 018</t>
        </is>
      </c>
      <c r="C172" t="inlineStr">
        <is>
          <t>Professional Services</t>
        </is>
      </c>
      <c r="D172" t="n">
        <v>2015</v>
      </c>
      <c r="E172" t="n">
        <v>23341720.22</v>
      </c>
      <c r="F172" t="n">
        <v>30153704.77</v>
      </c>
      <c r="G172" t="n">
        <v>3481.9675</v>
      </c>
      <c r="H172" t="n">
        <v>717.2916</v>
      </c>
      <c r="I172" t="n">
        <v>372.8537</v>
      </c>
      <c r="J172" t="n">
        <v>2440.1221</v>
      </c>
      <c r="K172" t="inlineStr"/>
      <c r="L172" t="inlineStr"/>
      <c r="M172" t="inlineStr"/>
      <c r="N172" t="inlineStr"/>
      <c r="O172" t="n">
        <v>2020</v>
      </c>
      <c r="P172" t="inlineStr"/>
      <c r="Q172" t="inlineStr"/>
      <c r="R172" t="n">
        <v>400.0326</v>
      </c>
      <c r="S172" t="n">
        <v>0.00012906</v>
      </c>
      <c r="T172" t="n">
        <v>0.00019658</v>
      </c>
      <c r="U172" t="n">
        <v>3481.9675</v>
      </c>
      <c r="V172" t="inlineStr">
        <is>
          <t>Supplier Reported Emissions</t>
        </is>
      </c>
      <c r="W172" t="b">
        <v>0</v>
      </c>
      <c r="X172" t="inlineStr">
        <is>
          <t>High</t>
        </is>
      </c>
      <c r="Y172" t="inlineStr">
        <is>
          <t>None</t>
        </is>
      </c>
      <c r="Z172" t="n">
        <v>0.95</v>
      </c>
      <c r="AA172" t="inlineStr">
        <is>
          <t>Valid</t>
        </is>
      </c>
    </row>
    <row r="173">
      <c r="A173" t="inlineStr">
        <is>
          <t>SUP-0018</t>
        </is>
      </c>
      <c r="B173" t="inlineStr">
        <is>
          <t>Professional Supplier 018</t>
        </is>
      </c>
      <c r="C173" t="inlineStr">
        <is>
          <t>Professional Services</t>
        </is>
      </c>
      <c r="D173" t="n">
        <v>2016</v>
      </c>
      <c r="E173" t="n">
        <v>24642683.58</v>
      </c>
      <c r="F173" t="n">
        <v>29088805.7</v>
      </c>
      <c r="G173" t="n">
        <v>4400.1144</v>
      </c>
      <c r="H173" t="n">
        <v>1114.7526</v>
      </c>
      <c r="I173" t="inlineStr"/>
      <c r="J173" t="n">
        <v>2693.5792</v>
      </c>
      <c r="K173" t="inlineStr"/>
      <c r="L173" t="inlineStr"/>
      <c r="M173" t="inlineStr"/>
      <c r="N173" t="inlineStr"/>
      <c r="O173" t="n">
        <v>2020</v>
      </c>
      <c r="P173" t="inlineStr"/>
      <c r="Q173" t="inlineStr"/>
      <c r="R173" t="n">
        <v>400.0326</v>
      </c>
      <c r="S173" t="n">
        <v>0.00012906</v>
      </c>
      <c r="T173" t="n">
        <v>0.00019658</v>
      </c>
      <c r="U173" t="n">
        <v>4400.1144</v>
      </c>
      <c r="V173" t="inlineStr">
        <is>
          <t>Supplier Reported Emissions</t>
        </is>
      </c>
      <c r="W173" t="b">
        <v>0</v>
      </c>
      <c r="X173" t="inlineStr">
        <is>
          <t>High</t>
        </is>
      </c>
      <c r="Y173" t="inlineStr">
        <is>
          <t>Scope_Emissions</t>
        </is>
      </c>
      <c r="Z173" t="n">
        <v>0.95</v>
      </c>
      <c r="AA173" t="inlineStr">
        <is>
          <t>Valid</t>
        </is>
      </c>
    </row>
    <row r="174">
      <c r="A174" t="inlineStr">
        <is>
          <t>SUP-0018</t>
        </is>
      </c>
      <c r="B174" t="inlineStr">
        <is>
          <t>Professional Supplier 018</t>
        </is>
      </c>
      <c r="C174" t="inlineStr">
        <is>
          <t>Professional Services</t>
        </is>
      </c>
      <c r="D174" t="n">
        <v>2017</v>
      </c>
      <c r="E174" t="n">
        <v>25463787.96</v>
      </c>
      <c r="F174" t="n">
        <v>32579591.42</v>
      </c>
      <c r="G174" t="n">
        <v>4514.7872</v>
      </c>
      <c r="H174" t="n">
        <v>367.7931</v>
      </c>
      <c r="I174" t="n">
        <v>704.5214</v>
      </c>
      <c r="J174" t="n">
        <v>3649.9656</v>
      </c>
      <c r="K174" t="inlineStr"/>
      <c r="L174" t="inlineStr"/>
      <c r="M174" t="inlineStr"/>
      <c r="N174" t="inlineStr"/>
      <c r="O174" t="n">
        <v>2020</v>
      </c>
      <c r="P174" t="inlineStr"/>
      <c r="Q174" t="inlineStr"/>
      <c r="R174" t="n">
        <v>400.0326</v>
      </c>
      <c r="S174" t="n">
        <v>0.00012906</v>
      </c>
      <c r="T174" t="n">
        <v>0.00019658</v>
      </c>
      <c r="U174" t="n">
        <v>4514.7872</v>
      </c>
      <c r="V174" t="inlineStr">
        <is>
          <t>Supplier Reported Emissions</t>
        </is>
      </c>
      <c r="W174" t="b">
        <v>0</v>
      </c>
      <c r="X174" t="inlineStr">
        <is>
          <t>High</t>
        </is>
      </c>
      <c r="Y174" t="inlineStr">
        <is>
          <t>None</t>
        </is>
      </c>
      <c r="Z174" t="n">
        <v>0.95</v>
      </c>
      <c r="AA174" t="inlineStr">
        <is>
          <t>Valid</t>
        </is>
      </c>
    </row>
    <row r="175">
      <c r="A175" t="inlineStr">
        <is>
          <t>SUP-0018</t>
        </is>
      </c>
      <c r="B175" t="inlineStr">
        <is>
          <t>Professional Supplier 018</t>
        </is>
      </c>
      <c r="C175" t="inlineStr">
        <is>
          <t>Professional Services</t>
        </is>
      </c>
      <c r="D175" t="n">
        <v>2018</v>
      </c>
      <c r="E175" t="n">
        <v>24454367.26</v>
      </c>
      <c r="F175" t="n">
        <v>28218984.32</v>
      </c>
      <c r="G175" t="n">
        <v>3801.5016</v>
      </c>
      <c r="H175" t="n">
        <v>709.7969000000001</v>
      </c>
      <c r="I175" t="inlineStr"/>
      <c r="J175" t="inlineStr"/>
      <c r="K175" t="inlineStr"/>
      <c r="L175" t="inlineStr"/>
      <c r="M175" t="inlineStr"/>
      <c r="N175" t="inlineStr"/>
      <c r="O175" t="n">
        <v>2020</v>
      </c>
      <c r="P175" t="inlineStr"/>
      <c r="Q175" t="inlineStr"/>
      <c r="R175" t="n">
        <v>400.0326</v>
      </c>
      <c r="S175" t="n">
        <v>0.00012906</v>
      </c>
      <c r="T175" t="n">
        <v>0.00019658</v>
      </c>
      <c r="U175" t="n">
        <v>3801.5016</v>
      </c>
      <c r="V175" t="inlineStr">
        <is>
          <t>Supplier Reported Emissions</t>
        </is>
      </c>
      <c r="W175" t="b">
        <v>0</v>
      </c>
      <c r="X175" t="inlineStr">
        <is>
          <t>High</t>
        </is>
      </c>
      <c r="Y175" t="inlineStr">
        <is>
          <t>Scope_Emissions</t>
        </is>
      </c>
      <c r="Z175" t="n">
        <v>0.95</v>
      </c>
      <c r="AA175" t="inlineStr">
        <is>
          <t>Valid</t>
        </is>
      </c>
    </row>
    <row r="176">
      <c r="A176" t="inlineStr">
        <is>
          <t>SUP-0018</t>
        </is>
      </c>
      <c r="B176" t="inlineStr">
        <is>
          <t>Professional Supplier 018</t>
        </is>
      </c>
      <c r="C176" t="inlineStr">
        <is>
          <t>Professional Services</t>
        </is>
      </c>
      <c r="D176" t="n">
        <v>2019</v>
      </c>
      <c r="E176" t="n">
        <v>24756764.38</v>
      </c>
      <c r="F176" t="n">
        <v>27482996.85</v>
      </c>
      <c r="G176" t="n">
        <v>3614.8937</v>
      </c>
      <c r="H176" t="n">
        <v>866.7193</v>
      </c>
      <c r="I176" t="n">
        <v>685.5779</v>
      </c>
      <c r="J176" t="n">
        <v>2238.6367</v>
      </c>
      <c r="K176" t="inlineStr"/>
      <c r="L176" t="inlineStr"/>
      <c r="M176" t="inlineStr"/>
      <c r="N176" t="inlineStr"/>
      <c r="O176" t="n">
        <v>2020</v>
      </c>
      <c r="P176" t="inlineStr"/>
      <c r="Q176" t="inlineStr"/>
      <c r="R176" t="n">
        <v>400.0326</v>
      </c>
      <c r="S176" t="n">
        <v>0.00012906</v>
      </c>
      <c r="T176" t="n">
        <v>0.00019658</v>
      </c>
      <c r="U176" t="n">
        <v>3614.8937</v>
      </c>
      <c r="V176" t="inlineStr">
        <is>
          <t>Supplier Reported Emissions</t>
        </is>
      </c>
      <c r="W176" t="b">
        <v>0</v>
      </c>
      <c r="X176" t="inlineStr">
        <is>
          <t>High</t>
        </is>
      </c>
      <c r="Y176" t="inlineStr">
        <is>
          <t>None</t>
        </is>
      </c>
      <c r="Z176" t="n">
        <v>0.95</v>
      </c>
      <c r="AA176" t="inlineStr">
        <is>
          <t>Valid</t>
        </is>
      </c>
    </row>
    <row r="177">
      <c r="A177" t="inlineStr">
        <is>
          <t>SUP-0018</t>
        </is>
      </c>
      <c r="B177" t="inlineStr">
        <is>
          <t>Professional Supplier 018</t>
        </is>
      </c>
      <c r="C177" t="inlineStr">
        <is>
          <t>Professional Services</t>
        </is>
      </c>
      <c r="D177" t="n">
        <v>2020</v>
      </c>
      <c r="E177" t="n">
        <v>29630118.54</v>
      </c>
      <c r="F177" t="n">
        <v>41379377.41</v>
      </c>
      <c r="G177" t="n">
        <v>3137.8007</v>
      </c>
      <c r="H177" t="n">
        <v>739.9797</v>
      </c>
      <c r="I177" t="n">
        <v>451.8139</v>
      </c>
      <c r="J177" t="n">
        <v>1898.7062</v>
      </c>
      <c r="K177" t="inlineStr"/>
      <c r="L177" t="inlineStr"/>
      <c r="M177" t="inlineStr"/>
      <c r="N177" t="inlineStr"/>
      <c r="O177" t="n">
        <v>2020</v>
      </c>
      <c r="P177" t="inlineStr"/>
      <c r="Q177" t="inlineStr"/>
      <c r="R177" t="n">
        <v>400.0326</v>
      </c>
      <c r="S177" t="n">
        <v>0.00012906</v>
      </c>
      <c r="T177" t="n">
        <v>0.00019658</v>
      </c>
      <c r="U177" t="n">
        <v>3137.8007</v>
      </c>
      <c r="V177" t="inlineStr">
        <is>
          <t>Supplier Reported Emissions</t>
        </is>
      </c>
      <c r="W177" t="b">
        <v>0</v>
      </c>
      <c r="X177" t="inlineStr">
        <is>
          <t>High</t>
        </is>
      </c>
      <c r="Y177" t="inlineStr">
        <is>
          <t>None</t>
        </is>
      </c>
      <c r="Z177" t="n">
        <v>0.95</v>
      </c>
      <c r="AA177" t="inlineStr">
        <is>
          <t>Valid</t>
        </is>
      </c>
    </row>
    <row r="178">
      <c r="A178" t="inlineStr">
        <is>
          <t>SUP-0018</t>
        </is>
      </c>
      <c r="B178" t="inlineStr">
        <is>
          <t>Professional Supplier 018</t>
        </is>
      </c>
      <c r="C178" t="inlineStr">
        <is>
          <t>Professional Services</t>
        </is>
      </c>
      <c r="D178" t="n">
        <v>2021</v>
      </c>
      <c r="E178" t="n">
        <v>27898027.65</v>
      </c>
      <c r="F178" t="n">
        <v>37389953.2</v>
      </c>
      <c r="G178" t="n">
        <v>4112.0743</v>
      </c>
      <c r="H178" t="n">
        <v>1069.796</v>
      </c>
      <c r="I178" t="n">
        <v>574.3924</v>
      </c>
      <c r="J178" t="n">
        <v>2541.6469</v>
      </c>
      <c r="K178" t="inlineStr"/>
      <c r="L178" t="inlineStr"/>
      <c r="M178" t="inlineStr"/>
      <c r="N178" t="inlineStr"/>
      <c r="O178" t="n">
        <v>2020</v>
      </c>
      <c r="P178" t="inlineStr"/>
      <c r="Q178" t="inlineStr"/>
      <c r="R178" t="n">
        <v>400.0326</v>
      </c>
      <c r="S178" t="n">
        <v>0.00012906</v>
      </c>
      <c r="T178" t="n">
        <v>0.00019658</v>
      </c>
      <c r="U178" t="n">
        <v>4112.0743</v>
      </c>
      <c r="V178" t="inlineStr">
        <is>
          <t>Supplier Reported Emissions</t>
        </is>
      </c>
      <c r="W178" t="b">
        <v>0</v>
      </c>
      <c r="X178" t="inlineStr">
        <is>
          <t>High</t>
        </is>
      </c>
      <c r="Y178" t="inlineStr">
        <is>
          <t>None</t>
        </is>
      </c>
      <c r="Z178" t="n">
        <v>0.95</v>
      </c>
      <c r="AA178" t="inlineStr">
        <is>
          <t>Valid</t>
        </is>
      </c>
    </row>
    <row r="179">
      <c r="A179" t="inlineStr">
        <is>
          <t>SUP-0018</t>
        </is>
      </c>
      <c r="B179" t="inlineStr">
        <is>
          <t>Professional Supplier 018</t>
        </is>
      </c>
      <c r="C179" t="inlineStr">
        <is>
          <t>Professional Services</t>
        </is>
      </c>
      <c r="D179" t="n">
        <v>2022</v>
      </c>
      <c r="E179" t="n">
        <v>28976790.15</v>
      </c>
      <c r="F179" t="n">
        <v>40775282.66</v>
      </c>
      <c r="G179" t="n">
        <v>4079.4811</v>
      </c>
      <c r="H179" t="n">
        <v>625.3541</v>
      </c>
      <c r="I179" t="n">
        <v>648.0371</v>
      </c>
      <c r="J179" t="n">
        <v>2553.8047</v>
      </c>
      <c r="K179" t="inlineStr"/>
      <c r="L179" t="inlineStr"/>
      <c r="M179" t="inlineStr"/>
      <c r="N179" t="inlineStr"/>
      <c r="O179" t="n">
        <v>2020</v>
      </c>
      <c r="P179" t="inlineStr"/>
      <c r="Q179" t="inlineStr"/>
      <c r="R179" t="n">
        <v>400.0326</v>
      </c>
      <c r="S179" t="n">
        <v>0.00012906</v>
      </c>
      <c r="T179" t="n">
        <v>0.00019658</v>
      </c>
      <c r="U179" t="n">
        <v>4079.4811</v>
      </c>
      <c r="V179" t="inlineStr">
        <is>
          <t>Supplier Reported Emissions</t>
        </is>
      </c>
      <c r="W179" t="b">
        <v>0</v>
      </c>
      <c r="X179" t="inlineStr">
        <is>
          <t>High</t>
        </is>
      </c>
      <c r="Y179" t="inlineStr">
        <is>
          <t>None</t>
        </is>
      </c>
      <c r="Z179" t="n">
        <v>0.95</v>
      </c>
      <c r="AA179" t="inlineStr">
        <is>
          <t>Valid</t>
        </is>
      </c>
    </row>
    <row r="180">
      <c r="A180" t="inlineStr">
        <is>
          <t>SUP-0018</t>
        </is>
      </c>
      <c r="B180" t="inlineStr">
        <is>
          <t>Professional Supplier 018</t>
        </is>
      </c>
      <c r="C180" t="inlineStr">
        <is>
          <t>Professional Services</t>
        </is>
      </c>
      <c r="D180" t="n">
        <v>2023</v>
      </c>
      <c r="E180" t="n">
        <v>29668365.65</v>
      </c>
      <c r="F180" t="n">
        <v>36069717.59</v>
      </c>
      <c r="G180" t="inlineStr"/>
      <c r="H180" t="n">
        <v>464.2371</v>
      </c>
      <c r="I180" t="inlineStr"/>
      <c r="J180" t="n">
        <v>2583.588</v>
      </c>
      <c r="K180" t="inlineStr"/>
      <c r="L180" t="inlineStr"/>
      <c r="M180" t="inlineStr"/>
      <c r="N180" t="inlineStr"/>
      <c r="O180" t="n">
        <v>2020</v>
      </c>
      <c r="P180" t="inlineStr"/>
      <c r="Q180" t="inlineStr"/>
      <c r="R180" t="n">
        <v>400.0326</v>
      </c>
      <c r="S180" t="n">
        <v>0.00012906</v>
      </c>
      <c r="T180" t="n">
        <v>0.00019658</v>
      </c>
      <c r="U180" t="n">
        <v>3828.9993</v>
      </c>
      <c r="V180" t="inlineStr">
        <is>
          <t>Spend-Based Estimate</t>
        </is>
      </c>
      <c r="W180" t="b">
        <v>1</v>
      </c>
      <c r="X180" t="inlineStr">
        <is>
          <t>Medium</t>
        </is>
      </c>
      <c r="Y180" t="inlineStr">
        <is>
          <t>Reported_Emissions; Scope_Emissions</t>
        </is>
      </c>
      <c r="Z180" t="n">
        <v>0.7</v>
      </c>
      <c r="AA180" t="inlineStr">
        <is>
          <t>Valid</t>
        </is>
      </c>
    </row>
    <row r="181">
      <c r="A181" t="inlineStr">
        <is>
          <t>SUP-0018</t>
        </is>
      </c>
      <c r="B181" t="inlineStr">
        <is>
          <t>Professional Supplier 018</t>
        </is>
      </c>
      <c r="C181" t="inlineStr">
        <is>
          <t>Professional Services</t>
        </is>
      </c>
      <c r="D181" t="n">
        <v>2024</v>
      </c>
      <c r="E181" t="n">
        <v>27725818.17</v>
      </c>
      <c r="F181" t="n">
        <v>35389398.07</v>
      </c>
      <c r="G181" t="n">
        <v>3029.8477</v>
      </c>
      <c r="H181" t="n">
        <v>476.8177</v>
      </c>
      <c r="I181" t="n">
        <v>252.2195</v>
      </c>
      <c r="J181" t="n">
        <v>2403.8315</v>
      </c>
      <c r="K181" t="inlineStr"/>
      <c r="L181" t="inlineStr"/>
      <c r="M181" t="inlineStr"/>
      <c r="N181" t="inlineStr"/>
      <c r="O181" t="n">
        <v>2020</v>
      </c>
      <c r="P181" t="inlineStr"/>
      <c r="Q181" t="inlineStr"/>
      <c r="R181" t="n">
        <v>400.0326</v>
      </c>
      <c r="S181" t="n">
        <v>0.00012906</v>
      </c>
      <c r="T181" t="n">
        <v>0.00019658</v>
      </c>
      <c r="U181" t="n">
        <v>3029.8477</v>
      </c>
      <c r="V181" t="inlineStr">
        <is>
          <t>Supplier Reported Emissions</t>
        </is>
      </c>
      <c r="W181" t="b">
        <v>0</v>
      </c>
      <c r="X181" t="inlineStr">
        <is>
          <t>High</t>
        </is>
      </c>
      <c r="Y181" t="inlineStr">
        <is>
          <t>None</t>
        </is>
      </c>
      <c r="Z181" t="n">
        <v>0.95</v>
      </c>
      <c r="AA181" t="inlineStr">
        <is>
          <t>Valid</t>
        </is>
      </c>
    </row>
    <row r="182">
      <c r="A182" t="inlineStr">
        <is>
          <t>SUP-0019</t>
        </is>
      </c>
      <c r="B182" t="inlineStr">
        <is>
          <t>Metals Supplier 019</t>
        </is>
      </c>
      <c r="C182" t="inlineStr">
        <is>
          <t>Metals</t>
        </is>
      </c>
      <c r="D182" t="n">
        <v>2015</v>
      </c>
      <c r="E182" t="n">
        <v>15163966.2</v>
      </c>
      <c r="F182" t="n">
        <v>35393659.61</v>
      </c>
      <c r="G182" t="inlineStr"/>
      <c r="H182" t="inlineStr"/>
      <c r="I182" t="n">
        <v>2366.0933</v>
      </c>
      <c r="J182" t="n">
        <v>8786.599200000001</v>
      </c>
      <c r="K182" t="n">
        <v>2021</v>
      </c>
      <c r="L182" t="n">
        <v>2035</v>
      </c>
      <c r="M182" t="n">
        <v>0.5173</v>
      </c>
      <c r="N182" t="n">
        <v>0.245</v>
      </c>
      <c r="O182" t="n">
        <v>2019</v>
      </c>
      <c r="P182" t="n">
        <v>2030</v>
      </c>
      <c r="Q182" t="n">
        <v>0.3852</v>
      </c>
      <c r="R182" t="n">
        <v>158.2904</v>
      </c>
      <c r="S182" t="n">
        <v>0.00100695</v>
      </c>
      <c r="T182" t="n">
        <v>0.00065008</v>
      </c>
      <c r="U182" t="n">
        <v>15269.3558</v>
      </c>
      <c r="V182" t="inlineStr">
        <is>
          <t>Spend-Based Estimate</t>
        </is>
      </c>
      <c r="W182" t="b">
        <v>1</v>
      </c>
      <c r="X182" t="inlineStr">
        <is>
          <t>Medium</t>
        </is>
      </c>
      <c r="Y182" t="inlineStr">
        <is>
          <t>Reported_Emissions; Scope_Emissions</t>
        </is>
      </c>
      <c r="Z182" t="n">
        <v>0.7</v>
      </c>
      <c r="AA182" t="inlineStr">
        <is>
          <t>Valid</t>
        </is>
      </c>
    </row>
    <row r="183">
      <c r="A183" t="inlineStr">
        <is>
          <t>SUP-0019</t>
        </is>
      </c>
      <c r="B183" t="inlineStr">
        <is>
          <t>Metals Supplier 019</t>
        </is>
      </c>
      <c r="C183" t="inlineStr">
        <is>
          <t>Metals</t>
        </is>
      </c>
      <c r="D183" t="n">
        <v>2016</v>
      </c>
      <c r="E183" t="n">
        <v>18509957.65</v>
      </c>
      <c r="F183" t="n">
        <v>39650672.93</v>
      </c>
      <c r="G183" t="inlineStr"/>
      <c r="H183" t="n">
        <v>1739.5061</v>
      </c>
      <c r="I183" t="n">
        <v>1578.3628</v>
      </c>
      <c r="J183" t="n">
        <v>10804.0706</v>
      </c>
      <c r="K183" t="n">
        <v>2021</v>
      </c>
      <c r="L183" t="n">
        <v>2035</v>
      </c>
      <c r="M183" t="n">
        <v>0.5173</v>
      </c>
      <c r="N183" t="n">
        <v>0.245</v>
      </c>
      <c r="O183" t="n">
        <v>2019</v>
      </c>
      <c r="P183" t="n">
        <v>2030</v>
      </c>
      <c r="Q183" t="n">
        <v>0.3852</v>
      </c>
      <c r="R183" t="n">
        <v>158.2904</v>
      </c>
      <c r="S183" t="n">
        <v>0.00100695</v>
      </c>
      <c r="T183" t="n">
        <v>0.00065008</v>
      </c>
      <c r="U183" t="n">
        <v>14121.9395</v>
      </c>
      <c r="V183" t="inlineStr">
        <is>
          <t>Scope 1 + Scope 2 + Scope 3</t>
        </is>
      </c>
      <c r="W183" t="b">
        <v>1</v>
      </c>
      <c r="X183" t="inlineStr">
        <is>
          <t>High</t>
        </is>
      </c>
      <c r="Y183" t="inlineStr">
        <is>
          <t>Reported_Emissions</t>
        </is>
      </c>
      <c r="Z183" t="n">
        <v>0.88</v>
      </c>
      <c r="AA183" t="inlineStr">
        <is>
          <t>Valid</t>
        </is>
      </c>
    </row>
    <row r="184">
      <c r="A184" t="inlineStr">
        <is>
          <t>SUP-0019</t>
        </is>
      </c>
      <c r="B184" t="inlineStr">
        <is>
          <t>Metals Supplier 019</t>
        </is>
      </c>
      <c r="C184" t="inlineStr">
        <is>
          <t>Metals</t>
        </is>
      </c>
      <c r="D184" t="n">
        <v>2017</v>
      </c>
      <c r="E184" t="n">
        <v>19126912.72</v>
      </c>
      <c r="F184" t="n">
        <v>50753329.91</v>
      </c>
      <c r="G184" t="n">
        <v>13818.4891</v>
      </c>
      <c r="H184" t="n">
        <v>2117.2274</v>
      </c>
      <c r="I184" t="n">
        <v>2131.5567</v>
      </c>
      <c r="J184" t="inlineStr"/>
      <c r="K184" t="n">
        <v>2021</v>
      </c>
      <c r="L184" t="n">
        <v>2035</v>
      </c>
      <c r="M184" t="n">
        <v>0.5173</v>
      </c>
      <c r="N184" t="n">
        <v>0.245</v>
      </c>
      <c r="O184" t="n">
        <v>2019</v>
      </c>
      <c r="P184" t="n">
        <v>2030</v>
      </c>
      <c r="Q184" t="n">
        <v>0.3852</v>
      </c>
      <c r="R184" t="n">
        <v>158.2904</v>
      </c>
      <c r="S184" t="n">
        <v>0.00100695</v>
      </c>
      <c r="T184" t="n">
        <v>0.00065008</v>
      </c>
      <c r="U184" t="n">
        <v>13818.4891</v>
      </c>
      <c r="V184" t="inlineStr">
        <is>
          <t>Supplier Reported Emissions</t>
        </is>
      </c>
      <c r="W184" t="b">
        <v>0</v>
      </c>
      <c r="X184" t="inlineStr">
        <is>
          <t>High</t>
        </is>
      </c>
      <c r="Y184" t="inlineStr">
        <is>
          <t>Scope_Emissions</t>
        </is>
      </c>
      <c r="Z184" t="n">
        <v>0.95</v>
      </c>
      <c r="AA184" t="inlineStr">
        <is>
          <t>Valid</t>
        </is>
      </c>
    </row>
    <row r="185">
      <c r="A185" t="inlineStr">
        <is>
          <t>SUP-0019</t>
        </is>
      </c>
      <c r="B185" t="inlineStr">
        <is>
          <t>Metals Supplier 019</t>
        </is>
      </c>
      <c r="C185" t="inlineStr">
        <is>
          <t>Metals</t>
        </is>
      </c>
      <c r="D185" t="n">
        <v>2018</v>
      </c>
      <c r="E185" t="n">
        <v>17708183.33</v>
      </c>
      <c r="F185" t="inlineStr"/>
      <c r="G185" t="inlineStr"/>
      <c r="H185" t="n">
        <v>2092.0092</v>
      </c>
      <c r="I185" t="n">
        <v>2851.1973</v>
      </c>
      <c r="J185" t="n">
        <v>8754.8714</v>
      </c>
      <c r="K185" t="n">
        <v>2021</v>
      </c>
      <c r="L185" t="n">
        <v>2035</v>
      </c>
      <c r="M185" t="n">
        <v>0.5173</v>
      </c>
      <c r="N185" t="n">
        <v>0.245</v>
      </c>
      <c r="O185" t="n">
        <v>2019</v>
      </c>
      <c r="P185" t="n">
        <v>2030</v>
      </c>
      <c r="Q185" t="n">
        <v>0.3852</v>
      </c>
      <c r="R185" t="n">
        <v>158.2904</v>
      </c>
      <c r="S185" t="n">
        <v>0.00100695</v>
      </c>
      <c r="T185" t="n">
        <v>0.00065008</v>
      </c>
      <c r="U185" t="n">
        <v>13698.0779</v>
      </c>
      <c r="V185" t="inlineStr">
        <is>
          <t>Scope 1 + Scope 2 + Scope 3</t>
        </is>
      </c>
      <c r="W185" t="b">
        <v>1</v>
      </c>
      <c r="X185" t="inlineStr">
        <is>
          <t>High</t>
        </is>
      </c>
      <c r="Y185" t="inlineStr">
        <is>
          <t>Reported_Emissions; Revenue</t>
        </is>
      </c>
      <c r="Z185" t="n">
        <v>0.88</v>
      </c>
      <c r="AA185" t="inlineStr">
        <is>
          <t>Valid</t>
        </is>
      </c>
    </row>
    <row r="186">
      <c r="A186" t="inlineStr">
        <is>
          <t>SUP-0019</t>
        </is>
      </c>
      <c r="B186" t="inlineStr">
        <is>
          <t>Metals Supplier 019</t>
        </is>
      </c>
      <c r="C186" t="inlineStr">
        <is>
          <t>Metals</t>
        </is>
      </c>
      <c r="D186" t="n">
        <v>2019</v>
      </c>
      <c r="E186" t="n">
        <v>19088395.09</v>
      </c>
      <c r="F186" t="n">
        <v>59876904.58</v>
      </c>
      <c r="G186" t="n">
        <v>13853.4647</v>
      </c>
      <c r="H186" t="n">
        <v>1313.0458</v>
      </c>
      <c r="I186" t="n">
        <v>1225.3929</v>
      </c>
      <c r="J186" t="n">
        <v>11601.2925</v>
      </c>
      <c r="K186" t="n">
        <v>2021</v>
      </c>
      <c r="L186" t="n">
        <v>2035</v>
      </c>
      <c r="M186" t="n">
        <v>0.5173</v>
      </c>
      <c r="N186" t="n">
        <v>0.245</v>
      </c>
      <c r="O186" t="n">
        <v>2019</v>
      </c>
      <c r="P186" t="n">
        <v>2030</v>
      </c>
      <c r="Q186" t="n">
        <v>0.3852</v>
      </c>
      <c r="R186" t="n">
        <v>158.2904</v>
      </c>
      <c r="S186" t="n">
        <v>0.00100695</v>
      </c>
      <c r="T186" t="n">
        <v>0.00065008</v>
      </c>
      <c r="U186" t="n">
        <v>13853.4647</v>
      </c>
      <c r="V186" t="inlineStr">
        <is>
          <t>Supplier Reported Emissions</t>
        </is>
      </c>
      <c r="W186" t="b">
        <v>0</v>
      </c>
      <c r="X186" t="inlineStr">
        <is>
          <t>High</t>
        </is>
      </c>
      <c r="Y186" t="inlineStr">
        <is>
          <t>None</t>
        </is>
      </c>
      <c r="Z186" t="n">
        <v>0.95</v>
      </c>
      <c r="AA186" t="inlineStr">
        <is>
          <t>Valid</t>
        </is>
      </c>
    </row>
    <row r="187">
      <c r="A187" t="inlineStr">
        <is>
          <t>SUP-0019</t>
        </is>
      </c>
      <c r="B187" t="inlineStr">
        <is>
          <t>Metals Supplier 019</t>
        </is>
      </c>
      <c r="C187" t="inlineStr">
        <is>
          <t>Metals</t>
        </is>
      </c>
      <c r="D187" t="n">
        <v>2020</v>
      </c>
      <c r="E187" t="n">
        <v>25748082.89</v>
      </c>
      <c r="F187" t="n">
        <v>73078027.23</v>
      </c>
      <c r="G187" t="n">
        <v>15312.4315</v>
      </c>
      <c r="H187" t="n">
        <v>3027.8675</v>
      </c>
      <c r="I187" t="n">
        <v>2142.7587</v>
      </c>
      <c r="J187" t="n">
        <v>10254.0059</v>
      </c>
      <c r="K187" t="n">
        <v>2021</v>
      </c>
      <c r="L187" t="n">
        <v>2035</v>
      </c>
      <c r="M187" t="n">
        <v>0.5173</v>
      </c>
      <c r="N187" t="n">
        <v>0.245</v>
      </c>
      <c r="O187" t="n">
        <v>2019</v>
      </c>
      <c r="P187" t="n">
        <v>2030</v>
      </c>
      <c r="Q187" t="n">
        <v>0.3852</v>
      </c>
      <c r="R187" t="n">
        <v>158.2904</v>
      </c>
      <c r="S187" t="n">
        <v>0.00100695</v>
      </c>
      <c r="T187" t="n">
        <v>0.00065008</v>
      </c>
      <c r="U187" t="n">
        <v>15312.4315</v>
      </c>
      <c r="V187" t="inlineStr">
        <is>
          <t>Supplier Reported Emissions</t>
        </is>
      </c>
      <c r="W187" t="b">
        <v>0</v>
      </c>
      <c r="X187" t="inlineStr">
        <is>
          <t>High</t>
        </is>
      </c>
      <c r="Y187" t="inlineStr">
        <is>
          <t>None</t>
        </is>
      </c>
      <c r="Z187" t="n">
        <v>0.95</v>
      </c>
      <c r="AA187" t="inlineStr">
        <is>
          <t>Valid</t>
        </is>
      </c>
    </row>
    <row r="188">
      <c r="A188" t="inlineStr">
        <is>
          <t>SUP-0019</t>
        </is>
      </c>
      <c r="B188" t="inlineStr">
        <is>
          <t>Metals Supplier 019</t>
        </is>
      </c>
      <c r="C188" t="inlineStr">
        <is>
          <t>Metals</t>
        </is>
      </c>
      <c r="D188" t="n">
        <v>2021</v>
      </c>
      <c r="E188" t="n">
        <v>29429316.05</v>
      </c>
      <c r="F188" t="n">
        <v>56037017.82</v>
      </c>
      <c r="G188" t="n">
        <v>21793.9654</v>
      </c>
      <c r="H188" t="n">
        <v>2807.0868</v>
      </c>
      <c r="I188" t="inlineStr"/>
      <c r="J188" t="n">
        <v>15054.5635</v>
      </c>
      <c r="K188" t="n">
        <v>2021</v>
      </c>
      <c r="L188" t="n">
        <v>2035</v>
      </c>
      <c r="M188" t="n">
        <v>0.5173</v>
      </c>
      <c r="N188" t="n">
        <v>0.245</v>
      </c>
      <c r="O188" t="n">
        <v>2019</v>
      </c>
      <c r="P188" t="n">
        <v>2030</v>
      </c>
      <c r="Q188" t="n">
        <v>0.3852</v>
      </c>
      <c r="R188" t="n">
        <v>158.2904</v>
      </c>
      <c r="S188" t="n">
        <v>0.00100695</v>
      </c>
      <c r="T188" t="n">
        <v>0.00065008</v>
      </c>
      <c r="U188" t="n">
        <v>21793.9654</v>
      </c>
      <c r="V188" t="inlineStr">
        <is>
          <t>Supplier Reported Emissions</t>
        </is>
      </c>
      <c r="W188" t="b">
        <v>0</v>
      </c>
      <c r="X188" t="inlineStr">
        <is>
          <t>High</t>
        </is>
      </c>
      <c r="Y188" t="inlineStr">
        <is>
          <t>Scope_Emissions</t>
        </is>
      </c>
      <c r="Z188" t="n">
        <v>0.95</v>
      </c>
      <c r="AA188" t="inlineStr">
        <is>
          <t>Valid</t>
        </is>
      </c>
    </row>
    <row r="189">
      <c r="A189" t="inlineStr">
        <is>
          <t>SUP-0019</t>
        </is>
      </c>
      <c r="B189" t="inlineStr">
        <is>
          <t>Metals Supplier 019</t>
        </is>
      </c>
      <c r="C189" t="inlineStr">
        <is>
          <t>Metals</t>
        </is>
      </c>
      <c r="D189" t="n">
        <v>2022</v>
      </c>
      <c r="E189" t="n">
        <v>27703030.55</v>
      </c>
      <c r="F189" t="n">
        <v>79713412.51000001</v>
      </c>
      <c r="G189" t="n">
        <v>16678.5816</v>
      </c>
      <c r="H189" t="inlineStr"/>
      <c r="I189" t="n">
        <v>2794.7179</v>
      </c>
      <c r="J189" t="n">
        <v>10671.3523</v>
      </c>
      <c r="K189" t="n">
        <v>2021</v>
      </c>
      <c r="L189" t="n">
        <v>2035</v>
      </c>
      <c r="M189" t="n">
        <v>0.5173</v>
      </c>
      <c r="N189" t="n">
        <v>0.245</v>
      </c>
      <c r="O189" t="n">
        <v>2019</v>
      </c>
      <c r="P189" t="n">
        <v>2030</v>
      </c>
      <c r="Q189" t="n">
        <v>0.3852</v>
      </c>
      <c r="R189" t="n">
        <v>158.2904</v>
      </c>
      <c r="S189" t="n">
        <v>0.00100695</v>
      </c>
      <c r="T189" t="n">
        <v>0.00065008</v>
      </c>
      <c r="U189" t="n">
        <v>16678.5816</v>
      </c>
      <c r="V189" t="inlineStr">
        <is>
          <t>Supplier Reported Emissions</t>
        </is>
      </c>
      <c r="W189" t="b">
        <v>0</v>
      </c>
      <c r="X189" t="inlineStr">
        <is>
          <t>High</t>
        </is>
      </c>
      <c r="Y189" t="inlineStr">
        <is>
          <t>Scope_Emissions</t>
        </is>
      </c>
      <c r="Z189" t="n">
        <v>0.95</v>
      </c>
      <c r="AA189" t="inlineStr">
        <is>
          <t>Valid</t>
        </is>
      </c>
    </row>
    <row r="190">
      <c r="A190" t="inlineStr">
        <is>
          <t>SUP-0019</t>
        </is>
      </c>
      <c r="B190" t="inlineStr">
        <is>
          <t>Metals Supplier 019</t>
        </is>
      </c>
      <c r="C190" t="inlineStr">
        <is>
          <t>Metals</t>
        </is>
      </c>
      <c r="D190" t="n">
        <v>2023</v>
      </c>
      <c r="E190" t="n">
        <v>29438806.03</v>
      </c>
      <c r="F190" t="n">
        <v>87901166.84</v>
      </c>
      <c r="G190" t="n">
        <v>15148.9163</v>
      </c>
      <c r="H190" t="n">
        <v>3336.3472</v>
      </c>
      <c r="I190" t="n">
        <v>2481.0723</v>
      </c>
      <c r="J190" t="inlineStr"/>
      <c r="K190" t="n">
        <v>2021</v>
      </c>
      <c r="L190" t="n">
        <v>2035</v>
      </c>
      <c r="M190" t="n">
        <v>0.5173</v>
      </c>
      <c r="N190" t="n">
        <v>0.245</v>
      </c>
      <c r="O190" t="n">
        <v>2019</v>
      </c>
      <c r="P190" t="n">
        <v>2030</v>
      </c>
      <c r="Q190" t="n">
        <v>0.3852</v>
      </c>
      <c r="R190" t="n">
        <v>158.2904</v>
      </c>
      <c r="S190" t="n">
        <v>0.00100695</v>
      </c>
      <c r="T190" t="n">
        <v>0.00065008</v>
      </c>
      <c r="U190" t="n">
        <v>15148.9163</v>
      </c>
      <c r="V190" t="inlineStr">
        <is>
          <t>Supplier Reported Emissions</t>
        </is>
      </c>
      <c r="W190" t="b">
        <v>0</v>
      </c>
      <c r="X190" t="inlineStr">
        <is>
          <t>High</t>
        </is>
      </c>
      <c r="Y190" t="inlineStr">
        <is>
          <t>Scope_Emissions</t>
        </is>
      </c>
      <c r="Z190" t="n">
        <v>0.95</v>
      </c>
      <c r="AA190" t="inlineStr">
        <is>
          <t>Valid</t>
        </is>
      </c>
    </row>
    <row r="191">
      <c r="A191" t="inlineStr">
        <is>
          <t>SUP-0019</t>
        </is>
      </c>
      <c r="B191" t="inlineStr">
        <is>
          <t>Metals Supplier 019</t>
        </is>
      </c>
      <c r="C191" t="inlineStr">
        <is>
          <t>Metals</t>
        </is>
      </c>
      <c r="D191" t="n">
        <v>2024</v>
      </c>
      <c r="E191" t="n">
        <v>37295083.38</v>
      </c>
      <c r="F191" t="n">
        <v>66297440.8</v>
      </c>
      <c r="G191" t="inlineStr"/>
      <c r="H191" t="n">
        <v>3459.5557</v>
      </c>
      <c r="I191" t="inlineStr"/>
      <c r="J191" t="inlineStr"/>
      <c r="K191" t="n">
        <v>2021</v>
      </c>
      <c r="L191" t="n">
        <v>2035</v>
      </c>
      <c r="M191" t="n">
        <v>0.5173</v>
      </c>
      <c r="N191" t="n">
        <v>0.245</v>
      </c>
      <c r="O191" t="n">
        <v>2019</v>
      </c>
      <c r="P191" t="n">
        <v>2030</v>
      </c>
      <c r="Q191" t="n">
        <v>0.3852</v>
      </c>
      <c r="R191" t="n">
        <v>158.2904</v>
      </c>
      <c r="S191" t="n">
        <v>0.00100695</v>
      </c>
      <c r="T191" t="n">
        <v>0.00065008</v>
      </c>
      <c r="U191" t="n">
        <v>37554.2842</v>
      </c>
      <c r="V191" t="inlineStr">
        <is>
          <t>Spend-Based Estimate</t>
        </is>
      </c>
      <c r="W191" t="b">
        <v>1</v>
      </c>
      <c r="X191" t="inlineStr">
        <is>
          <t>Medium</t>
        </is>
      </c>
      <c r="Y191" t="inlineStr">
        <is>
          <t>Reported_Emissions; Scope_Emissions</t>
        </is>
      </c>
      <c r="Z191" t="n">
        <v>0.7</v>
      </c>
      <c r="AA191" t="inlineStr">
        <is>
          <t>Valid</t>
        </is>
      </c>
    </row>
    <row r="192">
      <c r="A192" t="inlineStr">
        <is>
          <t>SUP-0020</t>
        </is>
      </c>
      <c r="B192" t="inlineStr">
        <is>
          <t>Logistics Supplier 020</t>
        </is>
      </c>
      <c r="C192" t="inlineStr">
        <is>
          <t>Logistics</t>
        </is>
      </c>
      <c r="D192" t="n">
        <v>2015</v>
      </c>
      <c r="E192" t="n">
        <v>15154818.08</v>
      </c>
      <c r="F192" t="n">
        <v>113802033.12</v>
      </c>
      <c r="G192" t="inlineStr"/>
      <c r="H192" t="n">
        <v>391.2424</v>
      </c>
      <c r="I192" t="inlineStr"/>
      <c r="J192" t="n">
        <v>2600.9006</v>
      </c>
      <c r="K192" t="n">
        <v>2020</v>
      </c>
      <c r="L192" t="n">
        <v>2035</v>
      </c>
      <c r="M192" t="n">
        <v>0.668</v>
      </c>
      <c r="N192" t="n">
        <v>0.2613</v>
      </c>
      <c r="O192" t="n">
        <v>2019</v>
      </c>
      <c r="P192" t="n">
        <v>2040</v>
      </c>
      <c r="Q192" t="n">
        <v>0.4616</v>
      </c>
      <c r="R192" t="n">
        <v>591.6386</v>
      </c>
      <c r="S192" t="n">
        <v>0.00022349</v>
      </c>
      <c r="T192" t="n">
        <v>0.00047787</v>
      </c>
      <c r="U192" t="n">
        <v>3386.9503</v>
      </c>
      <c r="V192" t="inlineStr">
        <is>
          <t>Spend-Based Estimate</t>
        </is>
      </c>
      <c r="W192" t="b">
        <v>1</v>
      </c>
      <c r="X192" t="inlineStr">
        <is>
          <t>Medium</t>
        </is>
      </c>
      <c r="Y192" t="inlineStr">
        <is>
          <t>Reported_Emissions; Scope_Emissions</t>
        </is>
      </c>
      <c r="Z192" t="n">
        <v>0.7</v>
      </c>
      <c r="AA192" t="inlineStr">
        <is>
          <t>Valid</t>
        </is>
      </c>
    </row>
    <row r="193">
      <c r="A193" t="inlineStr">
        <is>
          <t>SUP-0020</t>
        </is>
      </c>
      <c r="B193" t="inlineStr">
        <is>
          <t>Logistics Supplier 020</t>
        </is>
      </c>
      <c r="C193" t="inlineStr">
        <is>
          <t>Logistics</t>
        </is>
      </c>
      <c r="D193" t="n">
        <v>2016</v>
      </c>
      <c r="E193" t="n">
        <v>17237096.37</v>
      </c>
      <c r="F193" t="n">
        <v>135005185.22</v>
      </c>
      <c r="G193" t="n">
        <v>3576.9986</v>
      </c>
      <c r="H193" t="n">
        <v>738.4932</v>
      </c>
      <c r="I193" t="n">
        <v>557.5173</v>
      </c>
      <c r="J193" t="n">
        <v>2316.1219</v>
      </c>
      <c r="K193" t="n">
        <v>2020</v>
      </c>
      <c r="L193" t="n">
        <v>2035</v>
      </c>
      <c r="M193" t="n">
        <v>0.668</v>
      </c>
      <c r="N193" t="n">
        <v>0.2613</v>
      </c>
      <c r="O193" t="n">
        <v>2019</v>
      </c>
      <c r="P193" t="n">
        <v>2040</v>
      </c>
      <c r="Q193" t="n">
        <v>0.4616</v>
      </c>
      <c r="R193" t="n">
        <v>591.6386</v>
      </c>
      <c r="S193" t="n">
        <v>0.00022349</v>
      </c>
      <c r="T193" t="n">
        <v>0.00047787</v>
      </c>
      <c r="U193" t="n">
        <v>3576.9986</v>
      </c>
      <c r="V193" t="inlineStr">
        <is>
          <t>Supplier Reported Emissions</t>
        </is>
      </c>
      <c r="W193" t="b">
        <v>0</v>
      </c>
      <c r="X193" t="inlineStr">
        <is>
          <t>High</t>
        </is>
      </c>
      <c r="Y193" t="inlineStr">
        <is>
          <t>None</t>
        </is>
      </c>
      <c r="Z193" t="n">
        <v>0.95</v>
      </c>
      <c r="AA193" t="inlineStr">
        <is>
          <t>Valid</t>
        </is>
      </c>
    </row>
    <row r="194">
      <c r="A194" t="inlineStr">
        <is>
          <t>SUP-0020</t>
        </is>
      </c>
      <c r="B194" t="inlineStr">
        <is>
          <t>Logistics Supplier 020</t>
        </is>
      </c>
      <c r="C194" t="inlineStr">
        <is>
          <t>Logistics</t>
        </is>
      </c>
      <c r="D194" t="n">
        <v>2017</v>
      </c>
      <c r="E194" t="n">
        <v>17545794.1</v>
      </c>
      <c r="F194" t="n">
        <v>93693152.69</v>
      </c>
      <c r="G194" t="n">
        <v>4442.4858</v>
      </c>
      <c r="H194" t="n">
        <v>396.682</v>
      </c>
      <c r="I194" t="n">
        <v>867.8013999999999</v>
      </c>
      <c r="J194" t="n">
        <v>3262.806</v>
      </c>
      <c r="K194" t="n">
        <v>2020</v>
      </c>
      <c r="L194" t="n">
        <v>2035</v>
      </c>
      <c r="M194" t="n">
        <v>0.668</v>
      </c>
      <c r="N194" t="n">
        <v>0.2613</v>
      </c>
      <c r="O194" t="n">
        <v>2019</v>
      </c>
      <c r="P194" t="n">
        <v>2040</v>
      </c>
      <c r="Q194" t="n">
        <v>0.4616</v>
      </c>
      <c r="R194" t="n">
        <v>591.6386</v>
      </c>
      <c r="S194" t="n">
        <v>0.00022349</v>
      </c>
      <c r="T194" t="n">
        <v>0.00047787</v>
      </c>
      <c r="U194" t="n">
        <v>4442.4858</v>
      </c>
      <c r="V194" t="inlineStr">
        <is>
          <t>Supplier Reported Emissions</t>
        </is>
      </c>
      <c r="W194" t="b">
        <v>0</v>
      </c>
      <c r="X194" t="inlineStr">
        <is>
          <t>High</t>
        </is>
      </c>
      <c r="Y194" t="inlineStr">
        <is>
          <t>None</t>
        </is>
      </c>
      <c r="Z194" t="n">
        <v>0.95</v>
      </c>
      <c r="AA194" t="inlineStr">
        <is>
          <t>Valid</t>
        </is>
      </c>
    </row>
    <row r="195">
      <c r="A195" t="inlineStr">
        <is>
          <t>SUP-0020</t>
        </is>
      </c>
      <c r="B195" t="inlineStr">
        <is>
          <t>Logistics Supplier 020</t>
        </is>
      </c>
      <c r="C195" t="inlineStr">
        <is>
          <t>Logistics</t>
        </is>
      </c>
      <c r="D195" t="n">
        <v>2018</v>
      </c>
      <c r="E195" t="n">
        <v>17410615.85</v>
      </c>
      <c r="F195" t="n">
        <v>108819321.78</v>
      </c>
      <c r="G195" t="inlineStr"/>
      <c r="H195" t="n">
        <v>683.491</v>
      </c>
      <c r="I195" t="inlineStr"/>
      <c r="J195" t="n">
        <v>2960.7024</v>
      </c>
      <c r="K195" t="n">
        <v>2020</v>
      </c>
      <c r="L195" t="n">
        <v>2035</v>
      </c>
      <c r="M195" t="n">
        <v>0.668</v>
      </c>
      <c r="N195" t="n">
        <v>0.2613</v>
      </c>
      <c r="O195" t="n">
        <v>2019</v>
      </c>
      <c r="P195" t="n">
        <v>2040</v>
      </c>
      <c r="Q195" t="n">
        <v>0.4616</v>
      </c>
      <c r="R195" t="n">
        <v>591.6386</v>
      </c>
      <c r="S195" t="n">
        <v>0.00022349</v>
      </c>
      <c r="T195" t="n">
        <v>0.00047787</v>
      </c>
      <c r="U195" t="n">
        <v>3891.0985</v>
      </c>
      <c r="V195" t="inlineStr">
        <is>
          <t>Spend-Based Estimate</t>
        </is>
      </c>
      <c r="W195" t="b">
        <v>1</v>
      </c>
      <c r="X195" t="inlineStr">
        <is>
          <t>Medium</t>
        </is>
      </c>
      <c r="Y195" t="inlineStr">
        <is>
          <t>Reported_Emissions; Scope_Emissions</t>
        </is>
      </c>
      <c r="Z195" t="n">
        <v>0.7</v>
      </c>
      <c r="AA195" t="inlineStr">
        <is>
          <t>Valid</t>
        </is>
      </c>
    </row>
    <row r="196">
      <c r="A196" t="inlineStr">
        <is>
          <t>SUP-0020</t>
        </is>
      </c>
      <c r="B196" t="inlineStr">
        <is>
          <t>Logistics Supplier 020</t>
        </is>
      </c>
      <c r="C196" t="inlineStr">
        <is>
          <t>Logistics</t>
        </is>
      </c>
      <c r="D196" t="n">
        <v>2019</v>
      </c>
      <c r="E196" t="n">
        <v>17065338.59</v>
      </c>
      <c r="F196" t="n">
        <v>101401237.41</v>
      </c>
      <c r="G196" t="n">
        <v>2857.9548</v>
      </c>
      <c r="H196" t="inlineStr"/>
      <c r="I196" t="n">
        <v>372.9148</v>
      </c>
      <c r="J196" t="inlineStr"/>
      <c r="K196" t="n">
        <v>2020</v>
      </c>
      <c r="L196" t="n">
        <v>2035</v>
      </c>
      <c r="M196" t="n">
        <v>0.668</v>
      </c>
      <c r="N196" t="n">
        <v>0.2613</v>
      </c>
      <c r="O196" t="n">
        <v>2019</v>
      </c>
      <c r="P196" t="n">
        <v>2040</v>
      </c>
      <c r="Q196" t="n">
        <v>0.4616</v>
      </c>
      <c r="R196" t="n">
        <v>591.6386</v>
      </c>
      <c r="S196" t="n">
        <v>0.00022349</v>
      </c>
      <c r="T196" t="n">
        <v>0.00047787</v>
      </c>
      <c r="U196" t="n">
        <v>2857.9548</v>
      </c>
      <c r="V196" t="inlineStr">
        <is>
          <t>Supplier Reported Emissions</t>
        </is>
      </c>
      <c r="W196" t="b">
        <v>0</v>
      </c>
      <c r="X196" t="inlineStr">
        <is>
          <t>High</t>
        </is>
      </c>
      <c r="Y196" t="inlineStr">
        <is>
          <t>Scope_Emissions</t>
        </is>
      </c>
      <c r="Z196" t="n">
        <v>0.95</v>
      </c>
      <c r="AA196" t="inlineStr">
        <is>
          <t>Valid</t>
        </is>
      </c>
    </row>
    <row r="197">
      <c r="A197" t="inlineStr">
        <is>
          <t>SUP-0020</t>
        </is>
      </c>
      <c r="B197" t="inlineStr">
        <is>
          <t>Logistics Supplier 020</t>
        </is>
      </c>
      <c r="C197" t="inlineStr">
        <is>
          <t>Logistics</t>
        </is>
      </c>
      <c r="D197" t="n">
        <v>2020</v>
      </c>
      <c r="E197" t="n">
        <v>17459810.77</v>
      </c>
      <c r="F197" t="n">
        <v>90548643.44</v>
      </c>
      <c r="G197" t="n">
        <v>3808.153</v>
      </c>
      <c r="H197" t="n">
        <v>1116.327</v>
      </c>
      <c r="I197" t="n">
        <v>767.9092000000001</v>
      </c>
      <c r="J197" t="n">
        <v>2047.9605</v>
      </c>
      <c r="K197" t="n">
        <v>2020</v>
      </c>
      <c r="L197" t="n">
        <v>2035</v>
      </c>
      <c r="M197" t="n">
        <v>0.668</v>
      </c>
      <c r="N197" t="n">
        <v>0.2613</v>
      </c>
      <c r="O197" t="n">
        <v>2019</v>
      </c>
      <c r="P197" t="n">
        <v>2040</v>
      </c>
      <c r="Q197" t="n">
        <v>0.4616</v>
      </c>
      <c r="R197" t="n">
        <v>591.6386</v>
      </c>
      <c r="S197" t="n">
        <v>0.00022349</v>
      </c>
      <c r="T197" t="n">
        <v>0.00047787</v>
      </c>
      <c r="U197" t="n">
        <v>3808.153</v>
      </c>
      <c r="V197" t="inlineStr">
        <is>
          <t>Supplier Reported Emissions</t>
        </is>
      </c>
      <c r="W197" t="b">
        <v>0</v>
      </c>
      <c r="X197" t="inlineStr">
        <is>
          <t>High</t>
        </is>
      </c>
      <c r="Y197" t="inlineStr">
        <is>
          <t>None</t>
        </is>
      </c>
      <c r="Z197" t="n">
        <v>0.95</v>
      </c>
      <c r="AA197" t="inlineStr">
        <is>
          <t>Valid</t>
        </is>
      </c>
    </row>
    <row r="198">
      <c r="A198" t="inlineStr">
        <is>
          <t>SUP-0020</t>
        </is>
      </c>
      <c r="B198" t="inlineStr">
        <is>
          <t>Logistics Supplier 020</t>
        </is>
      </c>
      <c r="C198" t="inlineStr">
        <is>
          <t>Logistics</t>
        </is>
      </c>
      <c r="D198" t="n">
        <v>2021</v>
      </c>
      <c r="E198" t="n">
        <v>17086834.76</v>
      </c>
      <c r="F198" t="n">
        <v>112492849.67</v>
      </c>
      <c r="G198" t="n">
        <v>3840.891</v>
      </c>
      <c r="H198" t="n">
        <v>871.5972</v>
      </c>
      <c r="I198" t="n">
        <v>540.1934</v>
      </c>
      <c r="J198" t="n">
        <v>2413.489</v>
      </c>
      <c r="K198" t="n">
        <v>2020</v>
      </c>
      <c r="L198" t="n">
        <v>2035</v>
      </c>
      <c r="M198" t="n">
        <v>0.668</v>
      </c>
      <c r="N198" t="n">
        <v>0.2613</v>
      </c>
      <c r="O198" t="n">
        <v>2019</v>
      </c>
      <c r="P198" t="n">
        <v>2040</v>
      </c>
      <c r="Q198" t="n">
        <v>0.4616</v>
      </c>
      <c r="R198" t="n">
        <v>591.6386</v>
      </c>
      <c r="S198" t="n">
        <v>0.00022349</v>
      </c>
      <c r="T198" t="n">
        <v>0.00047787</v>
      </c>
      <c r="U198" t="n">
        <v>3840.891</v>
      </c>
      <c r="V198" t="inlineStr">
        <is>
          <t>Supplier Reported Emissions</t>
        </is>
      </c>
      <c r="W198" t="b">
        <v>0</v>
      </c>
      <c r="X198" t="inlineStr">
        <is>
          <t>High</t>
        </is>
      </c>
      <c r="Y198" t="inlineStr">
        <is>
          <t>None</t>
        </is>
      </c>
      <c r="Z198" t="n">
        <v>0.95</v>
      </c>
      <c r="AA198" t="inlineStr">
        <is>
          <t>Valid</t>
        </is>
      </c>
    </row>
    <row r="199">
      <c r="A199" t="inlineStr">
        <is>
          <t>SUP-0020</t>
        </is>
      </c>
      <c r="B199" t="inlineStr">
        <is>
          <t>Logistics Supplier 020</t>
        </is>
      </c>
      <c r="C199" t="inlineStr">
        <is>
          <t>Logistics</t>
        </is>
      </c>
      <c r="D199" t="n">
        <v>2022</v>
      </c>
      <c r="E199" t="n">
        <v>16259618.72</v>
      </c>
      <c r="F199" t="n">
        <v>116232175.35</v>
      </c>
      <c r="G199" t="n">
        <v>3784.2728</v>
      </c>
      <c r="H199" t="n">
        <v>629.8449000000001</v>
      </c>
      <c r="I199" t="n">
        <v>394.2535</v>
      </c>
      <c r="J199" t="inlineStr"/>
      <c r="K199" t="n">
        <v>2020</v>
      </c>
      <c r="L199" t="n">
        <v>2035</v>
      </c>
      <c r="M199" t="n">
        <v>0.668</v>
      </c>
      <c r="N199" t="n">
        <v>0.2613</v>
      </c>
      <c r="O199" t="n">
        <v>2019</v>
      </c>
      <c r="P199" t="n">
        <v>2040</v>
      </c>
      <c r="Q199" t="n">
        <v>0.4616</v>
      </c>
      <c r="R199" t="n">
        <v>591.6386</v>
      </c>
      <c r="S199" t="n">
        <v>0.00022349</v>
      </c>
      <c r="T199" t="n">
        <v>0.00047787</v>
      </c>
      <c r="U199" t="n">
        <v>3784.2728</v>
      </c>
      <c r="V199" t="inlineStr">
        <is>
          <t>Supplier Reported Emissions</t>
        </is>
      </c>
      <c r="W199" t="b">
        <v>0</v>
      </c>
      <c r="X199" t="inlineStr">
        <is>
          <t>High</t>
        </is>
      </c>
      <c r="Y199" t="inlineStr">
        <is>
          <t>Scope_Emissions</t>
        </is>
      </c>
      <c r="Z199" t="n">
        <v>0.95</v>
      </c>
      <c r="AA199" t="inlineStr">
        <is>
          <t>Valid</t>
        </is>
      </c>
    </row>
    <row r="200">
      <c r="A200" t="inlineStr">
        <is>
          <t>SUP-0020</t>
        </is>
      </c>
      <c r="B200" t="inlineStr">
        <is>
          <t>Logistics Supplier 020</t>
        </is>
      </c>
      <c r="C200" t="inlineStr">
        <is>
          <t>Logistics</t>
        </is>
      </c>
      <c r="D200" t="n">
        <v>2023</v>
      </c>
      <c r="E200" t="n">
        <v>16529037.85</v>
      </c>
      <c r="F200" t="n">
        <v>94802093.92</v>
      </c>
      <c r="G200" t="inlineStr"/>
      <c r="H200" t="n">
        <v>630.3334</v>
      </c>
      <c r="I200" t="n">
        <v>591.9029</v>
      </c>
      <c r="J200" t="inlineStr"/>
      <c r="K200" t="n">
        <v>2020</v>
      </c>
      <c r="L200" t="n">
        <v>2035</v>
      </c>
      <c r="M200" t="n">
        <v>0.668</v>
      </c>
      <c r="N200" t="n">
        <v>0.2613</v>
      </c>
      <c r="O200" t="n">
        <v>2019</v>
      </c>
      <c r="P200" t="n">
        <v>2040</v>
      </c>
      <c r="Q200" t="n">
        <v>0.4616</v>
      </c>
      <c r="R200" t="n">
        <v>591.6386</v>
      </c>
      <c r="S200" t="n">
        <v>0.00022349</v>
      </c>
      <c r="T200" t="n">
        <v>0.00047787</v>
      </c>
      <c r="U200" t="n">
        <v>3694.0747</v>
      </c>
      <c r="V200" t="inlineStr">
        <is>
          <t>Spend-Based Estimate</t>
        </is>
      </c>
      <c r="W200" t="b">
        <v>1</v>
      </c>
      <c r="X200" t="inlineStr">
        <is>
          <t>Medium</t>
        </is>
      </c>
      <c r="Y200" t="inlineStr">
        <is>
          <t>Reported_Emissions; Scope_Emissions</t>
        </is>
      </c>
      <c r="Z200" t="n">
        <v>0.7</v>
      </c>
      <c r="AA200" t="inlineStr">
        <is>
          <t>Valid</t>
        </is>
      </c>
    </row>
    <row r="201">
      <c r="A201" t="inlineStr">
        <is>
          <t>SUP-0020</t>
        </is>
      </c>
      <c r="B201" t="inlineStr">
        <is>
          <t>Logistics Supplier 020</t>
        </is>
      </c>
      <c r="C201" t="inlineStr">
        <is>
          <t>Logistics</t>
        </is>
      </c>
      <c r="D201" t="n">
        <v>2024</v>
      </c>
      <c r="E201" t="n">
        <v>16706856.05</v>
      </c>
      <c r="F201" t="n">
        <v>90210085.53</v>
      </c>
      <c r="G201" t="n">
        <v>3981.359</v>
      </c>
      <c r="H201" t="inlineStr"/>
      <c r="I201" t="n">
        <v>922.1822</v>
      </c>
      <c r="J201" t="n">
        <v>2042.0147</v>
      </c>
      <c r="K201" t="n">
        <v>2020</v>
      </c>
      <c r="L201" t="n">
        <v>2035</v>
      </c>
      <c r="M201" t="n">
        <v>0.668</v>
      </c>
      <c r="N201" t="n">
        <v>0.2613</v>
      </c>
      <c r="O201" t="n">
        <v>2019</v>
      </c>
      <c r="P201" t="n">
        <v>2040</v>
      </c>
      <c r="Q201" t="n">
        <v>0.4616</v>
      </c>
      <c r="R201" t="n">
        <v>591.6386</v>
      </c>
      <c r="S201" t="n">
        <v>0.00022349</v>
      </c>
      <c r="T201" t="n">
        <v>0.00047787</v>
      </c>
      <c r="U201" t="n">
        <v>3981.359</v>
      </c>
      <c r="V201" t="inlineStr">
        <is>
          <t>Supplier Reported Emissions</t>
        </is>
      </c>
      <c r="W201" t="b">
        <v>0</v>
      </c>
      <c r="X201" t="inlineStr">
        <is>
          <t>High</t>
        </is>
      </c>
      <c r="Y201" t="inlineStr">
        <is>
          <t>Scope_Emissions</t>
        </is>
      </c>
      <c r="Z201" t="n">
        <v>0.95</v>
      </c>
      <c r="AA201" t="inlineStr">
        <is>
          <t>Valid</t>
        </is>
      </c>
    </row>
    <row r="202">
      <c r="A202" t="inlineStr">
        <is>
          <t>SUP-0021</t>
        </is>
      </c>
      <c r="B202" t="inlineStr">
        <is>
          <t>Textiles Supplier 021</t>
        </is>
      </c>
      <c r="C202" t="inlineStr">
        <is>
          <t>Textiles</t>
        </is>
      </c>
      <c r="D202" t="n">
        <v>2015</v>
      </c>
      <c r="E202" t="n">
        <v>7132935.07</v>
      </c>
      <c r="F202" t="n">
        <v>21446704.86</v>
      </c>
      <c r="G202" t="n">
        <v>1562.5186</v>
      </c>
      <c r="H202" t="n">
        <v>290.2392</v>
      </c>
      <c r="I202" t="inlineStr"/>
      <c r="J202" t="n">
        <v>1103.3022</v>
      </c>
      <c r="K202" t="n">
        <v>2018</v>
      </c>
      <c r="L202" t="n">
        <v>2030</v>
      </c>
      <c r="M202" t="n">
        <v>0.4825</v>
      </c>
      <c r="N202" t="n">
        <v>0.2517</v>
      </c>
      <c r="O202" t="n">
        <v>2019</v>
      </c>
      <c r="P202" t="n">
        <v>2030</v>
      </c>
      <c r="Q202" t="n">
        <v>0.3171</v>
      </c>
      <c r="R202" t="n">
        <v>401.7335</v>
      </c>
      <c r="S202" t="n">
        <v>0.00029221</v>
      </c>
      <c r="T202" t="n">
        <v>0.00017343</v>
      </c>
      <c r="U202" t="n">
        <v>1562.5186</v>
      </c>
      <c r="V202" t="inlineStr">
        <is>
          <t>Supplier Reported Emissions</t>
        </is>
      </c>
      <c r="W202" t="b">
        <v>0</v>
      </c>
      <c r="X202" t="inlineStr">
        <is>
          <t>High</t>
        </is>
      </c>
      <c r="Y202" t="inlineStr">
        <is>
          <t>Scope_Emissions</t>
        </is>
      </c>
      <c r="Z202" t="n">
        <v>0.95</v>
      </c>
      <c r="AA202" t="inlineStr">
        <is>
          <t>Valid</t>
        </is>
      </c>
    </row>
    <row r="203">
      <c r="A203" t="inlineStr">
        <is>
          <t>SUP-0021</t>
        </is>
      </c>
      <c r="B203" t="inlineStr">
        <is>
          <t>Textiles Supplier 021</t>
        </is>
      </c>
      <c r="C203" t="inlineStr">
        <is>
          <t>Textiles</t>
        </is>
      </c>
      <c r="D203" t="n">
        <v>2016</v>
      </c>
      <c r="E203" t="n">
        <v>6556837.67</v>
      </c>
      <c r="F203" t="n">
        <v>26010891.55</v>
      </c>
      <c r="G203" t="inlineStr"/>
      <c r="H203" t="inlineStr"/>
      <c r="I203" t="inlineStr"/>
      <c r="J203" t="n">
        <v>572.6886</v>
      </c>
      <c r="K203" t="n">
        <v>2018</v>
      </c>
      <c r="L203" t="n">
        <v>2030</v>
      </c>
      <c r="M203" t="n">
        <v>0.4825</v>
      </c>
      <c r="N203" t="n">
        <v>0.2517</v>
      </c>
      <c r="O203" t="n">
        <v>2019</v>
      </c>
      <c r="P203" t="n">
        <v>2030</v>
      </c>
      <c r="Q203" t="n">
        <v>0.3171</v>
      </c>
      <c r="R203" t="n">
        <v>401.7335</v>
      </c>
      <c r="S203" t="n">
        <v>0.00029221</v>
      </c>
      <c r="T203" t="n">
        <v>0.00017343</v>
      </c>
      <c r="U203" t="n">
        <v>1915.9735</v>
      </c>
      <c r="V203" t="inlineStr">
        <is>
          <t>Spend-Based Estimate</t>
        </is>
      </c>
      <c r="W203" t="b">
        <v>1</v>
      </c>
      <c r="X203" t="inlineStr">
        <is>
          <t>Medium</t>
        </is>
      </c>
      <c r="Y203" t="inlineStr">
        <is>
          <t>Reported_Emissions; Scope_Emissions</t>
        </is>
      </c>
      <c r="Z203" t="n">
        <v>0.7</v>
      </c>
      <c r="AA203" t="inlineStr">
        <is>
          <t>Valid</t>
        </is>
      </c>
    </row>
    <row r="204">
      <c r="A204" t="inlineStr">
        <is>
          <t>SUP-0021</t>
        </is>
      </c>
      <c r="B204" t="inlineStr">
        <is>
          <t>Textiles Supplier 021</t>
        </is>
      </c>
      <c r="C204" t="inlineStr">
        <is>
          <t>Textiles</t>
        </is>
      </c>
      <c r="D204" t="n">
        <v>2017</v>
      </c>
      <c r="E204" t="n">
        <v>6492151.13</v>
      </c>
      <c r="F204" t="n">
        <v>28895915.77</v>
      </c>
      <c r="G204" t="inlineStr"/>
      <c r="H204" t="inlineStr"/>
      <c r="I204" t="n">
        <v>156.9714</v>
      </c>
      <c r="J204" t="inlineStr"/>
      <c r="K204" t="n">
        <v>2018</v>
      </c>
      <c r="L204" t="n">
        <v>2030</v>
      </c>
      <c r="M204" t="n">
        <v>0.4825</v>
      </c>
      <c r="N204" t="n">
        <v>0.2517</v>
      </c>
      <c r="O204" t="n">
        <v>2019</v>
      </c>
      <c r="P204" t="n">
        <v>2030</v>
      </c>
      <c r="Q204" t="n">
        <v>0.3171</v>
      </c>
      <c r="R204" t="n">
        <v>401.7335</v>
      </c>
      <c r="S204" t="n">
        <v>0.00029221</v>
      </c>
      <c r="T204" t="n">
        <v>0.00017343</v>
      </c>
      <c r="U204" t="n">
        <v>1897.0715</v>
      </c>
      <c r="V204" t="inlineStr">
        <is>
          <t>Spend-Based Estimate</t>
        </is>
      </c>
      <c r="W204" t="b">
        <v>1</v>
      </c>
      <c r="X204" t="inlineStr">
        <is>
          <t>Medium</t>
        </is>
      </c>
      <c r="Y204" t="inlineStr">
        <is>
          <t>Reported_Emissions; Scope_Emissions</t>
        </is>
      </c>
      <c r="Z204" t="n">
        <v>0.7</v>
      </c>
      <c r="AA204" t="inlineStr">
        <is>
          <t>Valid</t>
        </is>
      </c>
    </row>
    <row r="205">
      <c r="A205" t="inlineStr">
        <is>
          <t>SUP-0021</t>
        </is>
      </c>
      <c r="B205" t="inlineStr">
        <is>
          <t>Textiles Supplier 021</t>
        </is>
      </c>
      <c r="C205" t="inlineStr">
        <is>
          <t>Textiles</t>
        </is>
      </c>
      <c r="D205" t="n">
        <v>2018</v>
      </c>
      <c r="E205" t="n">
        <v>8134404.87</v>
      </c>
      <c r="F205" t="n">
        <v>29495406.47</v>
      </c>
      <c r="G205" t="n">
        <v>1485.2844</v>
      </c>
      <c r="H205" t="n">
        <v>171.2959</v>
      </c>
      <c r="I205" t="n">
        <v>132.317</v>
      </c>
      <c r="J205" t="n">
        <v>1128.2102</v>
      </c>
      <c r="K205" t="n">
        <v>2018</v>
      </c>
      <c r="L205" t="n">
        <v>2030</v>
      </c>
      <c r="M205" t="n">
        <v>0.4825</v>
      </c>
      <c r="N205" t="n">
        <v>0.2517</v>
      </c>
      <c r="O205" t="n">
        <v>2019</v>
      </c>
      <c r="P205" t="n">
        <v>2030</v>
      </c>
      <c r="Q205" t="n">
        <v>0.3171</v>
      </c>
      <c r="R205" t="n">
        <v>401.7335</v>
      </c>
      <c r="S205" t="n">
        <v>0.00029221</v>
      </c>
      <c r="T205" t="n">
        <v>0.00017343</v>
      </c>
      <c r="U205" t="n">
        <v>1485.2844</v>
      </c>
      <c r="V205" t="inlineStr">
        <is>
          <t>Supplier Reported Emissions</t>
        </is>
      </c>
      <c r="W205" t="b">
        <v>0</v>
      </c>
      <c r="X205" t="inlineStr">
        <is>
          <t>High</t>
        </is>
      </c>
      <c r="Y205" t="inlineStr">
        <is>
          <t>None</t>
        </is>
      </c>
      <c r="Z205" t="n">
        <v>0.95</v>
      </c>
      <c r="AA205" t="inlineStr">
        <is>
          <t>Valid</t>
        </is>
      </c>
    </row>
    <row r="206">
      <c r="A206" t="inlineStr">
        <is>
          <t>SUP-0021</t>
        </is>
      </c>
      <c r="B206" t="inlineStr">
        <is>
          <t>Textiles Supplier 021</t>
        </is>
      </c>
      <c r="C206" t="inlineStr">
        <is>
          <t>Textiles</t>
        </is>
      </c>
      <c r="D206" t="n">
        <v>2019</v>
      </c>
      <c r="E206" t="n">
        <v>7630239.09</v>
      </c>
      <c r="F206" t="n">
        <v>26107190.53</v>
      </c>
      <c r="G206" t="n">
        <v>1741.5368</v>
      </c>
      <c r="H206" t="n">
        <v>452.0465</v>
      </c>
      <c r="I206" t="n">
        <v>197.9583</v>
      </c>
      <c r="J206" t="n">
        <v>1097.1346</v>
      </c>
      <c r="K206" t="n">
        <v>2018</v>
      </c>
      <c r="L206" t="n">
        <v>2030</v>
      </c>
      <c r="M206" t="n">
        <v>0.4825</v>
      </c>
      <c r="N206" t="n">
        <v>0.2517</v>
      </c>
      <c r="O206" t="n">
        <v>2019</v>
      </c>
      <c r="P206" t="n">
        <v>2030</v>
      </c>
      <c r="Q206" t="n">
        <v>0.3171</v>
      </c>
      <c r="R206" t="n">
        <v>401.7335</v>
      </c>
      <c r="S206" t="n">
        <v>0.00029221</v>
      </c>
      <c r="T206" t="n">
        <v>0.00017343</v>
      </c>
      <c r="U206" t="n">
        <v>1741.5368</v>
      </c>
      <c r="V206" t="inlineStr">
        <is>
          <t>Supplier Reported Emissions</t>
        </is>
      </c>
      <c r="W206" t="b">
        <v>0</v>
      </c>
      <c r="X206" t="inlineStr">
        <is>
          <t>High</t>
        </is>
      </c>
      <c r="Y206" t="inlineStr">
        <is>
          <t>None</t>
        </is>
      </c>
      <c r="Z206" t="n">
        <v>0.95</v>
      </c>
      <c r="AA206" t="inlineStr">
        <is>
          <t>Valid</t>
        </is>
      </c>
    </row>
    <row r="207">
      <c r="A207" t="inlineStr">
        <is>
          <t>SUP-0021</t>
        </is>
      </c>
      <c r="B207" t="inlineStr">
        <is>
          <t>Textiles Supplier 021</t>
        </is>
      </c>
      <c r="C207" t="inlineStr">
        <is>
          <t>Textiles</t>
        </is>
      </c>
      <c r="D207" t="n">
        <v>2020</v>
      </c>
      <c r="E207" t="n">
        <v>7563803.17</v>
      </c>
      <c r="F207" t="n">
        <v>26906048.14</v>
      </c>
      <c r="G207" t="n">
        <v>1459.7362</v>
      </c>
      <c r="H207" t="n">
        <v>260.1995</v>
      </c>
      <c r="I207" t="n">
        <v>288.1339</v>
      </c>
      <c r="J207" t="inlineStr"/>
      <c r="K207" t="n">
        <v>2018</v>
      </c>
      <c r="L207" t="n">
        <v>2030</v>
      </c>
      <c r="M207" t="n">
        <v>0.4825</v>
      </c>
      <c r="N207" t="n">
        <v>0.2517</v>
      </c>
      <c r="O207" t="n">
        <v>2019</v>
      </c>
      <c r="P207" t="n">
        <v>2030</v>
      </c>
      <c r="Q207" t="n">
        <v>0.3171</v>
      </c>
      <c r="R207" t="n">
        <v>401.7335</v>
      </c>
      <c r="S207" t="n">
        <v>0.00029221</v>
      </c>
      <c r="T207" t="n">
        <v>0.00017343</v>
      </c>
      <c r="U207" t="n">
        <v>1459.7362</v>
      </c>
      <c r="V207" t="inlineStr">
        <is>
          <t>Supplier Reported Emissions</t>
        </is>
      </c>
      <c r="W207" t="b">
        <v>0</v>
      </c>
      <c r="X207" t="inlineStr">
        <is>
          <t>High</t>
        </is>
      </c>
      <c r="Y207" t="inlineStr">
        <is>
          <t>Scope_Emissions</t>
        </is>
      </c>
      <c r="Z207" t="n">
        <v>0.95</v>
      </c>
      <c r="AA207" t="inlineStr">
        <is>
          <t>Valid</t>
        </is>
      </c>
    </row>
    <row r="208">
      <c r="A208" t="inlineStr">
        <is>
          <t>SUP-0021</t>
        </is>
      </c>
      <c r="B208" t="inlineStr">
        <is>
          <t>Textiles Supplier 021</t>
        </is>
      </c>
      <c r="C208" t="inlineStr">
        <is>
          <t>Textiles</t>
        </is>
      </c>
      <c r="D208" t="n">
        <v>2021</v>
      </c>
      <c r="E208" t="n">
        <v>8448639.310000001</v>
      </c>
      <c r="F208" t="n">
        <v>36232794.69</v>
      </c>
      <c r="G208" t="n">
        <v>1658.8363</v>
      </c>
      <c r="H208" t="n">
        <v>188.8193</v>
      </c>
      <c r="I208" t="n">
        <v>205.6575</v>
      </c>
      <c r="J208" t="inlineStr"/>
      <c r="K208" t="n">
        <v>2018</v>
      </c>
      <c r="L208" t="n">
        <v>2030</v>
      </c>
      <c r="M208" t="n">
        <v>0.4825</v>
      </c>
      <c r="N208" t="n">
        <v>0.2517</v>
      </c>
      <c r="O208" t="n">
        <v>2019</v>
      </c>
      <c r="P208" t="n">
        <v>2030</v>
      </c>
      <c r="Q208" t="n">
        <v>0.3171</v>
      </c>
      <c r="R208" t="n">
        <v>401.7335</v>
      </c>
      <c r="S208" t="n">
        <v>0.00029221</v>
      </c>
      <c r="T208" t="n">
        <v>0.00017343</v>
      </c>
      <c r="U208" t="n">
        <v>1658.8363</v>
      </c>
      <c r="V208" t="inlineStr">
        <is>
          <t>Supplier Reported Emissions</t>
        </is>
      </c>
      <c r="W208" t="b">
        <v>0</v>
      </c>
      <c r="X208" t="inlineStr">
        <is>
          <t>High</t>
        </is>
      </c>
      <c r="Y208" t="inlineStr">
        <is>
          <t>Scope_Emissions</t>
        </is>
      </c>
      <c r="Z208" t="n">
        <v>0.95</v>
      </c>
      <c r="AA208" t="inlineStr">
        <is>
          <t>Valid</t>
        </is>
      </c>
    </row>
    <row r="209">
      <c r="A209" t="inlineStr">
        <is>
          <t>SUP-0021</t>
        </is>
      </c>
      <c r="B209" t="inlineStr">
        <is>
          <t>Textiles Supplier 021</t>
        </is>
      </c>
      <c r="C209" t="inlineStr">
        <is>
          <t>Textiles</t>
        </is>
      </c>
      <c r="D209" t="n">
        <v>2022</v>
      </c>
      <c r="E209" t="n">
        <v>9357280.42</v>
      </c>
      <c r="F209" t="n">
        <v>30035213.88</v>
      </c>
      <c r="G209" t="n">
        <v>2120.5793</v>
      </c>
      <c r="H209" t="n">
        <v>528.2032</v>
      </c>
      <c r="I209" t="inlineStr"/>
      <c r="J209" t="inlineStr"/>
      <c r="K209" t="n">
        <v>2018</v>
      </c>
      <c r="L209" t="n">
        <v>2030</v>
      </c>
      <c r="M209" t="n">
        <v>0.4825</v>
      </c>
      <c r="N209" t="n">
        <v>0.2517</v>
      </c>
      <c r="O209" t="n">
        <v>2019</v>
      </c>
      <c r="P209" t="n">
        <v>2030</v>
      </c>
      <c r="Q209" t="n">
        <v>0.3171</v>
      </c>
      <c r="R209" t="n">
        <v>401.7335</v>
      </c>
      <c r="S209" t="n">
        <v>0.00029221</v>
      </c>
      <c r="T209" t="n">
        <v>0.00017343</v>
      </c>
      <c r="U209" t="n">
        <v>2120.5793</v>
      </c>
      <c r="V209" t="inlineStr">
        <is>
          <t>Supplier Reported Emissions</t>
        </is>
      </c>
      <c r="W209" t="b">
        <v>0</v>
      </c>
      <c r="X209" t="inlineStr">
        <is>
          <t>High</t>
        </is>
      </c>
      <c r="Y209" t="inlineStr">
        <is>
          <t>Scope_Emissions</t>
        </is>
      </c>
      <c r="Z209" t="n">
        <v>0.95</v>
      </c>
      <c r="AA209" t="inlineStr">
        <is>
          <t>Valid</t>
        </is>
      </c>
    </row>
    <row r="210">
      <c r="A210" t="inlineStr">
        <is>
          <t>SUP-0021</t>
        </is>
      </c>
      <c r="B210" t="inlineStr">
        <is>
          <t>Textiles Supplier 021</t>
        </is>
      </c>
      <c r="C210" t="inlineStr">
        <is>
          <t>Textiles</t>
        </is>
      </c>
      <c r="D210" t="n">
        <v>2023</v>
      </c>
      <c r="E210" t="n">
        <v>9799746.789999999</v>
      </c>
      <c r="F210" t="n">
        <v>42639549.12</v>
      </c>
      <c r="G210" t="n">
        <v>2039.4713</v>
      </c>
      <c r="H210" t="n">
        <v>435.0185</v>
      </c>
      <c r="I210" t="n">
        <v>300.0777</v>
      </c>
      <c r="J210" t="n">
        <v>1277.5133</v>
      </c>
      <c r="K210" t="n">
        <v>2018</v>
      </c>
      <c r="L210" t="n">
        <v>2030</v>
      </c>
      <c r="M210" t="n">
        <v>0.4825</v>
      </c>
      <c r="N210" t="n">
        <v>0.2517</v>
      </c>
      <c r="O210" t="n">
        <v>2019</v>
      </c>
      <c r="P210" t="n">
        <v>2030</v>
      </c>
      <c r="Q210" t="n">
        <v>0.3171</v>
      </c>
      <c r="R210" t="n">
        <v>401.7335</v>
      </c>
      <c r="S210" t="n">
        <v>0.00029221</v>
      </c>
      <c r="T210" t="n">
        <v>0.00017343</v>
      </c>
      <c r="U210" t="n">
        <v>2039.4713</v>
      </c>
      <c r="V210" t="inlineStr">
        <is>
          <t>Supplier Reported Emissions</t>
        </is>
      </c>
      <c r="W210" t="b">
        <v>0</v>
      </c>
      <c r="X210" t="inlineStr">
        <is>
          <t>High</t>
        </is>
      </c>
      <c r="Y210" t="inlineStr">
        <is>
          <t>None</t>
        </is>
      </c>
      <c r="Z210" t="n">
        <v>0.95</v>
      </c>
      <c r="AA210" t="inlineStr">
        <is>
          <t>Valid</t>
        </is>
      </c>
    </row>
    <row r="211">
      <c r="A211" t="inlineStr">
        <is>
          <t>SUP-0021</t>
        </is>
      </c>
      <c r="B211" t="inlineStr">
        <is>
          <t>Textiles Supplier 021</t>
        </is>
      </c>
      <c r="C211" t="inlineStr">
        <is>
          <t>Textiles</t>
        </is>
      </c>
      <c r="D211" t="n">
        <v>2024</v>
      </c>
      <c r="E211" t="n">
        <v>9197090.859999999</v>
      </c>
      <c r="F211" t="n">
        <v>34774642.83</v>
      </c>
      <c r="G211" t="n">
        <v>1610.0749</v>
      </c>
      <c r="H211" t="n">
        <v>398.3082</v>
      </c>
      <c r="I211" t="inlineStr"/>
      <c r="J211" t="n">
        <v>1050.747</v>
      </c>
      <c r="K211" t="n">
        <v>2018</v>
      </c>
      <c r="L211" t="n">
        <v>2030</v>
      </c>
      <c r="M211" t="n">
        <v>0.4825</v>
      </c>
      <c r="N211" t="n">
        <v>0.2517</v>
      </c>
      <c r="O211" t="n">
        <v>2019</v>
      </c>
      <c r="P211" t="n">
        <v>2030</v>
      </c>
      <c r="Q211" t="n">
        <v>0.3171</v>
      </c>
      <c r="R211" t="n">
        <v>401.7335</v>
      </c>
      <c r="S211" t="n">
        <v>0.00029221</v>
      </c>
      <c r="T211" t="n">
        <v>0.00017343</v>
      </c>
      <c r="U211" t="n">
        <v>1610.0749</v>
      </c>
      <c r="V211" t="inlineStr">
        <is>
          <t>Supplier Reported Emissions</t>
        </is>
      </c>
      <c r="W211" t="b">
        <v>0</v>
      </c>
      <c r="X211" t="inlineStr">
        <is>
          <t>High</t>
        </is>
      </c>
      <c r="Y211" t="inlineStr">
        <is>
          <t>Scope_Emissions</t>
        </is>
      </c>
      <c r="Z211" t="n">
        <v>0.95</v>
      </c>
      <c r="AA211" t="inlineStr">
        <is>
          <t>Valid</t>
        </is>
      </c>
    </row>
    <row r="212">
      <c r="A212" t="inlineStr">
        <is>
          <t>SUP-0022</t>
        </is>
      </c>
      <c r="B212" t="inlineStr">
        <is>
          <t>Chemicals Supplier 022</t>
        </is>
      </c>
      <c r="C212" t="inlineStr">
        <is>
          <t>Chemicals</t>
        </is>
      </c>
      <c r="D212" t="n">
        <v>2015</v>
      </c>
      <c r="E212" t="n">
        <v>22454277.32</v>
      </c>
      <c r="F212" t="n">
        <v>139838751.51</v>
      </c>
      <c r="G212" t="n">
        <v>21460.6994</v>
      </c>
      <c r="H212" t="n">
        <v>4726.0189</v>
      </c>
      <c r="I212" t="inlineStr"/>
      <c r="J212" t="n">
        <v>12581.6232</v>
      </c>
      <c r="K212" t="inlineStr"/>
      <c r="L212" t="inlineStr"/>
      <c r="M212" t="inlineStr"/>
      <c r="N212" t="inlineStr"/>
      <c r="O212" t="n">
        <v>2019</v>
      </c>
      <c r="P212" t="n">
        <v>2035</v>
      </c>
      <c r="Q212" t="n">
        <v>0.5229</v>
      </c>
      <c r="R212" t="n">
        <v>506.3191</v>
      </c>
      <c r="S212" t="n">
        <v>0.00100149</v>
      </c>
      <c r="T212" t="n">
        <v>0.00047124</v>
      </c>
      <c r="U212" t="n">
        <v>21460.6994</v>
      </c>
      <c r="V212" t="inlineStr">
        <is>
          <t>Supplier Reported Emissions</t>
        </is>
      </c>
      <c r="W212" t="b">
        <v>0</v>
      </c>
      <c r="X212" t="inlineStr">
        <is>
          <t>High</t>
        </is>
      </c>
      <c r="Y212" t="inlineStr">
        <is>
          <t>Scope_Emissions</t>
        </is>
      </c>
      <c r="Z212" t="n">
        <v>0.95</v>
      </c>
      <c r="AA212" t="inlineStr">
        <is>
          <t>Valid</t>
        </is>
      </c>
    </row>
    <row r="213">
      <c r="A213" t="inlineStr">
        <is>
          <t>SUP-0022</t>
        </is>
      </c>
      <c r="B213" t="inlineStr">
        <is>
          <t>Chemicals Supplier 022</t>
        </is>
      </c>
      <c r="C213" t="inlineStr">
        <is>
          <t>Chemicals</t>
        </is>
      </c>
      <c r="D213" t="n">
        <v>2016</v>
      </c>
      <c r="E213" t="inlineStr"/>
      <c r="F213" t="n">
        <v>154757469.83</v>
      </c>
      <c r="G213" t="n">
        <v>27768.0954</v>
      </c>
      <c r="H213" t="n">
        <v>7004.03</v>
      </c>
      <c r="I213" t="n">
        <v>1912.7824</v>
      </c>
      <c r="J213" t="n">
        <v>18320.2336</v>
      </c>
      <c r="K213" t="inlineStr"/>
      <c r="L213" t="inlineStr"/>
      <c r="M213" t="inlineStr"/>
      <c r="N213" t="inlineStr"/>
      <c r="O213" t="n">
        <v>2019</v>
      </c>
      <c r="P213" t="n">
        <v>2035</v>
      </c>
      <c r="Q213" t="n">
        <v>0.5229</v>
      </c>
      <c r="R213" t="n">
        <v>506.3191</v>
      </c>
      <c r="S213" t="n">
        <v>0.00100149</v>
      </c>
      <c r="T213" t="n">
        <v>0.00047124</v>
      </c>
      <c r="U213" t="n">
        <v>27768.0954</v>
      </c>
      <c r="V213" t="inlineStr">
        <is>
          <t>Supplier Reported Emissions</t>
        </is>
      </c>
      <c r="W213" t="b">
        <v>0</v>
      </c>
      <c r="X213" t="inlineStr">
        <is>
          <t>High</t>
        </is>
      </c>
      <c r="Y213" t="inlineStr">
        <is>
          <t>Gross_Spend</t>
        </is>
      </c>
      <c r="Z213" t="n">
        <v>0.95</v>
      </c>
      <c r="AA213" t="inlineStr">
        <is>
          <t>Valid</t>
        </is>
      </c>
    </row>
    <row r="214">
      <c r="A214" t="inlineStr">
        <is>
          <t>SUP-0022</t>
        </is>
      </c>
      <c r="B214" t="inlineStr">
        <is>
          <t>Chemicals Supplier 022</t>
        </is>
      </c>
      <c r="C214" t="inlineStr">
        <is>
          <t>Chemicals</t>
        </is>
      </c>
      <c r="D214" t="n">
        <v>2017</v>
      </c>
      <c r="E214" t="n">
        <v>26392734.88</v>
      </c>
      <c r="F214" t="n">
        <v>129059449.03</v>
      </c>
      <c r="G214" t="n">
        <v>27068.2172</v>
      </c>
      <c r="H214" t="n">
        <v>7217.5174</v>
      </c>
      <c r="I214" t="n">
        <v>2762.4775</v>
      </c>
      <c r="J214" t="inlineStr"/>
      <c r="K214" t="inlineStr"/>
      <c r="L214" t="inlineStr"/>
      <c r="M214" t="inlineStr"/>
      <c r="N214" t="inlineStr"/>
      <c r="O214" t="n">
        <v>2019</v>
      </c>
      <c r="P214" t="n">
        <v>2035</v>
      </c>
      <c r="Q214" t="n">
        <v>0.5229</v>
      </c>
      <c r="R214" t="n">
        <v>506.3191</v>
      </c>
      <c r="S214" t="n">
        <v>0.00100149</v>
      </c>
      <c r="T214" t="n">
        <v>0.00047124</v>
      </c>
      <c r="U214" t="n">
        <v>27068.2172</v>
      </c>
      <c r="V214" t="inlineStr">
        <is>
          <t>Supplier Reported Emissions</t>
        </is>
      </c>
      <c r="W214" t="b">
        <v>0</v>
      </c>
      <c r="X214" t="inlineStr">
        <is>
          <t>High</t>
        </is>
      </c>
      <c r="Y214" t="inlineStr">
        <is>
          <t>Scope_Emissions</t>
        </is>
      </c>
      <c r="Z214" t="n">
        <v>0.95</v>
      </c>
      <c r="AA214" t="inlineStr">
        <is>
          <t>Valid</t>
        </is>
      </c>
    </row>
    <row r="215">
      <c r="A215" t="inlineStr">
        <is>
          <t>SUP-0022</t>
        </is>
      </c>
      <c r="B215" t="inlineStr">
        <is>
          <t>Chemicals Supplier 022</t>
        </is>
      </c>
      <c r="C215" t="inlineStr">
        <is>
          <t>Chemicals</t>
        </is>
      </c>
      <c r="D215" t="n">
        <v>2018</v>
      </c>
      <c r="E215" t="n">
        <v>25673815.99</v>
      </c>
      <c r="F215" t="n">
        <v>181867783.38</v>
      </c>
      <c r="G215" t="inlineStr"/>
      <c r="H215" t="n">
        <v>2654.2289</v>
      </c>
      <c r="I215" t="inlineStr"/>
      <c r="J215" t="n">
        <v>21678.7705</v>
      </c>
      <c r="K215" t="inlineStr"/>
      <c r="L215" t="inlineStr"/>
      <c r="M215" t="inlineStr"/>
      <c r="N215" t="inlineStr"/>
      <c r="O215" t="n">
        <v>2019</v>
      </c>
      <c r="P215" t="n">
        <v>2035</v>
      </c>
      <c r="Q215" t="n">
        <v>0.5229</v>
      </c>
      <c r="R215" t="n">
        <v>506.3191</v>
      </c>
      <c r="S215" t="n">
        <v>0.00100149</v>
      </c>
      <c r="T215" t="n">
        <v>0.00047124</v>
      </c>
      <c r="U215" t="n">
        <v>25712.07</v>
      </c>
      <c r="V215" t="inlineStr">
        <is>
          <t>Spend-Based Estimate</t>
        </is>
      </c>
      <c r="W215" t="b">
        <v>1</v>
      </c>
      <c r="X215" t="inlineStr">
        <is>
          <t>Medium</t>
        </is>
      </c>
      <c r="Y215" t="inlineStr">
        <is>
          <t>Reported_Emissions; Scope_Emissions</t>
        </is>
      </c>
      <c r="Z215" t="n">
        <v>0.7</v>
      </c>
      <c r="AA215" t="inlineStr">
        <is>
          <t>Valid</t>
        </is>
      </c>
    </row>
    <row r="216">
      <c r="A216" t="inlineStr">
        <is>
          <t>SUP-0022</t>
        </is>
      </c>
      <c r="B216" t="inlineStr">
        <is>
          <t>Chemicals Supplier 022</t>
        </is>
      </c>
      <c r="C216" t="inlineStr">
        <is>
          <t>Chemicals</t>
        </is>
      </c>
      <c r="D216" t="n">
        <v>2019</v>
      </c>
      <c r="E216" t="n">
        <v>26262207.5</v>
      </c>
      <c r="F216" t="n">
        <v>115099839.58</v>
      </c>
      <c r="G216" t="n">
        <v>32493.4384</v>
      </c>
      <c r="H216" t="n">
        <v>7411.341</v>
      </c>
      <c r="I216" t="n">
        <v>5825.053</v>
      </c>
      <c r="J216" t="inlineStr"/>
      <c r="K216" t="inlineStr"/>
      <c r="L216" t="inlineStr"/>
      <c r="M216" t="inlineStr"/>
      <c r="N216" t="inlineStr"/>
      <c r="O216" t="n">
        <v>2019</v>
      </c>
      <c r="P216" t="n">
        <v>2035</v>
      </c>
      <c r="Q216" t="n">
        <v>0.5229</v>
      </c>
      <c r="R216" t="n">
        <v>506.3191</v>
      </c>
      <c r="S216" t="n">
        <v>0.00100149</v>
      </c>
      <c r="T216" t="n">
        <v>0.00047124</v>
      </c>
      <c r="U216" t="n">
        <v>32493.4384</v>
      </c>
      <c r="V216" t="inlineStr">
        <is>
          <t>Supplier Reported Emissions</t>
        </is>
      </c>
      <c r="W216" t="b">
        <v>0</v>
      </c>
      <c r="X216" t="inlineStr">
        <is>
          <t>High</t>
        </is>
      </c>
      <c r="Y216" t="inlineStr">
        <is>
          <t>Scope_Emissions</t>
        </is>
      </c>
      <c r="Z216" t="n">
        <v>0.95</v>
      </c>
      <c r="AA216" t="inlineStr">
        <is>
          <t>Valid</t>
        </is>
      </c>
    </row>
    <row r="217">
      <c r="A217" t="inlineStr">
        <is>
          <t>SUP-0022</t>
        </is>
      </c>
      <c r="B217" t="inlineStr">
        <is>
          <t>Chemicals Supplier 022</t>
        </is>
      </c>
      <c r="C217" t="inlineStr">
        <is>
          <t>Chemicals</t>
        </is>
      </c>
      <c r="D217" t="n">
        <v>2020</v>
      </c>
      <c r="E217" t="n">
        <v>26734267.52</v>
      </c>
      <c r="F217" t="inlineStr"/>
      <c r="G217" t="n">
        <v>27475.1158</v>
      </c>
      <c r="H217" t="inlineStr"/>
      <c r="I217" t="n">
        <v>1763.7985</v>
      </c>
      <c r="J217" t="n">
        <v>23335.4201</v>
      </c>
      <c r="K217" t="inlineStr"/>
      <c r="L217" t="inlineStr"/>
      <c r="M217" t="inlineStr"/>
      <c r="N217" t="inlineStr"/>
      <c r="O217" t="n">
        <v>2019</v>
      </c>
      <c r="P217" t="n">
        <v>2035</v>
      </c>
      <c r="Q217" t="n">
        <v>0.5229</v>
      </c>
      <c r="R217" t="n">
        <v>506.3191</v>
      </c>
      <c r="S217" t="n">
        <v>0.00100149</v>
      </c>
      <c r="T217" t="n">
        <v>0.00047124</v>
      </c>
      <c r="U217" t="n">
        <v>27475.1158</v>
      </c>
      <c r="V217" t="inlineStr">
        <is>
          <t>Supplier Reported Emissions</t>
        </is>
      </c>
      <c r="W217" t="b">
        <v>0</v>
      </c>
      <c r="X217" t="inlineStr">
        <is>
          <t>High</t>
        </is>
      </c>
      <c r="Y217" t="inlineStr">
        <is>
          <t>Revenue; Scope_Emissions</t>
        </is>
      </c>
      <c r="Z217" t="n">
        <v>0.95</v>
      </c>
      <c r="AA217" t="inlineStr">
        <is>
          <t>Valid</t>
        </is>
      </c>
    </row>
    <row r="218">
      <c r="A218" t="inlineStr">
        <is>
          <t>SUP-0022</t>
        </is>
      </c>
      <c r="B218" t="inlineStr">
        <is>
          <t>Chemicals Supplier 022</t>
        </is>
      </c>
      <c r="C218" t="inlineStr">
        <is>
          <t>Chemicals</t>
        </is>
      </c>
      <c r="D218" t="n">
        <v>2021</v>
      </c>
      <c r="E218" t="n">
        <v>26207881.97</v>
      </c>
      <c r="F218" t="inlineStr"/>
      <c r="G218" t="n">
        <v>28764.4781</v>
      </c>
      <c r="H218" t="n">
        <v>4242.4806</v>
      </c>
      <c r="I218" t="n">
        <v>5460.1864</v>
      </c>
      <c r="J218" t="n">
        <v>17334.8137</v>
      </c>
      <c r="K218" t="inlineStr"/>
      <c r="L218" t="inlineStr"/>
      <c r="M218" t="inlineStr"/>
      <c r="N218" t="inlineStr"/>
      <c r="O218" t="n">
        <v>2019</v>
      </c>
      <c r="P218" t="n">
        <v>2035</v>
      </c>
      <c r="Q218" t="n">
        <v>0.5229</v>
      </c>
      <c r="R218" t="n">
        <v>506.3191</v>
      </c>
      <c r="S218" t="n">
        <v>0.00100149</v>
      </c>
      <c r="T218" t="n">
        <v>0.00047124</v>
      </c>
      <c r="U218" t="n">
        <v>28764.4781</v>
      </c>
      <c r="V218" t="inlineStr">
        <is>
          <t>Supplier Reported Emissions</t>
        </is>
      </c>
      <c r="W218" t="b">
        <v>0</v>
      </c>
      <c r="X218" t="inlineStr">
        <is>
          <t>High</t>
        </is>
      </c>
      <c r="Y218" t="inlineStr">
        <is>
          <t>Revenue</t>
        </is>
      </c>
      <c r="Z218" t="n">
        <v>0.95</v>
      </c>
      <c r="AA218" t="inlineStr">
        <is>
          <t>Valid</t>
        </is>
      </c>
    </row>
    <row r="219">
      <c r="A219" t="inlineStr">
        <is>
          <t>SUP-0022</t>
        </is>
      </c>
      <c r="B219" t="inlineStr">
        <is>
          <t>Chemicals Supplier 022</t>
        </is>
      </c>
      <c r="C219" t="inlineStr">
        <is>
          <t>Chemicals</t>
        </is>
      </c>
      <c r="D219" t="n">
        <v>2022</v>
      </c>
      <c r="E219" t="n">
        <v>27133421.35</v>
      </c>
      <c r="F219" t="n">
        <v>183830405.16</v>
      </c>
      <c r="G219" t="n">
        <v>23072.1975</v>
      </c>
      <c r="H219" t="n">
        <v>2974.6903</v>
      </c>
      <c r="I219" t="n">
        <v>3643.2764</v>
      </c>
      <c r="J219" t="n">
        <v>18224.6084</v>
      </c>
      <c r="K219" t="inlineStr"/>
      <c r="L219" t="inlineStr"/>
      <c r="M219" t="inlineStr"/>
      <c r="N219" t="inlineStr"/>
      <c r="O219" t="n">
        <v>2019</v>
      </c>
      <c r="P219" t="n">
        <v>2035</v>
      </c>
      <c r="Q219" t="n">
        <v>0.5229</v>
      </c>
      <c r="R219" t="n">
        <v>506.3191</v>
      </c>
      <c r="S219" t="n">
        <v>0.00100149</v>
      </c>
      <c r="T219" t="n">
        <v>0.00047124</v>
      </c>
      <c r="U219" t="n">
        <v>23072.1975</v>
      </c>
      <c r="V219" t="inlineStr">
        <is>
          <t>Supplier Reported Emissions</t>
        </is>
      </c>
      <c r="W219" t="b">
        <v>0</v>
      </c>
      <c r="X219" t="inlineStr">
        <is>
          <t>High</t>
        </is>
      </c>
      <c r="Y219" t="inlineStr">
        <is>
          <t>None</t>
        </is>
      </c>
      <c r="Z219" t="n">
        <v>0.95</v>
      </c>
      <c r="AA219" t="inlineStr">
        <is>
          <t>Valid</t>
        </is>
      </c>
    </row>
    <row r="220">
      <c r="A220" t="inlineStr">
        <is>
          <t>SUP-0022</t>
        </is>
      </c>
      <c r="B220" t="inlineStr">
        <is>
          <t>Chemicals Supplier 022</t>
        </is>
      </c>
      <c r="C220" t="inlineStr">
        <is>
          <t>Chemicals</t>
        </is>
      </c>
      <c r="D220" t="n">
        <v>2023</v>
      </c>
      <c r="E220" t="inlineStr"/>
      <c r="F220" t="n">
        <v>156861126.84</v>
      </c>
      <c r="G220" t="n">
        <v>29246.4917</v>
      </c>
      <c r="H220" t="n">
        <v>6712.3881</v>
      </c>
      <c r="I220" t="n">
        <v>5043.9467</v>
      </c>
      <c r="J220" t="n">
        <v>16441.29</v>
      </c>
      <c r="K220" t="inlineStr"/>
      <c r="L220" t="inlineStr"/>
      <c r="M220" t="inlineStr"/>
      <c r="N220" t="inlineStr"/>
      <c r="O220" t="n">
        <v>2019</v>
      </c>
      <c r="P220" t="n">
        <v>2035</v>
      </c>
      <c r="Q220" t="n">
        <v>0.5229</v>
      </c>
      <c r="R220" t="n">
        <v>506.3191</v>
      </c>
      <c r="S220" t="n">
        <v>0.00100149</v>
      </c>
      <c r="T220" t="n">
        <v>0.00047124</v>
      </c>
      <c r="U220" t="n">
        <v>29246.4917</v>
      </c>
      <c r="V220" t="inlineStr">
        <is>
          <t>Supplier Reported Emissions</t>
        </is>
      </c>
      <c r="W220" t="b">
        <v>0</v>
      </c>
      <c r="X220" t="inlineStr">
        <is>
          <t>High</t>
        </is>
      </c>
      <c r="Y220" t="inlineStr">
        <is>
          <t>Gross_Spend</t>
        </is>
      </c>
      <c r="Z220" t="n">
        <v>0.95</v>
      </c>
      <c r="AA220" t="inlineStr">
        <is>
          <t>Valid</t>
        </is>
      </c>
    </row>
    <row r="221">
      <c r="A221" t="inlineStr">
        <is>
          <t>SUP-0022</t>
        </is>
      </c>
      <c r="B221" t="inlineStr">
        <is>
          <t>Chemicals Supplier 022</t>
        </is>
      </c>
      <c r="C221" t="inlineStr">
        <is>
          <t>Chemicals</t>
        </is>
      </c>
      <c r="D221" t="n">
        <v>2024</v>
      </c>
      <c r="E221" t="n">
        <v>27410943.79</v>
      </c>
      <c r="F221" t="n">
        <v>264885835.43</v>
      </c>
      <c r="G221" t="inlineStr"/>
      <c r="H221" t="n">
        <v>7473.9866</v>
      </c>
      <c r="I221" t="n">
        <v>2614.5193</v>
      </c>
      <c r="J221" t="n">
        <v>17684.5289</v>
      </c>
      <c r="K221" t="inlineStr"/>
      <c r="L221" t="inlineStr"/>
      <c r="M221" t="inlineStr"/>
      <c r="N221" t="inlineStr"/>
      <c r="O221" t="n">
        <v>2019</v>
      </c>
      <c r="P221" t="n">
        <v>2035</v>
      </c>
      <c r="Q221" t="n">
        <v>0.5229</v>
      </c>
      <c r="R221" t="n">
        <v>506.3191</v>
      </c>
      <c r="S221" t="n">
        <v>0.00100149</v>
      </c>
      <c r="T221" t="n">
        <v>0.00047124</v>
      </c>
      <c r="U221" t="n">
        <v>27773.0348</v>
      </c>
      <c r="V221" t="inlineStr">
        <is>
          <t>Scope 1 + Scope 2 + Scope 3</t>
        </is>
      </c>
      <c r="W221" t="b">
        <v>1</v>
      </c>
      <c r="X221" t="inlineStr">
        <is>
          <t>High</t>
        </is>
      </c>
      <c r="Y221" t="inlineStr">
        <is>
          <t>Reported_Emissions</t>
        </is>
      </c>
      <c r="Z221" t="n">
        <v>0.88</v>
      </c>
      <c r="AA221" t="inlineStr">
        <is>
          <t>Valid</t>
        </is>
      </c>
    </row>
    <row r="222">
      <c r="A222" t="inlineStr">
        <is>
          <t>SUP-0023</t>
        </is>
      </c>
      <c r="B222" t="inlineStr">
        <is>
          <t>Agriculture Supplier 023</t>
        </is>
      </c>
      <c r="C222" t="inlineStr">
        <is>
          <t>Agriculture</t>
        </is>
      </c>
      <c r="D222" t="n">
        <v>2015</v>
      </c>
      <c r="E222" t="n">
        <v>13120295.38</v>
      </c>
      <c r="F222" t="n">
        <v>78822676.31999999</v>
      </c>
      <c r="G222" t="n">
        <v>13562.7076</v>
      </c>
      <c r="H222" t="inlineStr"/>
      <c r="I222" t="n">
        <v>2894.6992</v>
      </c>
      <c r="J222" t="n">
        <v>8882.0018</v>
      </c>
      <c r="K222" t="n">
        <v>2018</v>
      </c>
      <c r="L222" t="n">
        <v>2040</v>
      </c>
      <c r="M222" t="n">
        <v>0.339</v>
      </c>
      <c r="N222" t="n">
        <v>0.1496</v>
      </c>
      <c r="O222" t="n">
        <v>2018</v>
      </c>
      <c r="P222" t="inlineStr"/>
      <c r="Q222" t="inlineStr"/>
      <c r="R222" t="n">
        <v>529.8294</v>
      </c>
      <c r="S222" t="n">
        <v>0.00091413</v>
      </c>
      <c r="T222" t="n">
        <v>0.00096913</v>
      </c>
      <c r="U222" t="n">
        <v>13562.7076</v>
      </c>
      <c r="V222" t="inlineStr">
        <is>
          <t>Supplier Reported Emissions</t>
        </is>
      </c>
      <c r="W222" t="b">
        <v>0</v>
      </c>
      <c r="X222" t="inlineStr">
        <is>
          <t>High</t>
        </is>
      </c>
      <c r="Y222" t="inlineStr">
        <is>
          <t>Scope_Emissions</t>
        </is>
      </c>
      <c r="Z222" t="n">
        <v>0.95</v>
      </c>
      <c r="AA222" t="inlineStr">
        <is>
          <t>Valid</t>
        </is>
      </c>
    </row>
    <row r="223">
      <c r="A223" t="inlineStr">
        <is>
          <t>SUP-0023</t>
        </is>
      </c>
      <c r="B223" t="inlineStr">
        <is>
          <t>Agriculture Supplier 023</t>
        </is>
      </c>
      <c r="C223" t="inlineStr">
        <is>
          <t>Agriculture</t>
        </is>
      </c>
      <c r="D223" t="n">
        <v>2016</v>
      </c>
      <c r="E223" t="n">
        <v>15977859.52</v>
      </c>
      <c r="F223" t="n">
        <v>87484561.08</v>
      </c>
      <c r="G223" t="n">
        <v>19223.1195</v>
      </c>
      <c r="H223" t="inlineStr"/>
      <c r="I223" t="n">
        <v>1843.7239</v>
      </c>
      <c r="J223" t="inlineStr"/>
      <c r="K223" t="n">
        <v>2018</v>
      </c>
      <c r="L223" t="n">
        <v>2040</v>
      </c>
      <c r="M223" t="n">
        <v>0.339</v>
      </c>
      <c r="N223" t="n">
        <v>0.1496</v>
      </c>
      <c r="O223" t="n">
        <v>2018</v>
      </c>
      <c r="P223" t="inlineStr"/>
      <c r="Q223" t="inlineStr"/>
      <c r="R223" t="n">
        <v>529.8294</v>
      </c>
      <c r="S223" t="n">
        <v>0.00091413</v>
      </c>
      <c r="T223" t="n">
        <v>0.00096913</v>
      </c>
      <c r="U223" t="n">
        <v>19223.1195</v>
      </c>
      <c r="V223" t="inlineStr">
        <is>
          <t>Supplier Reported Emissions</t>
        </is>
      </c>
      <c r="W223" t="b">
        <v>0</v>
      </c>
      <c r="X223" t="inlineStr">
        <is>
          <t>High</t>
        </is>
      </c>
      <c r="Y223" t="inlineStr">
        <is>
          <t>Scope_Emissions</t>
        </is>
      </c>
      <c r="Z223" t="n">
        <v>0.95</v>
      </c>
      <c r="AA223" t="inlineStr">
        <is>
          <t>Valid</t>
        </is>
      </c>
    </row>
    <row r="224">
      <c r="A224" t="inlineStr">
        <is>
          <t>SUP-0023</t>
        </is>
      </c>
      <c r="B224" t="inlineStr">
        <is>
          <t>Agriculture Supplier 023</t>
        </is>
      </c>
      <c r="C224" t="inlineStr">
        <is>
          <t>Agriculture</t>
        </is>
      </c>
      <c r="D224" t="n">
        <v>2017</v>
      </c>
      <c r="E224" t="inlineStr"/>
      <c r="F224" t="n">
        <v>92454083.61</v>
      </c>
      <c r="G224" t="n">
        <v>12722.5174</v>
      </c>
      <c r="H224" t="n">
        <v>2977.9741</v>
      </c>
      <c r="I224" t="n">
        <v>981.8440000000001</v>
      </c>
      <c r="J224" t="inlineStr"/>
      <c r="K224" t="n">
        <v>2018</v>
      </c>
      <c r="L224" t="n">
        <v>2040</v>
      </c>
      <c r="M224" t="n">
        <v>0.339</v>
      </c>
      <c r="N224" t="n">
        <v>0.1496</v>
      </c>
      <c r="O224" t="n">
        <v>2018</v>
      </c>
      <c r="P224" t="inlineStr"/>
      <c r="Q224" t="inlineStr"/>
      <c r="R224" t="n">
        <v>529.8294</v>
      </c>
      <c r="S224" t="n">
        <v>0.00091413</v>
      </c>
      <c r="T224" t="n">
        <v>0.00096913</v>
      </c>
      <c r="U224" t="n">
        <v>12722.5174</v>
      </c>
      <c r="V224" t="inlineStr">
        <is>
          <t>Supplier Reported Emissions</t>
        </is>
      </c>
      <c r="W224" t="b">
        <v>0</v>
      </c>
      <c r="X224" t="inlineStr">
        <is>
          <t>High</t>
        </is>
      </c>
      <c r="Y224" t="inlineStr">
        <is>
          <t>Gross_Spend; Scope_Emissions</t>
        </is>
      </c>
      <c r="Z224" t="n">
        <v>0.95</v>
      </c>
      <c r="AA224" t="inlineStr">
        <is>
          <t>Valid</t>
        </is>
      </c>
    </row>
    <row r="225">
      <c r="A225" t="inlineStr">
        <is>
          <t>SUP-0023</t>
        </is>
      </c>
      <c r="B225" t="inlineStr">
        <is>
          <t>Agriculture Supplier 023</t>
        </is>
      </c>
      <c r="C225" t="inlineStr">
        <is>
          <t>Agriculture</t>
        </is>
      </c>
      <c r="D225" t="n">
        <v>2018</v>
      </c>
      <c r="E225" t="n">
        <v>16368082.83</v>
      </c>
      <c r="F225" t="n">
        <v>75033794.37</v>
      </c>
      <c r="G225" t="n">
        <v>11886.3235</v>
      </c>
      <c r="H225" t="n">
        <v>1733.7592</v>
      </c>
      <c r="I225" t="inlineStr"/>
      <c r="J225" t="n">
        <v>8359.1116</v>
      </c>
      <c r="K225" t="n">
        <v>2018</v>
      </c>
      <c r="L225" t="n">
        <v>2040</v>
      </c>
      <c r="M225" t="n">
        <v>0.339</v>
      </c>
      <c r="N225" t="n">
        <v>0.1496</v>
      </c>
      <c r="O225" t="n">
        <v>2018</v>
      </c>
      <c r="P225" t="inlineStr"/>
      <c r="Q225" t="inlineStr"/>
      <c r="R225" t="n">
        <v>529.8294</v>
      </c>
      <c r="S225" t="n">
        <v>0.00091413</v>
      </c>
      <c r="T225" t="n">
        <v>0.00096913</v>
      </c>
      <c r="U225" t="n">
        <v>11886.3235</v>
      </c>
      <c r="V225" t="inlineStr">
        <is>
          <t>Supplier Reported Emissions</t>
        </is>
      </c>
      <c r="W225" t="b">
        <v>0</v>
      </c>
      <c r="X225" t="inlineStr">
        <is>
          <t>High</t>
        </is>
      </c>
      <c r="Y225" t="inlineStr">
        <is>
          <t>Scope_Emissions</t>
        </is>
      </c>
      <c r="Z225" t="n">
        <v>0.95</v>
      </c>
      <c r="AA225" t="inlineStr">
        <is>
          <t>Valid</t>
        </is>
      </c>
    </row>
    <row r="226">
      <c r="A226" t="inlineStr">
        <is>
          <t>SUP-0023</t>
        </is>
      </c>
      <c r="B226" t="inlineStr">
        <is>
          <t>Agriculture Supplier 023</t>
        </is>
      </c>
      <c r="C226" t="inlineStr">
        <is>
          <t>Agriculture</t>
        </is>
      </c>
      <c r="D226" t="n">
        <v>2019</v>
      </c>
      <c r="E226" t="n">
        <v>17093195.39</v>
      </c>
      <c r="F226" t="n">
        <v>105301878.89</v>
      </c>
      <c r="G226" t="inlineStr"/>
      <c r="H226" t="n">
        <v>1434.1827</v>
      </c>
      <c r="I226" t="n">
        <v>2042.6944</v>
      </c>
      <c r="J226" t="n">
        <v>9284.7302</v>
      </c>
      <c r="K226" t="n">
        <v>2018</v>
      </c>
      <c r="L226" t="n">
        <v>2040</v>
      </c>
      <c r="M226" t="n">
        <v>0.339</v>
      </c>
      <c r="N226" t="n">
        <v>0.1496</v>
      </c>
      <c r="O226" t="n">
        <v>2018</v>
      </c>
      <c r="P226" t="inlineStr"/>
      <c r="Q226" t="inlineStr"/>
      <c r="R226" t="n">
        <v>529.8294</v>
      </c>
      <c r="S226" t="n">
        <v>0.00091413</v>
      </c>
      <c r="T226" t="n">
        <v>0.00096913</v>
      </c>
      <c r="U226" t="n">
        <v>12761.6073</v>
      </c>
      <c r="V226" t="inlineStr">
        <is>
          <t>Scope 1 + Scope 2 + Scope 3</t>
        </is>
      </c>
      <c r="W226" t="b">
        <v>1</v>
      </c>
      <c r="X226" t="inlineStr">
        <is>
          <t>High</t>
        </is>
      </c>
      <c r="Y226" t="inlineStr">
        <is>
          <t>Reported_Emissions</t>
        </is>
      </c>
      <c r="Z226" t="n">
        <v>0.88</v>
      </c>
      <c r="AA226" t="inlineStr">
        <is>
          <t>Valid</t>
        </is>
      </c>
    </row>
    <row r="227">
      <c r="A227" t="inlineStr">
        <is>
          <t>SUP-0023</t>
        </is>
      </c>
      <c r="B227" t="inlineStr">
        <is>
          <t>Agriculture Supplier 023</t>
        </is>
      </c>
      <c r="C227" t="inlineStr">
        <is>
          <t>Agriculture</t>
        </is>
      </c>
      <c r="D227" t="n">
        <v>2020</v>
      </c>
      <c r="E227" t="n">
        <v>16911631.37</v>
      </c>
      <c r="F227" t="n">
        <v>108433302.93</v>
      </c>
      <c r="G227" t="n">
        <v>13507.0419</v>
      </c>
      <c r="H227" t="n">
        <v>2819.9292</v>
      </c>
      <c r="I227" t="n">
        <v>1344.9709</v>
      </c>
      <c r="J227" t="inlineStr"/>
      <c r="K227" t="n">
        <v>2018</v>
      </c>
      <c r="L227" t="n">
        <v>2040</v>
      </c>
      <c r="M227" t="n">
        <v>0.339</v>
      </c>
      <c r="N227" t="n">
        <v>0.1496</v>
      </c>
      <c r="O227" t="n">
        <v>2018</v>
      </c>
      <c r="P227" t="inlineStr"/>
      <c r="Q227" t="inlineStr"/>
      <c r="R227" t="n">
        <v>529.8294</v>
      </c>
      <c r="S227" t="n">
        <v>0.00091413</v>
      </c>
      <c r="T227" t="n">
        <v>0.00096913</v>
      </c>
      <c r="U227" t="n">
        <v>13507.0419</v>
      </c>
      <c r="V227" t="inlineStr">
        <is>
          <t>Supplier Reported Emissions</t>
        </is>
      </c>
      <c r="W227" t="b">
        <v>0</v>
      </c>
      <c r="X227" t="inlineStr">
        <is>
          <t>High</t>
        </is>
      </c>
      <c r="Y227" t="inlineStr">
        <is>
          <t>Scope_Emissions</t>
        </is>
      </c>
      <c r="Z227" t="n">
        <v>0.95</v>
      </c>
      <c r="AA227" t="inlineStr">
        <is>
          <t>Valid</t>
        </is>
      </c>
    </row>
    <row r="228">
      <c r="A228" t="inlineStr">
        <is>
          <t>SUP-0023</t>
        </is>
      </c>
      <c r="B228" t="inlineStr">
        <is>
          <t>Agriculture Supplier 023</t>
        </is>
      </c>
      <c r="C228" t="inlineStr">
        <is>
          <t>Agriculture</t>
        </is>
      </c>
      <c r="D228" t="n">
        <v>2021</v>
      </c>
      <c r="E228" t="n">
        <v>18261707.26</v>
      </c>
      <c r="F228" t="n">
        <v>126819186.52</v>
      </c>
      <c r="G228" t="inlineStr"/>
      <c r="H228" t="n">
        <v>2755.9205</v>
      </c>
      <c r="I228" t="inlineStr"/>
      <c r="J228" t="n">
        <v>8280.6324</v>
      </c>
      <c r="K228" t="n">
        <v>2018</v>
      </c>
      <c r="L228" t="n">
        <v>2040</v>
      </c>
      <c r="M228" t="n">
        <v>0.339</v>
      </c>
      <c r="N228" t="n">
        <v>0.1496</v>
      </c>
      <c r="O228" t="n">
        <v>2018</v>
      </c>
      <c r="P228" t="inlineStr"/>
      <c r="Q228" t="inlineStr"/>
      <c r="R228" t="n">
        <v>529.8294</v>
      </c>
      <c r="S228" t="n">
        <v>0.00091413</v>
      </c>
      <c r="T228" t="n">
        <v>0.00096913</v>
      </c>
      <c r="U228" t="n">
        <v>16693.5745</v>
      </c>
      <c r="V228" t="inlineStr">
        <is>
          <t>Spend-Based Estimate</t>
        </is>
      </c>
      <c r="W228" t="b">
        <v>1</v>
      </c>
      <c r="X228" t="inlineStr">
        <is>
          <t>Medium</t>
        </is>
      </c>
      <c r="Y228" t="inlineStr">
        <is>
          <t>Reported_Emissions; Scope_Emissions</t>
        </is>
      </c>
      <c r="Z228" t="n">
        <v>0.7</v>
      </c>
      <c r="AA228" t="inlineStr">
        <is>
          <t>Valid</t>
        </is>
      </c>
    </row>
    <row r="229">
      <c r="A229" t="inlineStr">
        <is>
          <t>SUP-0023</t>
        </is>
      </c>
      <c r="B229" t="inlineStr">
        <is>
          <t>Agriculture Supplier 023</t>
        </is>
      </c>
      <c r="C229" t="inlineStr">
        <is>
          <t>Agriculture</t>
        </is>
      </c>
      <c r="D229" t="n">
        <v>2022</v>
      </c>
      <c r="E229" t="n">
        <v>19527985.15</v>
      </c>
      <c r="F229" t="n">
        <v>121809554.97</v>
      </c>
      <c r="G229" t="inlineStr"/>
      <c r="H229" t="n">
        <v>1679.702</v>
      </c>
      <c r="I229" t="inlineStr"/>
      <c r="J229" t="n">
        <v>9658.904500000001</v>
      </c>
      <c r="K229" t="n">
        <v>2018</v>
      </c>
      <c r="L229" t="n">
        <v>2040</v>
      </c>
      <c r="M229" t="n">
        <v>0.339</v>
      </c>
      <c r="N229" t="n">
        <v>0.1496</v>
      </c>
      <c r="O229" t="n">
        <v>2018</v>
      </c>
      <c r="P229" t="inlineStr"/>
      <c r="Q229" t="inlineStr"/>
      <c r="R229" t="n">
        <v>529.8294</v>
      </c>
      <c r="S229" t="n">
        <v>0.00091413</v>
      </c>
      <c r="T229" t="n">
        <v>0.00096913</v>
      </c>
      <c r="U229" t="n">
        <v>17851.1171</v>
      </c>
      <c r="V229" t="inlineStr">
        <is>
          <t>Spend-Based Estimate</t>
        </is>
      </c>
      <c r="W229" t="b">
        <v>1</v>
      </c>
      <c r="X229" t="inlineStr">
        <is>
          <t>Medium</t>
        </is>
      </c>
      <c r="Y229" t="inlineStr">
        <is>
          <t>Reported_Emissions; Scope_Emissions</t>
        </is>
      </c>
      <c r="Z229" t="n">
        <v>0.7</v>
      </c>
      <c r="AA229" t="inlineStr">
        <is>
          <t>Valid</t>
        </is>
      </c>
    </row>
    <row r="230">
      <c r="A230" t="inlineStr">
        <is>
          <t>SUP-0023</t>
        </is>
      </c>
      <c r="B230" t="inlineStr">
        <is>
          <t>Agriculture Supplier 023</t>
        </is>
      </c>
      <c r="C230" t="inlineStr">
        <is>
          <t>Agriculture</t>
        </is>
      </c>
      <c r="D230" t="n">
        <v>2023</v>
      </c>
      <c r="E230" t="n">
        <v>23698752.19</v>
      </c>
      <c r="F230" t="n">
        <v>87043400.03</v>
      </c>
      <c r="G230" t="n">
        <v>16796.853</v>
      </c>
      <c r="H230" t="inlineStr"/>
      <c r="I230" t="n">
        <v>1810.4542</v>
      </c>
      <c r="J230" t="n">
        <v>12658.6527</v>
      </c>
      <c r="K230" t="n">
        <v>2018</v>
      </c>
      <c r="L230" t="n">
        <v>2040</v>
      </c>
      <c r="M230" t="n">
        <v>0.339</v>
      </c>
      <c r="N230" t="n">
        <v>0.1496</v>
      </c>
      <c r="O230" t="n">
        <v>2018</v>
      </c>
      <c r="P230" t="inlineStr"/>
      <c r="Q230" t="inlineStr"/>
      <c r="R230" t="n">
        <v>529.8294</v>
      </c>
      <c r="S230" t="n">
        <v>0.00091413</v>
      </c>
      <c r="T230" t="n">
        <v>0.00096913</v>
      </c>
      <c r="U230" t="n">
        <v>16796.853</v>
      </c>
      <c r="V230" t="inlineStr">
        <is>
          <t>Supplier Reported Emissions</t>
        </is>
      </c>
      <c r="W230" t="b">
        <v>0</v>
      </c>
      <c r="X230" t="inlineStr">
        <is>
          <t>High</t>
        </is>
      </c>
      <c r="Y230" t="inlineStr">
        <is>
          <t>Scope_Emissions</t>
        </is>
      </c>
      <c r="Z230" t="n">
        <v>0.95</v>
      </c>
      <c r="AA230" t="inlineStr">
        <is>
          <t>Valid</t>
        </is>
      </c>
    </row>
    <row r="231">
      <c r="A231" t="inlineStr">
        <is>
          <t>SUP-0023</t>
        </is>
      </c>
      <c r="B231" t="inlineStr">
        <is>
          <t>Agriculture Supplier 023</t>
        </is>
      </c>
      <c r="C231" t="inlineStr">
        <is>
          <t>Agriculture</t>
        </is>
      </c>
      <c r="D231" t="n">
        <v>2024</v>
      </c>
      <c r="E231" t="n">
        <v>20252911.75</v>
      </c>
      <c r="F231" t="n">
        <v>109441448.01</v>
      </c>
      <c r="G231" t="n">
        <v>11517.2867</v>
      </c>
      <c r="H231" t="n">
        <v>2459.652</v>
      </c>
      <c r="I231" t="n">
        <v>1739.9117</v>
      </c>
      <c r="J231" t="n">
        <v>7388.5997</v>
      </c>
      <c r="K231" t="n">
        <v>2018</v>
      </c>
      <c r="L231" t="n">
        <v>2040</v>
      </c>
      <c r="M231" t="n">
        <v>0.339</v>
      </c>
      <c r="N231" t="n">
        <v>0.1496</v>
      </c>
      <c r="O231" t="n">
        <v>2018</v>
      </c>
      <c r="P231" t="inlineStr"/>
      <c r="Q231" t="inlineStr"/>
      <c r="R231" t="n">
        <v>529.8294</v>
      </c>
      <c r="S231" t="n">
        <v>0.00091413</v>
      </c>
      <c r="T231" t="n">
        <v>0.00096913</v>
      </c>
      <c r="U231" t="n">
        <v>11517.2867</v>
      </c>
      <c r="V231" t="inlineStr">
        <is>
          <t>Supplier Reported Emissions</t>
        </is>
      </c>
      <c r="W231" t="b">
        <v>0</v>
      </c>
      <c r="X231" t="inlineStr">
        <is>
          <t>High</t>
        </is>
      </c>
      <c r="Y231" t="inlineStr">
        <is>
          <t>None</t>
        </is>
      </c>
      <c r="Z231" t="n">
        <v>0.95</v>
      </c>
      <c r="AA231" t="inlineStr">
        <is>
          <t>Valid</t>
        </is>
      </c>
    </row>
    <row r="232">
      <c r="A232" t="inlineStr">
        <is>
          <t>SUP-0024</t>
        </is>
      </c>
      <c r="B232" t="inlineStr">
        <is>
          <t>Agriculture Supplier 024</t>
        </is>
      </c>
      <c r="C232" t="inlineStr">
        <is>
          <t>Agriculture</t>
        </is>
      </c>
      <c r="D232" t="n">
        <v>2015</v>
      </c>
      <c r="E232" t="n">
        <v>3853956.25</v>
      </c>
      <c r="F232" t="n">
        <v>8968367.779999999</v>
      </c>
      <c r="G232" t="n">
        <v>4114.647</v>
      </c>
      <c r="H232" t="n">
        <v>780.7219</v>
      </c>
      <c r="I232" t="n">
        <v>782.8042</v>
      </c>
      <c r="J232" t="n">
        <v>3038.4054</v>
      </c>
      <c r="K232" t="inlineStr"/>
      <c r="L232" t="inlineStr"/>
      <c r="M232" t="inlineStr"/>
      <c r="N232" t="inlineStr"/>
      <c r="O232" t="n">
        <v>2018</v>
      </c>
      <c r="P232" t="inlineStr"/>
      <c r="Q232" t="inlineStr"/>
      <c r="R232" t="n">
        <v>529.8294</v>
      </c>
      <c r="S232" t="n">
        <v>0.00091413</v>
      </c>
      <c r="T232" t="n">
        <v>0.00096913</v>
      </c>
      <c r="U232" t="n">
        <v>4114.647</v>
      </c>
      <c r="V232" t="inlineStr">
        <is>
          <t>Supplier Reported Emissions</t>
        </is>
      </c>
      <c r="W232" t="b">
        <v>0</v>
      </c>
      <c r="X232" t="inlineStr">
        <is>
          <t>High</t>
        </is>
      </c>
      <c r="Y232" t="inlineStr">
        <is>
          <t>None</t>
        </is>
      </c>
      <c r="Z232" t="n">
        <v>0.95</v>
      </c>
      <c r="AA232" t="inlineStr">
        <is>
          <t>Valid</t>
        </is>
      </c>
    </row>
    <row r="233">
      <c r="A233" t="inlineStr">
        <is>
          <t>SUP-0024</t>
        </is>
      </c>
      <c r="B233" t="inlineStr">
        <is>
          <t>Agriculture Supplier 024</t>
        </is>
      </c>
      <c r="C233" t="inlineStr">
        <is>
          <t>Agriculture</t>
        </is>
      </c>
      <c r="D233" t="n">
        <v>2016</v>
      </c>
      <c r="E233" t="inlineStr"/>
      <c r="F233" t="n">
        <v>10750014.88</v>
      </c>
      <c r="G233" t="n">
        <v>4318.1461</v>
      </c>
      <c r="H233" t="n">
        <v>722.7223</v>
      </c>
      <c r="I233" t="n">
        <v>843.9751</v>
      </c>
      <c r="J233" t="n">
        <v>2556.3446</v>
      </c>
      <c r="K233" t="inlineStr"/>
      <c r="L233" t="inlineStr"/>
      <c r="M233" t="inlineStr"/>
      <c r="N233" t="inlineStr"/>
      <c r="O233" t="n">
        <v>2018</v>
      </c>
      <c r="P233" t="inlineStr"/>
      <c r="Q233" t="inlineStr"/>
      <c r="R233" t="n">
        <v>529.8294</v>
      </c>
      <c r="S233" t="n">
        <v>0.00091413</v>
      </c>
      <c r="T233" t="n">
        <v>0.00096913</v>
      </c>
      <c r="U233" t="n">
        <v>4318.1461</v>
      </c>
      <c r="V233" t="inlineStr">
        <is>
          <t>Supplier Reported Emissions</t>
        </is>
      </c>
      <c r="W233" t="b">
        <v>0</v>
      </c>
      <c r="X233" t="inlineStr">
        <is>
          <t>High</t>
        </is>
      </c>
      <c r="Y233" t="inlineStr">
        <is>
          <t>Gross_Spend</t>
        </is>
      </c>
      <c r="Z233" t="n">
        <v>0.95</v>
      </c>
      <c r="AA233" t="inlineStr">
        <is>
          <t>Valid</t>
        </is>
      </c>
    </row>
    <row r="234">
      <c r="A234" t="inlineStr">
        <is>
          <t>SUP-0024</t>
        </is>
      </c>
      <c r="B234" t="inlineStr">
        <is>
          <t>Agriculture Supplier 024</t>
        </is>
      </c>
      <c r="C234" t="inlineStr">
        <is>
          <t>Agriculture</t>
        </is>
      </c>
      <c r="D234" t="n">
        <v>2017</v>
      </c>
      <c r="E234" t="n">
        <v>4167308.82</v>
      </c>
      <c r="F234" t="n">
        <v>10472391.09</v>
      </c>
      <c r="G234" t="n">
        <v>4228.7951</v>
      </c>
      <c r="H234" t="inlineStr"/>
      <c r="I234" t="inlineStr"/>
      <c r="J234" t="n">
        <v>3080.8498</v>
      </c>
      <c r="K234" t="inlineStr"/>
      <c r="L234" t="inlineStr"/>
      <c r="M234" t="inlineStr"/>
      <c r="N234" t="inlineStr"/>
      <c r="O234" t="n">
        <v>2018</v>
      </c>
      <c r="P234" t="inlineStr"/>
      <c r="Q234" t="inlineStr"/>
      <c r="R234" t="n">
        <v>529.8294</v>
      </c>
      <c r="S234" t="n">
        <v>0.00091413</v>
      </c>
      <c r="T234" t="n">
        <v>0.00096913</v>
      </c>
      <c r="U234" t="n">
        <v>4228.7951</v>
      </c>
      <c r="V234" t="inlineStr">
        <is>
          <t>Supplier Reported Emissions</t>
        </is>
      </c>
      <c r="W234" t="b">
        <v>0</v>
      </c>
      <c r="X234" t="inlineStr">
        <is>
          <t>High</t>
        </is>
      </c>
      <c r="Y234" t="inlineStr">
        <is>
          <t>Scope_Emissions</t>
        </is>
      </c>
      <c r="Z234" t="n">
        <v>0.95</v>
      </c>
      <c r="AA234" t="inlineStr">
        <is>
          <t>Valid</t>
        </is>
      </c>
    </row>
    <row r="235">
      <c r="A235" t="inlineStr">
        <is>
          <t>SUP-0024</t>
        </is>
      </c>
      <c r="B235" t="inlineStr">
        <is>
          <t>Agriculture Supplier 024</t>
        </is>
      </c>
      <c r="C235" t="inlineStr">
        <is>
          <t>Agriculture</t>
        </is>
      </c>
      <c r="D235" t="n">
        <v>2018</v>
      </c>
      <c r="E235" t="n">
        <v>4699810.85</v>
      </c>
      <c r="F235" t="n">
        <v>13270039.62</v>
      </c>
      <c r="G235" t="inlineStr"/>
      <c r="H235" t="n">
        <v>1253.3716</v>
      </c>
      <c r="I235" t="n">
        <v>1035.4165</v>
      </c>
      <c r="J235" t="n">
        <v>2812.9499</v>
      </c>
      <c r="K235" t="inlineStr"/>
      <c r="L235" t="inlineStr"/>
      <c r="M235" t="inlineStr"/>
      <c r="N235" t="inlineStr"/>
      <c r="O235" t="n">
        <v>2018</v>
      </c>
      <c r="P235" t="inlineStr"/>
      <c r="Q235" t="inlineStr"/>
      <c r="R235" t="n">
        <v>529.8294</v>
      </c>
      <c r="S235" t="n">
        <v>0.00091413</v>
      </c>
      <c r="T235" t="n">
        <v>0.00096913</v>
      </c>
      <c r="U235" t="n">
        <v>5101.738</v>
      </c>
      <c r="V235" t="inlineStr">
        <is>
          <t>Scope 1 + Scope 2 + Scope 3</t>
        </is>
      </c>
      <c r="W235" t="b">
        <v>1</v>
      </c>
      <c r="X235" t="inlineStr">
        <is>
          <t>High</t>
        </is>
      </c>
      <c r="Y235" t="inlineStr">
        <is>
          <t>Reported_Emissions</t>
        </is>
      </c>
      <c r="Z235" t="n">
        <v>0.88</v>
      </c>
      <c r="AA235" t="inlineStr">
        <is>
          <t>Valid</t>
        </is>
      </c>
    </row>
    <row r="236">
      <c r="A236" t="inlineStr">
        <is>
          <t>SUP-0024</t>
        </is>
      </c>
      <c r="B236" t="inlineStr">
        <is>
          <t>Agriculture Supplier 024</t>
        </is>
      </c>
      <c r="C236" t="inlineStr">
        <is>
          <t>Agriculture</t>
        </is>
      </c>
      <c r="D236" t="n">
        <v>2019</v>
      </c>
      <c r="E236" t="n">
        <v>4771298.64</v>
      </c>
      <c r="F236" t="inlineStr"/>
      <c r="G236" t="inlineStr"/>
      <c r="H236" t="n">
        <v>794.6042</v>
      </c>
      <c r="I236" t="n">
        <v>364.798</v>
      </c>
      <c r="J236" t="n">
        <v>3920.1967</v>
      </c>
      <c r="K236" t="inlineStr"/>
      <c r="L236" t="inlineStr"/>
      <c r="M236" t="inlineStr"/>
      <c r="N236" t="inlineStr"/>
      <c r="O236" t="n">
        <v>2018</v>
      </c>
      <c r="P236" t="inlineStr"/>
      <c r="Q236" t="inlineStr"/>
      <c r="R236" t="n">
        <v>529.8294</v>
      </c>
      <c r="S236" t="n">
        <v>0.00091413</v>
      </c>
      <c r="T236" t="n">
        <v>0.00096913</v>
      </c>
      <c r="U236" t="n">
        <v>5079.5989</v>
      </c>
      <c r="V236" t="inlineStr">
        <is>
          <t>Scope 1 + Scope 2 + Scope 3</t>
        </is>
      </c>
      <c r="W236" t="b">
        <v>1</v>
      </c>
      <c r="X236" t="inlineStr">
        <is>
          <t>High</t>
        </is>
      </c>
      <c r="Y236" t="inlineStr">
        <is>
          <t>Reported_Emissions; Revenue</t>
        </is>
      </c>
      <c r="Z236" t="n">
        <v>0.88</v>
      </c>
      <c r="AA236" t="inlineStr">
        <is>
          <t>Valid</t>
        </is>
      </c>
    </row>
    <row r="237">
      <c r="A237" t="inlineStr">
        <is>
          <t>SUP-0024</t>
        </is>
      </c>
      <c r="B237" t="inlineStr">
        <is>
          <t>Agriculture Supplier 024</t>
        </is>
      </c>
      <c r="C237" t="inlineStr">
        <is>
          <t>Agriculture</t>
        </is>
      </c>
      <c r="D237" t="n">
        <v>2020</v>
      </c>
      <c r="E237" t="n">
        <v>5998487.82</v>
      </c>
      <c r="F237" t="n">
        <v>16822043.5</v>
      </c>
      <c r="G237" t="inlineStr"/>
      <c r="H237" t="n">
        <v>1383.3639</v>
      </c>
      <c r="I237" t="n">
        <v>1165.8678</v>
      </c>
      <c r="J237" t="inlineStr"/>
      <c r="K237" t="inlineStr"/>
      <c r="L237" t="inlineStr"/>
      <c r="M237" t="inlineStr"/>
      <c r="N237" t="inlineStr"/>
      <c r="O237" t="n">
        <v>2018</v>
      </c>
      <c r="P237" t="inlineStr"/>
      <c r="Q237" t="inlineStr"/>
      <c r="R237" t="n">
        <v>529.8294</v>
      </c>
      <c r="S237" t="n">
        <v>0.00091413</v>
      </c>
      <c r="T237" t="n">
        <v>0.00096913</v>
      </c>
      <c r="U237" t="n">
        <v>5483.3977</v>
      </c>
      <c r="V237" t="inlineStr">
        <is>
          <t>Spend-Based Estimate</t>
        </is>
      </c>
      <c r="W237" t="b">
        <v>1</v>
      </c>
      <c r="X237" t="inlineStr">
        <is>
          <t>Medium</t>
        </is>
      </c>
      <c r="Y237" t="inlineStr">
        <is>
          <t>Reported_Emissions; Scope_Emissions</t>
        </is>
      </c>
      <c r="Z237" t="n">
        <v>0.7</v>
      </c>
      <c r="AA237" t="inlineStr">
        <is>
          <t>Valid</t>
        </is>
      </c>
    </row>
    <row r="238">
      <c r="A238" t="inlineStr">
        <is>
          <t>SUP-0024</t>
        </is>
      </c>
      <c r="B238" t="inlineStr">
        <is>
          <t>Agriculture Supplier 024</t>
        </is>
      </c>
      <c r="C238" t="inlineStr">
        <is>
          <t>Agriculture</t>
        </is>
      </c>
      <c r="D238" t="n">
        <v>2021</v>
      </c>
      <c r="E238" t="n">
        <v>6200496.29</v>
      </c>
      <c r="F238" t="n">
        <v>19049887.78</v>
      </c>
      <c r="G238" t="inlineStr"/>
      <c r="H238" t="n">
        <v>1883.6219</v>
      </c>
      <c r="I238" t="inlineStr"/>
      <c r="J238" t="n">
        <v>4571.1268</v>
      </c>
      <c r="K238" t="inlineStr"/>
      <c r="L238" t="inlineStr"/>
      <c r="M238" t="inlineStr"/>
      <c r="N238" t="inlineStr"/>
      <c r="O238" t="n">
        <v>2018</v>
      </c>
      <c r="P238" t="inlineStr"/>
      <c r="Q238" t="inlineStr"/>
      <c r="R238" t="n">
        <v>529.8294</v>
      </c>
      <c r="S238" t="n">
        <v>0.00091413</v>
      </c>
      <c r="T238" t="n">
        <v>0.00096913</v>
      </c>
      <c r="U238" t="n">
        <v>5668.0597</v>
      </c>
      <c r="V238" t="inlineStr">
        <is>
          <t>Spend-Based Estimate</t>
        </is>
      </c>
      <c r="W238" t="b">
        <v>1</v>
      </c>
      <c r="X238" t="inlineStr">
        <is>
          <t>Medium</t>
        </is>
      </c>
      <c r="Y238" t="inlineStr">
        <is>
          <t>Reported_Emissions; Scope_Emissions</t>
        </is>
      </c>
      <c r="Z238" t="n">
        <v>0.7</v>
      </c>
      <c r="AA238" t="inlineStr">
        <is>
          <t>Valid</t>
        </is>
      </c>
    </row>
    <row r="239">
      <c r="A239" t="inlineStr">
        <is>
          <t>SUP-0024</t>
        </is>
      </c>
      <c r="B239" t="inlineStr">
        <is>
          <t>Agriculture Supplier 024</t>
        </is>
      </c>
      <c r="C239" t="inlineStr">
        <is>
          <t>Agriculture</t>
        </is>
      </c>
      <c r="D239" t="n">
        <v>2022</v>
      </c>
      <c r="E239" t="n">
        <v>7324330.64</v>
      </c>
      <c r="F239" t="n">
        <v>19004972.68</v>
      </c>
      <c r="G239" t="inlineStr"/>
      <c r="H239" t="n">
        <v>1986.5535</v>
      </c>
      <c r="I239" t="n">
        <v>1207.4843</v>
      </c>
      <c r="J239" t="n">
        <v>4559.3399</v>
      </c>
      <c r="K239" t="inlineStr"/>
      <c r="L239" t="inlineStr"/>
      <c r="M239" t="inlineStr"/>
      <c r="N239" t="inlineStr"/>
      <c r="O239" t="n">
        <v>2018</v>
      </c>
      <c r="P239" t="inlineStr"/>
      <c r="Q239" t="inlineStr"/>
      <c r="R239" t="n">
        <v>529.8294</v>
      </c>
      <c r="S239" t="n">
        <v>0.00091413</v>
      </c>
      <c r="T239" t="n">
        <v>0.00096913</v>
      </c>
      <c r="U239" t="n">
        <v>7753.3777</v>
      </c>
      <c r="V239" t="inlineStr">
        <is>
          <t>Scope 1 + Scope 2 + Scope 3</t>
        </is>
      </c>
      <c r="W239" t="b">
        <v>1</v>
      </c>
      <c r="X239" t="inlineStr">
        <is>
          <t>High</t>
        </is>
      </c>
      <c r="Y239" t="inlineStr">
        <is>
          <t>Reported_Emissions</t>
        </is>
      </c>
      <c r="Z239" t="n">
        <v>0.88</v>
      </c>
      <c r="AA239" t="inlineStr">
        <is>
          <t>Valid</t>
        </is>
      </c>
    </row>
    <row r="240">
      <c r="A240" t="inlineStr">
        <is>
          <t>SUP-0024</t>
        </is>
      </c>
      <c r="B240" t="inlineStr">
        <is>
          <t>Agriculture Supplier 024</t>
        </is>
      </c>
      <c r="C240" t="inlineStr">
        <is>
          <t>Agriculture</t>
        </is>
      </c>
      <c r="D240" t="n">
        <v>2023</v>
      </c>
      <c r="E240" t="n">
        <v>6885783.45</v>
      </c>
      <c r="F240" t="n">
        <v>18538965.73</v>
      </c>
      <c r="G240" t="n">
        <v>5433.1843</v>
      </c>
      <c r="H240" t="n">
        <v>1058.0686</v>
      </c>
      <c r="I240" t="n">
        <v>935.0655</v>
      </c>
      <c r="J240" t="n">
        <v>3124.6689</v>
      </c>
      <c r="K240" t="inlineStr"/>
      <c r="L240" t="inlineStr"/>
      <c r="M240" t="inlineStr"/>
      <c r="N240" t="inlineStr"/>
      <c r="O240" t="n">
        <v>2018</v>
      </c>
      <c r="P240" t="inlineStr"/>
      <c r="Q240" t="inlineStr"/>
      <c r="R240" t="n">
        <v>529.8294</v>
      </c>
      <c r="S240" t="n">
        <v>0.00091413</v>
      </c>
      <c r="T240" t="n">
        <v>0.00096913</v>
      </c>
      <c r="U240" t="n">
        <v>5433.1843</v>
      </c>
      <c r="V240" t="inlineStr">
        <is>
          <t>Supplier Reported Emissions</t>
        </is>
      </c>
      <c r="W240" t="b">
        <v>0</v>
      </c>
      <c r="X240" t="inlineStr">
        <is>
          <t>High</t>
        </is>
      </c>
      <c r="Y240" t="inlineStr">
        <is>
          <t>None</t>
        </is>
      </c>
      <c r="Z240" t="n">
        <v>0.95</v>
      </c>
      <c r="AA240" t="inlineStr">
        <is>
          <t>Valid</t>
        </is>
      </c>
    </row>
    <row r="241">
      <c r="A241" t="inlineStr">
        <is>
          <t>SUP-0024</t>
        </is>
      </c>
      <c r="B241" t="inlineStr">
        <is>
          <t>Agriculture Supplier 024</t>
        </is>
      </c>
      <c r="C241" t="inlineStr">
        <is>
          <t>Agriculture</t>
        </is>
      </c>
      <c r="D241" t="n">
        <v>2024</v>
      </c>
      <c r="E241" t="n">
        <v>8310024.54</v>
      </c>
      <c r="F241" t="n">
        <v>22134447.97</v>
      </c>
      <c r="G241" t="n">
        <v>7216.6437</v>
      </c>
      <c r="H241" t="n">
        <v>1449.3491</v>
      </c>
      <c r="I241" t="n">
        <v>729.1111</v>
      </c>
      <c r="J241" t="inlineStr"/>
      <c r="K241" t="inlineStr"/>
      <c r="L241" t="inlineStr"/>
      <c r="M241" t="inlineStr"/>
      <c r="N241" t="inlineStr"/>
      <c r="O241" t="n">
        <v>2018</v>
      </c>
      <c r="P241" t="inlineStr"/>
      <c r="Q241" t="inlineStr"/>
      <c r="R241" t="n">
        <v>529.8294</v>
      </c>
      <c r="S241" t="n">
        <v>0.00091413</v>
      </c>
      <c r="T241" t="n">
        <v>0.00096913</v>
      </c>
      <c r="U241" t="n">
        <v>7216.6437</v>
      </c>
      <c r="V241" t="inlineStr">
        <is>
          <t>Supplier Reported Emissions</t>
        </is>
      </c>
      <c r="W241" t="b">
        <v>0</v>
      </c>
      <c r="X241" t="inlineStr">
        <is>
          <t>High</t>
        </is>
      </c>
      <c r="Y241" t="inlineStr">
        <is>
          <t>Scope_Emissions</t>
        </is>
      </c>
      <c r="Z241" t="n">
        <v>0.95</v>
      </c>
      <c r="AA241" t="inlineStr">
        <is>
          <t>Valid</t>
        </is>
      </c>
    </row>
    <row r="242">
      <c r="A242" t="inlineStr">
        <is>
          <t>SUP-0025</t>
        </is>
      </c>
      <c r="B242" t="inlineStr">
        <is>
          <t>Metals Supplier 025</t>
        </is>
      </c>
      <c r="C242" t="inlineStr">
        <is>
          <t>Metals</t>
        </is>
      </c>
      <c r="D242" t="n">
        <v>2015</v>
      </c>
      <c r="E242" t="n">
        <v>12081559.65</v>
      </c>
      <c r="F242" t="n">
        <v>39596710.46</v>
      </c>
      <c r="G242" t="n">
        <v>12251.3573</v>
      </c>
      <c r="H242" t="n">
        <v>1556.8843</v>
      </c>
      <c r="I242" t="n">
        <v>749.8706</v>
      </c>
      <c r="J242" t="n">
        <v>10602.5681</v>
      </c>
      <c r="K242" t="n">
        <v>2020</v>
      </c>
      <c r="L242" t="n">
        <v>2030</v>
      </c>
      <c r="M242" t="n">
        <v>0.3833</v>
      </c>
      <c r="N242" t="n">
        <v>0.1962</v>
      </c>
      <c r="O242" t="n">
        <v>2019</v>
      </c>
      <c r="P242" t="n">
        <v>2030</v>
      </c>
      <c r="Q242" t="n">
        <v>0.3852</v>
      </c>
      <c r="R242" t="n">
        <v>158.2904</v>
      </c>
      <c r="S242" t="n">
        <v>0.00100695</v>
      </c>
      <c r="T242" t="n">
        <v>0.00065008</v>
      </c>
      <c r="U242" t="n">
        <v>12251.3573</v>
      </c>
      <c r="V242" t="inlineStr">
        <is>
          <t>Supplier Reported Emissions</t>
        </is>
      </c>
      <c r="W242" t="b">
        <v>0</v>
      </c>
      <c r="X242" t="inlineStr">
        <is>
          <t>High</t>
        </is>
      </c>
      <c r="Y242" t="inlineStr">
        <is>
          <t>None</t>
        </is>
      </c>
      <c r="Z242" t="n">
        <v>0.95</v>
      </c>
      <c r="AA242" t="inlineStr">
        <is>
          <t>Valid</t>
        </is>
      </c>
    </row>
    <row r="243">
      <c r="A243" t="inlineStr">
        <is>
          <t>SUP-0025</t>
        </is>
      </c>
      <c r="B243" t="inlineStr">
        <is>
          <t>Metals Supplier 025</t>
        </is>
      </c>
      <c r="C243" t="inlineStr">
        <is>
          <t>Metals</t>
        </is>
      </c>
      <c r="D243" t="n">
        <v>2016</v>
      </c>
      <c r="E243" t="n">
        <v>9258040.210000001</v>
      </c>
      <c r="F243" t="n">
        <v>45564422.83</v>
      </c>
      <c r="G243" t="inlineStr"/>
      <c r="H243" t="n">
        <v>822.0328</v>
      </c>
      <c r="I243" t="n">
        <v>1230.0281</v>
      </c>
      <c r="J243" t="n">
        <v>6240.3834</v>
      </c>
      <c r="K243" t="n">
        <v>2020</v>
      </c>
      <c r="L243" t="n">
        <v>2030</v>
      </c>
      <c r="M243" t="n">
        <v>0.3833</v>
      </c>
      <c r="N243" t="n">
        <v>0.1962</v>
      </c>
      <c r="O243" t="n">
        <v>2019</v>
      </c>
      <c r="P243" t="n">
        <v>2030</v>
      </c>
      <c r="Q243" t="n">
        <v>0.3852</v>
      </c>
      <c r="R243" t="n">
        <v>158.2904</v>
      </c>
      <c r="S243" t="n">
        <v>0.00100695</v>
      </c>
      <c r="T243" t="n">
        <v>0.00065008</v>
      </c>
      <c r="U243" t="n">
        <v>8292.444299999999</v>
      </c>
      <c r="V243" t="inlineStr">
        <is>
          <t>Scope 1 + Scope 2 + Scope 3</t>
        </is>
      </c>
      <c r="W243" t="b">
        <v>1</v>
      </c>
      <c r="X243" t="inlineStr">
        <is>
          <t>High</t>
        </is>
      </c>
      <c r="Y243" t="inlineStr">
        <is>
          <t>Reported_Emissions</t>
        </is>
      </c>
      <c r="Z243" t="n">
        <v>0.88</v>
      </c>
      <c r="AA243" t="inlineStr">
        <is>
          <t>Valid</t>
        </is>
      </c>
    </row>
    <row r="244">
      <c r="A244" t="inlineStr">
        <is>
          <t>SUP-0025</t>
        </is>
      </c>
      <c r="B244" t="inlineStr">
        <is>
          <t>Metals Supplier 025</t>
        </is>
      </c>
      <c r="C244" t="inlineStr">
        <is>
          <t>Metals</t>
        </is>
      </c>
      <c r="D244" t="n">
        <v>2017</v>
      </c>
      <c r="E244" t="n">
        <v>13003104.02</v>
      </c>
      <c r="F244" t="n">
        <v>39108368.4</v>
      </c>
      <c r="G244" t="n">
        <v>12247.8444</v>
      </c>
      <c r="H244" t="n">
        <v>1632.7329</v>
      </c>
      <c r="I244" t="inlineStr"/>
      <c r="J244" t="n">
        <v>8381.2199</v>
      </c>
      <c r="K244" t="n">
        <v>2020</v>
      </c>
      <c r="L244" t="n">
        <v>2030</v>
      </c>
      <c r="M244" t="n">
        <v>0.3833</v>
      </c>
      <c r="N244" t="n">
        <v>0.1962</v>
      </c>
      <c r="O244" t="n">
        <v>2019</v>
      </c>
      <c r="P244" t="n">
        <v>2030</v>
      </c>
      <c r="Q244" t="n">
        <v>0.3852</v>
      </c>
      <c r="R244" t="n">
        <v>158.2904</v>
      </c>
      <c r="S244" t="n">
        <v>0.00100695</v>
      </c>
      <c r="T244" t="n">
        <v>0.00065008</v>
      </c>
      <c r="U244" t="n">
        <v>12247.8444</v>
      </c>
      <c r="V244" t="inlineStr">
        <is>
          <t>Supplier Reported Emissions</t>
        </is>
      </c>
      <c r="W244" t="b">
        <v>0</v>
      </c>
      <c r="X244" t="inlineStr">
        <is>
          <t>High</t>
        </is>
      </c>
      <c r="Y244" t="inlineStr">
        <is>
          <t>Scope_Emissions</t>
        </is>
      </c>
      <c r="Z244" t="n">
        <v>0.95</v>
      </c>
      <c r="AA244" t="inlineStr">
        <is>
          <t>Valid</t>
        </is>
      </c>
    </row>
    <row r="245">
      <c r="A245" t="inlineStr">
        <is>
          <t>SUP-0025</t>
        </is>
      </c>
      <c r="B245" t="inlineStr">
        <is>
          <t>Metals Supplier 025</t>
        </is>
      </c>
      <c r="C245" t="inlineStr">
        <is>
          <t>Metals</t>
        </is>
      </c>
      <c r="D245" t="n">
        <v>2018</v>
      </c>
      <c r="E245" t="n">
        <v>13279984.27</v>
      </c>
      <c r="F245" t="n">
        <v>43712718.49</v>
      </c>
      <c r="G245" t="n">
        <v>13117.4603</v>
      </c>
      <c r="H245" t="n">
        <v>2783.5844</v>
      </c>
      <c r="I245" t="n">
        <v>1776.5466</v>
      </c>
      <c r="J245" t="n">
        <v>8693.800300000001</v>
      </c>
      <c r="K245" t="n">
        <v>2020</v>
      </c>
      <c r="L245" t="n">
        <v>2030</v>
      </c>
      <c r="M245" t="n">
        <v>0.3833</v>
      </c>
      <c r="N245" t="n">
        <v>0.1962</v>
      </c>
      <c r="O245" t="n">
        <v>2019</v>
      </c>
      <c r="P245" t="n">
        <v>2030</v>
      </c>
      <c r="Q245" t="n">
        <v>0.3852</v>
      </c>
      <c r="R245" t="n">
        <v>158.2904</v>
      </c>
      <c r="S245" t="n">
        <v>0.00100695</v>
      </c>
      <c r="T245" t="n">
        <v>0.00065008</v>
      </c>
      <c r="U245" t="n">
        <v>13117.4603</v>
      </c>
      <c r="V245" t="inlineStr">
        <is>
          <t>Supplier Reported Emissions</t>
        </is>
      </c>
      <c r="W245" t="b">
        <v>0</v>
      </c>
      <c r="X245" t="inlineStr">
        <is>
          <t>High</t>
        </is>
      </c>
      <c r="Y245" t="inlineStr">
        <is>
          <t>None</t>
        </is>
      </c>
      <c r="Z245" t="n">
        <v>0.95</v>
      </c>
      <c r="AA245" t="inlineStr">
        <is>
          <t>Valid</t>
        </is>
      </c>
    </row>
    <row r="246">
      <c r="A246" t="inlineStr">
        <is>
          <t>SUP-0025</t>
        </is>
      </c>
      <c r="B246" t="inlineStr">
        <is>
          <t>Metals Supplier 025</t>
        </is>
      </c>
      <c r="C246" t="inlineStr">
        <is>
          <t>Metals</t>
        </is>
      </c>
      <c r="D246" t="n">
        <v>2019</v>
      </c>
      <c r="E246" t="n">
        <v>11723193.87</v>
      </c>
      <c r="F246" t="n">
        <v>49924435.63</v>
      </c>
      <c r="G246" t="n">
        <v>11408.9868</v>
      </c>
      <c r="H246" t="n">
        <v>1116.287</v>
      </c>
      <c r="I246" t="n">
        <v>1520.8023</v>
      </c>
      <c r="J246" t="n">
        <v>9195.8824</v>
      </c>
      <c r="K246" t="n">
        <v>2020</v>
      </c>
      <c r="L246" t="n">
        <v>2030</v>
      </c>
      <c r="M246" t="n">
        <v>0.3833</v>
      </c>
      <c r="N246" t="n">
        <v>0.1962</v>
      </c>
      <c r="O246" t="n">
        <v>2019</v>
      </c>
      <c r="P246" t="n">
        <v>2030</v>
      </c>
      <c r="Q246" t="n">
        <v>0.3852</v>
      </c>
      <c r="R246" t="n">
        <v>158.2904</v>
      </c>
      <c r="S246" t="n">
        <v>0.00100695</v>
      </c>
      <c r="T246" t="n">
        <v>0.00065008</v>
      </c>
      <c r="U246" t="n">
        <v>11408.9868</v>
      </c>
      <c r="V246" t="inlineStr">
        <is>
          <t>Supplier Reported Emissions</t>
        </is>
      </c>
      <c r="W246" t="b">
        <v>0</v>
      </c>
      <c r="X246" t="inlineStr">
        <is>
          <t>High</t>
        </is>
      </c>
      <c r="Y246" t="inlineStr">
        <is>
          <t>None</t>
        </is>
      </c>
      <c r="Z246" t="n">
        <v>0.95</v>
      </c>
      <c r="AA246" t="inlineStr">
        <is>
          <t>Valid</t>
        </is>
      </c>
    </row>
    <row r="247">
      <c r="A247" t="inlineStr">
        <is>
          <t>SUP-0025</t>
        </is>
      </c>
      <c r="B247" t="inlineStr">
        <is>
          <t>Metals Supplier 025</t>
        </is>
      </c>
      <c r="C247" t="inlineStr">
        <is>
          <t>Metals</t>
        </is>
      </c>
      <c r="D247" t="n">
        <v>2020</v>
      </c>
      <c r="E247" t="n">
        <v>14094474.48</v>
      </c>
      <c r="F247" t="n">
        <v>53182197.52</v>
      </c>
      <c r="G247" t="n">
        <v>10912.0046</v>
      </c>
      <c r="H247" t="n">
        <v>1030.1943</v>
      </c>
      <c r="I247" t="n">
        <v>1267.4766</v>
      </c>
      <c r="J247" t="n">
        <v>9317.322200000001</v>
      </c>
      <c r="K247" t="n">
        <v>2020</v>
      </c>
      <c r="L247" t="n">
        <v>2030</v>
      </c>
      <c r="M247" t="n">
        <v>0.3833</v>
      </c>
      <c r="N247" t="n">
        <v>0.1962</v>
      </c>
      <c r="O247" t="n">
        <v>2019</v>
      </c>
      <c r="P247" t="n">
        <v>2030</v>
      </c>
      <c r="Q247" t="n">
        <v>0.3852</v>
      </c>
      <c r="R247" t="n">
        <v>158.2904</v>
      </c>
      <c r="S247" t="n">
        <v>0.00100695</v>
      </c>
      <c r="T247" t="n">
        <v>0.00065008</v>
      </c>
      <c r="U247" t="n">
        <v>10912.0046</v>
      </c>
      <c r="V247" t="inlineStr">
        <is>
          <t>Supplier Reported Emissions</t>
        </is>
      </c>
      <c r="W247" t="b">
        <v>0</v>
      </c>
      <c r="X247" t="inlineStr">
        <is>
          <t>High</t>
        </is>
      </c>
      <c r="Y247" t="inlineStr">
        <is>
          <t>None</t>
        </is>
      </c>
      <c r="Z247" t="n">
        <v>0.95</v>
      </c>
      <c r="AA247" t="inlineStr">
        <is>
          <t>Valid</t>
        </is>
      </c>
    </row>
    <row r="248">
      <c r="A248" t="inlineStr">
        <is>
          <t>SUP-0025</t>
        </is>
      </c>
      <c r="B248" t="inlineStr">
        <is>
          <t>Metals Supplier 025</t>
        </is>
      </c>
      <c r="C248" t="inlineStr">
        <is>
          <t>Metals</t>
        </is>
      </c>
      <c r="D248" t="n">
        <v>2021</v>
      </c>
      <c r="E248" t="n">
        <v>13587531.24</v>
      </c>
      <c r="F248" t="n">
        <v>55428646.76</v>
      </c>
      <c r="G248" t="n">
        <v>12089.1448</v>
      </c>
      <c r="H248" t="n">
        <v>1533.5115</v>
      </c>
      <c r="I248" t="n">
        <v>1175.819</v>
      </c>
      <c r="J248" t="inlineStr"/>
      <c r="K248" t="n">
        <v>2020</v>
      </c>
      <c r="L248" t="n">
        <v>2030</v>
      </c>
      <c r="M248" t="n">
        <v>0.3833</v>
      </c>
      <c r="N248" t="n">
        <v>0.1962</v>
      </c>
      <c r="O248" t="n">
        <v>2019</v>
      </c>
      <c r="P248" t="n">
        <v>2030</v>
      </c>
      <c r="Q248" t="n">
        <v>0.3852</v>
      </c>
      <c r="R248" t="n">
        <v>158.2904</v>
      </c>
      <c r="S248" t="n">
        <v>0.00100695</v>
      </c>
      <c r="T248" t="n">
        <v>0.00065008</v>
      </c>
      <c r="U248" t="n">
        <v>12089.1448</v>
      </c>
      <c r="V248" t="inlineStr">
        <is>
          <t>Supplier Reported Emissions</t>
        </is>
      </c>
      <c r="W248" t="b">
        <v>0</v>
      </c>
      <c r="X248" t="inlineStr">
        <is>
          <t>High</t>
        </is>
      </c>
      <c r="Y248" t="inlineStr">
        <is>
          <t>Scope_Emissions</t>
        </is>
      </c>
      <c r="Z248" t="n">
        <v>0.95</v>
      </c>
      <c r="AA248" t="inlineStr">
        <is>
          <t>Valid</t>
        </is>
      </c>
    </row>
    <row r="249">
      <c r="A249" t="inlineStr">
        <is>
          <t>SUP-0025</t>
        </is>
      </c>
      <c r="B249" t="inlineStr">
        <is>
          <t>Metals Supplier 025</t>
        </is>
      </c>
      <c r="C249" t="inlineStr">
        <is>
          <t>Metals</t>
        </is>
      </c>
      <c r="D249" t="n">
        <v>2022</v>
      </c>
      <c r="E249" t="n">
        <v>11691137.41</v>
      </c>
      <c r="F249" t="n">
        <v>42741706.02</v>
      </c>
      <c r="G249" t="n">
        <v>10062.3476</v>
      </c>
      <c r="H249" t="n">
        <v>1612.941</v>
      </c>
      <c r="I249" t="n">
        <v>2258.5911</v>
      </c>
      <c r="J249" t="n">
        <v>6232.2282</v>
      </c>
      <c r="K249" t="n">
        <v>2020</v>
      </c>
      <c r="L249" t="n">
        <v>2030</v>
      </c>
      <c r="M249" t="n">
        <v>0.3833</v>
      </c>
      <c r="N249" t="n">
        <v>0.1962</v>
      </c>
      <c r="O249" t="n">
        <v>2019</v>
      </c>
      <c r="P249" t="n">
        <v>2030</v>
      </c>
      <c r="Q249" t="n">
        <v>0.3852</v>
      </c>
      <c r="R249" t="n">
        <v>158.2904</v>
      </c>
      <c r="S249" t="n">
        <v>0.00100695</v>
      </c>
      <c r="T249" t="n">
        <v>0.00065008</v>
      </c>
      <c r="U249" t="n">
        <v>10062.3476</v>
      </c>
      <c r="V249" t="inlineStr">
        <is>
          <t>Supplier Reported Emissions</t>
        </is>
      </c>
      <c r="W249" t="b">
        <v>0</v>
      </c>
      <c r="X249" t="inlineStr">
        <is>
          <t>High</t>
        </is>
      </c>
      <c r="Y249" t="inlineStr">
        <is>
          <t>None</t>
        </is>
      </c>
      <c r="Z249" t="n">
        <v>0.95</v>
      </c>
      <c r="AA249" t="inlineStr">
        <is>
          <t>Valid</t>
        </is>
      </c>
    </row>
    <row r="250">
      <c r="A250" t="inlineStr">
        <is>
          <t>SUP-0025</t>
        </is>
      </c>
      <c r="B250" t="inlineStr">
        <is>
          <t>Metals Supplier 025</t>
        </is>
      </c>
      <c r="C250" t="inlineStr">
        <is>
          <t>Metals</t>
        </is>
      </c>
      <c r="D250" t="n">
        <v>2023</v>
      </c>
      <c r="E250" t="n">
        <v>16925080.66</v>
      </c>
      <c r="F250" t="n">
        <v>63473540.99</v>
      </c>
      <c r="G250" t="inlineStr"/>
      <c r="H250" t="n">
        <v>1283.9167</v>
      </c>
      <c r="I250" t="n">
        <v>2043.5265</v>
      </c>
      <c r="J250" t="n">
        <v>12123.5695</v>
      </c>
      <c r="K250" t="n">
        <v>2020</v>
      </c>
      <c r="L250" t="n">
        <v>2030</v>
      </c>
      <c r="M250" t="n">
        <v>0.3833</v>
      </c>
      <c r="N250" t="n">
        <v>0.1962</v>
      </c>
      <c r="O250" t="n">
        <v>2019</v>
      </c>
      <c r="P250" t="n">
        <v>2030</v>
      </c>
      <c r="Q250" t="n">
        <v>0.3852</v>
      </c>
      <c r="R250" t="n">
        <v>158.2904</v>
      </c>
      <c r="S250" t="n">
        <v>0.00100695</v>
      </c>
      <c r="T250" t="n">
        <v>0.00065008</v>
      </c>
      <c r="U250" t="n">
        <v>15451.0127</v>
      </c>
      <c r="V250" t="inlineStr">
        <is>
          <t>Scope 1 + Scope 2 + Scope 3</t>
        </is>
      </c>
      <c r="W250" t="b">
        <v>1</v>
      </c>
      <c r="X250" t="inlineStr">
        <is>
          <t>High</t>
        </is>
      </c>
      <c r="Y250" t="inlineStr">
        <is>
          <t>Reported_Emissions</t>
        </is>
      </c>
      <c r="Z250" t="n">
        <v>0.88</v>
      </c>
      <c r="AA250" t="inlineStr">
        <is>
          <t>Valid</t>
        </is>
      </c>
    </row>
    <row r="251">
      <c r="A251" t="inlineStr">
        <is>
          <t>SUP-0025</t>
        </is>
      </c>
      <c r="B251" t="inlineStr">
        <is>
          <t>Metals Supplier 025</t>
        </is>
      </c>
      <c r="C251" t="inlineStr">
        <is>
          <t>Metals</t>
        </is>
      </c>
      <c r="D251" t="n">
        <v>2024</v>
      </c>
      <c r="E251" t="n">
        <v>19690840.4</v>
      </c>
      <c r="F251" t="n">
        <v>63623341.52</v>
      </c>
      <c r="G251" t="inlineStr"/>
      <c r="H251" t="n">
        <v>2751.899</v>
      </c>
      <c r="I251" t="n">
        <v>1764.5582</v>
      </c>
      <c r="J251" t="n">
        <v>8462.419099999999</v>
      </c>
      <c r="K251" t="n">
        <v>2020</v>
      </c>
      <c r="L251" t="n">
        <v>2030</v>
      </c>
      <c r="M251" t="n">
        <v>0.3833</v>
      </c>
      <c r="N251" t="n">
        <v>0.1962</v>
      </c>
      <c r="O251" t="n">
        <v>2019</v>
      </c>
      <c r="P251" t="n">
        <v>2030</v>
      </c>
      <c r="Q251" t="n">
        <v>0.3852</v>
      </c>
      <c r="R251" t="n">
        <v>158.2904</v>
      </c>
      <c r="S251" t="n">
        <v>0.00100695</v>
      </c>
      <c r="T251" t="n">
        <v>0.00065008</v>
      </c>
      <c r="U251" t="n">
        <v>12978.8763</v>
      </c>
      <c r="V251" t="inlineStr">
        <is>
          <t>Scope 1 + Scope 2 + Scope 3</t>
        </is>
      </c>
      <c r="W251" t="b">
        <v>1</v>
      </c>
      <c r="X251" t="inlineStr">
        <is>
          <t>High</t>
        </is>
      </c>
      <c r="Y251" t="inlineStr">
        <is>
          <t>Reported_Emissions</t>
        </is>
      </c>
      <c r="Z251" t="n">
        <v>0.88</v>
      </c>
      <c r="AA251" t="inlineStr">
        <is>
          <t>Valid</t>
        </is>
      </c>
    </row>
    <row r="252">
      <c r="A252" t="inlineStr">
        <is>
          <t>SUP-0026</t>
        </is>
      </c>
      <c r="B252" t="inlineStr">
        <is>
          <t>Professional Supplier 026</t>
        </is>
      </c>
      <c r="C252" t="inlineStr">
        <is>
          <t>Professional Services</t>
        </is>
      </c>
      <c r="D252" t="n">
        <v>2015</v>
      </c>
      <c r="E252" t="n">
        <v>5083713.92</v>
      </c>
      <c r="F252" t="n">
        <v>8970099.289999999</v>
      </c>
      <c r="G252" t="inlineStr"/>
      <c r="H252" t="n">
        <v>126.674</v>
      </c>
      <c r="I252" t="n">
        <v>118.3251</v>
      </c>
      <c r="J252" t="n">
        <v>458.2796</v>
      </c>
      <c r="K252" t="n">
        <v>2019</v>
      </c>
      <c r="L252" t="n">
        <v>2040</v>
      </c>
      <c r="M252" t="n">
        <v>0.4936</v>
      </c>
      <c r="N252" t="n">
        <v>0.2987</v>
      </c>
      <c r="O252" t="n">
        <v>2020</v>
      </c>
      <c r="P252" t="inlineStr"/>
      <c r="Q252" t="inlineStr"/>
      <c r="R252" t="n">
        <v>400.0326</v>
      </c>
      <c r="S252" t="n">
        <v>0.00012906</v>
      </c>
      <c r="T252" t="n">
        <v>0.00019658</v>
      </c>
      <c r="U252" t="n">
        <v>703.2787</v>
      </c>
      <c r="V252" t="inlineStr">
        <is>
          <t>Scope 1 + Scope 2 + Scope 3</t>
        </is>
      </c>
      <c r="W252" t="b">
        <v>1</v>
      </c>
      <c r="X252" t="inlineStr">
        <is>
          <t>High</t>
        </is>
      </c>
      <c r="Y252" t="inlineStr">
        <is>
          <t>Reported_Emissions</t>
        </is>
      </c>
      <c r="Z252" t="n">
        <v>0.88</v>
      </c>
      <c r="AA252" t="inlineStr">
        <is>
          <t>Valid</t>
        </is>
      </c>
    </row>
    <row r="253">
      <c r="A253" t="inlineStr">
        <is>
          <t>SUP-0026</t>
        </is>
      </c>
      <c r="B253" t="inlineStr">
        <is>
          <t>Professional Supplier 026</t>
        </is>
      </c>
      <c r="C253" t="inlineStr">
        <is>
          <t>Professional Services</t>
        </is>
      </c>
      <c r="D253" t="n">
        <v>2016</v>
      </c>
      <c r="E253" t="n">
        <v>5960850.53</v>
      </c>
      <c r="F253" t="inlineStr"/>
      <c r="G253" t="n">
        <v>698.2406999999999</v>
      </c>
      <c r="H253" t="n">
        <v>84.8775</v>
      </c>
      <c r="I253" t="n">
        <v>89.83369999999999</v>
      </c>
      <c r="J253" t="n">
        <v>566.8846</v>
      </c>
      <c r="K253" t="n">
        <v>2019</v>
      </c>
      <c r="L253" t="n">
        <v>2040</v>
      </c>
      <c r="M253" t="n">
        <v>0.4936</v>
      </c>
      <c r="N253" t="n">
        <v>0.2987</v>
      </c>
      <c r="O253" t="n">
        <v>2020</v>
      </c>
      <c r="P253" t="inlineStr"/>
      <c r="Q253" t="inlineStr"/>
      <c r="R253" t="n">
        <v>400.0326</v>
      </c>
      <c r="S253" t="n">
        <v>0.00012906</v>
      </c>
      <c r="T253" t="n">
        <v>0.00019658</v>
      </c>
      <c r="U253" t="n">
        <v>698.2406999999999</v>
      </c>
      <c r="V253" t="inlineStr">
        <is>
          <t>Supplier Reported Emissions</t>
        </is>
      </c>
      <c r="W253" t="b">
        <v>0</v>
      </c>
      <c r="X253" t="inlineStr">
        <is>
          <t>High</t>
        </is>
      </c>
      <c r="Y253" t="inlineStr">
        <is>
          <t>Revenue</t>
        </is>
      </c>
      <c r="Z253" t="n">
        <v>0.95</v>
      </c>
      <c r="AA253" t="inlineStr">
        <is>
          <t>Valid</t>
        </is>
      </c>
    </row>
    <row r="254">
      <c r="A254" t="inlineStr">
        <is>
          <t>SUP-0026</t>
        </is>
      </c>
      <c r="B254" t="inlineStr">
        <is>
          <t>Professional Supplier 026</t>
        </is>
      </c>
      <c r="C254" t="inlineStr">
        <is>
          <t>Professional Services</t>
        </is>
      </c>
      <c r="D254" t="n">
        <v>2017</v>
      </c>
      <c r="E254" t="n">
        <v>5643512.51</v>
      </c>
      <c r="F254" t="n">
        <v>8414541.48</v>
      </c>
      <c r="G254" t="inlineStr"/>
      <c r="H254" t="n">
        <v>88.0921</v>
      </c>
      <c r="I254" t="n">
        <v>82.08620000000001</v>
      </c>
      <c r="J254" t="n">
        <v>489.959</v>
      </c>
      <c r="K254" t="n">
        <v>2019</v>
      </c>
      <c r="L254" t="n">
        <v>2040</v>
      </c>
      <c r="M254" t="n">
        <v>0.4936</v>
      </c>
      <c r="N254" t="n">
        <v>0.2987</v>
      </c>
      <c r="O254" t="n">
        <v>2020</v>
      </c>
      <c r="P254" t="inlineStr"/>
      <c r="Q254" t="inlineStr"/>
      <c r="R254" t="n">
        <v>400.0326</v>
      </c>
      <c r="S254" t="n">
        <v>0.00012906</v>
      </c>
      <c r="T254" t="n">
        <v>0.00019658</v>
      </c>
      <c r="U254" t="n">
        <v>660.1373</v>
      </c>
      <c r="V254" t="inlineStr">
        <is>
          <t>Scope 1 + Scope 2 + Scope 3</t>
        </is>
      </c>
      <c r="W254" t="b">
        <v>1</v>
      </c>
      <c r="X254" t="inlineStr">
        <is>
          <t>High</t>
        </is>
      </c>
      <c r="Y254" t="inlineStr">
        <is>
          <t>Reported_Emissions</t>
        </is>
      </c>
      <c r="Z254" t="n">
        <v>0.88</v>
      </c>
      <c r="AA254" t="inlineStr">
        <is>
          <t>Valid</t>
        </is>
      </c>
    </row>
    <row r="255">
      <c r="A255" t="inlineStr">
        <is>
          <t>SUP-0026</t>
        </is>
      </c>
      <c r="B255" t="inlineStr">
        <is>
          <t>Professional Supplier 026</t>
        </is>
      </c>
      <c r="C255" t="inlineStr">
        <is>
          <t>Professional Services</t>
        </is>
      </c>
      <c r="D255" t="n">
        <v>2018</v>
      </c>
      <c r="E255" t="n">
        <v>6964854.61</v>
      </c>
      <c r="F255" t="n">
        <v>10362985.64</v>
      </c>
      <c r="G255" t="n">
        <v>821.3225</v>
      </c>
      <c r="H255" t="inlineStr"/>
      <c r="I255" t="n">
        <v>84.8463</v>
      </c>
      <c r="J255" t="n">
        <v>655.5158</v>
      </c>
      <c r="K255" t="n">
        <v>2019</v>
      </c>
      <c r="L255" t="n">
        <v>2040</v>
      </c>
      <c r="M255" t="n">
        <v>0.4936</v>
      </c>
      <c r="N255" t="n">
        <v>0.2987</v>
      </c>
      <c r="O255" t="n">
        <v>2020</v>
      </c>
      <c r="P255" t="inlineStr"/>
      <c r="Q255" t="inlineStr"/>
      <c r="R255" t="n">
        <v>400.0326</v>
      </c>
      <c r="S255" t="n">
        <v>0.00012906</v>
      </c>
      <c r="T255" t="n">
        <v>0.00019658</v>
      </c>
      <c r="U255" t="n">
        <v>821.3225</v>
      </c>
      <c r="V255" t="inlineStr">
        <is>
          <t>Supplier Reported Emissions</t>
        </is>
      </c>
      <c r="W255" t="b">
        <v>0</v>
      </c>
      <c r="X255" t="inlineStr">
        <is>
          <t>High</t>
        </is>
      </c>
      <c r="Y255" t="inlineStr">
        <is>
          <t>Scope_Emissions</t>
        </is>
      </c>
      <c r="Z255" t="n">
        <v>0.95</v>
      </c>
      <c r="AA255" t="inlineStr">
        <is>
          <t>Valid</t>
        </is>
      </c>
    </row>
    <row r="256">
      <c r="A256" t="inlineStr">
        <is>
          <t>SUP-0026</t>
        </is>
      </c>
      <c r="B256" t="inlineStr">
        <is>
          <t>Professional Supplier 026</t>
        </is>
      </c>
      <c r="C256" t="inlineStr">
        <is>
          <t>Professional Services</t>
        </is>
      </c>
      <c r="D256" t="n">
        <v>2019</v>
      </c>
      <c r="E256" t="n">
        <v>6144112.5</v>
      </c>
      <c r="F256" t="n">
        <v>13038234.77</v>
      </c>
      <c r="G256" t="inlineStr"/>
      <c r="H256" t="n">
        <v>114.8463</v>
      </c>
      <c r="I256" t="n">
        <v>94.1524</v>
      </c>
      <c r="J256" t="n">
        <v>431.9271</v>
      </c>
      <c r="K256" t="n">
        <v>2019</v>
      </c>
      <c r="L256" t="n">
        <v>2040</v>
      </c>
      <c r="M256" t="n">
        <v>0.4936</v>
      </c>
      <c r="N256" t="n">
        <v>0.2987</v>
      </c>
      <c r="O256" t="n">
        <v>2020</v>
      </c>
      <c r="P256" t="inlineStr"/>
      <c r="Q256" t="inlineStr"/>
      <c r="R256" t="n">
        <v>400.0326</v>
      </c>
      <c r="S256" t="n">
        <v>0.00012906</v>
      </c>
      <c r="T256" t="n">
        <v>0.00019658</v>
      </c>
      <c r="U256" t="n">
        <v>640.9258</v>
      </c>
      <c r="V256" t="inlineStr">
        <is>
          <t>Scope 1 + Scope 2 + Scope 3</t>
        </is>
      </c>
      <c r="W256" t="b">
        <v>1</v>
      </c>
      <c r="X256" t="inlineStr">
        <is>
          <t>High</t>
        </is>
      </c>
      <c r="Y256" t="inlineStr">
        <is>
          <t>Reported_Emissions</t>
        </is>
      </c>
      <c r="Z256" t="n">
        <v>0.88</v>
      </c>
      <c r="AA256" t="inlineStr">
        <is>
          <t>Valid</t>
        </is>
      </c>
    </row>
    <row r="257">
      <c r="A257" t="inlineStr">
        <is>
          <t>SUP-0026</t>
        </is>
      </c>
      <c r="B257" t="inlineStr">
        <is>
          <t>Professional Supplier 026</t>
        </is>
      </c>
      <c r="C257" t="inlineStr">
        <is>
          <t>Professional Services</t>
        </is>
      </c>
      <c r="D257" t="n">
        <v>2020</v>
      </c>
      <c r="E257" t="n">
        <v>8356354.82</v>
      </c>
      <c r="F257" t="n">
        <v>10305106.53</v>
      </c>
      <c r="G257" t="n">
        <v>587.6006</v>
      </c>
      <c r="H257" t="n">
        <v>83.7834</v>
      </c>
      <c r="I257" t="n">
        <v>82.7941</v>
      </c>
      <c r="J257" t="n">
        <v>442.9581</v>
      </c>
      <c r="K257" t="n">
        <v>2019</v>
      </c>
      <c r="L257" t="n">
        <v>2040</v>
      </c>
      <c r="M257" t="n">
        <v>0.4936</v>
      </c>
      <c r="N257" t="n">
        <v>0.2987</v>
      </c>
      <c r="O257" t="n">
        <v>2020</v>
      </c>
      <c r="P257" t="inlineStr"/>
      <c r="Q257" t="inlineStr"/>
      <c r="R257" t="n">
        <v>400.0326</v>
      </c>
      <c r="S257" t="n">
        <v>0.00012906</v>
      </c>
      <c r="T257" t="n">
        <v>0.00019658</v>
      </c>
      <c r="U257" t="n">
        <v>587.6006</v>
      </c>
      <c r="V257" t="inlineStr">
        <is>
          <t>Supplier Reported Emissions</t>
        </is>
      </c>
      <c r="W257" t="b">
        <v>0</v>
      </c>
      <c r="X257" t="inlineStr">
        <is>
          <t>High</t>
        </is>
      </c>
      <c r="Y257" t="inlineStr">
        <is>
          <t>None</t>
        </is>
      </c>
      <c r="Z257" t="n">
        <v>0.95</v>
      </c>
      <c r="AA257" t="inlineStr">
        <is>
          <t>Valid</t>
        </is>
      </c>
    </row>
    <row r="258">
      <c r="A258" t="inlineStr">
        <is>
          <t>SUP-0026</t>
        </is>
      </c>
      <c r="B258" t="inlineStr">
        <is>
          <t>Professional Supplier 026</t>
        </is>
      </c>
      <c r="C258" t="inlineStr">
        <is>
          <t>Professional Services</t>
        </is>
      </c>
      <c r="D258" t="n">
        <v>2021</v>
      </c>
      <c r="E258" t="n">
        <v>6924643.66</v>
      </c>
      <c r="F258" t="n">
        <v>10759192.95</v>
      </c>
      <c r="G258" t="n">
        <v>723.3943</v>
      </c>
      <c r="H258" t="n">
        <v>71.8467</v>
      </c>
      <c r="I258" t="n">
        <v>111.4044</v>
      </c>
      <c r="J258" t="n">
        <v>539.1516</v>
      </c>
      <c r="K258" t="n">
        <v>2019</v>
      </c>
      <c r="L258" t="n">
        <v>2040</v>
      </c>
      <c r="M258" t="n">
        <v>0.4936</v>
      </c>
      <c r="N258" t="n">
        <v>0.2987</v>
      </c>
      <c r="O258" t="n">
        <v>2020</v>
      </c>
      <c r="P258" t="inlineStr"/>
      <c r="Q258" t="inlineStr"/>
      <c r="R258" t="n">
        <v>400.0326</v>
      </c>
      <c r="S258" t="n">
        <v>0.00012906</v>
      </c>
      <c r="T258" t="n">
        <v>0.00019658</v>
      </c>
      <c r="U258" t="n">
        <v>723.3943</v>
      </c>
      <c r="V258" t="inlineStr">
        <is>
          <t>Supplier Reported Emissions</t>
        </is>
      </c>
      <c r="W258" t="b">
        <v>0</v>
      </c>
      <c r="X258" t="inlineStr">
        <is>
          <t>High</t>
        </is>
      </c>
      <c r="Y258" t="inlineStr">
        <is>
          <t>None</t>
        </is>
      </c>
      <c r="Z258" t="n">
        <v>0.95</v>
      </c>
      <c r="AA258" t="inlineStr">
        <is>
          <t>Valid</t>
        </is>
      </c>
    </row>
    <row r="259">
      <c r="A259" t="inlineStr">
        <is>
          <t>SUP-0026</t>
        </is>
      </c>
      <c r="B259" t="inlineStr">
        <is>
          <t>Professional Supplier 026</t>
        </is>
      </c>
      <c r="C259" t="inlineStr">
        <is>
          <t>Professional Services</t>
        </is>
      </c>
      <c r="D259" t="n">
        <v>2022</v>
      </c>
      <c r="E259" t="n">
        <v>8462828.84</v>
      </c>
      <c r="F259" t="n">
        <v>13239994.71</v>
      </c>
      <c r="G259" t="n">
        <v>832.2305</v>
      </c>
      <c r="H259" t="n">
        <v>142.9888</v>
      </c>
      <c r="I259" t="n">
        <v>103.3957</v>
      </c>
      <c r="J259" t="n">
        <v>594.0881000000001</v>
      </c>
      <c r="K259" t="n">
        <v>2019</v>
      </c>
      <c r="L259" t="n">
        <v>2040</v>
      </c>
      <c r="M259" t="n">
        <v>0.4936</v>
      </c>
      <c r="N259" t="n">
        <v>0.2987</v>
      </c>
      <c r="O259" t="n">
        <v>2020</v>
      </c>
      <c r="P259" t="inlineStr"/>
      <c r="Q259" t="inlineStr"/>
      <c r="R259" t="n">
        <v>400.0326</v>
      </c>
      <c r="S259" t="n">
        <v>0.00012906</v>
      </c>
      <c r="T259" t="n">
        <v>0.00019658</v>
      </c>
      <c r="U259" t="n">
        <v>832.2305</v>
      </c>
      <c r="V259" t="inlineStr">
        <is>
          <t>Supplier Reported Emissions</t>
        </is>
      </c>
      <c r="W259" t="b">
        <v>0</v>
      </c>
      <c r="X259" t="inlineStr">
        <is>
          <t>High</t>
        </is>
      </c>
      <c r="Y259" t="inlineStr">
        <is>
          <t>None</t>
        </is>
      </c>
      <c r="Z259" t="n">
        <v>0.95</v>
      </c>
      <c r="AA259" t="inlineStr">
        <is>
          <t>Valid</t>
        </is>
      </c>
    </row>
    <row r="260">
      <c r="A260" t="inlineStr">
        <is>
          <t>SUP-0026</t>
        </is>
      </c>
      <c r="B260" t="inlineStr">
        <is>
          <t>Professional Supplier 026</t>
        </is>
      </c>
      <c r="C260" t="inlineStr">
        <is>
          <t>Professional Services</t>
        </is>
      </c>
      <c r="D260" t="n">
        <v>2023</v>
      </c>
      <c r="E260" t="n">
        <v>10375117.23</v>
      </c>
      <c r="F260" t="n">
        <v>10106218.09</v>
      </c>
      <c r="G260" t="n">
        <v>1109.4697</v>
      </c>
      <c r="H260" t="n">
        <v>265.535</v>
      </c>
      <c r="I260" t="n">
        <v>77.0549</v>
      </c>
      <c r="J260" t="n">
        <v>719.1505</v>
      </c>
      <c r="K260" t="n">
        <v>2019</v>
      </c>
      <c r="L260" t="n">
        <v>2040</v>
      </c>
      <c r="M260" t="n">
        <v>0.4936</v>
      </c>
      <c r="N260" t="n">
        <v>0.2987</v>
      </c>
      <c r="O260" t="n">
        <v>2020</v>
      </c>
      <c r="P260" t="inlineStr"/>
      <c r="Q260" t="inlineStr"/>
      <c r="R260" t="n">
        <v>400.0326</v>
      </c>
      <c r="S260" t="n">
        <v>0.00012906</v>
      </c>
      <c r="T260" t="n">
        <v>0.00019658</v>
      </c>
      <c r="U260" t="n">
        <v>1109.4697</v>
      </c>
      <c r="V260" t="inlineStr">
        <is>
          <t>Supplier Reported Emissions</t>
        </is>
      </c>
      <c r="W260" t="b">
        <v>0</v>
      </c>
      <c r="X260" t="inlineStr">
        <is>
          <t>High</t>
        </is>
      </c>
      <c r="Y260" t="inlineStr">
        <is>
          <t>None</t>
        </is>
      </c>
      <c r="Z260" t="n">
        <v>0.95</v>
      </c>
      <c r="AA260" t="inlineStr">
        <is>
          <t>Valid</t>
        </is>
      </c>
    </row>
    <row r="261">
      <c r="A261" t="inlineStr">
        <is>
          <t>SUP-0026</t>
        </is>
      </c>
      <c r="B261" t="inlineStr">
        <is>
          <t>Professional Supplier 026</t>
        </is>
      </c>
      <c r="C261" t="inlineStr">
        <is>
          <t>Professional Services</t>
        </is>
      </c>
      <c r="D261" t="n">
        <v>2024</v>
      </c>
      <c r="E261" t="n">
        <v>8791587.92</v>
      </c>
      <c r="F261" t="n">
        <v>10355275.5</v>
      </c>
      <c r="G261" t="n">
        <v>666.9880000000001</v>
      </c>
      <c r="H261" t="n">
        <v>161.5647</v>
      </c>
      <c r="I261" t="n">
        <v>67.8168</v>
      </c>
      <c r="J261" t="inlineStr"/>
      <c r="K261" t="n">
        <v>2019</v>
      </c>
      <c r="L261" t="n">
        <v>2040</v>
      </c>
      <c r="M261" t="n">
        <v>0.4936</v>
      </c>
      <c r="N261" t="n">
        <v>0.2987</v>
      </c>
      <c r="O261" t="n">
        <v>2020</v>
      </c>
      <c r="P261" t="inlineStr"/>
      <c r="Q261" t="inlineStr"/>
      <c r="R261" t="n">
        <v>400.0326</v>
      </c>
      <c r="S261" t="n">
        <v>0.00012906</v>
      </c>
      <c r="T261" t="n">
        <v>0.00019658</v>
      </c>
      <c r="U261" t="n">
        <v>666.9880000000001</v>
      </c>
      <c r="V261" t="inlineStr">
        <is>
          <t>Supplier Reported Emissions</t>
        </is>
      </c>
      <c r="W261" t="b">
        <v>0</v>
      </c>
      <c r="X261" t="inlineStr">
        <is>
          <t>High</t>
        </is>
      </c>
      <c r="Y261" t="inlineStr">
        <is>
          <t>Scope_Emissions</t>
        </is>
      </c>
      <c r="Z261" t="n">
        <v>0.95</v>
      </c>
      <c r="AA261" t="inlineStr">
        <is>
          <t>Valid</t>
        </is>
      </c>
    </row>
    <row r="262">
      <c r="A262" t="inlineStr">
        <is>
          <t>SUP-0027</t>
        </is>
      </c>
      <c r="B262" t="inlineStr">
        <is>
          <t>Metals Supplier 027</t>
        </is>
      </c>
      <c r="C262" t="inlineStr">
        <is>
          <t>Metals</t>
        </is>
      </c>
      <c r="D262" t="n">
        <v>2015</v>
      </c>
      <c r="E262" t="n">
        <v>793943.5600000001</v>
      </c>
      <c r="F262" t="n">
        <v>4895684.6</v>
      </c>
      <c r="G262" t="inlineStr"/>
      <c r="H262" t="n">
        <v>126.2239</v>
      </c>
      <c r="I262" t="n">
        <v>198.8678</v>
      </c>
      <c r="J262" t="n">
        <v>691.0608999999999</v>
      </c>
      <c r="K262" t="n">
        <v>2019</v>
      </c>
      <c r="L262" t="n">
        <v>2030</v>
      </c>
      <c r="M262" t="n">
        <v>0.2739</v>
      </c>
      <c r="N262" t="n">
        <v>0.1728</v>
      </c>
      <c r="O262" t="n">
        <v>2019</v>
      </c>
      <c r="P262" t="n">
        <v>2030</v>
      </c>
      <c r="Q262" t="n">
        <v>0.3852</v>
      </c>
      <c r="R262" t="n">
        <v>158.2904</v>
      </c>
      <c r="S262" t="n">
        <v>0.00100695</v>
      </c>
      <c r="T262" t="n">
        <v>0.00065008</v>
      </c>
      <c r="U262" t="n">
        <v>1016.1526</v>
      </c>
      <c r="V262" t="inlineStr">
        <is>
          <t>Scope 1 + Scope 2 + Scope 3</t>
        </is>
      </c>
      <c r="W262" t="b">
        <v>1</v>
      </c>
      <c r="X262" t="inlineStr">
        <is>
          <t>High</t>
        </is>
      </c>
      <c r="Y262" t="inlineStr">
        <is>
          <t>Reported_Emissions</t>
        </is>
      </c>
      <c r="Z262" t="n">
        <v>0.88</v>
      </c>
      <c r="AA262" t="inlineStr">
        <is>
          <t>Valid</t>
        </is>
      </c>
    </row>
    <row r="263">
      <c r="A263" t="inlineStr">
        <is>
          <t>SUP-0027</t>
        </is>
      </c>
      <c r="B263" t="inlineStr">
        <is>
          <t>Metals Supplier 027</t>
        </is>
      </c>
      <c r="C263" t="inlineStr">
        <is>
          <t>Metals</t>
        </is>
      </c>
      <c r="D263" t="n">
        <v>2016</v>
      </c>
      <c r="E263" t="n">
        <v>911270.83</v>
      </c>
      <c r="F263" t="inlineStr"/>
      <c r="G263" t="n">
        <v>1092.579</v>
      </c>
      <c r="H263" t="n">
        <v>156.2868</v>
      </c>
      <c r="I263" t="n">
        <v>163.609</v>
      </c>
      <c r="J263" t="n">
        <v>761.549</v>
      </c>
      <c r="K263" t="n">
        <v>2019</v>
      </c>
      <c r="L263" t="n">
        <v>2030</v>
      </c>
      <c r="M263" t="n">
        <v>0.2739</v>
      </c>
      <c r="N263" t="n">
        <v>0.1728</v>
      </c>
      <c r="O263" t="n">
        <v>2019</v>
      </c>
      <c r="P263" t="n">
        <v>2030</v>
      </c>
      <c r="Q263" t="n">
        <v>0.3852</v>
      </c>
      <c r="R263" t="n">
        <v>158.2904</v>
      </c>
      <c r="S263" t="n">
        <v>0.00100695</v>
      </c>
      <c r="T263" t="n">
        <v>0.00065008</v>
      </c>
      <c r="U263" t="n">
        <v>1092.579</v>
      </c>
      <c r="V263" t="inlineStr">
        <is>
          <t>Supplier Reported Emissions</t>
        </is>
      </c>
      <c r="W263" t="b">
        <v>0</v>
      </c>
      <c r="X263" t="inlineStr">
        <is>
          <t>High</t>
        </is>
      </c>
      <c r="Y263" t="inlineStr">
        <is>
          <t>Revenue</t>
        </is>
      </c>
      <c r="Z263" t="n">
        <v>0.95</v>
      </c>
      <c r="AA263" t="inlineStr">
        <is>
          <t>Valid</t>
        </is>
      </c>
    </row>
    <row r="264">
      <c r="A264" t="inlineStr">
        <is>
          <t>SUP-0027</t>
        </is>
      </c>
      <c r="B264" t="inlineStr">
        <is>
          <t>Metals Supplier 027</t>
        </is>
      </c>
      <c r="C264" t="inlineStr">
        <is>
          <t>Metals</t>
        </is>
      </c>
      <c r="D264" t="n">
        <v>2017</v>
      </c>
      <c r="E264" t="n">
        <v>860210.12</v>
      </c>
      <c r="F264" t="n">
        <v>5039279.56</v>
      </c>
      <c r="G264" t="n">
        <v>1124.0286</v>
      </c>
      <c r="H264" t="n">
        <v>189.8416</v>
      </c>
      <c r="I264" t="n">
        <v>108.4842</v>
      </c>
      <c r="J264" t="n">
        <v>834.0916</v>
      </c>
      <c r="K264" t="n">
        <v>2019</v>
      </c>
      <c r="L264" t="n">
        <v>2030</v>
      </c>
      <c r="M264" t="n">
        <v>0.2739</v>
      </c>
      <c r="N264" t="n">
        <v>0.1728</v>
      </c>
      <c r="O264" t="n">
        <v>2019</v>
      </c>
      <c r="P264" t="n">
        <v>2030</v>
      </c>
      <c r="Q264" t="n">
        <v>0.3852</v>
      </c>
      <c r="R264" t="n">
        <v>158.2904</v>
      </c>
      <c r="S264" t="n">
        <v>0.00100695</v>
      </c>
      <c r="T264" t="n">
        <v>0.00065008</v>
      </c>
      <c r="U264" t="n">
        <v>1124.0286</v>
      </c>
      <c r="V264" t="inlineStr">
        <is>
          <t>Supplier Reported Emissions</t>
        </is>
      </c>
      <c r="W264" t="b">
        <v>0</v>
      </c>
      <c r="X264" t="inlineStr">
        <is>
          <t>High</t>
        </is>
      </c>
      <c r="Y264" t="inlineStr">
        <is>
          <t>None</t>
        </is>
      </c>
      <c r="Z264" t="n">
        <v>0.95</v>
      </c>
      <c r="AA264" t="inlineStr">
        <is>
          <t>Valid</t>
        </is>
      </c>
    </row>
    <row r="265">
      <c r="A265" t="inlineStr">
        <is>
          <t>SUP-0027</t>
        </is>
      </c>
      <c r="B265" t="inlineStr">
        <is>
          <t>Metals Supplier 027</t>
        </is>
      </c>
      <c r="C265" t="inlineStr">
        <is>
          <t>Metals</t>
        </is>
      </c>
      <c r="D265" t="n">
        <v>2018</v>
      </c>
      <c r="E265" t="n">
        <v>870761.3199999999</v>
      </c>
      <c r="F265" t="n">
        <v>4255392.34</v>
      </c>
      <c r="G265" t="n">
        <v>995.3819</v>
      </c>
      <c r="H265" t="inlineStr"/>
      <c r="I265" t="n">
        <v>125.7373</v>
      </c>
      <c r="J265" t="n">
        <v>657.7448000000001</v>
      </c>
      <c r="K265" t="n">
        <v>2019</v>
      </c>
      <c r="L265" t="n">
        <v>2030</v>
      </c>
      <c r="M265" t="n">
        <v>0.2739</v>
      </c>
      <c r="N265" t="n">
        <v>0.1728</v>
      </c>
      <c r="O265" t="n">
        <v>2019</v>
      </c>
      <c r="P265" t="n">
        <v>2030</v>
      </c>
      <c r="Q265" t="n">
        <v>0.3852</v>
      </c>
      <c r="R265" t="n">
        <v>158.2904</v>
      </c>
      <c r="S265" t="n">
        <v>0.00100695</v>
      </c>
      <c r="T265" t="n">
        <v>0.00065008</v>
      </c>
      <c r="U265" t="n">
        <v>995.3819</v>
      </c>
      <c r="V265" t="inlineStr">
        <is>
          <t>Supplier Reported Emissions</t>
        </is>
      </c>
      <c r="W265" t="b">
        <v>0</v>
      </c>
      <c r="X265" t="inlineStr">
        <is>
          <t>High</t>
        </is>
      </c>
      <c r="Y265" t="inlineStr">
        <is>
          <t>Scope_Emissions</t>
        </is>
      </c>
      <c r="Z265" t="n">
        <v>0.95</v>
      </c>
      <c r="AA265" t="inlineStr">
        <is>
          <t>Valid</t>
        </is>
      </c>
    </row>
    <row r="266">
      <c r="A266" t="inlineStr">
        <is>
          <t>SUP-0027</t>
        </is>
      </c>
      <c r="B266" t="inlineStr">
        <is>
          <t>Metals Supplier 027</t>
        </is>
      </c>
      <c r="C266" t="inlineStr">
        <is>
          <t>Metals</t>
        </is>
      </c>
      <c r="D266" t="n">
        <v>2019</v>
      </c>
      <c r="E266" t="n">
        <v>843771.92</v>
      </c>
      <c r="F266" t="n">
        <v>4240321.44</v>
      </c>
      <c r="G266" t="n">
        <v>1093.7815</v>
      </c>
      <c r="H266" t="inlineStr"/>
      <c r="I266" t="n">
        <v>111.2035</v>
      </c>
      <c r="J266" t="n">
        <v>781.0755</v>
      </c>
      <c r="K266" t="n">
        <v>2019</v>
      </c>
      <c r="L266" t="n">
        <v>2030</v>
      </c>
      <c r="M266" t="n">
        <v>0.2739</v>
      </c>
      <c r="N266" t="n">
        <v>0.1728</v>
      </c>
      <c r="O266" t="n">
        <v>2019</v>
      </c>
      <c r="P266" t="n">
        <v>2030</v>
      </c>
      <c r="Q266" t="n">
        <v>0.3852</v>
      </c>
      <c r="R266" t="n">
        <v>158.2904</v>
      </c>
      <c r="S266" t="n">
        <v>0.00100695</v>
      </c>
      <c r="T266" t="n">
        <v>0.00065008</v>
      </c>
      <c r="U266" t="n">
        <v>1093.7815</v>
      </c>
      <c r="V266" t="inlineStr">
        <is>
          <t>Supplier Reported Emissions</t>
        </is>
      </c>
      <c r="W266" t="b">
        <v>0</v>
      </c>
      <c r="X266" t="inlineStr">
        <is>
          <t>High</t>
        </is>
      </c>
      <c r="Y266" t="inlineStr">
        <is>
          <t>Scope_Emissions</t>
        </is>
      </c>
      <c r="Z266" t="n">
        <v>0.95</v>
      </c>
      <c r="AA266" t="inlineStr">
        <is>
          <t>Valid</t>
        </is>
      </c>
    </row>
    <row r="267">
      <c r="A267" t="inlineStr">
        <is>
          <t>SUP-0027</t>
        </is>
      </c>
      <c r="B267" t="inlineStr">
        <is>
          <t>Metals Supplier 027</t>
        </is>
      </c>
      <c r="C267" t="inlineStr">
        <is>
          <t>Metals</t>
        </is>
      </c>
      <c r="D267" t="n">
        <v>2020</v>
      </c>
      <c r="E267" t="n">
        <v>864601.6</v>
      </c>
      <c r="F267" t="n">
        <v>5183757.86</v>
      </c>
      <c r="G267" t="inlineStr"/>
      <c r="H267" t="n">
        <v>169.4997</v>
      </c>
      <c r="I267" t="n">
        <v>132.8175</v>
      </c>
      <c r="J267" t="n">
        <v>577.7087</v>
      </c>
      <c r="K267" t="n">
        <v>2019</v>
      </c>
      <c r="L267" t="n">
        <v>2030</v>
      </c>
      <c r="M267" t="n">
        <v>0.2739</v>
      </c>
      <c r="N267" t="n">
        <v>0.1728</v>
      </c>
      <c r="O267" t="n">
        <v>2019</v>
      </c>
      <c r="P267" t="n">
        <v>2030</v>
      </c>
      <c r="Q267" t="n">
        <v>0.3852</v>
      </c>
      <c r="R267" t="n">
        <v>158.2904</v>
      </c>
      <c r="S267" t="n">
        <v>0.00100695</v>
      </c>
      <c r="T267" t="n">
        <v>0.00065008</v>
      </c>
      <c r="U267" t="n">
        <v>880.0259</v>
      </c>
      <c r="V267" t="inlineStr">
        <is>
          <t>Scope 1 + Scope 2 + Scope 3</t>
        </is>
      </c>
      <c r="W267" t="b">
        <v>1</v>
      </c>
      <c r="X267" t="inlineStr">
        <is>
          <t>High</t>
        </is>
      </c>
      <c r="Y267" t="inlineStr">
        <is>
          <t>Reported_Emissions</t>
        </is>
      </c>
      <c r="Z267" t="n">
        <v>0.88</v>
      </c>
      <c r="AA267" t="inlineStr">
        <is>
          <t>Valid</t>
        </is>
      </c>
    </row>
    <row r="268">
      <c r="A268" t="inlineStr">
        <is>
          <t>SUP-0027</t>
        </is>
      </c>
      <c r="B268" t="inlineStr">
        <is>
          <t>Metals Supplier 027</t>
        </is>
      </c>
      <c r="C268" t="inlineStr">
        <is>
          <t>Metals</t>
        </is>
      </c>
      <c r="D268" t="n">
        <v>2021</v>
      </c>
      <c r="E268" t="inlineStr"/>
      <c r="F268" t="n">
        <v>5035585.47</v>
      </c>
      <c r="G268" t="n">
        <v>775.8841</v>
      </c>
      <c r="H268" t="inlineStr"/>
      <c r="I268" t="n">
        <v>195.8484</v>
      </c>
      <c r="J268" t="n">
        <v>511.1576</v>
      </c>
      <c r="K268" t="n">
        <v>2019</v>
      </c>
      <c r="L268" t="n">
        <v>2030</v>
      </c>
      <c r="M268" t="n">
        <v>0.2739</v>
      </c>
      <c r="N268" t="n">
        <v>0.1728</v>
      </c>
      <c r="O268" t="n">
        <v>2019</v>
      </c>
      <c r="P268" t="n">
        <v>2030</v>
      </c>
      <c r="Q268" t="n">
        <v>0.3852</v>
      </c>
      <c r="R268" t="n">
        <v>158.2904</v>
      </c>
      <c r="S268" t="n">
        <v>0.00100695</v>
      </c>
      <c r="T268" t="n">
        <v>0.00065008</v>
      </c>
      <c r="U268" t="n">
        <v>775.8841</v>
      </c>
      <c r="V268" t="inlineStr">
        <is>
          <t>Supplier Reported Emissions</t>
        </is>
      </c>
      <c r="W268" t="b">
        <v>0</v>
      </c>
      <c r="X268" t="inlineStr">
        <is>
          <t>High</t>
        </is>
      </c>
      <c r="Y268" t="inlineStr">
        <is>
          <t>Gross_Spend; Scope_Emissions</t>
        </is>
      </c>
      <c r="Z268" t="n">
        <v>0.95</v>
      </c>
      <c r="AA268" t="inlineStr">
        <is>
          <t>Valid</t>
        </is>
      </c>
    </row>
    <row r="269">
      <c r="A269" t="inlineStr">
        <is>
          <t>SUP-0027</t>
        </is>
      </c>
      <c r="B269" t="inlineStr">
        <is>
          <t>Metals Supplier 027</t>
        </is>
      </c>
      <c r="C269" t="inlineStr">
        <is>
          <t>Metals</t>
        </is>
      </c>
      <c r="D269" t="n">
        <v>2022</v>
      </c>
      <c r="E269" t="n">
        <v>801751.8</v>
      </c>
      <c r="F269" t="n">
        <v>3935661.63</v>
      </c>
      <c r="G269" t="n">
        <v>665.8835</v>
      </c>
      <c r="H269" t="n">
        <v>102.716</v>
      </c>
      <c r="I269" t="n">
        <v>90.1973</v>
      </c>
      <c r="J269" t="n">
        <v>566.6781999999999</v>
      </c>
      <c r="K269" t="n">
        <v>2019</v>
      </c>
      <c r="L269" t="n">
        <v>2030</v>
      </c>
      <c r="M269" t="n">
        <v>0.2739</v>
      </c>
      <c r="N269" t="n">
        <v>0.1728</v>
      </c>
      <c r="O269" t="n">
        <v>2019</v>
      </c>
      <c r="P269" t="n">
        <v>2030</v>
      </c>
      <c r="Q269" t="n">
        <v>0.3852</v>
      </c>
      <c r="R269" t="n">
        <v>158.2904</v>
      </c>
      <c r="S269" t="n">
        <v>0.00100695</v>
      </c>
      <c r="T269" t="n">
        <v>0.00065008</v>
      </c>
      <c r="U269" t="n">
        <v>665.8835</v>
      </c>
      <c r="V269" t="inlineStr">
        <is>
          <t>Supplier Reported Emissions</t>
        </is>
      </c>
      <c r="W269" t="b">
        <v>0</v>
      </c>
      <c r="X269" t="inlineStr">
        <is>
          <t>High</t>
        </is>
      </c>
      <c r="Y269" t="inlineStr">
        <is>
          <t>None</t>
        </is>
      </c>
      <c r="Z269" t="n">
        <v>0.95</v>
      </c>
      <c r="AA269" t="inlineStr">
        <is>
          <t>Valid</t>
        </is>
      </c>
    </row>
    <row r="270">
      <c r="A270" t="inlineStr">
        <is>
          <t>SUP-0027</t>
        </is>
      </c>
      <c r="B270" t="inlineStr">
        <is>
          <t>Metals Supplier 027</t>
        </is>
      </c>
      <c r="C270" t="inlineStr">
        <is>
          <t>Metals</t>
        </is>
      </c>
      <c r="D270" t="n">
        <v>2023</v>
      </c>
      <c r="E270" t="n">
        <v>788859.36</v>
      </c>
      <c r="F270" t="n">
        <v>3961707.33</v>
      </c>
      <c r="G270" t="n">
        <v>1065.4003</v>
      </c>
      <c r="H270" t="n">
        <v>177.4804</v>
      </c>
      <c r="I270" t="n">
        <v>89.7901</v>
      </c>
      <c r="J270" t="inlineStr"/>
      <c r="K270" t="n">
        <v>2019</v>
      </c>
      <c r="L270" t="n">
        <v>2030</v>
      </c>
      <c r="M270" t="n">
        <v>0.2739</v>
      </c>
      <c r="N270" t="n">
        <v>0.1728</v>
      </c>
      <c r="O270" t="n">
        <v>2019</v>
      </c>
      <c r="P270" t="n">
        <v>2030</v>
      </c>
      <c r="Q270" t="n">
        <v>0.3852</v>
      </c>
      <c r="R270" t="n">
        <v>158.2904</v>
      </c>
      <c r="S270" t="n">
        <v>0.00100695</v>
      </c>
      <c r="T270" t="n">
        <v>0.00065008</v>
      </c>
      <c r="U270" t="n">
        <v>1065.4003</v>
      </c>
      <c r="V270" t="inlineStr">
        <is>
          <t>Supplier Reported Emissions</t>
        </is>
      </c>
      <c r="W270" t="b">
        <v>0</v>
      </c>
      <c r="X270" t="inlineStr">
        <is>
          <t>High</t>
        </is>
      </c>
      <c r="Y270" t="inlineStr">
        <is>
          <t>Scope_Emissions</t>
        </is>
      </c>
      <c r="Z270" t="n">
        <v>0.95</v>
      </c>
      <c r="AA270" t="inlineStr">
        <is>
          <t>Valid</t>
        </is>
      </c>
    </row>
    <row r="271">
      <c r="A271" t="inlineStr">
        <is>
          <t>SUP-0027</t>
        </is>
      </c>
      <c r="B271" t="inlineStr">
        <is>
          <t>Metals Supplier 027</t>
        </is>
      </c>
      <c r="C271" t="inlineStr">
        <is>
          <t>Metals</t>
        </is>
      </c>
      <c r="D271" t="n">
        <v>2024</v>
      </c>
      <c r="E271" t="n">
        <v>807454.96</v>
      </c>
      <c r="F271" t="n">
        <v>4098288.76</v>
      </c>
      <c r="G271" t="inlineStr"/>
      <c r="H271" t="n">
        <v>105.1004</v>
      </c>
      <c r="I271" t="n">
        <v>99.26179999999999</v>
      </c>
      <c r="J271" t="n">
        <v>557.8825000000001</v>
      </c>
      <c r="K271" t="n">
        <v>2019</v>
      </c>
      <c r="L271" t="n">
        <v>2030</v>
      </c>
      <c r="M271" t="n">
        <v>0.2739</v>
      </c>
      <c r="N271" t="n">
        <v>0.1728</v>
      </c>
      <c r="O271" t="n">
        <v>2019</v>
      </c>
      <c r="P271" t="n">
        <v>2030</v>
      </c>
      <c r="Q271" t="n">
        <v>0.3852</v>
      </c>
      <c r="R271" t="n">
        <v>158.2904</v>
      </c>
      <c r="S271" t="n">
        <v>0.00100695</v>
      </c>
      <c r="T271" t="n">
        <v>0.00065008</v>
      </c>
      <c r="U271" t="n">
        <v>762.2447</v>
      </c>
      <c r="V271" t="inlineStr">
        <is>
          <t>Scope 1 + Scope 2 + Scope 3</t>
        </is>
      </c>
      <c r="W271" t="b">
        <v>1</v>
      </c>
      <c r="X271" t="inlineStr">
        <is>
          <t>High</t>
        </is>
      </c>
      <c r="Y271" t="inlineStr">
        <is>
          <t>Reported_Emissions</t>
        </is>
      </c>
      <c r="Z271" t="n">
        <v>0.88</v>
      </c>
      <c r="AA271" t="inlineStr">
        <is>
          <t>Valid</t>
        </is>
      </c>
    </row>
    <row r="272">
      <c r="A272" t="inlineStr">
        <is>
          <t>SUP-0028</t>
        </is>
      </c>
      <c r="B272" t="inlineStr">
        <is>
          <t>Professional Supplier 028</t>
        </is>
      </c>
      <c r="C272" t="inlineStr">
        <is>
          <t>Professional Services</t>
        </is>
      </c>
      <c r="D272" t="n">
        <v>2015</v>
      </c>
      <c r="E272" t="n">
        <v>11531216.09</v>
      </c>
      <c r="F272" t="n">
        <v>75688760.25</v>
      </c>
      <c r="G272" t="n">
        <v>1546.9138</v>
      </c>
      <c r="H272" t="n">
        <v>245.5365</v>
      </c>
      <c r="I272" t="n">
        <v>349.426</v>
      </c>
      <c r="J272" t="inlineStr"/>
      <c r="K272" t="n">
        <v>2020</v>
      </c>
      <c r="L272" t="n">
        <v>2035</v>
      </c>
      <c r="M272" t="n">
        <v>0.5648</v>
      </c>
      <c r="N272" t="n">
        <v>0.2914</v>
      </c>
      <c r="O272" t="n">
        <v>2020</v>
      </c>
      <c r="P272" t="inlineStr"/>
      <c r="Q272" t="inlineStr"/>
      <c r="R272" t="n">
        <v>400.0326</v>
      </c>
      <c r="S272" t="n">
        <v>0.00012906</v>
      </c>
      <c r="T272" t="n">
        <v>0.00019658</v>
      </c>
      <c r="U272" t="n">
        <v>1546.9138</v>
      </c>
      <c r="V272" t="inlineStr">
        <is>
          <t>Supplier Reported Emissions</t>
        </is>
      </c>
      <c r="W272" t="b">
        <v>0</v>
      </c>
      <c r="X272" t="inlineStr">
        <is>
          <t>High</t>
        </is>
      </c>
      <c r="Y272" t="inlineStr">
        <is>
          <t>Scope_Emissions</t>
        </is>
      </c>
      <c r="Z272" t="n">
        <v>0.95</v>
      </c>
      <c r="AA272" t="inlineStr">
        <is>
          <t>Valid</t>
        </is>
      </c>
    </row>
    <row r="273">
      <c r="A273" t="inlineStr">
        <is>
          <t>SUP-0028</t>
        </is>
      </c>
      <c r="B273" t="inlineStr">
        <is>
          <t>Professional Supplier 028</t>
        </is>
      </c>
      <c r="C273" t="inlineStr">
        <is>
          <t>Professional Services</t>
        </is>
      </c>
      <c r="D273" t="n">
        <v>2016</v>
      </c>
      <c r="E273" t="n">
        <v>11691869.21</v>
      </c>
      <c r="F273" t="n">
        <v>95025010.56999999</v>
      </c>
      <c r="G273" t="n">
        <v>1271.0385</v>
      </c>
      <c r="H273" t="n">
        <v>213.6809</v>
      </c>
      <c r="I273" t="n">
        <v>137.5249</v>
      </c>
      <c r="J273" t="n">
        <v>947.3896999999999</v>
      </c>
      <c r="K273" t="n">
        <v>2020</v>
      </c>
      <c r="L273" t="n">
        <v>2035</v>
      </c>
      <c r="M273" t="n">
        <v>0.5648</v>
      </c>
      <c r="N273" t="n">
        <v>0.2914</v>
      </c>
      <c r="O273" t="n">
        <v>2020</v>
      </c>
      <c r="P273" t="inlineStr"/>
      <c r="Q273" t="inlineStr"/>
      <c r="R273" t="n">
        <v>400.0326</v>
      </c>
      <c r="S273" t="n">
        <v>0.00012906</v>
      </c>
      <c r="T273" t="n">
        <v>0.00019658</v>
      </c>
      <c r="U273" t="n">
        <v>1271.0385</v>
      </c>
      <c r="V273" t="inlineStr">
        <is>
          <t>Supplier Reported Emissions</t>
        </is>
      </c>
      <c r="W273" t="b">
        <v>0</v>
      </c>
      <c r="X273" t="inlineStr">
        <is>
          <t>High</t>
        </is>
      </c>
      <c r="Y273" t="inlineStr">
        <is>
          <t>None</t>
        </is>
      </c>
      <c r="Z273" t="n">
        <v>0.95</v>
      </c>
      <c r="AA273" t="inlineStr">
        <is>
          <t>Valid</t>
        </is>
      </c>
    </row>
    <row r="274">
      <c r="A274" t="inlineStr">
        <is>
          <t>SUP-0028</t>
        </is>
      </c>
      <c r="B274" t="inlineStr">
        <is>
          <t>Professional Supplier 028</t>
        </is>
      </c>
      <c r="C274" t="inlineStr">
        <is>
          <t>Professional Services</t>
        </is>
      </c>
      <c r="D274" t="n">
        <v>2017</v>
      </c>
      <c r="E274" t="inlineStr"/>
      <c r="F274" t="n">
        <v>87756981.18000001</v>
      </c>
      <c r="G274" t="n">
        <v>1637.9734</v>
      </c>
      <c r="H274" t="n">
        <v>186.0729</v>
      </c>
      <c r="I274" t="inlineStr"/>
      <c r="J274" t="n">
        <v>1352.8616</v>
      </c>
      <c r="K274" t="n">
        <v>2020</v>
      </c>
      <c r="L274" t="n">
        <v>2035</v>
      </c>
      <c r="M274" t="n">
        <v>0.5648</v>
      </c>
      <c r="N274" t="n">
        <v>0.2914</v>
      </c>
      <c r="O274" t="n">
        <v>2020</v>
      </c>
      <c r="P274" t="inlineStr"/>
      <c r="Q274" t="inlineStr"/>
      <c r="R274" t="n">
        <v>400.0326</v>
      </c>
      <c r="S274" t="n">
        <v>0.00012906</v>
      </c>
      <c r="T274" t="n">
        <v>0.00019658</v>
      </c>
      <c r="U274" t="n">
        <v>1637.9734</v>
      </c>
      <c r="V274" t="inlineStr">
        <is>
          <t>Supplier Reported Emissions</t>
        </is>
      </c>
      <c r="W274" t="b">
        <v>0</v>
      </c>
      <c r="X274" t="inlineStr">
        <is>
          <t>High</t>
        </is>
      </c>
      <c r="Y274" t="inlineStr">
        <is>
          <t>Gross_Spend; Scope_Emissions</t>
        </is>
      </c>
      <c r="Z274" t="n">
        <v>0.95</v>
      </c>
      <c r="AA274" t="inlineStr">
        <is>
          <t>Valid</t>
        </is>
      </c>
    </row>
    <row r="275">
      <c r="A275" t="inlineStr">
        <is>
          <t>SUP-0028</t>
        </is>
      </c>
      <c r="B275" t="inlineStr">
        <is>
          <t>Professional Supplier 028</t>
        </is>
      </c>
      <c r="C275" t="inlineStr">
        <is>
          <t>Professional Services</t>
        </is>
      </c>
      <c r="D275" t="n">
        <v>2018</v>
      </c>
      <c r="E275" t="n">
        <v>10934844.82</v>
      </c>
      <c r="F275" t="n">
        <v>83177508.55</v>
      </c>
      <c r="G275" t="n">
        <v>1216.2542</v>
      </c>
      <c r="H275" t="n">
        <v>236.1948</v>
      </c>
      <c r="I275" t="n">
        <v>188.2563</v>
      </c>
      <c r="J275" t="n">
        <v>709.8753</v>
      </c>
      <c r="K275" t="n">
        <v>2020</v>
      </c>
      <c r="L275" t="n">
        <v>2035</v>
      </c>
      <c r="M275" t="n">
        <v>0.5648</v>
      </c>
      <c r="N275" t="n">
        <v>0.2914</v>
      </c>
      <c r="O275" t="n">
        <v>2020</v>
      </c>
      <c r="P275" t="inlineStr"/>
      <c r="Q275" t="inlineStr"/>
      <c r="R275" t="n">
        <v>400.0326</v>
      </c>
      <c r="S275" t="n">
        <v>0.00012906</v>
      </c>
      <c r="T275" t="n">
        <v>0.00019658</v>
      </c>
      <c r="U275" t="n">
        <v>1216.2542</v>
      </c>
      <c r="V275" t="inlineStr">
        <is>
          <t>Supplier Reported Emissions</t>
        </is>
      </c>
      <c r="W275" t="b">
        <v>0</v>
      </c>
      <c r="X275" t="inlineStr">
        <is>
          <t>High</t>
        </is>
      </c>
      <c r="Y275" t="inlineStr">
        <is>
          <t>None</t>
        </is>
      </c>
      <c r="Z275" t="n">
        <v>0.95</v>
      </c>
      <c r="AA275" t="inlineStr">
        <is>
          <t>Valid</t>
        </is>
      </c>
    </row>
    <row r="276">
      <c r="A276" t="inlineStr">
        <is>
          <t>SUP-0028</t>
        </is>
      </c>
      <c r="B276" t="inlineStr">
        <is>
          <t>Professional Supplier 028</t>
        </is>
      </c>
      <c r="C276" t="inlineStr">
        <is>
          <t>Professional Services</t>
        </is>
      </c>
      <c r="D276" t="n">
        <v>2019</v>
      </c>
      <c r="E276" t="n">
        <v>10076791.86</v>
      </c>
      <c r="F276" t="inlineStr"/>
      <c r="G276" t="n">
        <v>1341.5474</v>
      </c>
      <c r="H276" t="n">
        <v>133.7304</v>
      </c>
      <c r="I276" t="n">
        <v>288.4627</v>
      </c>
      <c r="J276" t="n">
        <v>975.4986</v>
      </c>
      <c r="K276" t="n">
        <v>2020</v>
      </c>
      <c r="L276" t="n">
        <v>2035</v>
      </c>
      <c r="M276" t="n">
        <v>0.5648</v>
      </c>
      <c r="N276" t="n">
        <v>0.2914</v>
      </c>
      <c r="O276" t="n">
        <v>2020</v>
      </c>
      <c r="P276" t="inlineStr"/>
      <c r="Q276" t="inlineStr"/>
      <c r="R276" t="n">
        <v>400.0326</v>
      </c>
      <c r="S276" t="n">
        <v>0.00012906</v>
      </c>
      <c r="T276" t="n">
        <v>0.00019658</v>
      </c>
      <c r="U276" t="n">
        <v>1341.5474</v>
      </c>
      <c r="V276" t="inlineStr">
        <is>
          <t>Supplier Reported Emissions</t>
        </is>
      </c>
      <c r="W276" t="b">
        <v>0</v>
      </c>
      <c r="X276" t="inlineStr">
        <is>
          <t>High</t>
        </is>
      </c>
      <c r="Y276" t="inlineStr">
        <is>
          <t>Revenue</t>
        </is>
      </c>
      <c r="Z276" t="n">
        <v>0.95</v>
      </c>
      <c r="AA276" t="inlineStr">
        <is>
          <t>Valid</t>
        </is>
      </c>
    </row>
    <row r="277">
      <c r="A277" t="inlineStr">
        <is>
          <t>SUP-0028</t>
        </is>
      </c>
      <c r="B277" t="inlineStr">
        <is>
          <t>Professional Supplier 028</t>
        </is>
      </c>
      <c r="C277" t="inlineStr">
        <is>
          <t>Professional Services</t>
        </is>
      </c>
      <c r="D277" t="n">
        <v>2020</v>
      </c>
      <c r="E277" t="n">
        <v>11601723.63</v>
      </c>
      <c r="F277" t="n">
        <v>94209707.64</v>
      </c>
      <c r="G277" t="inlineStr"/>
      <c r="H277" t="n">
        <v>151.1861</v>
      </c>
      <c r="I277" t="n">
        <v>114.0265</v>
      </c>
      <c r="J277" t="n">
        <v>1186.2835</v>
      </c>
      <c r="K277" t="n">
        <v>2020</v>
      </c>
      <c r="L277" t="n">
        <v>2035</v>
      </c>
      <c r="M277" t="n">
        <v>0.5648</v>
      </c>
      <c r="N277" t="n">
        <v>0.2914</v>
      </c>
      <c r="O277" t="n">
        <v>2020</v>
      </c>
      <c r="P277" t="inlineStr"/>
      <c r="Q277" t="inlineStr"/>
      <c r="R277" t="n">
        <v>400.0326</v>
      </c>
      <c r="S277" t="n">
        <v>0.00012906</v>
      </c>
      <c r="T277" t="n">
        <v>0.00019658</v>
      </c>
      <c r="U277" t="n">
        <v>1451.4961</v>
      </c>
      <c r="V277" t="inlineStr">
        <is>
          <t>Scope 1 + Scope 2 + Scope 3</t>
        </is>
      </c>
      <c r="W277" t="b">
        <v>1</v>
      </c>
      <c r="X277" t="inlineStr">
        <is>
          <t>High</t>
        </is>
      </c>
      <c r="Y277" t="inlineStr">
        <is>
          <t>Reported_Emissions</t>
        </is>
      </c>
      <c r="Z277" t="n">
        <v>0.88</v>
      </c>
      <c r="AA277" t="inlineStr">
        <is>
          <t>Valid</t>
        </is>
      </c>
    </row>
    <row r="278">
      <c r="A278" t="inlineStr">
        <is>
          <t>SUP-0028</t>
        </is>
      </c>
      <c r="B278" t="inlineStr">
        <is>
          <t>Professional Supplier 028</t>
        </is>
      </c>
      <c r="C278" t="inlineStr">
        <is>
          <t>Professional Services</t>
        </is>
      </c>
      <c r="D278" t="n">
        <v>2021</v>
      </c>
      <c r="E278" t="n">
        <v>10441791.64</v>
      </c>
      <c r="F278" t="n">
        <v>80872660.67</v>
      </c>
      <c r="G278" t="n">
        <v>1783.4779</v>
      </c>
      <c r="H278" t="n">
        <v>294.9608</v>
      </c>
      <c r="I278" t="n">
        <v>260.7057</v>
      </c>
      <c r="J278" t="inlineStr"/>
      <c r="K278" t="n">
        <v>2020</v>
      </c>
      <c r="L278" t="n">
        <v>2035</v>
      </c>
      <c r="M278" t="n">
        <v>0.5648</v>
      </c>
      <c r="N278" t="n">
        <v>0.2914</v>
      </c>
      <c r="O278" t="n">
        <v>2020</v>
      </c>
      <c r="P278" t="inlineStr"/>
      <c r="Q278" t="inlineStr"/>
      <c r="R278" t="n">
        <v>400.0326</v>
      </c>
      <c r="S278" t="n">
        <v>0.00012906</v>
      </c>
      <c r="T278" t="n">
        <v>0.00019658</v>
      </c>
      <c r="U278" t="n">
        <v>1783.4779</v>
      </c>
      <c r="V278" t="inlineStr">
        <is>
          <t>Supplier Reported Emissions</t>
        </is>
      </c>
      <c r="W278" t="b">
        <v>0</v>
      </c>
      <c r="X278" t="inlineStr">
        <is>
          <t>High</t>
        </is>
      </c>
      <c r="Y278" t="inlineStr">
        <is>
          <t>Scope_Emissions</t>
        </is>
      </c>
      <c r="Z278" t="n">
        <v>0.95</v>
      </c>
      <c r="AA278" t="inlineStr">
        <is>
          <t>Valid</t>
        </is>
      </c>
    </row>
    <row r="279">
      <c r="A279" t="inlineStr">
        <is>
          <t>SUP-0028</t>
        </is>
      </c>
      <c r="B279" t="inlineStr">
        <is>
          <t>Professional Supplier 028</t>
        </is>
      </c>
      <c r="C279" t="inlineStr">
        <is>
          <t>Professional Services</t>
        </is>
      </c>
      <c r="D279" t="n">
        <v>2022</v>
      </c>
      <c r="E279" t="n">
        <v>10404054.68</v>
      </c>
      <c r="F279" t="inlineStr"/>
      <c r="G279" t="n">
        <v>1339.606</v>
      </c>
      <c r="H279" t="n">
        <v>291.1017</v>
      </c>
      <c r="I279" t="inlineStr"/>
      <c r="J279" t="n">
        <v>743.2459</v>
      </c>
      <c r="K279" t="n">
        <v>2020</v>
      </c>
      <c r="L279" t="n">
        <v>2035</v>
      </c>
      <c r="M279" t="n">
        <v>0.5648</v>
      </c>
      <c r="N279" t="n">
        <v>0.2914</v>
      </c>
      <c r="O279" t="n">
        <v>2020</v>
      </c>
      <c r="P279" t="inlineStr"/>
      <c r="Q279" t="inlineStr"/>
      <c r="R279" t="n">
        <v>400.0326</v>
      </c>
      <c r="S279" t="n">
        <v>0.00012906</v>
      </c>
      <c r="T279" t="n">
        <v>0.00019658</v>
      </c>
      <c r="U279" t="n">
        <v>1339.606</v>
      </c>
      <c r="V279" t="inlineStr">
        <is>
          <t>Supplier Reported Emissions</t>
        </is>
      </c>
      <c r="W279" t="b">
        <v>0</v>
      </c>
      <c r="X279" t="inlineStr">
        <is>
          <t>High</t>
        </is>
      </c>
      <c r="Y279" t="inlineStr">
        <is>
          <t>Revenue; Scope_Emissions</t>
        </is>
      </c>
      <c r="Z279" t="n">
        <v>0.95</v>
      </c>
      <c r="AA279" t="inlineStr">
        <is>
          <t>Valid</t>
        </is>
      </c>
    </row>
    <row r="280">
      <c r="A280" t="inlineStr">
        <is>
          <t>SUP-0028</t>
        </is>
      </c>
      <c r="B280" t="inlineStr">
        <is>
          <t>Professional Supplier 028</t>
        </is>
      </c>
      <c r="C280" t="inlineStr">
        <is>
          <t>Professional Services</t>
        </is>
      </c>
      <c r="D280" t="n">
        <v>2023</v>
      </c>
      <c r="E280" t="n">
        <v>8612471.6</v>
      </c>
      <c r="F280" t="n">
        <v>87631854.26000001</v>
      </c>
      <c r="G280" t="n">
        <v>1476.3951</v>
      </c>
      <c r="H280" t="n">
        <v>384.1146</v>
      </c>
      <c r="I280" t="inlineStr"/>
      <c r="J280" t="n">
        <v>777.1594</v>
      </c>
      <c r="K280" t="n">
        <v>2020</v>
      </c>
      <c r="L280" t="n">
        <v>2035</v>
      </c>
      <c r="M280" t="n">
        <v>0.5648</v>
      </c>
      <c r="N280" t="n">
        <v>0.2914</v>
      </c>
      <c r="O280" t="n">
        <v>2020</v>
      </c>
      <c r="P280" t="inlineStr"/>
      <c r="Q280" t="inlineStr"/>
      <c r="R280" t="n">
        <v>400.0326</v>
      </c>
      <c r="S280" t="n">
        <v>0.00012906</v>
      </c>
      <c r="T280" t="n">
        <v>0.00019658</v>
      </c>
      <c r="U280" t="n">
        <v>1476.3951</v>
      </c>
      <c r="V280" t="inlineStr">
        <is>
          <t>Supplier Reported Emissions</t>
        </is>
      </c>
      <c r="W280" t="b">
        <v>0</v>
      </c>
      <c r="X280" t="inlineStr">
        <is>
          <t>High</t>
        </is>
      </c>
      <c r="Y280" t="inlineStr">
        <is>
          <t>Scope_Emissions</t>
        </is>
      </c>
      <c r="Z280" t="n">
        <v>0.95</v>
      </c>
      <c r="AA280" t="inlineStr">
        <is>
          <t>Valid</t>
        </is>
      </c>
    </row>
    <row r="281">
      <c r="A281" t="inlineStr">
        <is>
          <t>SUP-0028</t>
        </is>
      </c>
      <c r="B281" t="inlineStr">
        <is>
          <t>Professional Supplier 028</t>
        </is>
      </c>
      <c r="C281" t="inlineStr">
        <is>
          <t>Professional Services</t>
        </is>
      </c>
      <c r="D281" t="n">
        <v>2024</v>
      </c>
      <c r="E281" t="n">
        <v>9677584.16</v>
      </c>
      <c r="F281" t="n">
        <v>43385189.05</v>
      </c>
      <c r="G281" t="n">
        <v>1741.4047</v>
      </c>
      <c r="H281" t="n">
        <v>388.2657</v>
      </c>
      <c r="I281" t="n">
        <v>234.8407</v>
      </c>
      <c r="J281" t="n">
        <v>993.9453</v>
      </c>
      <c r="K281" t="n">
        <v>2020</v>
      </c>
      <c r="L281" t="n">
        <v>2035</v>
      </c>
      <c r="M281" t="n">
        <v>0.5648</v>
      </c>
      <c r="N281" t="n">
        <v>0.2914</v>
      </c>
      <c r="O281" t="n">
        <v>2020</v>
      </c>
      <c r="P281" t="inlineStr"/>
      <c r="Q281" t="inlineStr"/>
      <c r="R281" t="n">
        <v>400.0326</v>
      </c>
      <c r="S281" t="n">
        <v>0.00012906</v>
      </c>
      <c r="T281" t="n">
        <v>0.00019658</v>
      </c>
      <c r="U281" t="n">
        <v>1741.4047</v>
      </c>
      <c r="V281" t="inlineStr">
        <is>
          <t>Supplier Reported Emissions</t>
        </is>
      </c>
      <c r="W281" t="b">
        <v>0</v>
      </c>
      <c r="X281" t="inlineStr">
        <is>
          <t>High</t>
        </is>
      </c>
      <c r="Y281" t="inlineStr">
        <is>
          <t>None</t>
        </is>
      </c>
      <c r="Z281" t="n">
        <v>0.95</v>
      </c>
      <c r="AA281" t="inlineStr">
        <is>
          <t>Valid</t>
        </is>
      </c>
    </row>
    <row r="282">
      <c r="A282" t="inlineStr">
        <is>
          <t>SUP-0029</t>
        </is>
      </c>
      <c r="B282" t="inlineStr">
        <is>
          <t>Electronics Supplier 029</t>
        </is>
      </c>
      <c r="C282" t="inlineStr">
        <is>
          <t>Electronics</t>
        </is>
      </c>
      <c r="D282" t="n">
        <v>2015</v>
      </c>
      <c r="E282" t="n">
        <v>6625342.51</v>
      </c>
      <c r="F282" t="n">
        <v>12124752.85</v>
      </c>
      <c r="G282" t="n">
        <v>8124.5053</v>
      </c>
      <c r="H282" t="inlineStr"/>
      <c r="I282" t="n">
        <v>890.9392</v>
      </c>
      <c r="J282" t="n">
        <v>6619.4641</v>
      </c>
      <c r="K282" t="inlineStr"/>
      <c r="L282" t="inlineStr"/>
      <c r="M282" t="inlineStr"/>
      <c r="N282" t="inlineStr"/>
      <c r="O282" t="n">
        <v>2018</v>
      </c>
      <c r="P282" t="n">
        <v>2040</v>
      </c>
      <c r="Q282" t="n">
        <v>0.3424</v>
      </c>
      <c r="R282" t="n">
        <v>635.1588</v>
      </c>
      <c r="S282" t="n">
        <v>0.00086105</v>
      </c>
      <c r="T282" t="n">
        <v>0.00013947</v>
      </c>
      <c r="U282" t="n">
        <v>8124.5053</v>
      </c>
      <c r="V282" t="inlineStr">
        <is>
          <t>Supplier Reported Emissions</t>
        </is>
      </c>
      <c r="W282" t="b">
        <v>0</v>
      </c>
      <c r="X282" t="inlineStr">
        <is>
          <t>High</t>
        </is>
      </c>
      <c r="Y282" t="inlineStr">
        <is>
          <t>Scope_Emissions</t>
        </is>
      </c>
      <c r="Z282" t="n">
        <v>0.95</v>
      </c>
      <c r="AA282" t="inlineStr">
        <is>
          <t>Valid</t>
        </is>
      </c>
    </row>
    <row r="283">
      <c r="A283" t="inlineStr">
        <is>
          <t>SUP-0029</t>
        </is>
      </c>
      <c r="B283" t="inlineStr">
        <is>
          <t>Electronics Supplier 029</t>
        </is>
      </c>
      <c r="C283" t="inlineStr">
        <is>
          <t>Electronics</t>
        </is>
      </c>
      <c r="D283" t="n">
        <v>2016</v>
      </c>
      <c r="E283" t="n">
        <v>6306366.92</v>
      </c>
      <c r="F283" t="n">
        <v>12038438.69</v>
      </c>
      <c r="G283" t="n">
        <v>5512.5767</v>
      </c>
      <c r="H283" t="n">
        <v>591.0472</v>
      </c>
      <c r="I283" t="inlineStr"/>
      <c r="J283" t="n">
        <v>3884.1795</v>
      </c>
      <c r="K283" t="inlineStr"/>
      <c r="L283" t="inlineStr"/>
      <c r="M283" t="inlineStr"/>
      <c r="N283" t="inlineStr"/>
      <c r="O283" t="n">
        <v>2018</v>
      </c>
      <c r="P283" t="n">
        <v>2040</v>
      </c>
      <c r="Q283" t="n">
        <v>0.3424</v>
      </c>
      <c r="R283" t="n">
        <v>635.1588</v>
      </c>
      <c r="S283" t="n">
        <v>0.00086105</v>
      </c>
      <c r="T283" t="n">
        <v>0.00013947</v>
      </c>
      <c r="U283" t="n">
        <v>5512.5767</v>
      </c>
      <c r="V283" t="inlineStr">
        <is>
          <t>Supplier Reported Emissions</t>
        </is>
      </c>
      <c r="W283" t="b">
        <v>0</v>
      </c>
      <c r="X283" t="inlineStr">
        <is>
          <t>High</t>
        </is>
      </c>
      <c r="Y283" t="inlineStr">
        <is>
          <t>Scope_Emissions</t>
        </is>
      </c>
      <c r="Z283" t="n">
        <v>0.95</v>
      </c>
      <c r="AA283" t="inlineStr">
        <is>
          <t>Valid</t>
        </is>
      </c>
    </row>
    <row r="284">
      <c r="A284" t="inlineStr">
        <is>
          <t>SUP-0029</t>
        </is>
      </c>
      <c r="B284" t="inlineStr">
        <is>
          <t>Electronics Supplier 029</t>
        </is>
      </c>
      <c r="C284" t="inlineStr">
        <is>
          <t>Electronics</t>
        </is>
      </c>
      <c r="D284" t="n">
        <v>2017</v>
      </c>
      <c r="E284" t="n">
        <v>7008199.23</v>
      </c>
      <c r="F284" t="n">
        <v>13868401.97</v>
      </c>
      <c r="G284" t="n">
        <v>5149.1935</v>
      </c>
      <c r="H284" t="n">
        <v>507.7829</v>
      </c>
      <c r="I284" t="n">
        <v>1132.7701</v>
      </c>
      <c r="J284" t="n">
        <v>4094.7093</v>
      </c>
      <c r="K284" t="inlineStr"/>
      <c r="L284" t="inlineStr"/>
      <c r="M284" t="inlineStr"/>
      <c r="N284" t="inlineStr"/>
      <c r="O284" t="n">
        <v>2018</v>
      </c>
      <c r="P284" t="n">
        <v>2040</v>
      </c>
      <c r="Q284" t="n">
        <v>0.3424</v>
      </c>
      <c r="R284" t="n">
        <v>635.1588</v>
      </c>
      <c r="S284" t="n">
        <v>0.00086105</v>
      </c>
      <c r="T284" t="n">
        <v>0.00013947</v>
      </c>
      <c r="U284" t="n">
        <v>5149.1935</v>
      </c>
      <c r="V284" t="inlineStr">
        <is>
          <t>Supplier Reported Emissions</t>
        </is>
      </c>
      <c r="W284" t="b">
        <v>0</v>
      </c>
      <c r="X284" t="inlineStr">
        <is>
          <t>High</t>
        </is>
      </c>
      <c r="Y284" t="inlineStr">
        <is>
          <t>None</t>
        </is>
      </c>
      <c r="Z284" t="n">
        <v>0.95</v>
      </c>
      <c r="AA284" t="inlineStr">
        <is>
          <t>Valid</t>
        </is>
      </c>
    </row>
    <row r="285">
      <c r="A285" t="inlineStr">
        <is>
          <t>SUP-0029</t>
        </is>
      </c>
      <c r="B285" t="inlineStr">
        <is>
          <t>Electronics Supplier 029</t>
        </is>
      </c>
      <c r="C285" t="inlineStr">
        <is>
          <t>Electronics</t>
        </is>
      </c>
      <c r="D285" t="n">
        <v>2018</v>
      </c>
      <c r="E285" t="n">
        <v>7389735.38</v>
      </c>
      <c r="F285" t="n">
        <v>15576279.16</v>
      </c>
      <c r="G285" t="n">
        <v>5094.1022</v>
      </c>
      <c r="H285" t="n">
        <v>805.5896</v>
      </c>
      <c r="I285" t="n">
        <v>589.8741</v>
      </c>
      <c r="J285" t="n">
        <v>3515.8159</v>
      </c>
      <c r="K285" t="inlineStr"/>
      <c r="L285" t="inlineStr"/>
      <c r="M285" t="inlineStr"/>
      <c r="N285" t="inlineStr"/>
      <c r="O285" t="n">
        <v>2018</v>
      </c>
      <c r="P285" t="n">
        <v>2040</v>
      </c>
      <c r="Q285" t="n">
        <v>0.3424</v>
      </c>
      <c r="R285" t="n">
        <v>635.1588</v>
      </c>
      <c r="S285" t="n">
        <v>0.00086105</v>
      </c>
      <c r="T285" t="n">
        <v>0.00013947</v>
      </c>
      <c r="U285" t="n">
        <v>5094.1022</v>
      </c>
      <c r="V285" t="inlineStr">
        <is>
          <t>Supplier Reported Emissions</t>
        </is>
      </c>
      <c r="W285" t="b">
        <v>0</v>
      </c>
      <c r="X285" t="inlineStr">
        <is>
          <t>High</t>
        </is>
      </c>
      <c r="Y285" t="inlineStr">
        <is>
          <t>None</t>
        </is>
      </c>
      <c r="Z285" t="n">
        <v>0.95</v>
      </c>
      <c r="AA285" t="inlineStr">
        <is>
          <t>Valid</t>
        </is>
      </c>
    </row>
    <row r="286">
      <c r="A286" t="inlineStr">
        <is>
          <t>SUP-0029</t>
        </is>
      </c>
      <c r="B286" t="inlineStr">
        <is>
          <t>Electronics Supplier 029</t>
        </is>
      </c>
      <c r="C286" t="inlineStr">
        <is>
          <t>Electronics</t>
        </is>
      </c>
      <c r="D286" t="n">
        <v>2019</v>
      </c>
      <c r="E286" t="n">
        <v>7998130.47</v>
      </c>
      <c r="F286" t="n">
        <v>20982212.65</v>
      </c>
      <c r="G286" t="inlineStr"/>
      <c r="H286" t="n">
        <v>1526.4353</v>
      </c>
      <c r="I286" t="n">
        <v>1285.1177</v>
      </c>
      <c r="J286" t="inlineStr"/>
      <c r="K286" t="inlineStr"/>
      <c r="L286" t="inlineStr"/>
      <c r="M286" t="inlineStr"/>
      <c r="N286" t="inlineStr"/>
      <c r="O286" t="n">
        <v>2018</v>
      </c>
      <c r="P286" t="n">
        <v>2040</v>
      </c>
      <c r="Q286" t="n">
        <v>0.3424</v>
      </c>
      <c r="R286" t="n">
        <v>635.1588</v>
      </c>
      <c r="S286" t="n">
        <v>0.00086105</v>
      </c>
      <c r="T286" t="n">
        <v>0.00013947</v>
      </c>
      <c r="U286" t="n">
        <v>6886.7902</v>
      </c>
      <c r="V286" t="inlineStr">
        <is>
          <t>Spend-Based Estimate</t>
        </is>
      </c>
      <c r="W286" t="b">
        <v>1</v>
      </c>
      <c r="X286" t="inlineStr">
        <is>
          <t>Medium</t>
        </is>
      </c>
      <c r="Y286" t="inlineStr">
        <is>
          <t>Reported_Emissions; Scope_Emissions</t>
        </is>
      </c>
      <c r="Z286" t="n">
        <v>0.7</v>
      </c>
      <c r="AA286" t="inlineStr">
        <is>
          <t>Valid</t>
        </is>
      </c>
    </row>
    <row r="287">
      <c r="A287" t="inlineStr">
        <is>
          <t>SUP-0029</t>
        </is>
      </c>
      <c r="B287" t="inlineStr">
        <is>
          <t>Electronics Supplier 029</t>
        </is>
      </c>
      <c r="C287" t="inlineStr">
        <is>
          <t>Electronics</t>
        </is>
      </c>
      <c r="D287" t="n">
        <v>2020</v>
      </c>
      <c r="E287" t="n">
        <v>8850594.09</v>
      </c>
      <c r="F287" t="n">
        <v>16976255.18</v>
      </c>
      <c r="G287" t="n">
        <v>7111.9226</v>
      </c>
      <c r="H287" t="n">
        <v>1346.8754</v>
      </c>
      <c r="I287" t="n">
        <v>841.0339</v>
      </c>
      <c r="J287" t="inlineStr"/>
      <c r="K287" t="inlineStr"/>
      <c r="L287" t="inlineStr"/>
      <c r="M287" t="inlineStr"/>
      <c r="N287" t="inlineStr"/>
      <c r="O287" t="n">
        <v>2018</v>
      </c>
      <c r="P287" t="n">
        <v>2040</v>
      </c>
      <c r="Q287" t="n">
        <v>0.3424</v>
      </c>
      <c r="R287" t="n">
        <v>635.1588</v>
      </c>
      <c r="S287" t="n">
        <v>0.00086105</v>
      </c>
      <c r="T287" t="n">
        <v>0.00013947</v>
      </c>
      <c r="U287" t="n">
        <v>7111.9226</v>
      </c>
      <c r="V287" t="inlineStr">
        <is>
          <t>Supplier Reported Emissions</t>
        </is>
      </c>
      <c r="W287" t="b">
        <v>0</v>
      </c>
      <c r="X287" t="inlineStr">
        <is>
          <t>High</t>
        </is>
      </c>
      <c r="Y287" t="inlineStr">
        <is>
          <t>Scope_Emissions</t>
        </is>
      </c>
      <c r="Z287" t="n">
        <v>0.95</v>
      </c>
      <c r="AA287" t="inlineStr">
        <is>
          <t>Valid</t>
        </is>
      </c>
    </row>
    <row r="288">
      <c r="A288" t="inlineStr">
        <is>
          <t>SUP-0029</t>
        </is>
      </c>
      <c r="B288" t="inlineStr">
        <is>
          <t>Electronics Supplier 029</t>
        </is>
      </c>
      <c r="C288" t="inlineStr">
        <is>
          <t>Electronics</t>
        </is>
      </c>
      <c r="D288" t="n">
        <v>2021</v>
      </c>
      <c r="E288" t="inlineStr"/>
      <c r="F288" t="n">
        <v>15701122.77</v>
      </c>
      <c r="G288" t="n">
        <v>7806.1462</v>
      </c>
      <c r="H288" t="n">
        <v>1125.9434</v>
      </c>
      <c r="I288" t="n">
        <v>680.4715</v>
      </c>
      <c r="J288" t="n">
        <v>5918.9881</v>
      </c>
      <c r="K288" t="inlineStr"/>
      <c r="L288" t="inlineStr"/>
      <c r="M288" t="inlineStr"/>
      <c r="N288" t="inlineStr"/>
      <c r="O288" t="n">
        <v>2018</v>
      </c>
      <c r="P288" t="n">
        <v>2040</v>
      </c>
      <c r="Q288" t="n">
        <v>0.3424</v>
      </c>
      <c r="R288" t="n">
        <v>635.1588</v>
      </c>
      <c r="S288" t="n">
        <v>0.00086105</v>
      </c>
      <c r="T288" t="n">
        <v>0.00013947</v>
      </c>
      <c r="U288" t="n">
        <v>7806.1462</v>
      </c>
      <c r="V288" t="inlineStr">
        <is>
          <t>Supplier Reported Emissions</t>
        </is>
      </c>
      <c r="W288" t="b">
        <v>0</v>
      </c>
      <c r="X288" t="inlineStr">
        <is>
          <t>High</t>
        </is>
      </c>
      <c r="Y288" t="inlineStr">
        <is>
          <t>Gross_Spend</t>
        </is>
      </c>
      <c r="Z288" t="n">
        <v>0.95</v>
      </c>
      <c r="AA288" t="inlineStr">
        <is>
          <t>Valid</t>
        </is>
      </c>
    </row>
    <row r="289">
      <c r="A289" t="inlineStr">
        <is>
          <t>SUP-0029</t>
        </is>
      </c>
      <c r="B289" t="inlineStr">
        <is>
          <t>Electronics Supplier 029</t>
        </is>
      </c>
      <c r="C289" t="inlineStr">
        <is>
          <t>Electronics</t>
        </is>
      </c>
      <c r="D289" t="n">
        <v>2022</v>
      </c>
      <c r="E289" t="n">
        <v>10735324.62</v>
      </c>
      <c r="F289" t="n">
        <v>17891219.27</v>
      </c>
      <c r="G289" t="n">
        <v>8815.345499999999</v>
      </c>
      <c r="H289" t="n">
        <v>2200.1079</v>
      </c>
      <c r="I289" t="n">
        <v>562.1197</v>
      </c>
      <c r="J289" t="n">
        <v>6247.8568</v>
      </c>
      <c r="K289" t="inlineStr"/>
      <c r="L289" t="inlineStr"/>
      <c r="M289" t="inlineStr"/>
      <c r="N289" t="inlineStr"/>
      <c r="O289" t="n">
        <v>2018</v>
      </c>
      <c r="P289" t="n">
        <v>2040</v>
      </c>
      <c r="Q289" t="n">
        <v>0.3424</v>
      </c>
      <c r="R289" t="n">
        <v>635.1588</v>
      </c>
      <c r="S289" t="n">
        <v>0.00086105</v>
      </c>
      <c r="T289" t="n">
        <v>0.00013947</v>
      </c>
      <c r="U289" t="n">
        <v>8815.345499999999</v>
      </c>
      <c r="V289" t="inlineStr">
        <is>
          <t>Supplier Reported Emissions</t>
        </is>
      </c>
      <c r="W289" t="b">
        <v>0</v>
      </c>
      <c r="X289" t="inlineStr">
        <is>
          <t>High</t>
        </is>
      </c>
      <c r="Y289" t="inlineStr">
        <is>
          <t>None</t>
        </is>
      </c>
      <c r="Z289" t="n">
        <v>0.95</v>
      </c>
      <c r="AA289" t="inlineStr">
        <is>
          <t>Valid</t>
        </is>
      </c>
    </row>
    <row r="290">
      <c r="A290" t="inlineStr">
        <is>
          <t>SUP-0029</t>
        </is>
      </c>
      <c r="B290" t="inlineStr">
        <is>
          <t>Electronics Supplier 029</t>
        </is>
      </c>
      <c r="C290" t="inlineStr">
        <is>
          <t>Electronics</t>
        </is>
      </c>
      <c r="D290" t="n">
        <v>2023</v>
      </c>
      <c r="E290" t="n">
        <v>9916718.630000001</v>
      </c>
      <c r="F290" t="n">
        <v>19316584.35</v>
      </c>
      <c r="G290" t="n">
        <v>6359.6148</v>
      </c>
      <c r="H290" t="n">
        <v>1621.7724</v>
      </c>
      <c r="I290" t="n">
        <v>529.0767</v>
      </c>
      <c r="J290" t="n">
        <v>3991.6295</v>
      </c>
      <c r="K290" t="inlineStr"/>
      <c r="L290" t="inlineStr"/>
      <c r="M290" t="inlineStr"/>
      <c r="N290" t="inlineStr"/>
      <c r="O290" t="n">
        <v>2018</v>
      </c>
      <c r="P290" t="n">
        <v>2040</v>
      </c>
      <c r="Q290" t="n">
        <v>0.3424</v>
      </c>
      <c r="R290" t="n">
        <v>635.1588</v>
      </c>
      <c r="S290" t="n">
        <v>0.00086105</v>
      </c>
      <c r="T290" t="n">
        <v>0.00013947</v>
      </c>
      <c r="U290" t="n">
        <v>6359.6148</v>
      </c>
      <c r="V290" t="inlineStr">
        <is>
          <t>Supplier Reported Emissions</t>
        </is>
      </c>
      <c r="W290" t="b">
        <v>0</v>
      </c>
      <c r="X290" t="inlineStr">
        <is>
          <t>High</t>
        </is>
      </c>
      <c r="Y290" t="inlineStr">
        <is>
          <t>None</t>
        </is>
      </c>
      <c r="Z290" t="n">
        <v>0.95</v>
      </c>
      <c r="AA290" t="inlineStr">
        <is>
          <t>Valid</t>
        </is>
      </c>
    </row>
    <row r="291">
      <c r="A291" t="inlineStr">
        <is>
          <t>SUP-0029</t>
        </is>
      </c>
      <c r="B291" t="inlineStr">
        <is>
          <t>Electronics Supplier 029</t>
        </is>
      </c>
      <c r="C291" t="inlineStr">
        <is>
          <t>Electronics</t>
        </is>
      </c>
      <c r="D291" t="n">
        <v>2024</v>
      </c>
      <c r="E291" t="inlineStr"/>
      <c r="F291" t="n">
        <v>22555584.41</v>
      </c>
      <c r="G291" t="n">
        <v>7133.4316</v>
      </c>
      <c r="H291" t="inlineStr"/>
      <c r="I291" t="inlineStr"/>
      <c r="J291" t="n">
        <v>3970.456</v>
      </c>
      <c r="K291" t="inlineStr"/>
      <c r="L291" t="inlineStr"/>
      <c r="M291" t="inlineStr"/>
      <c r="N291" t="inlineStr"/>
      <c r="O291" t="n">
        <v>2018</v>
      </c>
      <c r="P291" t="n">
        <v>2040</v>
      </c>
      <c r="Q291" t="n">
        <v>0.3424</v>
      </c>
      <c r="R291" t="n">
        <v>635.1588</v>
      </c>
      <c r="S291" t="n">
        <v>0.00086105</v>
      </c>
      <c r="T291" t="n">
        <v>0.00013947</v>
      </c>
      <c r="U291" t="n">
        <v>7133.4316</v>
      </c>
      <c r="V291" t="inlineStr">
        <is>
          <t>Supplier Reported Emissions</t>
        </is>
      </c>
      <c r="W291" t="b">
        <v>0</v>
      </c>
      <c r="X291" t="inlineStr">
        <is>
          <t>High</t>
        </is>
      </c>
      <c r="Y291" t="inlineStr">
        <is>
          <t>Gross_Spend; Scope_Emissions</t>
        </is>
      </c>
      <c r="Z291" t="n">
        <v>0.95</v>
      </c>
      <c r="AA291" t="inlineStr">
        <is>
          <t>Valid</t>
        </is>
      </c>
    </row>
    <row r="292">
      <c r="A292" t="inlineStr">
        <is>
          <t>SUP-0030</t>
        </is>
      </c>
      <c r="B292" t="inlineStr">
        <is>
          <t>Agriculture Supplier 030</t>
        </is>
      </c>
      <c r="C292" t="inlineStr">
        <is>
          <t>Agriculture</t>
        </is>
      </c>
      <c r="D292" t="n">
        <v>2015</v>
      </c>
      <c r="E292" t="n">
        <v>18042216.18</v>
      </c>
      <c r="F292" t="n">
        <v>49266314.91</v>
      </c>
      <c r="G292" t="n">
        <v>18618.9736</v>
      </c>
      <c r="H292" t="n">
        <v>1985.1114</v>
      </c>
      <c r="I292" t="n">
        <v>1793.6787</v>
      </c>
      <c r="J292" t="n">
        <v>14543.0933</v>
      </c>
      <c r="K292" t="inlineStr"/>
      <c r="L292" t="inlineStr"/>
      <c r="M292" t="inlineStr"/>
      <c r="N292" t="inlineStr"/>
      <c r="O292" t="n">
        <v>2018</v>
      </c>
      <c r="P292" t="inlineStr"/>
      <c r="Q292" t="inlineStr"/>
      <c r="R292" t="n">
        <v>529.8294</v>
      </c>
      <c r="S292" t="n">
        <v>0.00091413</v>
      </c>
      <c r="T292" t="n">
        <v>0.00096913</v>
      </c>
      <c r="U292" t="n">
        <v>18618.9736</v>
      </c>
      <c r="V292" t="inlineStr">
        <is>
          <t>Supplier Reported Emissions</t>
        </is>
      </c>
      <c r="W292" t="b">
        <v>0</v>
      </c>
      <c r="X292" t="inlineStr">
        <is>
          <t>High</t>
        </is>
      </c>
      <c r="Y292" t="inlineStr">
        <is>
          <t>None</t>
        </is>
      </c>
      <c r="Z292" t="n">
        <v>0.95</v>
      </c>
      <c r="AA292" t="inlineStr">
        <is>
          <t>Valid</t>
        </is>
      </c>
    </row>
    <row r="293">
      <c r="A293" t="inlineStr">
        <is>
          <t>SUP-0030</t>
        </is>
      </c>
      <c r="B293" t="inlineStr">
        <is>
          <t>Agriculture Supplier 030</t>
        </is>
      </c>
      <c r="C293" t="inlineStr">
        <is>
          <t>Agriculture</t>
        </is>
      </c>
      <c r="D293" t="n">
        <v>2016</v>
      </c>
      <c r="E293" t="n">
        <v>22578638.85</v>
      </c>
      <c r="F293" t="n">
        <v>41236194.13</v>
      </c>
      <c r="G293" t="inlineStr"/>
      <c r="H293" t="n">
        <v>2960.9936</v>
      </c>
      <c r="I293" t="inlineStr"/>
      <c r="J293" t="n">
        <v>17662.4052</v>
      </c>
      <c r="K293" t="inlineStr"/>
      <c r="L293" t="inlineStr"/>
      <c r="M293" t="inlineStr"/>
      <c r="N293" t="inlineStr"/>
      <c r="O293" t="n">
        <v>2018</v>
      </c>
      <c r="P293" t="inlineStr"/>
      <c r="Q293" t="inlineStr"/>
      <c r="R293" t="n">
        <v>529.8294</v>
      </c>
      <c r="S293" t="n">
        <v>0.00091413</v>
      </c>
      <c r="T293" t="n">
        <v>0.00096913</v>
      </c>
      <c r="U293" t="n">
        <v>20639.8111</v>
      </c>
      <c r="V293" t="inlineStr">
        <is>
          <t>Spend-Based Estimate</t>
        </is>
      </c>
      <c r="W293" t="b">
        <v>1</v>
      </c>
      <c r="X293" t="inlineStr">
        <is>
          <t>Medium</t>
        </is>
      </c>
      <c r="Y293" t="inlineStr">
        <is>
          <t>Reported_Emissions; Scope_Emissions</t>
        </is>
      </c>
      <c r="Z293" t="n">
        <v>0.7</v>
      </c>
      <c r="AA293" t="inlineStr">
        <is>
          <t>Valid</t>
        </is>
      </c>
    </row>
    <row r="294">
      <c r="A294" t="inlineStr">
        <is>
          <t>SUP-0030</t>
        </is>
      </c>
      <c r="B294" t="inlineStr">
        <is>
          <t>Agriculture Supplier 030</t>
        </is>
      </c>
      <c r="C294" t="inlineStr">
        <is>
          <t>Agriculture</t>
        </is>
      </c>
      <c r="D294" t="n">
        <v>2017</v>
      </c>
      <c r="E294" t="n">
        <v>18821922.29</v>
      </c>
      <c r="F294" t="n">
        <v>45571417.69</v>
      </c>
      <c r="G294" t="inlineStr"/>
      <c r="H294" t="n">
        <v>1999.4976</v>
      </c>
      <c r="I294" t="inlineStr"/>
      <c r="J294" t="n">
        <v>15380.2292</v>
      </c>
      <c r="K294" t="inlineStr"/>
      <c r="L294" t="inlineStr"/>
      <c r="M294" t="inlineStr"/>
      <c r="N294" t="inlineStr"/>
      <c r="O294" t="n">
        <v>2018</v>
      </c>
      <c r="P294" t="inlineStr"/>
      <c r="Q294" t="inlineStr"/>
      <c r="R294" t="n">
        <v>529.8294</v>
      </c>
      <c r="S294" t="n">
        <v>0.00091413</v>
      </c>
      <c r="T294" t="n">
        <v>0.00096913</v>
      </c>
      <c r="U294" t="n">
        <v>17205.6838</v>
      </c>
      <c r="V294" t="inlineStr">
        <is>
          <t>Spend-Based Estimate</t>
        </is>
      </c>
      <c r="W294" t="b">
        <v>1</v>
      </c>
      <c r="X294" t="inlineStr">
        <is>
          <t>Medium</t>
        </is>
      </c>
      <c r="Y294" t="inlineStr">
        <is>
          <t>Reported_Emissions; Scope_Emissions</t>
        </is>
      </c>
      <c r="Z294" t="n">
        <v>0.7</v>
      </c>
      <c r="AA294" t="inlineStr">
        <is>
          <t>Valid</t>
        </is>
      </c>
    </row>
    <row r="295">
      <c r="A295" t="inlineStr">
        <is>
          <t>SUP-0030</t>
        </is>
      </c>
      <c r="B295" t="inlineStr">
        <is>
          <t>Agriculture Supplier 030</t>
        </is>
      </c>
      <c r="C295" t="inlineStr">
        <is>
          <t>Agriculture</t>
        </is>
      </c>
      <c r="D295" t="n">
        <v>2018</v>
      </c>
      <c r="E295" t="n">
        <v>17604052.46</v>
      </c>
      <c r="F295" t="n">
        <v>41094897.79</v>
      </c>
      <c r="G295" t="n">
        <v>17540.1807</v>
      </c>
      <c r="H295" t="n">
        <v>2406.9579</v>
      </c>
      <c r="I295" t="n">
        <v>1589.7554</v>
      </c>
      <c r="J295" t="n">
        <v>12163.9124</v>
      </c>
      <c r="K295" t="inlineStr"/>
      <c r="L295" t="inlineStr"/>
      <c r="M295" t="inlineStr"/>
      <c r="N295" t="inlineStr"/>
      <c r="O295" t="n">
        <v>2018</v>
      </c>
      <c r="P295" t="inlineStr"/>
      <c r="Q295" t="inlineStr"/>
      <c r="R295" t="n">
        <v>529.8294</v>
      </c>
      <c r="S295" t="n">
        <v>0.00091413</v>
      </c>
      <c r="T295" t="n">
        <v>0.00096913</v>
      </c>
      <c r="U295" t="n">
        <v>17540.1807</v>
      </c>
      <c r="V295" t="inlineStr">
        <is>
          <t>Supplier Reported Emissions</t>
        </is>
      </c>
      <c r="W295" t="b">
        <v>0</v>
      </c>
      <c r="X295" t="inlineStr">
        <is>
          <t>High</t>
        </is>
      </c>
      <c r="Y295" t="inlineStr">
        <is>
          <t>None</t>
        </is>
      </c>
      <c r="Z295" t="n">
        <v>0.95</v>
      </c>
      <c r="AA295" t="inlineStr">
        <is>
          <t>Valid</t>
        </is>
      </c>
    </row>
    <row r="296">
      <c r="A296" t="inlineStr">
        <is>
          <t>SUP-0030</t>
        </is>
      </c>
      <c r="B296" t="inlineStr">
        <is>
          <t>Agriculture Supplier 030</t>
        </is>
      </c>
      <c r="C296" t="inlineStr">
        <is>
          <t>Agriculture</t>
        </is>
      </c>
      <c r="D296" t="n">
        <v>2019</v>
      </c>
      <c r="E296" t="n">
        <v>18552289.48</v>
      </c>
      <c r="F296" t="n">
        <v>32361808.01</v>
      </c>
      <c r="G296" t="n">
        <v>15767.6924</v>
      </c>
      <c r="H296" t="n">
        <v>3316.0194</v>
      </c>
      <c r="I296" t="n">
        <v>2705.7497</v>
      </c>
      <c r="J296" t="inlineStr"/>
      <c r="K296" t="inlineStr"/>
      <c r="L296" t="inlineStr"/>
      <c r="M296" t="inlineStr"/>
      <c r="N296" t="inlineStr"/>
      <c r="O296" t="n">
        <v>2018</v>
      </c>
      <c r="P296" t="inlineStr"/>
      <c r="Q296" t="inlineStr"/>
      <c r="R296" t="n">
        <v>529.8294</v>
      </c>
      <c r="S296" t="n">
        <v>0.00091413</v>
      </c>
      <c r="T296" t="n">
        <v>0.00096913</v>
      </c>
      <c r="U296" t="n">
        <v>15767.6924</v>
      </c>
      <c r="V296" t="inlineStr">
        <is>
          <t>Supplier Reported Emissions</t>
        </is>
      </c>
      <c r="W296" t="b">
        <v>0</v>
      </c>
      <c r="X296" t="inlineStr">
        <is>
          <t>High</t>
        </is>
      </c>
      <c r="Y296" t="inlineStr">
        <is>
          <t>Scope_Emissions</t>
        </is>
      </c>
      <c r="Z296" t="n">
        <v>0.95</v>
      </c>
      <c r="AA296" t="inlineStr">
        <is>
          <t>Valid</t>
        </is>
      </c>
    </row>
    <row r="297">
      <c r="A297" t="inlineStr">
        <is>
          <t>SUP-0030</t>
        </is>
      </c>
      <c r="B297" t="inlineStr">
        <is>
          <t>Agriculture Supplier 030</t>
        </is>
      </c>
      <c r="C297" t="inlineStr">
        <is>
          <t>Agriculture</t>
        </is>
      </c>
      <c r="D297" t="n">
        <v>2020</v>
      </c>
      <c r="E297" t="n">
        <v>18107831.32</v>
      </c>
      <c r="F297" t="n">
        <v>42460244.17</v>
      </c>
      <c r="G297" t="n">
        <v>14091.3784</v>
      </c>
      <c r="H297" t="n">
        <v>3068.9473</v>
      </c>
      <c r="I297" t="n">
        <v>1247.4139</v>
      </c>
      <c r="J297" t="inlineStr"/>
      <c r="K297" t="inlineStr"/>
      <c r="L297" t="inlineStr"/>
      <c r="M297" t="inlineStr"/>
      <c r="N297" t="inlineStr"/>
      <c r="O297" t="n">
        <v>2018</v>
      </c>
      <c r="P297" t="inlineStr"/>
      <c r="Q297" t="inlineStr"/>
      <c r="R297" t="n">
        <v>529.8294</v>
      </c>
      <c r="S297" t="n">
        <v>0.00091413</v>
      </c>
      <c r="T297" t="n">
        <v>0.00096913</v>
      </c>
      <c r="U297" t="n">
        <v>14091.3784</v>
      </c>
      <c r="V297" t="inlineStr">
        <is>
          <t>Supplier Reported Emissions</t>
        </is>
      </c>
      <c r="W297" t="b">
        <v>0</v>
      </c>
      <c r="X297" t="inlineStr">
        <is>
          <t>High</t>
        </is>
      </c>
      <c r="Y297" t="inlineStr">
        <is>
          <t>Scope_Emissions</t>
        </is>
      </c>
      <c r="Z297" t="n">
        <v>0.95</v>
      </c>
      <c r="AA297" t="inlineStr">
        <is>
          <t>Valid</t>
        </is>
      </c>
    </row>
    <row r="298">
      <c r="A298" t="inlineStr">
        <is>
          <t>SUP-0030</t>
        </is>
      </c>
      <c r="B298" t="inlineStr">
        <is>
          <t>Agriculture Supplier 030</t>
        </is>
      </c>
      <c r="C298" t="inlineStr">
        <is>
          <t>Agriculture</t>
        </is>
      </c>
      <c r="D298" t="n">
        <v>2021</v>
      </c>
      <c r="E298" t="n">
        <v>18521817.66</v>
      </c>
      <c r="F298" t="n">
        <v>41139054.04</v>
      </c>
      <c r="G298" t="n">
        <v>12515.5413</v>
      </c>
      <c r="H298" t="n">
        <v>1883.1315</v>
      </c>
      <c r="I298" t="n">
        <v>987.5268</v>
      </c>
      <c r="J298" t="n">
        <v>9237.4876</v>
      </c>
      <c r="K298" t="inlineStr"/>
      <c r="L298" t="inlineStr"/>
      <c r="M298" t="inlineStr"/>
      <c r="N298" t="inlineStr"/>
      <c r="O298" t="n">
        <v>2018</v>
      </c>
      <c r="P298" t="inlineStr"/>
      <c r="Q298" t="inlineStr"/>
      <c r="R298" t="n">
        <v>529.8294</v>
      </c>
      <c r="S298" t="n">
        <v>0.00091413</v>
      </c>
      <c r="T298" t="n">
        <v>0.00096913</v>
      </c>
      <c r="U298" t="n">
        <v>12515.5413</v>
      </c>
      <c r="V298" t="inlineStr">
        <is>
          <t>Supplier Reported Emissions</t>
        </is>
      </c>
      <c r="W298" t="b">
        <v>0</v>
      </c>
      <c r="X298" t="inlineStr">
        <is>
          <t>High</t>
        </is>
      </c>
      <c r="Y298" t="inlineStr">
        <is>
          <t>None</t>
        </is>
      </c>
      <c r="Z298" t="n">
        <v>0.95</v>
      </c>
      <c r="AA298" t="inlineStr">
        <is>
          <t>Valid</t>
        </is>
      </c>
    </row>
    <row r="299">
      <c r="A299" t="inlineStr">
        <is>
          <t>SUP-0030</t>
        </is>
      </c>
      <c r="B299" t="inlineStr">
        <is>
          <t>Agriculture Supplier 030</t>
        </is>
      </c>
      <c r="C299" t="inlineStr">
        <is>
          <t>Agriculture</t>
        </is>
      </c>
      <c r="D299" t="n">
        <v>2022</v>
      </c>
      <c r="E299" t="n">
        <v>18301815.5</v>
      </c>
      <c r="F299" t="inlineStr"/>
      <c r="G299" t="n">
        <v>16368.1946</v>
      </c>
      <c r="H299" t="n">
        <v>2767.2346</v>
      </c>
      <c r="I299" t="n">
        <v>3056.3617</v>
      </c>
      <c r="J299" t="n">
        <v>10327.3154</v>
      </c>
      <c r="K299" t="inlineStr"/>
      <c r="L299" t="inlineStr"/>
      <c r="M299" t="inlineStr"/>
      <c r="N299" t="inlineStr"/>
      <c r="O299" t="n">
        <v>2018</v>
      </c>
      <c r="P299" t="inlineStr"/>
      <c r="Q299" t="inlineStr"/>
      <c r="R299" t="n">
        <v>529.8294</v>
      </c>
      <c r="S299" t="n">
        <v>0.00091413</v>
      </c>
      <c r="T299" t="n">
        <v>0.00096913</v>
      </c>
      <c r="U299" t="n">
        <v>16368.1946</v>
      </c>
      <c r="V299" t="inlineStr">
        <is>
          <t>Supplier Reported Emissions</t>
        </is>
      </c>
      <c r="W299" t="b">
        <v>0</v>
      </c>
      <c r="X299" t="inlineStr">
        <is>
          <t>High</t>
        </is>
      </c>
      <c r="Y299" t="inlineStr">
        <is>
          <t>Revenue</t>
        </is>
      </c>
      <c r="Z299" t="n">
        <v>0.95</v>
      </c>
      <c r="AA299" t="inlineStr">
        <is>
          <t>Valid</t>
        </is>
      </c>
    </row>
    <row r="300">
      <c r="A300" t="inlineStr">
        <is>
          <t>SUP-0030</t>
        </is>
      </c>
      <c r="B300" t="inlineStr">
        <is>
          <t>Agriculture Supplier 030</t>
        </is>
      </c>
      <c r="C300" t="inlineStr">
        <is>
          <t>Agriculture</t>
        </is>
      </c>
      <c r="D300" t="n">
        <v>2023</v>
      </c>
      <c r="E300" t="n">
        <v>16524050.92</v>
      </c>
      <c r="F300" t="n">
        <v>38785997.23</v>
      </c>
      <c r="G300" t="n">
        <v>11440.1404</v>
      </c>
      <c r="H300" t="n">
        <v>1061.0448</v>
      </c>
      <c r="I300" t="n">
        <v>1889.3486</v>
      </c>
      <c r="J300" t="n">
        <v>9204.3145</v>
      </c>
      <c r="K300" t="inlineStr"/>
      <c r="L300" t="inlineStr"/>
      <c r="M300" t="inlineStr"/>
      <c r="N300" t="inlineStr"/>
      <c r="O300" t="n">
        <v>2018</v>
      </c>
      <c r="P300" t="inlineStr"/>
      <c r="Q300" t="inlineStr"/>
      <c r="R300" t="n">
        <v>529.8294</v>
      </c>
      <c r="S300" t="n">
        <v>0.00091413</v>
      </c>
      <c r="T300" t="n">
        <v>0.00096913</v>
      </c>
      <c r="U300" t="n">
        <v>11440.1404</v>
      </c>
      <c r="V300" t="inlineStr">
        <is>
          <t>Supplier Reported Emissions</t>
        </is>
      </c>
      <c r="W300" t="b">
        <v>0</v>
      </c>
      <c r="X300" t="inlineStr">
        <is>
          <t>High</t>
        </is>
      </c>
      <c r="Y300" t="inlineStr">
        <is>
          <t>None</t>
        </is>
      </c>
      <c r="Z300" t="n">
        <v>0.95</v>
      </c>
      <c r="AA300" t="inlineStr">
        <is>
          <t>Valid</t>
        </is>
      </c>
    </row>
    <row r="301">
      <c r="A301" t="inlineStr">
        <is>
          <t>SUP-0030</t>
        </is>
      </c>
      <c r="B301" t="inlineStr">
        <is>
          <t>Agriculture Supplier 030</t>
        </is>
      </c>
      <c r="C301" t="inlineStr">
        <is>
          <t>Agriculture</t>
        </is>
      </c>
      <c r="D301" t="n">
        <v>2024</v>
      </c>
      <c r="E301" t="n">
        <v>15915540.15</v>
      </c>
      <c r="F301" t="inlineStr"/>
      <c r="G301" t="inlineStr"/>
      <c r="H301" t="n">
        <v>2203.8091</v>
      </c>
      <c r="I301" t="n">
        <v>1657.8494</v>
      </c>
      <c r="J301" t="inlineStr"/>
      <c r="K301" t="inlineStr"/>
      <c r="L301" t="inlineStr"/>
      <c r="M301" t="inlineStr"/>
      <c r="N301" t="inlineStr"/>
      <c r="O301" t="n">
        <v>2018</v>
      </c>
      <c r="P301" t="inlineStr"/>
      <c r="Q301" t="inlineStr"/>
      <c r="R301" t="n">
        <v>529.8294</v>
      </c>
      <c r="S301" t="n">
        <v>0.00091413</v>
      </c>
      <c r="T301" t="n">
        <v>0.00096913</v>
      </c>
      <c r="U301" t="n">
        <v>14548.8727</v>
      </c>
      <c r="V301" t="inlineStr">
        <is>
          <t>Spend-Based Estimate</t>
        </is>
      </c>
      <c r="W301" t="b">
        <v>1</v>
      </c>
      <c r="X301" t="inlineStr">
        <is>
          <t>Medium</t>
        </is>
      </c>
      <c r="Y301" t="inlineStr">
        <is>
          <t>Reported_Emissions; Revenue; Scope_Emissions</t>
        </is>
      </c>
      <c r="Z301" t="n">
        <v>0.7</v>
      </c>
      <c r="AA301" t="inlineStr">
        <is>
          <t>Valid</t>
        </is>
      </c>
    </row>
    <row r="302">
      <c r="A302" t="inlineStr">
        <is>
          <t>SUP-0031</t>
        </is>
      </c>
      <c r="B302" t="inlineStr">
        <is>
          <t>Professional Supplier 031</t>
        </is>
      </c>
      <c r="C302" t="inlineStr">
        <is>
          <t>Professional Services</t>
        </is>
      </c>
      <c r="D302" t="n">
        <v>2015</v>
      </c>
      <c r="E302" t="n">
        <v>3004016.47</v>
      </c>
      <c r="F302" t="n">
        <v>17756360.63</v>
      </c>
      <c r="G302" t="inlineStr"/>
      <c r="H302" t="n">
        <v>56.34</v>
      </c>
      <c r="I302" t="n">
        <v>53.2193</v>
      </c>
      <c r="J302" t="n">
        <v>235.0708</v>
      </c>
      <c r="K302" t="n">
        <v>2020</v>
      </c>
      <c r="L302" t="n">
        <v>2040</v>
      </c>
      <c r="M302" t="n">
        <v>0.6432</v>
      </c>
      <c r="N302" t="n">
        <v>0.4028</v>
      </c>
      <c r="O302" t="n">
        <v>2020</v>
      </c>
      <c r="P302" t="inlineStr"/>
      <c r="Q302" t="inlineStr"/>
      <c r="R302" t="n">
        <v>400.0326</v>
      </c>
      <c r="S302" t="n">
        <v>0.00012906</v>
      </c>
      <c r="T302" t="n">
        <v>0.00019658</v>
      </c>
      <c r="U302" t="n">
        <v>344.6301</v>
      </c>
      <c r="V302" t="inlineStr">
        <is>
          <t>Scope 1 + Scope 2 + Scope 3</t>
        </is>
      </c>
      <c r="W302" t="b">
        <v>1</v>
      </c>
      <c r="X302" t="inlineStr">
        <is>
          <t>High</t>
        </is>
      </c>
      <c r="Y302" t="inlineStr">
        <is>
          <t>Reported_Emissions</t>
        </is>
      </c>
      <c r="Z302" t="n">
        <v>0.88</v>
      </c>
      <c r="AA302" t="inlineStr">
        <is>
          <t>Valid</t>
        </is>
      </c>
    </row>
    <row r="303">
      <c r="A303" t="inlineStr">
        <is>
          <t>SUP-0031</t>
        </is>
      </c>
      <c r="B303" t="inlineStr">
        <is>
          <t>Professional Supplier 031</t>
        </is>
      </c>
      <c r="C303" t="inlineStr">
        <is>
          <t>Professional Services</t>
        </is>
      </c>
      <c r="D303" t="n">
        <v>2016</v>
      </c>
      <c r="E303" t="n">
        <v>2925851.7</v>
      </c>
      <c r="F303" t="n">
        <v>19805434.09</v>
      </c>
      <c r="G303" t="n">
        <v>311.4812</v>
      </c>
      <c r="H303" t="n">
        <v>74.03100000000001</v>
      </c>
      <c r="I303" t="n">
        <v>40.4403</v>
      </c>
      <c r="J303" t="n">
        <v>206.2032</v>
      </c>
      <c r="K303" t="n">
        <v>2020</v>
      </c>
      <c r="L303" t="n">
        <v>2040</v>
      </c>
      <c r="M303" t="n">
        <v>0.6432</v>
      </c>
      <c r="N303" t="n">
        <v>0.4028</v>
      </c>
      <c r="O303" t="n">
        <v>2020</v>
      </c>
      <c r="P303" t="inlineStr"/>
      <c r="Q303" t="inlineStr"/>
      <c r="R303" t="n">
        <v>400.0326</v>
      </c>
      <c r="S303" t="n">
        <v>0.00012906</v>
      </c>
      <c r="T303" t="n">
        <v>0.00019658</v>
      </c>
      <c r="U303" t="n">
        <v>311.4812</v>
      </c>
      <c r="V303" t="inlineStr">
        <is>
          <t>Supplier Reported Emissions</t>
        </is>
      </c>
      <c r="W303" t="b">
        <v>0</v>
      </c>
      <c r="X303" t="inlineStr">
        <is>
          <t>High</t>
        </is>
      </c>
      <c r="Y303" t="inlineStr">
        <is>
          <t>None</t>
        </is>
      </c>
      <c r="Z303" t="n">
        <v>0.95</v>
      </c>
      <c r="AA303" t="inlineStr">
        <is>
          <t>Valid</t>
        </is>
      </c>
    </row>
    <row r="304">
      <c r="A304" t="inlineStr">
        <is>
          <t>SUP-0031</t>
        </is>
      </c>
      <c r="B304" t="inlineStr">
        <is>
          <t>Professional Supplier 031</t>
        </is>
      </c>
      <c r="C304" t="inlineStr">
        <is>
          <t>Professional Services</t>
        </is>
      </c>
      <c r="D304" t="n">
        <v>2017</v>
      </c>
      <c r="E304" t="inlineStr"/>
      <c r="F304" t="inlineStr"/>
      <c r="G304" t="n">
        <v>421.4287</v>
      </c>
      <c r="H304" t="inlineStr"/>
      <c r="I304" t="n">
        <v>34.0029</v>
      </c>
      <c r="J304" t="n">
        <v>270.3779</v>
      </c>
      <c r="K304" t="n">
        <v>2020</v>
      </c>
      <c r="L304" t="n">
        <v>2040</v>
      </c>
      <c r="M304" t="n">
        <v>0.6432</v>
      </c>
      <c r="N304" t="n">
        <v>0.4028</v>
      </c>
      <c r="O304" t="n">
        <v>2020</v>
      </c>
      <c r="P304" t="inlineStr"/>
      <c r="Q304" t="inlineStr"/>
      <c r="R304" t="n">
        <v>400.0326</v>
      </c>
      <c r="S304" t="n">
        <v>0.00012906</v>
      </c>
      <c r="T304" t="n">
        <v>0.00019658</v>
      </c>
      <c r="U304" t="n">
        <v>421.4287</v>
      </c>
      <c r="V304" t="inlineStr">
        <is>
          <t>Supplier Reported Emissions</t>
        </is>
      </c>
      <c r="W304" t="b">
        <v>0</v>
      </c>
      <c r="X304" t="inlineStr">
        <is>
          <t>High</t>
        </is>
      </c>
      <c r="Y304" t="inlineStr">
        <is>
          <t>Gross_Spend; Revenue; Scope_Emissions</t>
        </is>
      </c>
      <c r="Z304" t="n">
        <v>0.95</v>
      </c>
      <c r="AA304" t="inlineStr">
        <is>
          <t>Valid</t>
        </is>
      </c>
    </row>
    <row r="305">
      <c r="A305" t="inlineStr">
        <is>
          <t>SUP-0031</t>
        </is>
      </c>
      <c r="B305" t="inlineStr">
        <is>
          <t>Professional Supplier 031</t>
        </is>
      </c>
      <c r="C305" t="inlineStr">
        <is>
          <t>Professional Services</t>
        </is>
      </c>
      <c r="D305" t="n">
        <v>2018</v>
      </c>
      <c r="E305" t="inlineStr"/>
      <c r="F305" t="n">
        <v>19981018.46</v>
      </c>
      <c r="G305" t="n">
        <v>407.9021</v>
      </c>
      <c r="H305" t="inlineStr"/>
      <c r="I305" t="n">
        <v>61.1513</v>
      </c>
      <c r="J305" t="inlineStr"/>
      <c r="K305" t="n">
        <v>2020</v>
      </c>
      <c r="L305" t="n">
        <v>2040</v>
      </c>
      <c r="M305" t="n">
        <v>0.6432</v>
      </c>
      <c r="N305" t="n">
        <v>0.4028</v>
      </c>
      <c r="O305" t="n">
        <v>2020</v>
      </c>
      <c r="P305" t="inlineStr"/>
      <c r="Q305" t="inlineStr"/>
      <c r="R305" t="n">
        <v>400.0326</v>
      </c>
      <c r="S305" t="n">
        <v>0.00012906</v>
      </c>
      <c r="T305" t="n">
        <v>0.00019658</v>
      </c>
      <c r="U305" t="n">
        <v>407.9021</v>
      </c>
      <c r="V305" t="inlineStr">
        <is>
          <t>Supplier Reported Emissions</t>
        </is>
      </c>
      <c r="W305" t="b">
        <v>0</v>
      </c>
      <c r="X305" t="inlineStr">
        <is>
          <t>High</t>
        </is>
      </c>
      <c r="Y305" t="inlineStr">
        <is>
          <t>Gross_Spend; Scope_Emissions</t>
        </is>
      </c>
      <c r="Z305" t="n">
        <v>0.95</v>
      </c>
      <c r="AA305" t="inlineStr">
        <is>
          <t>Valid</t>
        </is>
      </c>
    </row>
    <row r="306">
      <c r="A306" t="inlineStr">
        <is>
          <t>SUP-0031</t>
        </is>
      </c>
      <c r="B306" t="inlineStr">
        <is>
          <t>Professional Supplier 031</t>
        </is>
      </c>
      <c r="C306" t="inlineStr">
        <is>
          <t>Professional Services</t>
        </is>
      </c>
      <c r="D306" t="n">
        <v>2019</v>
      </c>
      <c r="E306" t="n">
        <v>3930606.99</v>
      </c>
      <c r="F306" t="n">
        <v>21069740</v>
      </c>
      <c r="G306" t="inlineStr"/>
      <c r="H306" t="n">
        <v>33.2566</v>
      </c>
      <c r="I306" t="n">
        <v>58.4651</v>
      </c>
      <c r="J306" t="n">
        <v>269.274</v>
      </c>
      <c r="K306" t="n">
        <v>2020</v>
      </c>
      <c r="L306" t="n">
        <v>2040</v>
      </c>
      <c r="M306" t="n">
        <v>0.6432</v>
      </c>
      <c r="N306" t="n">
        <v>0.4028</v>
      </c>
      <c r="O306" t="n">
        <v>2020</v>
      </c>
      <c r="P306" t="inlineStr"/>
      <c r="Q306" t="inlineStr"/>
      <c r="R306" t="n">
        <v>400.0326</v>
      </c>
      <c r="S306" t="n">
        <v>0.00012906</v>
      </c>
      <c r="T306" t="n">
        <v>0.00019658</v>
      </c>
      <c r="U306" t="n">
        <v>360.9957</v>
      </c>
      <c r="V306" t="inlineStr">
        <is>
          <t>Scope 1 + Scope 2 + Scope 3</t>
        </is>
      </c>
      <c r="W306" t="b">
        <v>1</v>
      </c>
      <c r="X306" t="inlineStr">
        <is>
          <t>High</t>
        </is>
      </c>
      <c r="Y306" t="inlineStr">
        <is>
          <t>Reported_Emissions</t>
        </is>
      </c>
      <c r="Z306" t="n">
        <v>0.88</v>
      </c>
      <c r="AA306" t="inlineStr">
        <is>
          <t>Valid</t>
        </is>
      </c>
    </row>
    <row r="307">
      <c r="A307" t="inlineStr">
        <is>
          <t>SUP-0031</t>
        </is>
      </c>
      <c r="B307" t="inlineStr">
        <is>
          <t>Professional Supplier 031</t>
        </is>
      </c>
      <c r="C307" t="inlineStr">
        <is>
          <t>Professional Services</t>
        </is>
      </c>
      <c r="D307" t="n">
        <v>2020</v>
      </c>
      <c r="E307" t="n">
        <v>3704725.04</v>
      </c>
      <c r="F307" t="n">
        <v>24951207.08</v>
      </c>
      <c r="G307" t="inlineStr"/>
      <c r="H307" t="n">
        <v>100.3826</v>
      </c>
      <c r="I307" t="n">
        <v>85.9776</v>
      </c>
      <c r="J307" t="n">
        <v>235.2155</v>
      </c>
      <c r="K307" t="n">
        <v>2020</v>
      </c>
      <c r="L307" t="n">
        <v>2040</v>
      </c>
      <c r="M307" t="n">
        <v>0.6432</v>
      </c>
      <c r="N307" t="n">
        <v>0.4028</v>
      </c>
      <c r="O307" t="n">
        <v>2020</v>
      </c>
      <c r="P307" t="inlineStr"/>
      <c r="Q307" t="inlineStr"/>
      <c r="R307" t="n">
        <v>400.0326</v>
      </c>
      <c r="S307" t="n">
        <v>0.00012906</v>
      </c>
      <c r="T307" t="n">
        <v>0.00019658</v>
      </c>
      <c r="U307" t="n">
        <v>421.5757</v>
      </c>
      <c r="V307" t="inlineStr">
        <is>
          <t>Scope 1 + Scope 2 + Scope 3</t>
        </is>
      </c>
      <c r="W307" t="b">
        <v>1</v>
      </c>
      <c r="X307" t="inlineStr">
        <is>
          <t>High</t>
        </is>
      </c>
      <c r="Y307" t="inlineStr">
        <is>
          <t>Reported_Emissions</t>
        </is>
      </c>
      <c r="Z307" t="n">
        <v>0.88</v>
      </c>
      <c r="AA307" t="inlineStr">
        <is>
          <t>Valid</t>
        </is>
      </c>
    </row>
    <row r="308">
      <c r="A308" t="inlineStr">
        <is>
          <t>SUP-0031</t>
        </is>
      </c>
      <c r="B308" t="inlineStr">
        <is>
          <t>Professional Supplier 031</t>
        </is>
      </c>
      <c r="C308" t="inlineStr">
        <is>
          <t>Professional Services</t>
        </is>
      </c>
      <c r="D308" t="n">
        <v>2021</v>
      </c>
      <c r="E308" t="inlineStr"/>
      <c r="F308" t="n">
        <v>28762451.83</v>
      </c>
      <c r="G308" t="inlineStr"/>
      <c r="H308" t="n">
        <v>110.5688</v>
      </c>
      <c r="I308" t="n">
        <v>80.527</v>
      </c>
      <c r="J308" t="n">
        <v>306.346</v>
      </c>
      <c r="K308" t="n">
        <v>2020</v>
      </c>
      <c r="L308" t="n">
        <v>2040</v>
      </c>
      <c r="M308" t="n">
        <v>0.6432</v>
      </c>
      <c r="N308" t="n">
        <v>0.4028</v>
      </c>
      <c r="O308" t="n">
        <v>2020</v>
      </c>
      <c r="P308" t="inlineStr"/>
      <c r="Q308" t="inlineStr"/>
      <c r="R308" t="n">
        <v>400.0326</v>
      </c>
      <c r="S308" t="n">
        <v>0.00012906</v>
      </c>
      <c r="T308" t="n">
        <v>0.00019658</v>
      </c>
      <c r="U308" t="n">
        <v>497.4418</v>
      </c>
      <c r="V308" t="inlineStr">
        <is>
          <t>Scope 1 + Scope 2 + Scope 3</t>
        </is>
      </c>
      <c r="W308" t="b">
        <v>1</v>
      </c>
      <c r="X308" t="inlineStr">
        <is>
          <t>High</t>
        </is>
      </c>
      <c r="Y308" t="inlineStr">
        <is>
          <t>Gross_Spend; Reported_Emissions</t>
        </is>
      </c>
      <c r="Z308" t="n">
        <v>0.88</v>
      </c>
      <c r="AA308" t="inlineStr">
        <is>
          <t>Valid</t>
        </is>
      </c>
    </row>
    <row r="309">
      <c r="A309" t="inlineStr">
        <is>
          <t>SUP-0031</t>
        </is>
      </c>
      <c r="B309" t="inlineStr">
        <is>
          <t>Professional Supplier 031</t>
        </is>
      </c>
      <c r="C309" t="inlineStr">
        <is>
          <t>Professional Services</t>
        </is>
      </c>
      <c r="D309" t="n">
        <v>2022</v>
      </c>
      <c r="E309" t="n">
        <v>4332340.83</v>
      </c>
      <c r="F309" t="n">
        <v>26558230.44</v>
      </c>
      <c r="G309" t="n">
        <v>668.5623000000001</v>
      </c>
      <c r="H309" t="n">
        <v>67.8244</v>
      </c>
      <c r="I309" t="n">
        <v>90.0718</v>
      </c>
      <c r="J309" t="n">
        <v>513.3864</v>
      </c>
      <c r="K309" t="n">
        <v>2020</v>
      </c>
      <c r="L309" t="n">
        <v>2040</v>
      </c>
      <c r="M309" t="n">
        <v>0.6432</v>
      </c>
      <c r="N309" t="n">
        <v>0.4028</v>
      </c>
      <c r="O309" t="n">
        <v>2020</v>
      </c>
      <c r="P309" t="inlineStr"/>
      <c r="Q309" t="inlineStr"/>
      <c r="R309" t="n">
        <v>400.0326</v>
      </c>
      <c r="S309" t="n">
        <v>0.00012906</v>
      </c>
      <c r="T309" t="n">
        <v>0.00019658</v>
      </c>
      <c r="U309" t="n">
        <v>668.5623000000001</v>
      </c>
      <c r="V309" t="inlineStr">
        <is>
          <t>Supplier Reported Emissions</t>
        </is>
      </c>
      <c r="W309" t="b">
        <v>0</v>
      </c>
      <c r="X309" t="inlineStr">
        <is>
          <t>High</t>
        </is>
      </c>
      <c r="Y309" t="inlineStr">
        <is>
          <t>None</t>
        </is>
      </c>
      <c r="Z309" t="n">
        <v>0.95</v>
      </c>
      <c r="AA309" t="inlineStr">
        <is>
          <t>Valid</t>
        </is>
      </c>
    </row>
    <row r="310">
      <c r="A310" t="inlineStr">
        <is>
          <t>SUP-0031</t>
        </is>
      </c>
      <c r="B310" t="inlineStr">
        <is>
          <t>Professional Supplier 031</t>
        </is>
      </c>
      <c r="C310" t="inlineStr">
        <is>
          <t>Professional Services</t>
        </is>
      </c>
      <c r="D310" t="n">
        <v>2023</v>
      </c>
      <c r="E310" t="n">
        <v>3549332.96</v>
      </c>
      <c r="F310" t="n">
        <v>36501902.74</v>
      </c>
      <c r="G310" t="n">
        <v>408.8853</v>
      </c>
      <c r="H310" t="inlineStr"/>
      <c r="I310" t="n">
        <v>60.6548</v>
      </c>
      <c r="J310" t="n">
        <v>307.5884</v>
      </c>
      <c r="K310" t="n">
        <v>2020</v>
      </c>
      <c r="L310" t="n">
        <v>2040</v>
      </c>
      <c r="M310" t="n">
        <v>0.6432</v>
      </c>
      <c r="N310" t="n">
        <v>0.4028</v>
      </c>
      <c r="O310" t="n">
        <v>2020</v>
      </c>
      <c r="P310" t="inlineStr"/>
      <c r="Q310" t="inlineStr"/>
      <c r="R310" t="n">
        <v>400.0326</v>
      </c>
      <c r="S310" t="n">
        <v>0.00012906</v>
      </c>
      <c r="T310" t="n">
        <v>0.00019658</v>
      </c>
      <c r="U310" t="n">
        <v>408.8853</v>
      </c>
      <c r="V310" t="inlineStr">
        <is>
          <t>Supplier Reported Emissions</t>
        </is>
      </c>
      <c r="W310" t="b">
        <v>0</v>
      </c>
      <c r="X310" t="inlineStr">
        <is>
          <t>High</t>
        </is>
      </c>
      <c r="Y310" t="inlineStr">
        <is>
          <t>Scope_Emissions</t>
        </is>
      </c>
      <c r="Z310" t="n">
        <v>0.95</v>
      </c>
      <c r="AA310" t="inlineStr">
        <is>
          <t>Valid</t>
        </is>
      </c>
    </row>
    <row r="311">
      <c r="A311" t="inlineStr">
        <is>
          <t>SUP-0031</t>
        </is>
      </c>
      <c r="B311" t="inlineStr">
        <is>
          <t>Professional Supplier 031</t>
        </is>
      </c>
      <c r="C311" t="inlineStr">
        <is>
          <t>Professional Services</t>
        </is>
      </c>
      <c r="D311" t="n">
        <v>2024</v>
      </c>
      <c r="E311" t="n">
        <v>4199829.89</v>
      </c>
      <c r="F311" t="n">
        <v>25452946.39</v>
      </c>
      <c r="G311" t="n">
        <v>478.731</v>
      </c>
      <c r="H311" t="n">
        <v>128.1063</v>
      </c>
      <c r="I311" t="n">
        <v>68.4752</v>
      </c>
      <c r="J311" t="n">
        <v>322.0936</v>
      </c>
      <c r="K311" t="n">
        <v>2020</v>
      </c>
      <c r="L311" t="n">
        <v>2040</v>
      </c>
      <c r="M311" t="n">
        <v>0.6432</v>
      </c>
      <c r="N311" t="n">
        <v>0.4028</v>
      </c>
      <c r="O311" t="n">
        <v>2020</v>
      </c>
      <c r="P311" t="inlineStr"/>
      <c r="Q311" t="inlineStr"/>
      <c r="R311" t="n">
        <v>400.0326</v>
      </c>
      <c r="S311" t="n">
        <v>0.00012906</v>
      </c>
      <c r="T311" t="n">
        <v>0.00019658</v>
      </c>
      <c r="U311" t="n">
        <v>478.731</v>
      </c>
      <c r="V311" t="inlineStr">
        <is>
          <t>Supplier Reported Emissions</t>
        </is>
      </c>
      <c r="W311" t="b">
        <v>0</v>
      </c>
      <c r="X311" t="inlineStr">
        <is>
          <t>High</t>
        </is>
      </c>
      <c r="Y311" t="inlineStr">
        <is>
          <t>None</t>
        </is>
      </c>
      <c r="Z311" t="n">
        <v>0.95</v>
      </c>
      <c r="AA311" t="inlineStr">
        <is>
          <t>Valid</t>
        </is>
      </c>
    </row>
    <row r="312">
      <c r="A312" t="inlineStr">
        <is>
          <t>SUP-0032</t>
        </is>
      </c>
      <c r="B312" t="inlineStr">
        <is>
          <t>Agriculture Supplier 032</t>
        </is>
      </c>
      <c r="C312" t="inlineStr">
        <is>
          <t>Agriculture</t>
        </is>
      </c>
      <c r="D312" t="n">
        <v>2015</v>
      </c>
      <c r="E312" t="n">
        <v>10872755.8</v>
      </c>
      <c r="F312" t="n">
        <v>52395202.39</v>
      </c>
      <c r="G312" t="n">
        <v>13285.48</v>
      </c>
      <c r="H312" t="n">
        <v>2992.7717</v>
      </c>
      <c r="I312" t="n">
        <v>1832.3549</v>
      </c>
      <c r="J312" t="n">
        <v>7796.869</v>
      </c>
      <c r="K312" t="n">
        <v>2018</v>
      </c>
      <c r="L312" t="n">
        <v>2035</v>
      </c>
      <c r="M312" t="n">
        <v>0.4241</v>
      </c>
      <c r="N312" t="n">
        <v>0.1876</v>
      </c>
      <c r="O312" t="n">
        <v>2018</v>
      </c>
      <c r="P312" t="inlineStr"/>
      <c r="Q312" t="inlineStr"/>
      <c r="R312" t="n">
        <v>529.8294</v>
      </c>
      <c r="S312" t="n">
        <v>0.00091413</v>
      </c>
      <c r="T312" t="n">
        <v>0.00096913</v>
      </c>
      <c r="U312" t="n">
        <v>13285.48</v>
      </c>
      <c r="V312" t="inlineStr">
        <is>
          <t>Supplier Reported Emissions</t>
        </is>
      </c>
      <c r="W312" t="b">
        <v>0</v>
      </c>
      <c r="X312" t="inlineStr">
        <is>
          <t>High</t>
        </is>
      </c>
      <c r="Y312" t="inlineStr">
        <is>
          <t>None</t>
        </is>
      </c>
      <c r="Z312" t="n">
        <v>0.95</v>
      </c>
      <c r="AA312" t="inlineStr">
        <is>
          <t>Valid</t>
        </is>
      </c>
    </row>
    <row r="313">
      <c r="A313" t="inlineStr">
        <is>
          <t>SUP-0032</t>
        </is>
      </c>
      <c r="B313" t="inlineStr">
        <is>
          <t>Agriculture Supplier 032</t>
        </is>
      </c>
      <c r="C313" t="inlineStr">
        <is>
          <t>Agriculture</t>
        </is>
      </c>
      <c r="D313" t="n">
        <v>2016</v>
      </c>
      <c r="E313" t="n">
        <v>9327629.82</v>
      </c>
      <c r="F313" t="n">
        <v>65566595</v>
      </c>
      <c r="G313" t="n">
        <v>12907.0205</v>
      </c>
      <c r="H313" t="n">
        <v>1437.1944</v>
      </c>
      <c r="I313" t="n">
        <v>2051.5138</v>
      </c>
      <c r="J313" t="n">
        <v>8698.0442</v>
      </c>
      <c r="K313" t="n">
        <v>2018</v>
      </c>
      <c r="L313" t="n">
        <v>2035</v>
      </c>
      <c r="M313" t="n">
        <v>0.4241</v>
      </c>
      <c r="N313" t="n">
        <v>0.1876</v>
      </c>
      <c r="O313" t="n">
        <v>2018</v>
      </c>
      <c r="P313" t="inlineStr"/>
      <c r="Q313" t="inlineStr"/>
      <c r="R313" t="n">
        <v>529.8294</v>
      </c>
      <c r="S313" t="n">
        <v>0.00091413</v>
      </c>
      <c r="T313" t="n">
        <v>0.00096913</v>
      </c>
      <c r="U313" t="n">
        <v>12907.0205</v>
      </c>
      <c r="V313" t="inlineStr">
        <is>
          <t>Supplier Reported Emissions</t>
        </is>
      </c>
      <c r="W313" t="b">
        <v>0</v>
      </c>
      <c r="X313" t="inlineStr">
        <is>
          <t>High</t>
        </is>
      </c>
      <c r="Y313" t="inlineStr">
        <is>
          <t>None</t>
        </is>
      </c>
      <c r="Z313" t="n">
        <v>0.95</v>
      </c>
      <c r="AA313" t="inlineStr">
        <is>
          <t>Valid</t>
        </is>
      </c>
    </row>
    <row r="314">
      <c r="A314" t="inlineStr">
        <is>
          <t>SUP-0032</t>
        </is>
      </c>
      <c r="B314" t="inlineStr">
        <is>
          <t>Agriculture Supplier 032</t>
        </is>
      </c>
      <c r="C314" t="inlineStr">
        <is>
          <t>Agriculture</t>
        </is>
      </c>
      <c r="D314" t="n">
        <v>2017</v>
      </c>
      <c r="E314" t="n">
        <v>12267486.34</v>
      </c>
      <c r="F314" t="inlineStr"/>
      <c r="G314" t="inlineStr"/>
      <c r="H314" t="inlineStr"/>
      <c r="I314" t="n">
        <v>1412.7172</v>
      </c>
      <c r="J314" t="n">
        <v>10176.5553</v>
      </c>
      <c r="K314" t="n">
        <v>2018</v>
      </c>
      <c r="L314" t="n">
        <v>2035</v>
      </c>
      <c r="M314" t="n">
        <v>0.4241</v>
      </c>
      <c r="N314" t="n">
        <v>0.1876</v>
      </c>
      <c r="O314" t="n">
        <v>2018</v>
      </c>
      <c r="P314" t="inlineStr"/>
      <c r="Q314" t="inlineStr"/>
      <c r="R314" t="n">
        <v>529.8294</v>
      </c>
      <c r="S314" t="n">
        <v>0.00091413</v>
      </c>
      <c r="T314" t="n">
        <v>0.00096913</v>
      </c>
      <c r="U314" t="n">
        <v>11214.0773</v>
      </c>
      <c r="V314" t="inlineStr">
        <is>
          <t>Spend-Based Estimate</t>
        </is>
      </c>
      <c r="W314" t="b">
        <v>1</v>
      </c>
      <c r="X314" t="inlineStr">
        <is>
          <t>Medium</t>
        </is>
      </c>
      <c r="Y314" t="inlineStr">
        <is>
          <t>Reported_Emissions; Revenue; Scope_Emissions</t>
        </is>
      </c>
      <c r="Z314" t="n">
        <v>0.7</v>
      </c>
      <c r="AA314" t="inlineStr">
        <is>
          <t>Valid</t>
        </is>
      </c>
    </row>
    <row r="315">
      <c r="A315" t="inlineStr">
        <is>
          <t>SUP-0032</t>
        </is>
      </c>
      <c r="B315" t="inlineStr">
        <is>
          <t>Agriculture Supplier 032</t>
        </is>
      </c>
      <c r="C315" t="inlineStr">
        <is>
          <t>Agriculture</t>
        </is>
      </c>
      <c r="D315" t="n">
        <v>2018</v>
      </c>
      <c r="E315" t="n">
        <v>11230768.86</v>
      </c>
      <c r="F315" t="n">
        <v>69383233.51000001</v>
      </c>
      <c r="G315" t="n">
        <v>12826.0723</v>
      </c>
      <c r="H315" t="n">
        <v>2326.8859</v>
      </c>
      <c r="I315" t="n">
        <v>2073.1539</v>
      </c>
      <c r="J315" t="n">
        <v>8546.968000000001</v>
      </c>
      <c r="K315" t="n">
        <v>2018</v>
      </c>
      <c r="L315" t="n">
        <v>2035</v>
      </c>
      <c r="M315" t="n">
        <v>0.4241</v>
      </c>
      <c r="N315" t="n">
        <v>0.1876</v>
      </c>
      <c r="O315" t="n">
        <v>2018</v>
      </c>
      <c r="P315" t="inlineStr"/>
      <c r="Q315" t="inlineStr"/>
      <c r="R315" t="n">
        <v>529.8294</v>
      </c>
      <c r="S315" t="n">
        <v>0.00091413</v>
      </c>
      <c r="T315" t="n">
        <v>0.00096913</v>
      </c>
      <c r="U315" t="n">
        <v>12826.0723</v>
      </c>
      <c r="V315" t="inlineStr">
        <is>
          <t>Supplier Reported Emissions</t>
        </is>
      </c>
      <c r="W315" t="b">
        <v>0</v>
      </c>
      <c r="X315" t="inlineStr">
        <is>
          <t>High</t>
        </is>
      </c>
      <c r="Y315" t="inlineStr">
        <is>
          <t>None</t>
        </is>
      </c>
      <c r="Z315" t="n">
        <v>0.95</v>
      </c>
      <c r="AA315" t="inlineStr">
        <is>
          <t>Valid</t>
        </is>
      </c>
    </row>
    <row r="316">
      <c r="A316" t="inlineStr">
        <is>
          <t>SUP-0032</t>
        </is>
      </c>
      <c r="B316" t="inlineStr">
        <is>
          <t>Agriculture Supplier 032</t>
        </is>
      </c>
      <c r="C316" t="inlineStr">
        <is>
          <t>Agriculture</t>
        </is>
      </c>
      <c r="D316" t="n">
        <v>2019</v>
      </c>
      <c r="E316" t="n">
        <v>12143317.88</v>
      </c>
      <c r="F316" t="n">
        <v>69591023.87</v>
      </c>
      <c r="G316" t="n">
        <v>10332.4968</v>
      </c>
      <c r="H316" t="n">
        <v>1038.5054</v>
      </c>
      <c r="I316" t="n">
        <v>884.1233999999999</v>
      </c>
      <c r="J316" t="n">
        <v>8114.8356</v>
      </c>
      <c r="K316" t="n">
        <v>2018</v>
      </c>
      <c r="L316" t="n">
        <v>2035</v>
      </c>
      <c r="M316" t="n">
        <v>0.4241</v>
      </c>
      <c r="N316" t="n">
        <v>0.1876</v>
      </c>
      <c r="O316" t="n">
        <v>2018</v>
      </c>
      <c r="P316" t="inlineStr"/>
      <c r="Q316" t="inlineStr"/>
      <c r="R316" t="n">
        <v>529.8294</v>
      </c>
      <c r="S316" t="n">
        <v>0.00091413</v>
      </c>
      <c r="T316" t="n">
        <v>0.00096913</v>
      </c>
      <c r="U316" t="n">
        <v>10332.4968</v>
      </c>
      <c r="V316" t="inlineStr">
        <is>
          <t>Supplier Reported Emissions</t>
        </is>
      </c>
      <c r="W316" t="b">
        <v>0</v>
      </c>
      <c r="X316" t="inlineStr">
        <is>
          <t>High</t>
        </is>
      </c>
      <c r="Y316" t="inlineStr">
        <is>
          <t>None</t>
        </is>
      </c>
      <c r="Z316" t="n">
        <v>0.95</v>
      </c>
      <c r="AA316" t="inlineStr">
        <is>
          <t>Valid</t>
        </is>
      </c>
    </row>
    <row r="317">
      <c r="A317" t="inlineStr">
        <is>
          <t>SUP-0032</t>
        </is>
      </c>
      <c r="B317" t="inlineStr">
        <is>
          <t>Agriculture Supplier 032</t>
        </is>
      </c>
      <c r="C317" t="inlineStr">
        <is>
          <t>Agriculture</t>
        </is>
      </c>
      <c r="D317" t="n">
        <v>2020</v>
      </c>
      <c r="E317" t="inlineStr"/>
      <c r="F317" t="n">
        <v>66636943</v>
      </c>
      <c r="G317" t="n">
        <v>13116.4</v>
      </c>
      <c r="H317" t="inlineStr"/>
      <c r="I317" t="n">
        <v>2856.916</v>
      </c>
      <c r="J317" t="n">
        <v>8866.3423</v>
      </c>
      <c r="K317" t="n">
        <v>2018</v>
      </c>
      <c r="L317" t="n">
        <v>2035</v>
      </c>
      <c r="M317" t="n">
        <v>0.4241</v>
      </c>
      <c r="N317" t="n">
        <v>0.1876</v>
      </c>
      <c r="O317" t="n">
        <v>2018</v>
      </c>
      <c r="P317" t="inlineStr"/>
      <c r="Q317" t="inlineStr"/>
      <c r="R317" t="n">
        <v>529.8294</v>
      </c>
      <c r="S317" t="n">
        <v>0.00091413</v>
      </c>
      <c r="T317" t="n">
        <v>0.00096913</v>
      </c>
      <c r="U317" t="n">
        <v>13116.4</v>
      </c>
      <c r="V317" t="inlineStr">
        <is>
          <t>Supplier Reported Emissions</t>
        </is>
      </c>
      <c r="W317" t="b">
        <v>0</v>
      </c>
      <c r="X317" t="inlineStr">
        <is>
          <t>High</t>
        </is>
      </c>
      <c r="Y317" t="inlineStr">
        <is>
          <t>Gross_Spend; Scope_Emissions</t>
        </is>
      </c>
      <c r="Z317" t="n">
        <v>0.95</v>
      </c>
      <c r="AA317" t="inlineStr">
        <is>
          <t>Valid</t>
        </is>
      </c>
    </row>
    <row r="318">
      <c r="A318" t="inlineStr">
        <is>
          <t>SUP-0032</t>
        </is>
      </c>
      <c r="B318" t="inlineStr">
        <is>
          <t>Agriculture Supplier 032</t>
        </is>
      </c>
      <c r="C318" t="inlineStr">
        <is>
          <t>Agriculture</t>
        </is>
      </c>
      <c r="D318" t="n">
        <v>2021</v>
      </c>
      <c r="E318" t="n">
        <v>13170726.16</v>
      </c>
      <c r="F318" t="n">
        <v>65425815.79</v>
      </c>
      <c r="G318" t="inlineStr"/>
      <c r="H318" t="n">
        <v>4190.0397</v>
      </c>
      <c r="I318" t="n">
        <v>2595.8726</v>
      </c>
      <c r="J318" t="n">
        <v>9169.6808</v>
      </c>
      <c r="K318" t="n">
        <v>2018</v>
      </c>
      <c r="L318" t="n">
        <v>2035</v>
      </c>
      <c r="M318" t="n">
        <v>0.4241</v>
      </c>
      <c r="N318" t="n">
        <v>0.1876</v>
      </c>
      <c r="O318" t="n">
        <v>2018</v>
      </c>
      <c r="P318" t="inlineStr"/>
      <c r="Q318" t="inlineStr"/>
      <c r="R318" t="n">
        <v>529.8294</v>
      </c>
      <c r="S318" t="n">
        <v>0.00091413</v>
      </c>
      <c r="T318" t="n">
        <v>0.00096913</v>
      </c>
      <c r="U318" t="n">
        <v>15955.5931</v>
      </c>
      <c r="V318" t="inlineStr">
        <is>
          <t>Scope 1 + Scope 2 + Scope 3</t>
        </is>
      </c>
      <c r="W318" t="b">
        <v>1</v>
      </c>
      <c r="X318" t="inlineStr">
        <is>
          <t>High</t>
        </is>
      </c>
      <c r="Y318" t="inlineStr">
        <is>
          <t>Reported_Emissions</t>
        </is>
      </c>
      <c r="Z318" t="n">
        <v>0.88</v>
      </c>
      <c r="AA318" t="inlineStr">
        <is>
          <t>Valid</t>
        </is>
      </c>
    </row>
    <row r="319">
      <c r="A319" t="inlineStr">
        <is>
          <t>SUP-0032</t>
        </is>
      </c>
      <c r="B319" t="inlineStr">
        <is>
          <t>Agriculture Supplier 032</t>
        </is>
      </c>
      <c r="C319" t="inlineStr">
        <is>
          <t>Agriculture</t>
        </is>
      </c>
      <c r="D319" t="n">
        <v>2022</v>
      </c>
      <c r="E319" t="n">
        <v>11860767.79</v>
      </c>
      <c r="F319" t="n">
        <v>63374990.44</v>
      </c>
      <c r="G319" t="n">
        <v>11463.3467</v>
      </c>
      <c r="H319" t="n">
        <v>903.8561999999999</v>
      </c>
      <c r="I319" t="inlineStr"/>
      <c r="J319" t="n">
        <v>7850.6146</v>
      </c>
      <c r="K319" t="n">
        <v>2018</v>
      </c>
      <c r="L319" t="n">
        <v>2035</v>
      </c>
      <c r="M319" t="n">
        <v>0.4241</v>
      </c>
      <c r="N319" t="n">
        <v>0.1876</v>
      </c>
      <c r="O319" t="n">
        <v>2018</v>
      </c>
      <c r="P319" t="inlineStr"/>
      <c r="Q319" t="inlineStr"/>
      <c r="R319" t="n">
        <v>529.8294</v>
      </c>
      <c r="S319" t="n">
        <v>0.00091413</v>
      </c>
      <c r="T319" t="n">
        <v>0.00096913</v>
      </c>
      <c r="U319" t="n">
        <v>11463.3467</v>
      </c>
      <c r="V319" t="inlineStr">
        <is>
          <t>Supplier Reported Emissions</t>
        </is>
      </c>
      <c r="W319" t="b">
        <v>0</v>
      </c>
      <c r="X319" t="inlineStr">
        <is>
          <t>High</t>
        </is>
      </c>
      <c r="Y319" t="inlineStr">
        <is>
          <t>Scope_Emissions</t>
        </is>
      </c>
      <c r="Z319" t="n">
        <v>0.95</v>
      </c>
      <c r="AA319" t="inlineStr">
        <is>
          <t>Valid</t>
        </is>
      </c>
    </row>
    <row r="320">
      <c r="A320" t="inlineStr">
        <is>
          <t>SUP-0032</t>
        </is>
      </c>
      <c r="B320" t="inlineStr">
        <is>
          <t>Agriculture Supplier 032</t>
        </is>
      </c>
      <c r="C320" t="inlineStr">
        <is>
          <t>Agriculture</t>
        </is>
      </c>
      <c r="D320" t="n">
        <v>2023</v>
      </c>
      <c r="E320" t="n">
        <v>14264907.33</v>
      </c>
      <c r="F320" t="n">
        <v>97294125.38</v>
      </c>
      <c r="G320" t="inlineStr"/>
      <c r="H320" t="n">
        <v>3078.8655</v>
      </c>
      <c r="I320" t="inlineStr"/>
      <c r="J320" t="n">
        <v>8420.7435</v>
      </c>
      <c r="K320" t="n">
        <v>2018</v>
      </c>
      <c r="L320" t="n">
        <v>2035</v>
      </c>
      <c r="M320" t="n">
        <v>0.4241</v>
      </c>
      <c r="N320" t="n">
        <v>0.1876</v>
      </c>
      <c r="O320" t="n">
        <v>2018</v>
      </c>
      <c r="P320" t="inlineStr"/>
      <c r="Q320" t="inlineStr"/>
      <c r="R320" t="n">
        <v>529.8294</v>
      </c>
      <c r="S320" t="n">
        <v>0.00091413</v>
      </c>
      <c r="T320" t="n">
        <v>0.00096913</v>
      </c>
      <c r="U320" t="n">
        <v>13039.9797</v>
      </c>
      <c r="V320" t="inlineStr">
        <is>
          <t>Spend-Based Estimate</t>
        </is>
      </c>
      <c r="W320" t="b">
        <v>1</v>
      </c>
      <c r="X320" t="inlineStr">
        <is>
          <t>Medium</t>
        </is>
      </c>
      <c r="Y320" t="inlineStr">
        <is>
          <t>Reported_Emissions; Scope_Emissions</t>
        </is>
      </c>
      <c r="Z320" t="n">
        <v>0.7</v>
      </c>
      <c r="AA320" t="inlineStr">
        <is>
          <t>Valid</t>
        </is>
      </c>
    </row>
    <row r="321">
      <c r="A321" t="inlineStr">
        <is>
          <t>SUP-0032</t>
        </is>
      </c>
      <c r="B321" t="inlineStr">
        <is>
          <t>Agriculture Supplier 032</t>
        </is>
      </c>
      <c r="C321" t="inlineStr">
        <is>
          <t>Agriculture</t>
        </is>
      </c>
      <c r="D321" t="n">
        <v>2024</v>
      </c>
      <c r="E321" t="n">
        <v>15593002.96</v>
      </c>
      <c r="F321" t="n">
        <v>95127801.88</v>
      </c>
      <c r="G321" t="inlineStr"/>
      <c r="H321" t="inlineStr"/>
      <c r="I321" t="n">
        <v>2269.1156</v>
      </c>
      <c r="J321" t="n">
        <v>9169.444799999999</v>
      </c>
      <c r="K321" t="n">
        <v>2018</v>
      </c>
      <c r="L321" t="n">
        <v>2035</v>
      </c>
      <c r="M321" t="n">
        <v>0.4241</v>
      </c>
      <c r="N321" t="n">
        <v>0.1876</v>
      </c>
      <c r="O321" t="n">
        <v>2018</v>
      </c>
      <c r="P321" t="inlineStr"/>
      <c r="Q321" t="inlineStr"/>
      <c r="R321" t="n">
        <v>529.8294</v>
      </c>
      <c r="S321" t="n">
        <v>0.00091413</v>
      </c>
      <c r="T321" t="n">
        <v>0.00096913</v>
      </c>
      <c r="U321" t="n">
        <v>14254.0318</v>
      </c>
      <c r="V321" t="inlineStr">
        <is>
          <t>Spend-Based Estimate</t>
        </is>
      </c>
      <c r="W321" t="b">
        <v>1</v>
      </c>
      <c r="X321" t="inlineStr">
        <is>
          <t>Medium</t>
        </is>
      </c>
      <c r="Y321" t="inlineStr">
        <is>
          <t>Reported_Emissions; Scope_Emissions</t>
        </is>
      </c>
      <c r="Z321" t="n">
        <v>0.7</v>
      </c>
      <c r="AA321" t="inlineStr">
        <is>
          <t>Valid</t>
        </is>
      </c>
    </row>
    <row r="322">
      <c r="A322" t="inlineStr">
        <is>
          <t>SUP-0033</t>
        </is>
      </c>
      <c r="B322" t="inlineStr">
        <is>
          <t>Metals Supplier 033</t>
        </is>
      </c>
      <c r="C322" t="inlineStr">
        <is>
          <t>Metals</t>
        </is>
      </c>
      <c r="D322" t="n">
        <v>2015</v>
      </c>
      <c r="E322" t="n">
        <v>19083137.56</v>
      </c>
      <c r="F322" t="inlineStr"/>
      <c r="G322" t="n">
        <v>24472.9615</v>
      </c>
      <c r="H322" t="n">
        <v>2910.8656</v>
      </c>
      <c r="I322" t="n">
        <v>4352.0542</v>
      </c>
      <c r="J322" t="n">
        <v>16870.851</v>
      </c>
      <c r="K322" t="n">
        <v>2021</v>
      </c>
      <c r="L322" t="n">
        <v>2030</v>
      </c>
      <c r="M322" t="n">
        <v>0.3204</v>
      </c>
      <c r="N322" t="n">
        <v>0.1259</v>
      </c>
      <c r="O322" t="n">
        <v>2019</v>
      </c>
      <c r="P322" t="n">
        <v>2030</v>
      </c>
      <c r="Q322" t="n">
        <v>0.3852</v>
      </c>
      <c r="R322" t="n">
        <v>158.2904</v>
      </c>
      <c r="S322" t="n">
        <v>0.00100695</v>
      </c>
      <c r="T322" t="n">
        <v>0.00065008</v>
      </c>
      <c r="U322" t="n">
        <v>24472.9615</v>
      </c>
      <c r="V322" t="inlineStr">
        <is>
          <t>Supplier Reported Emissions</t>
        </is>
      </c>
      <c r="W322" t="b">
        <v>0</v>
      </c>
      <c r="X322" t="inlineStr">
        <is>
          <t>High</t>
        </is>
      </c>
      <c r="Y322" t="inlineStr">
        <is>
          <t>Revenue</t>
        </is>
      </c>
      <c r="Z322" t="n">
        <v>0.95</v>
      </c>
      <c r="AA322" t="inlineStr">
        <is>
          <t>Valid</t>
        </is>
      </c>
    </row>
    <row r="323">
      <c r="A323" t="inlineStr">
        <is>
          <t>SUP-0033</t>
        </is>
      </c>
      <c r="B323" t="inlineStr">
        <is>
          <t>Metals Supplier 033</t>
        </is>
      </c>
      <c r="C323" t="inlineStr">
        <is>
          <t>Metals</t>
        </is>
      </c>
      <c r="D323" t="n">
        <v>2016</v>
      </c>
      <c r="E323" t="n">
        <v>22294928.02</v>
      </c>
      <c r="F323" t="n">
        <v>72203836.09</v>
      </c>
      <c r="G323" t="n">
        <v>28571.4715</v>
      </c>
      <c r="H323" t="n">
        <v>5896.7532</v>
      </c>
      <c r="I323" t="n">
        <v>5989.0627</v>
      </c>
      <c r="J323" t="n">
        <v>15520.792</v>
      </c>
      <c r="K323" t="n">
        <v>2021</v>
      </c>
      <c r="L323" t="n">
        <v>2030</v>
      </c>
      <c r="M323" t="n">
        <v>0.3204</v>
      </c>
      <c r="N323" t="n">
        <v>0.1259</v>
      </c>
      <c r="O323" t="n">
        <v>2019</v>
      </c>
      <c r="P323" t="n">
        <v>2030</v>
      </c>
      <c r="Q323" t="n">
        <v>0.3852</v>
      </c>
      <c r="R323" t="n">
        <v>158.2904</v>
      </c>
      <c r="S323" t="n">
        <v>0.00100695</v>
      </c>
      <c r="T323" t="n">
        <v>0.00065008</v>
      </c>
      <c r="U323" t="n">
        <v>28571.4715</v>
      </c>
      <c r="V323" t="inlineStr">
        <is>
          <t>Supplier Reported Emissions</t>
        </is>
      </c>
      <c r="W323" t="b">
        <v>0</v>
      </c>
      <c r="X323" t="inlineStr">
        <is>
          <t>High</t>
        </is>
      </c>
      <c r="Y323" t="inlineStr">
        <is>
          <t>None</t>
        </is>
      </c>
      <c r="Z323" t="n">
        <v>0.95</v>
      </c>
      <c r="AA323" t="inlineStr">
        <is>
          <t>Valid</t>
        </is>
      </c>
    </row>
    <row r="324">
      <c r="A324" t="inlineStr">
        <is>
          <t>SUP-0033</t>
        </is>
      </c>
      <c r="B324" t="inlineStr">
        <is>
          <t>Metals Supplier 033</t>
        </is>
      </c>
      <c r="C324" t="inlineStr">
        <is>
          <t>Metals</t>
        </is>
      </c>
      <c r="D324" t="n">
        <v>2017</v>
      </c>
      <c r="E324" t="n">
        <v>20920413.66</v>
      </c>
      <c r="F324" t="n">
        <v>59301650.88</v>
      </c>
      <c r="G324" t="n">
        <v>22786.0949</v>
      </c>
      <c r="H324" t="inlineStr"/>
      <c r="I324" t="inlineStr"/>
      <c r="J324" t="inlineStr"/>
      <c r="K324" t="n">
        <v>2021</v>
      </c>
      <c r="L324" t="n">
        <v>2030</v>
      </c>
      <c r="M324" t="n">
        <v>0.3204</v>
      </c>
      <c r="N324" t="n">
        <v>0.1259</v>
      </c>
      <c r="O324" t="n">
        <v>2019</v>
      </c>
      <c r="P324" t="n">
        <v>2030</v>
      </c>
      <c r="Q324" t="n">
        <v>0.3852</v>
      </c>
      <c r="R324" t="n">
        <v>158.2904</v>
      </c>
      <c r="S324" t="n">
        <v>0.00100695</v>
      </c>
      <c r="T324" t="n">
        <v>0.00065008</v>
      </c>
      <c r="U324" t="n">
        <v>22786.0949</v>
      </c>
      <c r="V324" t="inlineStr">
        <is>
          <t>Supplier Reported Emissions</t>
        </is>
      </c>
      <c r="W324" t="b">
        <v>0</v>
      </c>
      <c r="X324" t="inlineStr">
        <is>
          <t>High</t>
        </is>
      </c>
      <c r="Y324" t="inlineStr">
        <is>
          <t>Scope_Emissions</t>
        </is>
      </c>
      <c r="Z324" t="n">
        <v>0.95</v>
      </c>
      <c r="AA324" t="inlineStr">
        <is>
          <t>Valid</t>
        </is>
      </c>
    </row>
    <row r="325">
      <c r="A325" t="inlineStr">
        <is>
          <t>SUP-0033</t>
        </is>
      </c>
      <c r="B325" t="inlineStr">
        <is>
          <t>Metals Supplier 033</t>
        </is>
      </c>
      <c r="C325" t="inlineStr">
        <is>
          <t>Metals</t>
        </is>
      </c>
      <c r="D325" t="n">
        <v>2018</v>
      </c>
      <c r="E325" t="inlineStr"/>
      <c r="F325" t="n">
        <v>76412420.56</v>
      </c>
      <c r="G325" t="inlineStr"/>
      <c r="H325" t="n">
        <v>7500.1526</v>
      </c>
      <c r="I325" t="n">
        <v>5502.6851</v>
      </c>
      <c r="J325" t="inlineStr"/>
      <c r="K325" t="n">
        <v>2021</v>
      </c>
      <c r="L325" t="n">
        <v>2030</v>
      </c>
      <c r="M325" t="n">
        <v>0.3204</v>
      </c>
      <c r="N325" t="n">
        <v>0.1259</v>
      </c>
      <c r="O325" t="n">
        <v>2019</v>
      </c>
      <c r="P325" t="n">
        <v>2030</v>
      </c>
      <c r="Q325" t="n">
        <v>0.3852</v>
      </c>
      <c r="R325" t="n">
        <v>158.2904</v>
      </c>
      <c r="S325" t="n">
        <v>0.00100695</v>
      </c>
      <c r="T325" t="n">
        <v>0.00065008</v>
      </c>
      <c r="U325" t="n">
        <v>49674.1864</v>
      </c>
      <c r="V325" t="inlineStr">
        <is>
          <t>Revenue-Based Estimate</t>
        </is>
      </c>
      <c r="W325" t="b">
        <v>1</v>
      </c>
      <c r="X325" t="inlineStr">
        <is>
          <t>Medium-Low</t>
        </is>
      </c>
      <c r="Y325" t="inlineStr">
        <is>
          <t>Gross_Spend; Reported_Emissions; Scope_Emissions</t>
        </is>
      </c>
      <c r="Z325" t="n">
        <v>0.6</v>
      </c>
      <c r="AA325" t="inlineStr">
        <is>
          <t>Valid</t>
        </is>
      </c>
    </row>
    <row r="326">
      <c r="A326" t="inlineStr">
        <is>
          <t>SUP-0033</t>
        </is>
      </c>
      <c r="B326" t="inlineStr">
        <is>
          <t>Metals Supplier 033</t>
        </is>
      </c>
      <c r="C326" t="inlineStr">
        <is>
          <t>Metals</t>
        </is>
      </c>
      <c r="D326" t="n">
        <v>2019</v>
      </c>
      <c r="E326" t="n">
        <v>24549986.14</v>
      </c>
      <c r="F326" t="n">
        <v>84896630.59999999</v>
      </c>
      <c r="G326" t="inlineStr"/>
      <c r="H326" t="n">
        <v>5299.6861</v>
      </c>
      <c r="I326" t="n">
        <v>4204.0294</v>
      </c>
      <c r="J326" t="n">
        <v>22389.4534</v>
      </c>
      <c r="K326" t="n">
        <v>2021</v>
      </c>
      <c r="L326" t="n">
        <v>2030</v>
      </c>
      <c r="M326" t="n">
        <v>0.3204</v>
      </c>
      <c r="N326" t="n">
        <v>0.1259</v>
      </c>
      <c r="O326" t="n">
        <v>2019</v>
      </c>
      <c r="P326" t="n">
        <v>2030</v>
      </c>
      <c r="Q326" t="n">
        <v>0.3852</v>
      </c>
      <c r="R326" t="n">
        <v>158.2904</v>
      </c>
      <c r="S326" t="n">
        <v>0.00100695</v>
      </c>
      <c r="T326" t="n">
        <v>0.00065008</v>
      </c>
      <c r="U326" t="n">
        <v>31893.1689</v>
      </c>
      <c r="V326" t="inlineStr">
        <is>
          <t>Scope 1 + Scope 2 + Scope 3</t>
        </is>
      </c>
      <c r="W326" t="b">
        <v>1</v>
      </c>
      <c r="X326" t="inlineStr">
        <is>
          <t>High</t>
        </is>
      </c>
      <c r="Y326" t="inlineStr">
        <is>
          <t>Reported_Emissions</t>
        </is>
      </c>
      <c r="Z326" t="n">
        <v>0.88</v>
      </c>
      <c r="AA326" t="inlineStr">
        <is>
          <t>Valid</t>
        </is>
      </c>
    </row>
    <row r="327">
      <c r="A327" t="inlineStr">
        <is>
          <t>SUP-0033</t>
        </is>
      </c>
      <c r="B327" t="inlineStr">
        <is>
          <t>Metals Supplier 033</t>
        </is>
      </c>
      <c r="C327" t="inlineStr">
        <is>
          <t>Metals</t>
        </is>
      </c>
      <c r="D327" t="n">
        <v>2020</v>
      </c>
      <c r="E327" t="n">
        <v>27062854.78</v>
      </c>
      <c r="F327" t="n">
        <v>103828985.54</v>
      </c>
      <c r="G327" t="n">
        <v>28096.8108</v>
      </c>
      <c r="H327" t="n">
        <v>5528.0715</v>
      </c>
      <c r="I327" t="n">
        <v>5404.5672</v>
      </c>
      <c r="J327" t="n">
        <v>17768.2607</v>
      </c>
      <c r="K327" t="n">
        <v>2021</v>
      </c>
      <c r="L327" t="n">
        <v>2030</v>
      </c>
      <c r="M327" t="n">
        <v>0.3204</v>
      </c>
      <c r="N327" t="n">
        <v>0.1259</v>
      </c>
      <c r="O327" t="n">
        <v>2019</v>
      </c>
      <c r="P327" t="n">
        <v>2030</v>
      </c>
      <c r="Q327" t="n">
        <v>0.3852</v>
      </c>
      <c r="R327" t="n">
        <v>158.2904</v>
      </c>
      <c r="S327" t="n">
        <v>0.00100695</v>
      </c>
      <c r="T327" t="n">
        <v>0.00065008</v>
      </c>
      <c r="U327" t="n">
        <v>28096.8108</v>
      </c>
      <c r="V327" t="inlineStr">
        <is>
          <t>Supplier Reported Emissions</t>
        </is>
      </c>
      <c r="W327" t="b">
        <v>0</v>
      </c>
      <c r="X327" t="inlineStr">
        <is>
          <t>High</t>
        </is>
      </c>
      <c r="Y327" t="inlineStr">
        <is>
          <t>None</t>
        </is>
      </c>
      <c r="Z327" t="n">
        <v>0.95</v>
      </c>
      <c r="AA327" t="inlineStr">
        <is>
          <t>Valid</t>
        </is>
      </c>
    </row>
    <row r="328">
      <c r="A328" t="inlineStr">
        <is>
          <t>SUP-0033</t>
        </is>
      </c>
      <c r="B328" t="inlineStr">
        <is>
          <t>Metals Supplier 033</t>
        </is>
      </c>
      <c r="C328" t="inlineStr">
        <is>
          <t>Metals</t>
        </is>
      </c>
      <c r="D328" t="n">
        <v>2021</v>
      </c>
      <c r="E328" t="n">
        <v>30418777.94</v>
      </c>
      <c r="F328" t="n">
        <v>96324971.34</v>
      </c>
      <c r="G328" t="n">
        <v>31208.1641</v>
      </c>
      <c r="H328" t="n">
        <v>3788.1208</v>
      </c>
      <c r="I328" t="inlineStr"/>
      <c r="J328" t="n">
        <v>21623.5447</v>
      </c>
      <c r="K328" t="n">
        <v>2021</v>
      </c>
      <c r="L328" t="n">
        <v>2030</v>
      </c>
      <c r="M328" t="n">
        <v>0.3204</v>
      </c>
      <c r="N328" t="n">
        <v>0.1259</v>
      </c>
      <c r="O328" t="n">
        <v>2019</v>
      </c>
      <c r="P328" t="n">
        <v>2030</v>
      </c>
      <c r="Q328" t="n">
        <v>0.3852</v>
      </c>
      <c r="R328" t="n">
        <v>158.2904</v>
      </c>
      <c r="S328" t="n">
        <v>0.00100695</v>
      </c>
      <c r="T328" t="n">
        <v>0.00065008</v>
      </c>
      <c r="U328" t="n">
        <v>31208.1641</v>
      </c>
      <c r="V328" t="inlineStr">
        <is>
          <t>Supplier Reported Emissions</t>
        </is>
      </c>
      <c r="W328" t="b">
        <v>0</v>
      </c>
      <c r="X328" t="inlineStr">
        <is>
          <t>High</t>
        </is>
      </c>
      <c r="Y328" t="inlineStr">
        <is>
          <t>Scope_Emissions</t>
        </is>
      </c>
      <c r="Z328" t="n">
        <v>0.95</v>
      </c>
      <c r="AA328" t="inlineStr">
        <is>
          <t>Valid</t>
        </is>
      </c>
    </row>
    <row r="329">
      <c r="A329" t="inlineStr">
        <is>
          <t>SUP-0033</t>
        </is>
      </c>
      <c r="B329" t="inlineStr">
        <is>
          <t>Metals Supplier 033</t>
        </is>
      </c>
      <c r="C329" t="inlineStr">
        <is>
          <t>Metals</t>
        </is>
      </c>
      <c r="D329" t="n">
        <v>2022</v>
      </c>
      <c r="E329" t="n">
        <v>23529805.34</v>
      </c>
      <c r="F329" t="n">
        <v>119383452.84</v>
      </c>
      <c r="G329" t="n">
        <v>19616.2422</v>
      </c>
      <c r="H329" t="inlineStr"/>
      <c r="I329" t="n">
        <v>1477.4595</v>
      </c>
      <c r="J329" t="n">
        <v>12511.5613</v>
      </c>
      <c r="K329" t="n">
        <v>2021</v>
      </c>
      <c r="L329" t="n">
        <v>2030</v>
      </c>
      <c r="M329" t="n">
        <v>0.3204</v>
      </c>
      <c r="N329" t="n">
        <v>0.1259</v>
      </c>
      <c r="O329" t="n">
        <v>2019</v>
      </c>
      <c r="P329" t="n">
        <v>2030</v>
      </c>
      <c r="Q329" t="n">
        <v>0.3852</v>
      </c>
      <c r="R329" t="n">
        <v>158.2904</v>
      </c>
      <c r="S329" t="n">
        <v>0.00100695</v>
      </c>
      <c r="T329" t="n">
        <v>0.00065008</v>
      </c>
      <c r="U329" t="n">
        <v>19616.2422</v>
      </c>
      <c r="V329" t="inlineStr">
        <is>
          <t>Supplier Reported Emissions</t>
        </is>
      </c>
      <c r="W329" t="b">
        <v>0</v>
      </c>
      <c r="X329" t="inlineStr">
        <is>
          <t>High</t>
        </is>
      </c>
      <c r="Y329" t="inlineStr">
        <is>
          <t>Scope_Emissions</t>
        </is>
      </c>
      <c r="Z329" t="n">
        <v>0.95</v>
      </c>
      <c r="AA329" t="inlineStr">
        <is>
          <t>Valid</t>
        </is>
      </c>
    </row>
    <row r="330">
      <c r="A330" t="inlineStr">
        <is>
          <t>SUP-0033</t>
        </is>
      </c>
      <c r="B330" t="inlineStr">
        <is>
          <t>Metals Supplier 033</t>
        </is>
      </c>
      <c r="C330" t="inlineStr">
        <is>
          <t>Metals</t>
        </is>
      </c>
      <c r="D330" t="n">
        <v>2023</v>
      </c>
      <c r="E330" t="n">
        <v>28512699.68</v>
      </c>
      <c r="F330" t="n">
        <v>131503386.24</v>
      </c>
      <c r="G330" t="n">
        <v>26841.4322</v>
      </c>
      <c r="H330" t="n">
        <v>7563.7242</v>
      </c>
      <c r="I330" t="n">
        <v>6354.0839</v>
      </c>
      <c r="J330" t="n">
        <v>14655.4683</v>
      </c>
      <c r="K330" t="n">
        <v>2021</v>
      </c>
      <c r="L330" t="n">
        <v>2030</v>
      </c>
      <c r="M330" t="n">
        <v>0.3204</v>
      </c>
      <c r="N330" t="n">
        <v>0.1259</v>
      </c>
      <c r="O330" t="n">
        <v>2019</v>
      </c>
      <c r="P330" t="n">
        <v>2030</v>
      </c>
      <c r="Q330" t="n">
        <v>0.3852</v>
      </c>
      <c r="R330" t="n">
        <v>158.2904</v>
      </c>
      <c r="S330" t="n">
        <v>0.00100695</v>
      </c>
      <c r="T330" t="n">
        <v>0.00065008</v>
      </c>
      <c r="U330" t="n">
        <v>26841.4322</v>
      </c>
      <c r="V330" t="inlineStr">
        <is>
          <t>Supplier Reported Emissions</t>
        </is>
      </c>
      <c r="W330" t="b">
        <v>0</v>
      </c>
      <c r="X330" t="inlineStr">
        <is>
          <t>High</t>
        </is>
      </c>
      <c r="Y330" t="inlineStr">
        <is>
          <t>None</t>
        </is>
      </c>
      <c r="Z330" t="n">
        <v>0.95</v>
      </c>
      <c r="AA330" t="inlineStr">
        <is>
          <t>Valid</t>
        </is>
      </c>
    </row>
    <row r="331">
      <c r="A331" t="inlineStr">
        <is>
          <t>SUP-0033</t>
        </is>
      </c>
      <c r="B331" t="inlineStr">
        <is>
          <t>Metals Supplier 033</t>
        </is>
      </c>
      <c r="C331" t="inlineStr">
        <is>
          <t>Metals</t>
        </is>
      </c>
      <c r="D331" t="n">
        <v>2024</v>
      </c>
      <c r="E331" t="n">
        <v>37962429.31</v>
      </c>
      <c r="F331" t="n">
        <v>112049870.81</v>
      </c>
      <c r="G331" t="n">
        <v>36124.2244</v>
      </c>
      <c r="H331" t="inlineStr"/>
      <c r="I331" t="n">
        <v>6049.4667</v>
      </c>
      <c r="J331" t="n">
        <v>25776.7657</v>
      </c>
      <c r="K331" t="n">
        <v>2021</v>
      </c>
      <c r="L331" t="n">
        <v>2030</v>
      </c>
      <c r="M331" t="n">
        <v>0.3204</v>
      </c>
      <c r="N331" t="n">
        <v>0.1259</v>
      </c>
      <c r="O331" t="n">
        <v>2019</v>
      </c>
      <c r="P331" t="n">
        <v>2030</v>
      </c>
      <c r="Q331" t="n">
        <v>0.3852</v>
      </c>
      <c r="R331" t="n">
        <v>158.2904</v>
      </c>
      <c r="S331" t="n">
        <v>0.00100695</v>
      </c>
      <c r="T331" t="n">
        <v>0.00065008</v>
      </c>
      <c r="U331" t="n">
        <v>36124.2244</v>
      </c>
      <c r="V331" t="inlineStr">
        <is>
          <t>Supplier Reported Emissions</t>
        </is>
      </c>
      <c r="W331" t="b">
        <v>0</v>
      </c>
      <c r="X331" t="inlineStr">
        <is>
          <t>High</t>
        </is>
      </c>
      <c r="Y331" t="inlineStr">
        <is>
          <t>Scope_Emissions</t>
        </is>
      </c>
      <c r="Z331" t="n">
        <v>0.95</v>
      </c>
      <c r="AA331" t="inlineStr">
        <is>
          <t>Valid</t>
        </is>
      </c>
    </row>
    <row r="332">
      <c r="A332" t="inlineStr">
        <is>
          <t>SUP-0034</t>
        </is>
      </c>
      <c r="B332" t="inlineStr">
        <is>
          <t>Logistics Supplier 034</t>
        </is>
      </c>
      <c r="C332" t="inlineStr">
        <is>
          <t>Logistics</t>
        </is>
      </c>
      <c r="D332" t="n">
        <v>2015</v>
      </c>
      <c r="E332" t="n">
        <v>7350895.27</v>
      </c>
      <c r="F332" t="n">
        <v>24520226.74</v>
      </c>
      <c r="G332" t="n">
        <v>2843.0809</v>
      </c>
      <c r="H332" t="n">
        <v>581.3438</v>
      </c>
      <c r="I332" t="n">
        <v>437.6761</v>
      </c>
      <c r="J332" t="n">
        <v>1805.5133</v>
      </c>
      <c r="K332" t="n">
        <v>2020</v>
      </c>
      <c r="L332" t="n">
        <v>2035</v>
      </c>
      <c r="M332" t="n">
        <v>0.5058</v>
      </c>
      <c r="N332" t="n">
        <v>0.1853</v>
      </c>
      <c r="O332" t="n">
        <v>2019</v>
      </c>
      <c r="P332" t="n">
        <v>2040</v>
      </c>
      <c r="Q332" t="n">
        <v>0.4616</v>
      </c>
      <c r="R332" t="n">
        <v>591.6386</v>
      </c>
      <c r="S332" t="n">
        <v>0.00022349</v>
      </c>
      <c r="T332" t="n">
        <v>0.00047787</v>
      </c>
      <c r="U332" t="n">
        <v>2843.0809</v>
      </c>
      <c r="V332" t="inlineStr">
        <is>
          <t>Supplier Reported Emissions</t>
        </is>
      </c>
      <c r="W332" t="b">
        <v>0</v>
      </c>
      <c r="X332" t="inlineStr">
        <is>
          <t>High</t>
        </is>
      </c>
      <c r="Y332" t="inlineStr">
        <is>
          <t>None</t>
        </is>
      </c>
      <c r="Z332" t="n">
        <v>0.95</v>
      </c>
      <c r="AA332" t="inlineStr">
        <is>
          <t>Valid</t>
        </is>
      </c>
    </row>
    <row r="333">
      <c r="A333" t="inlineStr">
        <is>
          <t>SUP-0034</t>
        </is>
      </c>
      <c r="B333" t="inlineStr">
        <is>
          <t>Logistics Supplier 034</t>
        </is>
      </c>
      <c r="C333" t="inlineStr">
        <is>
          <t>Logistics</t>
        </is>
      </c>
      <c r="D333" t="n">
        <v>2016</v>
      </c>
      <c r="E333" t="n">
        <v>8737207.23</v>
      </c>
      <c r="F333" t="n">
        <v>24996443.11</v>
      </c>
      <c r="G333" t="n">
        <v>2755.9862</v>
      </c>
      <c r="H333" t="n">
        <v>761.5393</v>
      </c>
      <c r="I333" t="n">
        <v>451.0303</v>
      </c>
      <c r="J333" t="n">
        <v>1612.984</v>
      </c>
      <c r="K333" t="n">
        <v>2020</v>
      </c>
      <c r="L333" t="n">
        <v>2035</v>
      </c>
      <c r="M333" t="n">
        <v>0.5058</v>
      </c>
      <c r="N333" t="n">
        <v>0.1853</v>
      </c>
      <c r="O333" t="n">
        <v>2019</v>
      </c>
      <c r="P333" t="n">
        <v>2040</v>
      </c>
      <c r="Q333" t="n">
        <v>0.4616</v>
      </c>
      <c r="R333" t="n">
        <v>591.6386</v>
      </c>
      <c r="S333" t="n">
        <v>0.00022349</v>
      </c>
      <c r="T333" t="n">
        <v>0.00047787</v>
      </c>
      <c r="U333" t="n">
        <v>2755.9862</v>
      </c>
      <c r="V333" t="inlineStr">
        <is>
          <t>Supplier Reported Emissions</t>
        </is>
      </c>
      <c r="W333" t="b">
        <v>0</v>
      </c>
      <c r="X333" t="inlineStr">
        <is>
          <t>High</t>
        </is>
      </c>
      <c r="Y333" t="inlineStr">
        <is>
          <t>None</t>
        </is>
      </c>
      <c r="Z333" t="n">
        <v>0.95</v>
      </c>
      <c r="AA333" t="inlineStr">
        <is>
          <t>Valid</t>
        </is>
      </c>
    </row>
    <row r="334">
      <c r="A334" t="inlineStr">
        <is>
          <t>SUP-0034</t>
        </is>
      </c>
      <c r="B334" t="inlineStr">
        <is>
          <t>Logistics Supplier 034</t>
        </is>
      </c>
      <c r="C334" t="inlineStr">
        <is>
          <t>Logistics</t>
        </is>
      </c>
      <c r="D334" t="n">
        <v>2017</v>
      </c>
      <c r="E334" t="n">
        <v>8270444.82</v>
      </c>
      <c r="F334" t="n">
        <v>22747244.25</v>
      </c>
      <c r="G334" t="n">
        <v>2839.0455</v>
      </c>
      <c r="H334" t="n">
        <v>838.0844</v>
      </c>
      <c r="I334" t="n">
        <v>518.8837</v>
      </c>
      <c r="J334" t="inlineStr"/>
      <c r="K334" t="n">
        <v>2020</v>
      </c>
      <c r="L334" t="n">
        <v>2035</v>
      </c>
      <c r="M334" t="n">
        <v>0.5058</v>
      </c>
      <c r="N334" t="n">
        <v>0.1853</v>
      </c>
      <c r="O334" t="n">
        <v>2019</v>
      </c>
      <c r="P334" t="n">
        <v>2040</v>
      </c>
      <c r="Q334" t="n">
        <v>0.4616</v>
      </c>
      <c r="R334" t="n">
        <v>591.6386</v>
      </c>
      <c r="S334" t="n">
        <v>0.00022349</v>
      </c>
      <c r="T334" t="n">
        <v>0.00047787</v>
      </c>
      <c r="U334" t="n">
        <v>2839.0455</v>
      </c>
      <c r="V334" t="inlineStr">
        <is>
          <t>Supplier Reported Emissions</t>
        </is>
      </c>
      <c r="W334" t="b">
        <v>0</v>
      </c>
      <c r="X334" t="inlineStr">
        <is>
          <t>High</t>
        </is>
      </c>
      <c r="Y334" t="inlineStr">
        <is>
          <t>Scope_Emissions</t>
        </is>
      </c>
      <c r="Z334" t="n">
        <v>0.95</v>
      </c>
      <c r="AA334" t="inlineStr">
        <is>
          <t>Valid</t>
        </is>
      </c>
    </row>
    <row r="335">
      <c r="A335" t="inlineStr">
        <is>
          <t>SUP-0034</t>
        </is>
      </c>
      <c r="B335" t="inlineStr">
        <is>
          <t>Logistics Supplier 034</t>
        </is>
      </c>
      <c r="C335" t="inlineStr">
        <is>
          <t>Logistics</t>
        </is>
      </c>
      <c r="D335" t="n">
        <v>2018</v>
      </c>
      <c r="E335" t="n">
        <v>7276447.46</v>
      </c>
      <c r="F335" t="n">
        <v>20556293.54</v>
      </c>
      <c r="G335" t="inlineStr"/>
      <c r="H335" t="n">
        <v>263.9632</v>
      </c>
      <c r="I335" t="n">
        <v>233.8084</v>
      </c>
      <c r="J335" t="n">
        <v>1996.1602</v>
      </c>
      <c r="K335" t="n">
        <v>2020</v>
      </c>
      <c r="L335" t="n">
        <v>2035</v>
      </c>
      <c r="M335" t="n">
        <v>0.5058</v>
      </c>
      <c r="N335" t="n">
        <v>0.1853</v>
      </c>
      <c r="O335" t="n">
        <v>2019</v>
      </c>
      <c r="P335" t="n">
        <v>2040</v>
      </c>
      <c r="Q335" t="n">
        <v>0.4616</v>
      </c>
      <c r="R335" t="n">
        <v>591.6386</v>
      </c>
      <c r="S335" t="n">
        <v>0.00022349</v>
      </c>
      <c r="T335" t="n">
        <v>0.00047787</v>
      </c>
      <c r="U335" t="n">
        <v>2493.9318</v>
      </c>
      <c r="V335" t="inlineStr">
        <is>
          <t>Scope 1 + Scope 2 + Scope 3</t>
        </is>
      </c>
      <c r="W335" t="b">
        <v>1</v>
      </c>
      <c r="X335" t="inlineStr">
        <is>
          <t>High</t>
        </is>
      </c>
      <c r="Y335" t="inlineStr">
        <is>
          <t>Reported_Emissions</t>
        </is>
      </c>
      <c r="Z335" t="n">
        <v>0.88</v>
      </c>
      <c r="AA335" t="inlineStr">
        <is>
          <t>Valid</t>
        </is>
      </c>
    </row>
    <row r="336">
      <c r="A336" t="inlineStr">
        <is>
          <t>SUP-0034</t>
        </is>
      </c>
      <c r="B336" t="inlineStr">
        <is>
          <t>Logistics Supplier 034</t>
        </is>
      </c>
      <c r="C336" t="inlineStr">
        <is>
          <t>Logistics</t>
        </is>
      </c>
      <c r="D336" t="n">
        <v>2019</v>
      </c>
      <c r="E336" t="n">
        <v>7747474.68</v>
      </c>
      <c r="F336" t="n">
        <v>22284370.32</v>
      </c>
      <c r="G336" t="inlineStr"/>
      <c r="H336" t="n">
        <v>317.6731</v>
      </c>
      <c r="I336" t="n">
        <v>154.4324</v>
      </c>
      <c r="J336" t="inlineStr"/>
      <c r="K336" t="n">
        <v>2020</v>
      </c>
      <c r="L336" t="n">
        <v>2035</v>
      </c>
      <c r="M336" t="n">
        <v>0.5058</v>
      </c>
      <c r="N336" t="n">
        <v>0.1853</v>
      </c>
      <c r="O336" t="n">
        <v>2019</v>
      </c>
      <c r="P336" t="n">
        <v>2040</v>
      </c>
      <c r="Q336" t="n">
        <v>0.4616</v>
      </c>
      <c r="R336" t="n">
        <v>591.6386</v>
      </c>
      <c r="S336" t="n">
        <v>0.00022349</v>
      </c>
      <c r="T336" t="n">
        <v>0.00047787</v>
      </c>
      <c r="U336" t="n">
        <v>1731.4831</v>
      </c>
      <c r="V336" t="inlineStr">
        <is>
          <t>Spend-Based Estimate</t>
        </is>
      </c>
      <c r="W336" t="b">
        <v>1</v>
      </c>
      <c r="X336" t="inlineStr">
        <is>
          <t>Medium</t>
        </is>
      </c>
      <c r="Y336" t="inlineStr">
        <is>
          <t>Reported_Emissions; Scope_Emissions</t>
        </is>
      </c>
      <c r="Z336" t="n">
        <v>0.7</v>
      </c>
      <c r="AA336" t="inlineStr">
        <is>
          <t>Valid</t>
        </is>
      </c>
    </row>
    <row r="337">
      <c r="A337" t="inlineStr">
        <is>
          <t>SUP-0034</t>
        </is>
      </c>
      <c r="B337" t="inlineStr">
        <is>
          <t>Logistics Supplier 034</t>
        </is>
      </c>
      <c r="C337" t="inlineStr">
        <is>
          <t>Logistics</t>
        </is>
      </c>
      <c r="D337" t="n">
        <v>2020</v>
      </c>
      <c r="E337" t="n">
        <v>8548850.560000001</v>
      </c>
      <c r="F337" t="n">
        <v>21620277.81</v>
      </c>
      <c r="G337" t="n">
        <v>2616.4397</v>
      </c>
      <c r="H337" t="n">
        <v>270.2465</v>
      </c>
      <c r="I337" t="n">
        <v>395.2688</v>
      </c>
      <c r="J337" t="n">
        <v>1964.9596</v>
      </c>
      <c r="K337" t="n">
        <v>2020</v>
      </c>
      <c r="L337" t="n">
        <v>2035</v>
      </c>
      <c r="M337" t="n">
        <v>0.5058</v>
      </c>
      <c r="N337" t="n">
        <v>0.1853</v>
      </c>
      <c r="O337" t="n">
        <v>2019</v>
      </c>
      <c r="P337" t="n">
        <v>2040</v>
      </c>
      <c r="Q337" t="n">
        <v>0.4616</v>
      </c>
      <c r="R337" t="n">
        <v>591.6386</v>
      </c>
      <c r="S337" t="n">
        <v>0.00022349</v>
      </c>
      <c r="T337" t="n">
        <v>0.00047787</v>
      </c>
      <c r="U337" t="n">
        <v>2616.4397</v>
      </c>
      <c r="V337" t="inlineStr">
        <is>
          <t>Supplier Reported Emissions</t>
        </is>
      </c>
      <c r="W337" t="b">
        <v>0</v>
      </c>
      <c r="X337" t="inlineStr">
        <is>
          <t>High</t>
        </is>
      </c>
      <c r="Y337" t="inlineStr">
        <is>
          <t>None</t>
        </is>
      </c>
      <c r="Z337" t="n">
        <v>0.95</v>
      </c>
      <c r="AA337" t="inlineStr">
        <is>
          <t>Valid</t>
        </is>
      </c>
    </row>
    <row r="338">
      <c r="A338" t="inlineStr">
        <is>
          <t>SUP-0034</t>
        </is>
      </c>
      <c r="B338" t="inlineStr">
        <is>
          <t>Logistics Supplier 034</t>
        </is>
      </c>
      <c r="C338" t="inlineStr">
        <is>
          <t>Logistics</t>
        </is>
      </c>
      <c r="D338" t="n">
        <v>2021</v>
      </c>
      <c r="E338" t="n">
        <v>9136813.65</v>
      </c>
      <c r="F338" t="n">
        <v>23807349.15</v>
      </c>
      <c r="G338" t="n">
        <v>3048.8328</v>
      </c>
      <c r="H338" t="n">
        <v>333.306</v>
      </c>
      <c r="I338" t="n">
        <v>196.1071</v>
      </c>
      <c r="J338" t="n">
        <v>2473.8328</v>
      </c>
      <c r="K338" t="n">
        <v>2020</v>
      </c>
      <c r="L338" t="n">
        <v>2035</v>
      </c>
      <c r="M338" t="n">
        <v>0.5058</v>
      </c>
      <c r="N338" t="n">
        <v>0.1853</v>
      </c>
      <c r="O338" t="n">
        <v>2019</v>
      </c>
      <c r="P338" t="n">
        <v>2040</v>
      </c>
      <c r="Q338" t="n">
        <v>0.4616</v>
      </c>
      <c r="R338" t="n">
        <v>591.6386</v>
      </c>
      <c r="S338" t="n">
        <v>0.00022349</v>
      </c>
      <c r="T338" t="n">
        <v>0.00047787</v>
      </c>
      <c r="U338" t="n">
        <v>3048.8328</v>
      </c>
      <c r="V338" t="inlineStr">
        <is>
          <t>Supplier Reported Emissions</t>
        </is>
      </c>
      <c r="W338" t="b">
        <v>0</v>
      </c>
      <c r="X338" t="inlineStr">
        <is>
          <t>High</t>
        </is>
      </c>
      <c r="Y338" t="inlineStr">
        <is>
          <t>None</t>
        </is>
      </c>
      <c r="Z338" t="n">
        <v>0.95</v>
      </c>
      <c r="AA338" t="inlineStr">
        <is>
          <t>Valid</t>
        </is>
      </c>
    </row>
    <row r="339">
      <c r="A339" t="inlineStr">
        <is>
          <t>SUP-0034</t>
        </is>
      </c>
      <c r="B339" t="inlineStr">
        <is>
          <t>Logistics Supplier 034</t>
        </is>
      </c>
      <c r="C339" t="inlineStr">
        <is>
          <t>Logistics</t>
        </is>
      </c>
      <c r="D339" t="n">
        <v>2022</v>
      </c>
      <c r="E339" t="n">
        <v>8117901.92</v>
      </c>
      <c r="F339" t="inlineStr"/>
      <c r="G339" t="n">
        <v>2468.6124</v>
      </c>
      <c r="H339" t="n">
        <v>245.2779</v>
      </c>
      <c r="I339" t="n">
        <v>333.8452</v>
      </c>
      <c r="J339" t="inlineStr"/>
      <c r="K339" t="n">
        <v>2020</v>
      </c>
      <c r="L339" t="n">
        <v>2035</v>
      </c>
      <c r="M339" t="n">
        <v>0.5058</v>
      </c>
      <c r="N339" t="n">
        <v>0.1853</v>
      </c>
      <c r="O339" t="n">
        <v>2019</v>
      </c>
      <c r="P339" t="n">
        <v>2040</v>
      </c>
      <c r="Q339" t="n">
        <v>0.4616</v>
      </c>
      <c r="R339" t="n">
        <v>591.6386</v>
      </c>
      <c r="S339" t="n">
        <v>0.00022349</v>
      </c>
      <c r="T339" t="n">
        <v>0.00047787</v>
      </c>
      <c r="U339" t="n">
        <v>2468.6124</v>
      </c>
      <c r="V339" t="inlineStr">
        <is>
          <t>Supplier Reported Emissions</t>
        </is>
      </c>
      <c r="W339" t="b">
        <v>0</v>
      </c>
      <c r="X339" t="inlineStr">
        <is>
          <t>High</t>
        </is>
      </c>
      <c r="Y339" t="inlineStr">
        <is>
          <t>Revenue; Scope_Emissions</t>
        </is>
      </c>
      <c r="Z339" t="n">
        <v>0.95</v>
      </c>
      <c r="AA339" t="inlineStr">
        <is>
          <t>Valid</t>
        </is>
      </c>
    </row>
    <row r="340">
      <c r="A340" t="inlineStr">
        <is>
          <t>SUP-0034</t>
        </is>
      </c>
      <c r="B340" t="inlineStr">
        <is>
          <t>Logistics Supplier 034</t>
        </is>
      </c>
      <c r="C340" t="inlineStr">
        <is>
          <t>Logistics</t>
        </is>
      </c>
      <c r="D340" t="n">
        <v>2023</v>
      </c>
      <c r="E340" t="n">
        <v>9124174.060000001</v>
      </c>
      <c r="F340" t="n">
        <v>24347259.42</v>
      </c>
      <c r="G340" t="n">
        <v>3327.6512</v>
      </c>
      <c r="H340" t="n">
        <v>257.7912</v>
      </c>
      <c r="I340" t="n">
        <v>212.6852</v>
      </c>
      <c r="J340" t="inlineStr"/>
      <c r="K340" t="n">
        <v>2020</v>
      </c>
      <c r="L340" t="n">
        <v>2035</v>
      </c>
      <c r="M340" t="n">
        <v>0.5058</v>
      </c>
      <c r="N340" t="n">
        <v>0.1853</v>
      </c>
      <c r="O340" t="n">
        <v>2019</v>
      </c>
      <c r="P340" t="n">
        <v>2040</v>
      </c>
      <c r="Q340" t="n">
        <v>0.4616</v>
      </c>
      <c r="R340" t="n">
        <v>591.6386</v>
      </c>
      <c r="S340" t="n">
        <v>0.00022349</v>
      </c>
      <c r="T340" t="n">
        <v>0.00047787</v>
      </c>
      <c r="U340" t="n">
        <v>3327.6512</v>
      </c>
      <c r="V340" t="inlineStr">
        <is>
          <t>Supplier Reported Emissions</t>
        </is>
      </c>
      <c r="W340" t="b">
        <v>0</v>
      </c>
      <c r="X340" t="inlineStr">
        <is>
          <t>High</t>
        </is>
      </c>
      <c r="Y340" t="inlineStr">
        <is>
          <t>Scope_Emissions</t>
        </is>
      </c>
      <c r="Z340" t="n">
        <v>0.95</v>
      </c>
      <c r="AA340" t="inlineStr">
        <is>
          <t>Valid</t>
        </is>
      </c>
    </row>
    <row r="341">
      <c r="A341" t="inlineStr">
        <is>
          <t>SUP-0034</t>
        </is>
      </c>
      <c r="B341" t="inlineStr">
        <is>
          <t>Logistics Supplier 034</t>
        </is>
      </c>
      <c r="C341" t="inlineStr">
        <is>
          <t>Logistics</t>
        </is>
      </c>
      <c r="D341" t="n">
        <v>2024</v>
      </c>
      <c r="E341" t="n">
        <v>7148885.07</v>
      </c>
      <c r="F341" t="n">
        <v>18559711.1</v>
      </c>
      <c r="G341" t="n">
        <v>2270.0275</v>
      </c>
      <c r="H341" t="n">
        <v>494.8927</v>
      </c>
      <c r="I341" t="n">
        <v>482.9003</v>
      </c>
      <c r="J341" t="n">
        <v>1239.3185</v>
      </c>
      <c r="K341" t="n">
        <v>2020</v>
      </c>
      <c r="L341" t="n">
        <v>2035</v>
      </c>
      <c r="M341" t="n">
        <v>0.5058</v>
      </c>
      <c r="N341" t="n">
        <v>0.1853</v>
      </c>
      <c r="O341" t="n">
        <v>2019</v>
      </c>
      <c r="P341" t="n">
        <v>2040</v>
      </c>
      <c r="Q341" t="n">
        <v>0.4616</v>
      </c>
      <c r="R341" t="n">
        <v>591.6386</v>
      </c>
      <c r="S341" t="n">
        <v>0.00022349</v>
      </c>
      <c r="T341" t="n">
        <v>0.00047787</v>
      </c>
      <c r="U341" t="n">
        <v>2270.0275</v>
      </c>
      <c r="V341" t="inlineStr">
        <is>
          <t>Supplier Reported Emissions</t>
        </is>
      </c>
      <c r="W341" t="b">
        <v>0</v>
      </c>
      <c r="X341" t="inlineStr">
        <is>
          <t>High</t>
        </is>
      </c>
      <c r="Y341" t="inlineStr">
        <is>
          <t>None</t>
        </is>
      </c>
      <c r="Z341" t="n">
        <v>0.95</v>
      </c>
      <c r="AA341" t="inlineStr">
        <is>
          <t>Valid</t>
        </is>
      </c>
    </row>
    <row r="342">
      <c r="A342" t="inlineStr">
        <is>
          <t>SUP-0035</t>
        </is>
      </c>
      <c r="B342" t="inlineStr">
        <is>
          <t>Electronics Supplier 035</t>
        </is>
      </c>
      <c r="C342" t="inlineStr">
        <is>
          <t>Electronics</t>
        </is>
      </c>
      <c r="D342" t="n">
        <v>2015</v>
      </c>
      <c r="E342" t="n">
        <v>15304734.93</v>
      </c>
      <c r="F342" t="n">
        <v>25147788.31</v>
      </c>
      <c r="G342" t="n">
        <v>15198.8368</v>
      </c>
      <c r="H342" t="n">
        <v>3894.3274</v>
      </c>
      <c r="I342" t="n">
        <v>3227.093</v>
      </c>
      <c r="J342" t="n">
        <v>8361.8506</v>
      </c>
      <c r="K342" t="inlineStr"/>
      <c r="L342" t="inlineStr"/>
      <c r="M342" t="inlineStr"/>
      <c r="N342" t="inlineStr"/>
      <c r="O342" t="n">
        <v>2018</v>
      </c>
      <c r="P342" t="n">
        <v>2040</v>
      </c>
      <c r="Q342" t="n">
        <v>0.3424</v>
      </c>
      <c r="R342" t="n">
        <v>635.1588</v>
      </c>
      <c r="S342" t="n">
        <v>0.00086105</v>
      </c>
      <c r="T342" t="n">
        <v>0.00013947</v>
      </c>
      <c r="U342" t="n">
        <v>15198.8368</v>
      </c>
      <c r="V342" t="inlineStr">
        <is>
          <t>Supplier Reported Emissions</t>
        </is>
      </c>
      <c r="W342" t="b">
        <v>0</v>
      </c>
      <c r="X342" t="inlineStr">
        <is>
          <t>High</t>
        </is>
      </c>
      <c r="Y342" t="inlineStr">
        <is>
          <t>None</t>
        </is>
      </c>
      <c r="Z342" t="n">
        <v>0.95</v>
      </c>
      <c r="AA342" t="inlineStr">
        <is>
          <t>Valid</t>
        </is>
      </c>
    </row>
    <row r="343">
      <c r="A343" t="inlineStr">
        <is>
          <t>SUP-0035</t>
        </is>
      </c>
      <c r="B343" t="inlineStr">
        <is>
          <t>Electronics Supplier 035</t>
        </is>
      </c>
      <c r="C343" t="inlineStr">
        <is>
          <t>Electronics</t>
        </is>
      </c>
      <c r="D343" t="n">
        <v>2016</v>
      </c>
      <c r="E343" t="n">
        <v>10955862.81</v>
      </c>
      <c r="F343" t="n">
        <v>29489690.32</v>
      </c>
      <c r="G343" t="n">
        <v>9151.620500000001</v>
      </c>
      <c r="H343" t="n">
        <v>1830.116</v>
      </c>
      <c r="I343" t="n">
        <v>1192.171</v>
      </c>
      <c r="J343" t="inlineStr"/>
      <c r="K343" t="inlineStr"/>
      <c r="L343" t="inlineStr"/>
      <c r="M343" t="inlineStr"/>
      <c r="N343" t="inlineStr"/>
      <c r="O343" t="n">
        <v>2018</v>
      </c>
      <c r="P343" t="n">
        <v>2040</v>
      </c>
      <c r="Q343" t="n">
        <v>0.3424</v>
      </c>
      <c r="R343" t="n">
        <v>635.1588</v>
      </c>
      <c r="S343" t="n">
        <v>0.00086105</v>
      </c>
      <c r="T343" t="n">
        <v>0.00013947</v>
      </c>
      <c r="U343" t="n">
        <v>9151.620500000001</v>
      </c>
      <c r="V343" t="inlineStr">
        <is>
          <t>Supplier Reported Emissions</t>
        </is>
      </c>
      <c r="W343" t="b">
        <v>0</v>
      </c>
      <c r="X343" t="inlineStr">
        <is>
          <t>High</t>
        </is>
      </c>
      <c r="Y343" t="inlineStr">
        <is>
          <t>Scope_Emissions</t>
        </is>
      </c>
      <c r="Z343" t="n">
        <v>0.95</v>
      </c>
      <c r="AA343" t="inlineStr">
        <is>
          <t>Valid</t>
        </is>
      </c>
    </row>
    <row r="344">
      <c r="A344" t="inlineStr">
        <is>
          <t>SUP-0035</t>
        </is>
      </c>
      <c r="B344" t="inlineStr">
        <is>
          <t>Electronics Supplier 035</t>
        </is>
      </c>
      <c r="C344" t="inlineStr">
        <is>
          <t>Electronics</t>
        </is>
      </c>
      <c r="D344" t="n">
        <v>2017</v>
      </c>
      <c r="E344" t="n">
        <v>12673446.74</v>
      </c>
      <c r="F344" t="n">
        <v>34608578.58</v>
      </c>
      <c r="G344" t="n">
        <v>12065.7914</v>
      </c>
      <c r="H344" t="n">
        <v>2418.4502</v>
      </c>
      <c r="I344" t="n">
        <v>2564.2686</v>
      </c>
      <c r="J344" t="n">
        <v>6937.0103</v>
      </c>
      <c r="K344" t="inlineStr"/>
      <c r="L344" t="inlineStr"/>
      <c r="M344" t="inlineStr"/>
      <c r="N344" t="inlineStr"/>
      <c r="O344" t="n">
        <v>2018</v>
      </c>
      <c r="P344" t="n">
        <v>2040</v>
      </c>
      <c r="Q344" t="n">
        <v>0.3424</v>
      </c>
      <c r="R344" t="n">
        <v>635.1588</v>
      </c>
      <c r="S344" t="n">
        <v>0.00086105</v>
      </c>
      <c r="T344" t="n">
        <v>0.00013947</v>
      </c>
      <c r="U344" t="n">
        <v>12065.7914</v>
      </c>
      <c r="V344" t="inlineStr">
        <is>
          <t>Supplier Reported Emissions</t>
        </is>
      </c>
      <c r="W344" t="b">
        <v>0</v>
      </c>
      <c r="X344" t="inlineStr">
        <is>
          <t>High</t>
        </is>
      </c>
      <c r="Y344" t="inlineStr">
        <is>
          <t>None</t>
        </is>
      </c>
      <c r="Z344" t="n">
        <v>0.95</v>
      </c>
      <c r="AA344" t="inlineStr">
        <is>
          <t>Valid</t>
        </is>
      </c>
    </row>
    <row r="345">
      <c r="A345" t="inlineStr">
        <is>
          <t>SUP-0035</t>
        </is>
      </c>
      <c r="B345" t="inlineStr">
        <is>
          <t>Electronics Supplier 035</t>
        </is>
      </c>
      <c r="C345" t="inlineStr">
        <is>
          <t>Electronics</t>
        </is>
      </c>
      <c r="D345" t="n">
        <v>2018</v>
      </c>
      <c r="E345" t="n">
        <v>11540878.21</v>
      </c>
      <c r="F345" t="n">
        <v>31755056.7</v>
      </c>
      <c r="G345" t="n">
        <v>10444.0847</v>
      </c>
      <c r="H345" t="n">
        <v>1181.216</v>
      </c>
      <c r="I345" t="inlineStr"/>
      <c r="J345" t="n">
        <v>7674.0742</v>
      </c>
      <c r="K345" t="inlineStr"/>
      <c r="L345" t="inlineStr"/>
      <c r="M345" t="inlineStr"/>
      <c r="N345" t="inlineStr"/>
      <c r="O345" t="n">
        <v>2018</v>
      </c>
      <c r="P345" t="n">
        <v>2040</v>
      </c>
      <c r="Q345" t="n">
        <v>0.3424</v>
      </c>
      <c r="R345" t="n">
        <v>635.1588</v>
      </c>
      <c r="S345" t="n">
        <v>0.00086105</v>
      </c>
      <c r="T345" t="n">
        <v>0.00013947</v>
      </c>
      <c r="U345" t="n">
        <v>10444.0847</v>
      </c>
      <c r="V345" t="inlineStr">
        <is>
          <t>Supplier Reported Emissions</t>
        </is>
      </c>
      <c r="W345" t="b">
        <v>0</v>
      </c>
      <c r="X345" t="inlineStr">
        <is>
          <t>High</t>
        </is>
      </c>
      <c r="Y345" t="inlineStr">
        <is>
          <t>Scope_Emissions</t>
        </is>
      </c>
      <c r="Z345" t="n">
        <v>0.95</v>
      </c>
      <c r="AA345" t="inlineStr">
        <is>
          <t>Valid</t>
        </is>
      </c>
    </row>
    <row r="346">
      <c r="A346" t="inlineStr">
        <is>
          <t>SUP-0035</t>
        </is>
      </c>
      <c r="B346" t="inlineStr">
        <is>
          <t>Electronics Supplier 035</t>
        </is>
      </c>
      <c r="C346" t="inlineStr">
        <is>
          <t>Electronics</t>
        </is>
      </c>
      <c r="D346" t="n">
        <v>2019</v>
      </c>
      <c r="E346" t="n">
        <v>11844213.43</v>
      </c>
      <c r="F346" t="n">
        <v>30054636.28</v>
      </c>
      <c r="G346" t="n">
        <v>10299.4892</v>
      </c>
      <c r="H346" t="n">
        <v>1801.8276</v>
      </c>
      <c r="I346" t="inlineStr"/>
      <c r="J346" t="n">
        <v>6546.66</v>
      </c>
      <c r="K346" t="inlineStr"/>
      <c r="L346" t="inlineStr"/>
      <c r="M346" t="inlineStr"/>
      <c r="N346" t="inlineStr"/>
      <c r="O346" t="n">
        <v>2018</v>
      </c>
      <c r="P346" t="n">
        <v>2040</v>
      </c>
      <c r="Q346" t="n">
        <v>0.3424</v>
      </c>
      <c r="R346" t="n">
        <v>635.1588</v>
      </c>
      <c r="S346" t="n">
        <v>0.00086105</v>
      </c>
      <c r="T346" t="n">
        <v>0.00013947</v>
      </c>
      <c r="U346" t="n">
        <v>10299.4892</v>
      </c>
      <c r="V346" t="inlineStr">
        <is>
          <t>Supplier Reported Emissions</t>
        </is>
      </c>
      <c r="W346" t="b">
        <v>0</v>
      </c>
      <c r="X346" t="inlineStr">
        <is>
          <t>High</t>
        </is>
      </c>
      <c r="Y346" t="inlineStr">
        <is>
          <t>Scope_Emissions</t>
        </is>
      </c>
      <c r="Z346" t="n">
        <v>0.95</v>
      </c>
      <c r="AA346" t="inlineStr">
        <is>
          <t>Valid</t>
        </is>
      </c>
    </row>
    <row r="347">
      <c r="A347" t="inlineStr">
        <is>
          <t>SUP-0035</t>
        </is>
      </c>
      <c r="B347" t="inlineStr">
        <is>
          <t>Electronics Supplier 035</t>
        </is>
      </c>
      <c r="C347" t="inlineStr">
        <is>
          <t>Electronics</t>
        </is>
      </c>
      <c r="D347" t="n">
        <v>2020</v>
      </c>
      <c r="E347" t="n">
        <v>12712027.72</v>
      </c>
      <c r="F347" t="n">
        <v>27801828.14</v>
      </c>
      <c r="G347" t="inlineStr"/>
      <c r="H347" t="inlineStr"/>
      <c r="I347" t="n">
        <v>2456.9376</v>
      </c>
      <c r="J347" t="inlineStr"/>
      <c r="K347" t="inlineStr"/>
      <c r="L347" t="inlineStr"/>
      <c r="M347" t="inlineStr"/>
      <c r="N347" t="inlineStr"/>
      <c r="O347" t="n">
        <v>2018</v>
      </c>
      <c r="P347" t="n">
        <v>2040</v>
      </c>
      <c r="Q347" t="n">
        <v>0.3424</v>
      </c>
      <c r="R347" t="n">
        <v>635.1588</v>
      </c>
      <c r="S347" t="n">
        <v>0.00086105</v>
      </c>
      <c r="T347" t="n">
        <v>0.00013947</v>
      </c>
      <c r="U347" t="n">
        <v>10945.6915</v>
      </c>
      <c r="V347" t="inlineStr">
        <is>
          <t>Spend-Based Estimate</t>
        </is>
      </c>
      <c r="W347" t="b">
        <v>1</v>
      </c>
      <c r="X347" t="inlineStr">
        <is>
          <t>Medium</t>
        </is>
      </c>
      <c r="Y347" t="inlineStr">
        <is>
          <t>Reported_Emissions; Scope_Emissions</t>
        </is>
      </c>
      <c r="Z347" t="n">
        <v>0.7</v>
      </c>
      <c r="AA347" t="inlineStr">
        <is>
          <t>Valid</t>
        </is>
      </c>
    </row>
    <row r="348">
      <c r="A348" t="inlineStr">
        <is>
          <t>SUP-0035</t>
        </is>
      </c>
      <c r="B348" t="inlineStr">
        <is>
          <t>Electronics Supplier 035</t>
        </is>
      </c>
      <c r="C348" t="inlineStr">
        <is>
          <t>Electronics</t>
        </is>
      </c>
      <c r="D348" t="n">
        <v>2021</v>
      </c>
      <c r="E348" t="n">
        <v>11197801.81</v>
      </c>
      <c r="F348" t="n">
        <v>29732060.41</v>
      </c>
      <c r="G348" t="inlineStr"/>
      <c r="H348" t="n">
        <v>2347.7803</v>
      </c>
      <c r="I348" t="n">
        <v>1251.246</v>
      </c>
      <c r="J348" t="n">
        <v>6324.5416</v>
      </c>
      <c r="K348" t="inlineStr"/>
      <c r="L348" t="inlineStr"/>
      <c r="M348" t="inlineStr"/>
      <c r="N348" t="inlineStr"/>
      <c r="O348" t="n">
        <v>2018</v>
      </c>
      <c r="P348" t="n">
        <v>2040</v>
      </c>
      <c r="Q348" t="n">
        <v>0.3424</v>
      </c>
      <c r="R348" t="n">
        <v>635.1588</v>
      </c>
      <c r="S348" t="n">
        <v>0.00086105</v>
      </c>
      <c r="T348" t="n">
        <v>0.00013947</v>
      </c>
      <c r="U348" t="n">
        <v>9923.5679</v>
      </c>
      <c r="V348" t="inlineStr">
        <is>
          <t>Scope 1 + Scope 2 + Scope 3</t>
        </is>
      </c>
      <c r="W348" t="b">
        <v>1</v>
      </c>
      <c r="X348" t="inlineStr">
        <is>
          <t>High</t>
        </is>
      </c>
      <c r="Y348" t="inlineStr">
        <is>
          <t>Reported_Emissions</t>
        </is>
      </c>
      <c r="Z348" t="n">
        <v>0.88</v>
      </c>
      <c r="AA348" t="inlineStr">
        <is>
          <t>Valid</t>
        </is>
      </c>
    </row>
    <row r="349">
      <c r="A349" t="inlineStr">
        <is>
          <t>SUP-0035</t>
        </is>
      </c>
      <c r="B349" t="inlineStr">
        <is>
          <t>Electronics Supplier 035</t>
        </is>
      </c>
      <c r="C349" t="inlineStr">
        <is>
          <t>Electronics</t>
        </is>
      </c>
      <c r="D349" t="n">
        <v>2022</v>
      </c>
      <c r="E349" t="n">
        <v>10841170.8</v>
      </c>
      <c r="F349" t="n">
        <v>26289605.53</v>
      </c>
      <c r="G349" t="n">
        <v>7075.8931</v>
      </c>
      <c r="H349" t="n">
        <v>1221.4995</v>
      </c>
      <c r="I349" t="n">
        <v>1030.7746</v>
      </c>
      <c r="J349" t="n">
        <v>5500.1686</v>
      </c>
      <c r="K349" t="inlineStr"/>
      <c r="L349" t="inlineStr"/>
      <c r="M349" t="inlineStr"/>
      <c r="N349" t="inlineStr"/>
      <c r="O349" t="n">
        <v>2018</v>
      </c>
      <c r="P349" t="n">
        <v>2040</v>
      </c>
      <c r="Q349" t="n">
        <v>0.3424</v>
      </c>
      <c r="R349" t="n">
        <v>635.1588</v>
      </c>
      <c r="S349" t="n">
        <v>0.00086105</v>
      </c>
      <c r="T349" t="n">
        <v>0.00013947</v>
      </c>
      <c r="U349" t="n">
        <v>7075.8931</v>
      </c>
      <c r="V349" t="inlineStr">
        <is>
          <t>Supplier Reported Emissions</t>
        </is>
      </c>
      <c r="W349" t="b">
        <v>0</v>
      </c>
      <c r="X349" t="inlineStr">
        <is>
          <t>High</t>
        </is>
      </c>
      <c r="Y349" t="inlineStr">
        <is>
          <t>None</t>
        </is>
      </c>
      <c r="Z349" t="n">
        <v>0.95</v>
      </c>
      <c r="AA349" t="inlineStr">
        <is>
          <t>Valid</t>
        </is>
      </c>
    </row>
    <row r="350">
      <c r="A350" t="inlineStr">
        <is>
          <t>SUP-0035</t>
        </is>
      </c>
      <c r="B350" t="inlineStr">
        <is>
          <t>Electronics Supplier 035</t>
        </is>
      </c>
      <c r="C350" t="inlineStr">
        <is>
          <t>Electronics</t>
        </is>
      </c>
      <c r="D350" t="n">
        <v>2023</v>
      </c>
      <c r="E350" t="n">
        <v>9279512.08</v>
      </c>
      <c r="F350" t="n">
        <v>32683566.55</v>
      </c>
      <c r="G350" t="n">
        <v>9282.8189</v>
      </c>
      <c r="H350" t="n">
        <v>2360.9532</v>
      </c>
      <c r="I350" t="n">
        <v>891.8836</v>
      </c>
      <c r="J350" t="n">
        <v>6619.2586</v>
      </c>
      <c r="K350" t="inlineStr"/>
      <c r="L350" t="inlineStr"/>
      <c r="M350" t="inlineStr"/>
      <c r="N350" t="inlineStr"/>
      <c r="O350" t="n">
        <v>2018</v>
      </c>
      <c r="P350" t="n">
        <v>2040</v>
      </c>
      <c r="Q350" t="n">
        <v>0.3424</v>
      </c>
      <c r="R350" t="n">
        <v>635.1588</v>
      </c>
      <c r="S350" t="n">
        <v>0.00086105</v>
      </c>
      <c r="T350" t="n">
        <v>0.00013947</v>
      </c>
      <c r="U350" t="n">
        <v>9282.8189</v>
      </c>
      <c r="V350" t="inlineStr">
        <is>
          <t>Supplier Reported Emissions</t>
        </is>
      </c>
      <c r="W350" t="b">
        <v>0</v>
      </c>
      <c r="X350" t="inlineStr">
        <is>
          <t>High</t>
        </is>
      </c>
      <c r="Y350" t="inlineStr">
        <is>
          <t>None</t>
        </is>
      </c>
      <c r="Z350" t="n">
        <v>0.95</v>
      </c>
      <c r="AA350" t="inlineStr">
        <is>
          <t>Valid</t>
        </is>
      </c>
    </row>
    <row r="351">
      <c r="A351" t="inlineStr">
        <is>
          <t>SUP-0035</t>
        </is>
      </c>
      <c r="B351" t="inlineStr">
        <is>
          <t>Electronics Supplier 035</t>
        </is>
      </c>
      <c r="C351" t="inlineStr">
        <is>
          <t>Electronics</t>
        </is>
      </c>
      <c r="D351" t="n">
        <v>2024</v>
      </c>
      <c r="E351" t="n">
        <v>9349838.890000001</v>
      </c>
      <c r="F351" t="n">
        <v>19154531.46</v>
      </c>
      <c r="G351" t="n">
        <v>6953.4706</v>
      </c>
      <c r="H351" t="n">
        <v>1693.7246</v>
      </c>
      <c r="I351" t="n">
        <v>682.607</v>
      </c>
      <c r="J351" t="n">
        <v>4916.7978</v>
      </c>
      <c r="K351" t="inlineStr"/>
      <c r="L351" t="inlineStr"/>
      <c r="M351" t="inlineStr"/>
      <c r="N351" t="inlineStr"/>
      <c r="O351" t="n">
        <v>2018</v>
      </c>
      <c r="P351" t="n">
        <v>2040</v>
      </c>
      <c r="Q351" t="n">
        <v>0.3424</v>
      </c>
      <c r="R351" t="n">
        <v>635.1588</v>
      </c>
      <c r="S351" t="n">
        <v>0.00086105</v>
      </c>
      <c r="T351" t="n">
        <v>0.00013947</v>
      </c>
      <c r="U351" t="n">
        <v>6953.4706</v>
      </c>
      <c r="V351" t="inlineStr">
        <is>
          <t>Supplier Reported Emissions</t>
        </is>
      </c>
      <c r="W351" t="b">
        <v>0</v>
      </c>
      <c r="X351" t="inlineStr">
        <is>
          <t>High</t>
        </is>
      </c>
      <c r="Y351" t="inlineStr">
        <is>
          <t>None</t>
        </is>
      </c>
      <c r="Z351" t="n">
        <v>0.95</v>
      </c>
      <c r="AA351" t="inlineStr">
        <is>
          <t>Valid</t>
        </is>
      </c>
    </row>
    <row r="352">
      <c r="A352" t="inlineStr">
        <is>
          <t>SUP-0036</t>
        </is>
      </c>
      <c r="B352" t="inlineStr">
        <is>
          <t>Metals Supplier 036</t>
        </is>
      </c>
      <c r="C352" t="inlineStr">
        <is>
          <t>Metals</t>
        </is>
      </c>
      <c r="D352" t="n">
        <v>2015</v>
      </c>
      <c r="E352" t="n">
        <v>15909953.82</v>
      </c>
      <c r="F352" t="n">
        <v>142377566.09</v>
      </c>
      <c r="G352" t="inlineStr"/>
      <c r="H352" t="n">
        <v>4915.1641</v>
      </c>
      <c r="I352" t="inlineStr"/>
      <c r="J352" t="n">
        <v>13276.5968</v>
      </c>
      <c r="K352" t="inlineStr"/>
      <c r="L352" t="inlineStr"/>
      <c r="M352" t="inlineStr"/>
      <c r="N352" t="inlineStr"/>
      <c r="O352" t="n">
        <v>2019</v>
      </c>
      <c r="P352" t="n">
        <v>2030</v>
      </c>
      <c r="Q352" t="n">
        <v>0.3852</v>
      </c>
      <c r="R352" t="n">
        <v>158.2904</v>
      </c>
      <c r="S352" t="n">
        <v>0.00100695</v>
      </c>
      <c r="T352" t="n">
        <v>0.00065008</v>
      </c>
      <c r="U352" t="n">
        <v>16020.528</v>
      </c>
      <c r="V352" t="inlineStr">
        <is>
          <t>Spend-Based Estimate</t>
        </is>
      </c>
      <c r="W352" t="b">
        <v>1</v>
      </c>
      <c r="X352" t="inlineStr">
        <is>
          <t>Medium</t>
        </is>
      </c>
      <c r="Y352" t="inlineStr">
        <is>
          <t>Reported_Emissions; Scope_Emissions</t>
        </is>
      </c>
      <c r="Z352" t="n">
        <v>0.7</v>
      </c>
      <c r="AA352" t="inlineStr">
        <is>
          <t>Valid</t>
        </is>
      </c>
    </row>
    <row r="353">
      <c r="A353" t="inlineStr">
        <is>
          <t>SUP-0036</t>
        </is>
      </c>
      <c r="B353" t="inlineStr">
        <is>
          <t>Metals Supplier 036</t>
        </is>
      </c>
      <c r="C353" t="inlineStr">
        <is>
          <t>Metals</t>
        </is>
      </c>
      <c r="D353" t="n">
        <v>2016</v>
      </c>
      <c r="E353" t="n">
        <v>15279641.6</v>
      </c>
      <c r="F353" t="inlineStr"/>
      <c r="G353" t="n">
        <v>16504.409</v>
      </c>
      <c r="H353" t="n">
        <v>2796.6036</v>
      </c>
      <c r="I353" t="n">
        <v>2235.4024</v>
      </c>
      <c r="J353" t="inlineStr"/>
      <c r="K353" t="inlineStr"/>
      <c r="L353" t="inlineStr"/>
      <c r="M353" t="inlineStr"/>
      <c r="N353" t="inlineStr"/>
      <c r="O353" t="n">
        <v>2019</v>
      </c>
      <c r="P353" t="n">
        <v>2030</v>
      </c>
      <c r="Q353" t="n">
        <v>0.3852</v>
      </c>
      <c r="R353" t="n">
        <v>158.2904</v>
      </c>
      <c r="S353" t="n">
        <v>0.00100695</v>
      </c>
      <c r="T353" t="n">
        <v>0.00065008</v>
      </c>
      <c r="U353" t="n">
        <v>16504.409</v>
      </c>
      <c r="V353" t="inlineStr">
        <is>
          <t>Supplier Reported Emissions</t>
        </is>
      </c>
      <c r="W353" t="b">
        <v>0</v>
      </c>
      <c r="X353" t="inlineStr">
        <is>
          <t>High</t>
        </is>
      </c>
      <c r="Y353" t="inlineStr">
        <is>
          <t>Revenue; Scope_Emissions</t>
        </is>
      </c>
      <c r="Z353" t="n">
        <v>0.95</v>
      </c>
      <c r="AA353" t="inlineStr">
        <is>
          <t>Valid</t>
        </is>
      </c>
    </row>
    <row r="354">
      <c r="A354" t="inlineStr">
        <is>
          <t>SUP-0036</t>
        </is>
      </c>
      <c r="B354" t="inlineStr">
        <is>
          <t>Metals Supplier 036</t>
        </is>
      </c>
      <c r="C354" t="inlineStr">
        <is>
          <t>Metals</t>
        </is>
      </c>
      <c r="D354" t="n">
        <v>2017</v>
      </c>
      <c r="E354" t="inlineStr"/>
      <c r="F354" t="n">
        <v>118204248.08</v>
      </c>
      <c r="G354" t="inlineStr"/>
      <c r="H354" t="n">
        <v>2075.4746</v>
      </c>
      <c r="I354" t="n">
        <v>3115.1525</v>
      </c>
      <c r="J354" t="n">
        <v>13236.7699</v>
      </c>
      <c r="K354" t="inlineStr"/>
      <c r="L354" t="inlineStr"/>
      <c r="M354" t="inlineStr"/>
      <c r="N354" t="inlineStr"/>
      <c r="O354" t="n">
        <v>2019</v>
      </c>
      <c r="P354" t="n">
        <v>2030</v>
      </c>
      <c r="Q354" t="n">
        <v>0.3852</v>
      </c>
      <c r="R354" t="n">
        <v>158.2904</v>
      </c>
      <c r="S354" t="n">
        <v>0.00100695</v>
      </c>
      <c r="T354" t="n">
        <v>0.00065008</v>
      </c>
      <c r="U354" t="n">
        <v>18427.397</v>
      </c>
      <c r="V354" t="inlineStr">
        <is>
          <t>Scope 1 + Scope 2 + Scope 3</t>
        </is>
      </c>
      <c r="W354" t="b">
        <v>1</v>
      </c>
      <c r="X354" t="inlineStr">
        <is>
          <t>High</t>
        </is>
      </c>
      <c r="Y354" t="inlineStr">
        <is>
          <t>Gross_Spend; Reported_Emissions</t>
        </is>
      </c>
      <c r="Z354" t="n">
        <v>0.88</v>
      </c>
      <c r="AA354" t="inlineStr">
        <is>
          <t>Valid</t>
        </is>
      </c>
    </row>
    <row r="355">
      <c r="A355" t="inlineStr">
        <is>
          <t>SUP-0036</t>
        </is>
      </c>
      <c r="B355" t="inlineStr">
        <is>
          <t>Metals Supplier 036</t>
        </is>
      </c>
      <c r="C355" t="inlineStr">
        <is>
          <t>Metals</t>
        </is>
      </c>
      <c r="D355" t="n">
        <v>2018</v>
      </c>
      <c r="E355" t="n">
        <v>16654002.89</v>
      </c>
      <c r="F355" t="n">
        <v>120840544.99</v>
      </c>
      <c r="G355" t="inlineStr"/>
      <c r="H355" t="inlineStr"/>
      <c r="I355" t="n">
        <v>1913.6807</v>
      </c>
      <c r="J355" t="n">
        <v>14759.5327</v>
      </c>
      <c r="K355" t="inlineStr"/>
      <c r="L355" t="inlineStr"/>
      <c r="M355" t="inlineStr"/>
      <c r="N355" t="inlineStr"/>
      <c r="O355" t="n">
        <v>2019</v>
      </c>
      <c r="P355" t="n">
        <v>2030</v>
      </c>
      <c r="Q355" t="n">
        <v>0.3852</v>
      </c>
      <c r="R355" t="n">
        <v>158.2904</v>
      </c>
      <c r="S355" t="n">
        <v>0.00100695</v>
      </c>
      <c r="T355" t="n">
        <v>0.00065008</v>
      </c>
      <c r="U355" t="n">
        <v>16769.7482</v>
      </c>
      <c r="V355" t="inlineStr">
        <is>
          <t>Spend-Based Estimate</t>
        </is>
      </c>
      <c r="W355" t="b">
        <v>1</v>
      </c>
      <c r="X355" t="inlineStr">
        <is>
          <t>Medium</t>
        </is>
      </c>
      <c r="Y355" t="inlineStr">
        <is>
          <t>Reported_Emissions; Scope_Emissions</t>
        </is>
      </c>
      <c r="Z355" t="n">
        <v>0.7</v>
      </c>
      <c r="AA355" t="inlineStr">
        <is>
          <t>Valid</t>
        </is>
      </c>
    </row>
    <row r="356">
      <c r="A356" t="inlineStr">
        <is>
          <t>SUP-0036</t>
        </is>
      </c>
      <c r="B356" t="inlineStr">
        <is>
          <t>Metals Supplier 036</t>
        </is>
      </c>
      <c r="C356" t="inlineStr">
        <is>
          <t>Metals</t>
        </is>
      </c>
      <c r="D356" t="n">
        <v>2019</v>
      </c>
      <c r="E356" t="n">
        <v>15057796.09</v>
      </c>
      <c r="F356" t="n">
        <v>104770198.87</v>
      </c>
      <c r="G356" t="inlineStr"/>
      <c r="H356" t="n">
        <v>4355.8709</v>
      </c>
      <c r="I356" t="inlineStr"/>
      <c r="J356" t="inlineStr"/>
      <c r="K356" t="inlineStr"/>
      <c r="L356" t="inlineStr"/>
      <c r="M356" t="inlineStr"/>
      <c r="N356" t="inlineStr"/>
      <c r="O356" t="n">
        <v>2019</v>
      </c>
      <c r="P356" t="n">
        <v>2030</v>
      </c>
      <c r="Q356" t="n">
        <v>0.3852</v>
      </c>
      <c r="R356" t="n">
        <v>158.2904</v>
      </c>
      <c r="S356" t="n">
        <v>0.00100695</v>
      </c>
      <c r="T356" t="n">
        <v>0.00065008</v>
      </c>
      <c r="U356" t="n">
        <v>15162.4478</v>
      </c>
      <c r="V356" t="inlineStr">
        <is>
          <t>Spend-Based Estimate</t>
        </is>
      </c>
      <c r="W356" t="b">
        <v>1</v>
      </c>
      <c r="X356" t="inlineStr">
        <is>
          <t>Medium</t>
        </is>
      </c>
      <c r="Y356" t="inlineStr">
        <is>
          <t>Reported_Emissions; Scope_Emissions</t>
        </is>
      </c>
      <c r="Z356" t="n">
        <v>0.7</v>
      </c>
      <c r="AA356" t="inlineStr">
        <is>
          <t>Valid</t>
        </is>
      </c>
    </row>
    <row r="357">
      <c r="A357" t="inlineStr">
        <is>
          <t>SUP-0036</t>
        </is>
      </c>
      <c r="B357" t="inlineStr">
        <is>
          <t>Metals Supplier 036</t>
        </is>
      </c>
      <c r="C357" t="inlineStr">
        <is>
          <t>Metals</t>
        </is>
      </c>
      <c r="D357" t="n">
        <v>2020</v>
      </c>
      <c r="E357" t="n">
        <v>14033076.92</v>
      </c>
      <c r="F357" t="n">
        <v>141188057.3</v>
      </c>
      <c r="G357" t="n">
        <v>15076.9426</v>
      </c>
      <c r="H357" t="n">
        <v>2287.3828</v>
      </c>
      <c r="I357" t="n">
        <v>1263.723</v>
      </c>
      <c r="J357" t="n">
        <v>12472.9527</v>
      </c>
      <c r="K357" t="inlineStr"/>
      <c r="L357" t="inlineStr"/>
      <c r="M357" t="inlineStr"/>
      <c r="N357" t="inlineStr"/>
      <c r="O357" t="n">
        <v>2019</v>
      </c>
      <c r="P357" t="n">
        <v>2030</v>
      </c>
      <c r="Q357" t="n">
        <v>0.3852</v>
      </c>
      <c r="R357" t="n">
        <v>158.2904</v>
      </c>
      <c r="S357" t="n">
        <v>0.00100695</v>
      </c>
      <c r="T357" t="n">
        <v>0.00065008</v>
      </c>
      <c r="U357" t="n">
        <v>15076.9426</v>
      </c>
      <c r="V357" t="inlineStr">
        <is>
          <t>Supplier Reported Emissions</t>
        </is>
      </c>
      <c r="W357" t="b">
        <v>0</v>
      </c>
      <c r="X357" t="inlineStr">
        <is>
          <t>High</t>
        </is>
      </c>
      <c r="Y357" t="inlineStr">
        <is>
          <t>None</t>
        </is>
      </c>
      <c r="Z357" t="n">
        <v>0.95</v>
      </c>
      <c r="AA357" t="inlineStr">
        <is>
          <t>Valid</t>
        </is>
      </c>
    </row>
    <row r="358">
      <c r="A358" t="inlineStr">
        <is>
          <t>SUP-0036</t>
        </is>
      </c>
      <c r="B358" t="inlineStr">
        <is>
          <t>Metals Supplier 036</t>
        </is>
      </c>
      <c r="C358" t="inlineStr">
        <is>
          <t>Metals</t>
        </is>
      </c>
      <c r="D358" t="n">
        <v>2021</v>
      </c>
      <c r="E358" t="n">
        <v>13100197.53</v>
      </c>
      <c r="F358" t="n">
        <v>117448485.35</v>
      </c>
      <c r="G358" t="n">
        <v>15245.7886</v>
      </c>
      <c r="H358" t="n">
        <v>3996.7776</v>
      </c>
      <c r="I358" t="inlineStr"/>
      <c r="J358" t="n">
        <v>8181.169</v>
      </c>
      <c r="K358" t="inlineStr"/>
      <c r="L358" t="inlineStr"/>
      <c r="M358" t="inlineStr"/>
      <c r="N358" t="inlineStr"/>
      <c r="O358" t="n">
        <v>2019</v>
      </c>
      <c r="P358" t="n">
        <v>2030</v>
      </c>
      <c r="Q358" t="n">
        <v>0.3852</v>
      </c>
      <c r="R358" t="n">
        <v>158.2904</v>
      </c>
      <c r="S358" t="n">
        <v>0.00100695</v>
      </c>
      <c r="T358" t="n">
        <v>0.00065008</v>
      </c>
      <c r="U358" t="n">
        <v>15245.7886</v>
      </c>
      <c r="V358" t="inlineStr">
        <is>
          <t>Supplier Reported Emissions</t>
        </is>
      </c>
      <c r="W358" t="b">
        <v>0</v>
      </c>
      <c r="X358" t="inlineStr">
        <is>
          <t>High</t>
        </is>
      </c>
      <c r="Y358" t="inlineStr">
        <is>
          <t>Scope_Emissions</t>
        </is>
      </c>
      <c r="Z358" t="n">
        <v>0.95</v>
      </c>
      <c r="AA358" t="inlineStr">
        <is>
          <t>Valid</t>
        </is>
      </c>
    </row>
    <row r="359">
      <c r="A359" t="inlineStr">
        <is>
          <t>SUP-0036</t>
        </is>
      </c>
      <c r="B359" t="inlineStr">
        <is>
          <t>Metals Supplier 036</t>
        </is>
      </c>
      <c r="C359" t="inlineStr">
        <is>
          <t>Metals</t>
        </is>
      </c>
      <c r="D359" t="n">
        <v>2022</v>
      </c>
      <c r="E359" t="n">
        <v>15209059.09</v>
      </c>
      <c r="F359" t="n">
        <v>121914142.01</v>
      </c>
      <c r="G359" t="inlineStr"/>
      <c r="H359" t="inlineStr"/>
      <c r="I359" t="n">
        <v>1764.7837</v>
      </c>
      <c r="J359" t="inlineStr"/>
      <c r="K359" t="inlineStr"/>
      <c r="L359" t="inlineStr"/>
      <c r="M359" t="inlineStr"/>
      <c r="N359" t="inlineStr"/>
      <c r="O359" t="n">
        <v>2019</v>
      </c>
      <c r="P359" t="n">
        <v>2030</v>
      </c>
      <c r="Q359" t="n">
        <v>0.3852</v>
      </c>
      <c r="R359" t="n">
        <v>158.2904</v>
      </c>
      <c r="S359" t="n">
        <v>0.00100695</v>
      </c>
      <c r="T359" t="n">
        <v>0.00065008</v>
      </c>
      <c r="U359" t="n">
        <v>15314.7621</v>
      </c>
      <c r="V359" t="inlineStr">
        <is>
          <t>Spend-Based Estimate</t>
        </is>
      </c>
      <c r="W359" t="b">
        <v>1</v>
      </c>
      <c r="X359" t="inlineStr">
        <is>
          <t>Medium</t>
        </is>
      </c>
      <c r="Y359" t="inlineStr">
        <is>
          <t>Reported_Emissions; Scope_Emissions</t>
        </is>
      </c>
      <c r="Z359" t="n">
        <v>0.7</v>
      </c>
      <c r="AA359" t="inlineStr">
        <is>
          <t>Valid</t>
        </is>
      </c>
    </row>
    <row r="360">
      <c r="A360" t="inlineStr">
        <is>
          <t>SUP-0036</t>
        </is>
      </c>
      <c r="B360" t="inlineStr">
        <is>
          <t>Metals Supplier 036</t>
        </is>
      </c>
      <c r="C360" t="inlineStr">
        <is>
          <t>Metals</t>
        </is>
      </c>
      <c r="D360" t="n">
        <v>2023</v>
      </c>
      <c r="E360" t="n">
        <v>14891498.14</v>
      </c>
      <c r="F360" t="n">
        <v>131447351.18</v>
      </c>
      <c r="G360" t="n">
        <v>17869.6743</v>
      </c>
      <c r="H360" t="n">
        <v>3990.9505</v>
      </c>
      <c r="I360" t="n">
        <v>1899.7761</v>
      </c>
      <c r="J360" t="n">
        <v>12669.9558</v>
      </c>
      <c r="K360" t="inlineStr"/>
      <c r="L360" t="inlineStr"/>
      <c r="M360" t="inlineStr"/>
      <c r="N360" t="inlineStr"/>
      <c r="O360" t="n">
        <v>2019</v>
      </c>
      <c r="P360" t="n">
        <v>2030</v>
      </c>
      <c r="Q360" t="n">
        <v>0.3852</v>
      </c>
      <c r="R360" t="n">
        <v>158.2904</v>
      </c>
      <c r="S360" t="n">
        <v>0.00100695</v>
      </c>
      <c r="T360" t="n">
        <v>0.00065008</v>
      </c>
      <c r="U360" t="n">
        <v>17869.6743</v>
      </c>
      <c r="V360" t="inlineStr">
        <is>
          <t>Supplier Reported Emissions</t>
        </is>
      </c>
      <c r="W360" t="b">
        <v>0</v>
      </c>
      <c r="X360" t="inlineStr">
        <is>
          <t>High</t>
        </is>
      </c>
      <c r="Y360" t="inlineStr">
        <is>
          <t>None</t>
        </is>
      </c>
      <c r="Z360" t="n">
        <v>0.95</v>
      </c>
      <c r="AA360" t="inlineStr">
        <is>
          <t>Valid</t>
        </is>
      </c>
    </row>
    <row r="361">
      <c r="A361" t="inlineStr">
        <is>
          <t>SUP-0036</t>
        </is>
      </c>
      <c r="B361" t="inlineStr">
        <is>
          <t>Metals Supplier 036</t>
        </is>
      </c>
      <c r="C361" t="inlineStr">
        <is>
          <t>Metals</t>
        </is>
      </c>
      <c r="D361" t="n">
        <v>2024</v>
      </c>
      <c r="E361" t="n">
        <v>12457093.49</v>
      </c>
      <c r="F361" t="n">
        <v>110411320.56</v>
      </c>
      <c r="G361" t="n">
        <v>15692.3728</v>
      </c>
      <c r="H361" t="n">
        <v>3296.4657</v>
      </c>
      <c r="I361" t="n">
        <v>2402.7106</v>
      </c>
      <c r="J361" t="n">
        <v>9642.759599999999</v>
      </c>
      <c r="K361" t="inlineStr"/>
      <c r="L361" t="inlineStr"/>
      <c r="M361" t="inlineStr"/>
      <c r="N361" t="inlineStr"/>
      <c r="O361" t="n">
        <v>2019</v>
      </c>
      <c r="P361" t="n">
        <v>2030</v>
      </c>
      <c r="Q361" t="n">
        <v>0.3852</v>
      </c>
      <c r="R361" t="n">
        <v>158.2904</v>
      </c>
      <c r="S361" t="n">
        <v>0.00100695</v>
      </c>
      <c r="T361" t="n">
        <v>0.00065008</v>
      </c>
      <c r="U361" t="n">
        <v>15692.3728</v>
      </c>
      <c r="V361" t="inlineStr">
        <is>
          <t>Supplier Reported Emissions</t>
        </is>
      </c>
      <c r="W361" t="b">
        <v>0</v>
      </c>
      <c r="X361" t="inlineStr">
        <is>
          <t>High</t>
        </is>
      </c>
      <c r="Y361" t="inlineStr">
        <is>
          <t>None</t>
        </is>
      </c>
      <c r="Z361" t="n">
        <v>0.95</v>
      </c>
      <c r="AA361" t="inlineStr">
        <is>
          <t>Valid</t>
        </is>
      </c>
    </row>
    <row r="362">
      <c r="A362" t="inlineStr">
        <is>
          <t>SUP-0037</t>
        </is>
      </c>
      <c r="B362" t="inlineStr">
        <is>
          <t>Agriculture Supplier 037</t>
        </is>
      </c>
      <c r="C362" t="inlineStr">
        <is>
          <t>Agriculture</t>
        </is>
      </c>
      <c r="D362" t="n">
        <v>2015</v>
      </c>
      <c r="E362" t="n">
        <v>19802103.3</v>
      </c>
      <c r="F362" t="n">
        <v>60024623.31</v>
      </c>
      <c r="G362" t="n">
        <v>11618.0159</v>
      </c>
      <c r="H362" t="n">
        <v>944.5137999999999</v>
      </c>
      <c r="I362" t="n">
        <v>2315.0904</v>
      </c>
      <c r="J362" t="n">
        <v>8430.082700000001</v>
      </c>
      <c r="K362" t="n">
        <v>2019</v>
      </c>
      <c r="L362" t="n">
        <v>2035</v>
      </c>
      <c r="M362" t="n">
        <v>0.5499000000000001</v>
      </c>
      <c r="N362" t="n">
        <v>0.2996</v>
      </c>
      <c r="O362" t="n">
        <v>2018</v>
      </c>
      <c r="P362" t="inlineStr"/>
      <c r="Q362" t="inlineStr"/>
      <c r="R362" t="n">
        <v>529.8294</v>
      </c>
      <c r="S362" t="n">
        <v>0.00091413</v>
      </c>
      <c r="T362" t="n">
        <v>0.00096913</v>
      </c>
      <c r="U362" t="n">
        <v>11618.0159</v>
      </c>
      <c r="V362" t="inlineStr">
        <is>
          <t>Supplier Reported Emissions</t>
        </is>
      </c>
      <c r="W362" t="b">
        <v>0</v>
      </c>
      <c r="X362" t="inlineStr">
        <is>
          <t>High</t>
        </is>
      </c>
      <c r="Y362" t="inlineStr">
        <is>
          <t>None</t>
        </is>
      </c>
      <c r="Z362" t="n">
        <v>0.95</v>
      </c>
      <c r="AA362" t="inlineStr">
        <is>
          <t>Valid</t>
        </is>
      </c>
    </row>
    <row r="363">
      <c r="A363" t="inlineStr">
        <is>
          <t>SUP-0037</t>
        </is>
      </c>
      <c r="B363" t="inlineStr">
        <is>
          <t>Agriculture Supplier 037</t>
        </is>
      </c>
      <c r="C363" t="inlineStr">
        <is>
          <t>Agriculture</t>
        </is>
      </c>
      <c r="D363" t="n">
        <v>2016</v>
      </c>
      <c r="E363" t="n">
        <v>19373937.54</v>
      </c>
      <c r="F363" t="n">
        <v>80674740.62</v>
      </c>
      <c r="G363" t="n">
        <v>12573.5875</v>
      </c>
      <c r="H363" t="n">
        <v>3070.5168</v>
      </c>
      <c r="I363" t="n">
        <v>1223.5016</v>
      </c>
      <c r="J363" t="n">
        <v>8294.659299999999</v>
      </c>
      <c r="K363" t="n">
        <v>2019</v>
      </c>
      <c r="L363" t="n">
        <v>2035</v>
      </c>
      <c r="M363" t="n">
        <v>0.5499000000000001</v>
      </c>
      <c r="N363" t="n">
        <v>0.2996</v>
      </c>
      <c r="O363" t="n">
        <v>2018</v>
      </c>
      <c r="P363" t="inlineStr"/>
      <c r="Q363" t="inlineStr"/>
      <c r="R363" t="n">
        <v>529.8294</v>
      </c>
      <c r="S363" t="n">
        <v>0.00091413</v>
      </c>
      <c r="T363" t="n">
        <v>0.00096913</v>
      </c>
      <c r="U363" t="n">
        <v>12573.5875</v>
      </c>
      <c r="V363" t="inlineStr">
        <is>
          <t>Supplier Reported Emissions</t>
        </is>
      </c>
      <c r="W363" t="b">
        <v>0</v>
      </c>
      <c r="X363" t="inlineStr">
        <is>
          <t>High</t>
        </is>
      </c>
      <c r="Y363" t="inlineStr">
        <is>
          <t>None</t>
        </is>
      </c>
      <c r="Z363" t="n">
        <v>0.95</v>
      </c>
      <c r="AA363" t="inlineStr">
        <is>
          <t>Valid</t>
        </is>
      </c>
    </row>
    <row r="364">
      <c r="A364" t="inlineStr">
        <is>
          <t>SUP-0037</t>
        </is>
      </c>
      <c r="B364" t="inlineStr">
        <is>
          <t>Agriculture Supplier 037</t>
        </is>
      </c>
      <c r="C364" t="inlineStr">
        <is>
          <t>Agriculture</t>
        </is>
      </c>
      <c r="D364" t="n">
        <v>2017</v>
      </c>
      <c r="E364" t="n">
        <v>21506085.67</v>
      </c>
      <c r="F364" t="n">
        <v>91385473.02</v>
      </c>
      <c r="G364" t="n">
        <v>11487.6654</v>
      </c>
      <c r="H364" t="n">
        <v>2055.9755</v>
      </c>
      <c r="I364" t="n">
        <v>1879.5263</v>
      </c>
      <c r="J364" t="n">
        <v>7632.316</v>
      </c>
      <c r="K364" t="n">
        <v>2019</v>
      </c>
      <c r="L364" t="n">
        <v>2035</v>
      </c>
      <c r="M364" t="n">
        <v>0.5499000000000001</v>
      </c>
      <c r="N364" t="n">
        <v>0.2996</v>
      </c>
      <c r="O364" t="n">
        <v>2018</v>
      </c>
      <c r="P364" t="inlineStr"/>
      <c r="Q364" t="inlineStr"/>
      <c r="R364" t="n">
        <v>529.8294</v>
      </c>
      <c r="S364" t="n">
        <v>0.00091413</v>
      </c>
      <c r="T364" t="n">
        <v>0.00096913</v>
      </c>
      <c r="U364" t="n">
        <v>11487.6654</v>
      </c>
      <c r="V364" t="inlineStr">
        <is>
          <t>Supplier Reported Emissions</t>
        </is>
      </c>
      <c r="W364" t="b">
        <v>0</v>
      </c>
      <c r="X364" t="inlineStr">
        <is>
          <t>High</t>
        </is>
      </c>
      <c r="Y364" t="inlineStr">
        <is>
          <t>None</t>
        </is>
      </c>
      <c r="Z364" t="n">
        <v>0.95</v>
      </c>
      <c r="AA364" t="inlineStr">
        <is>
          <t>Valid</t>
        </is>
      </c>
    </row>
    <row r="365">
      <c r="A365" t="inlineStr">
        <is>
          <t>SUP-0037</t>
        </is>
      </c>
      <c r="B365" t="inlineStr">
        <is>
          <t>Agriculture Supplier 037</t>
        </is>
      </c>
      <c r="C365" t="inlineStr">
        <is>
          <t>Agriculture</t>
        </is>
      </c>
      <c r="D365" t="n">
        <v>2018</v>
      </c>
      <c r="E365" t="n">
        <v>24634459.94</v>
      </c>
      <c r="F365" t="n">
        <v>107538168.22</v>
      </c>
      <c r="G365" t="n">
        <v>17319.8058</v>
      </c>
      <c r="H365" t="n">
        <v>2091.4924</v>
      </c>
      <c r="I365" t="inlineStr"/>
      <c r="J365" t="n">
        <v>12291.0217</v>
      </c>
      <c r="K365" t="n">
        <v>2019</v>
      </c>
      <c r="L365" t="n">
        <v>2035</v>
      </c>
      <c r="M365" t="n">
        <v>0.5499000000000001</v>
      </c>
      <c r="N365" t="n">
        <v>0.2996</v>
      </c>
      <c r="O365" t="n">
        <v>2018</v>
      </c>
      <c r="P365" t="inlineStr"/>
      <c r="Q365" t="inlineStr"/>
      <c r="R365" t="n">
        <v>529.8294</v>
      </c>
      <c r="S365" t="n">
        <v>0.00091413</v>
      </c>
      <c r="T365" t="n">
        <v>0.00096913</v>
      </c>
      <c r="U365" t="n">
        <v>17319.8058</v>
      </c>
      <c r="V365" t="inlineStr">
        <is>
          <t>Supplier Reported Emissions</t>
        </is>
      </c>
      <c r="W365" t="b">
        <v>0</v>
      </c>
      <c r="X365" t="inlineStr">
        <is>
          <t>High</t>
        </is>
      </c>
      <c r="Y365" t="inlineStr">
        <is>
          <t>Scope_Emissions</t>
        </is>
      </c>
      <c r="Z365" t="n">
        <v>0.95</v>
      </c>
      <c r="AA365" t="inlineStr">
        <is>
          <t>Valid</t>
        </is>
      </c>
    </row>
    <row r="366">
      <c r="A366" t="inlineStr">
        <is>
          <t>SUP-0037</t>
        </is>
      </c>
      <c r="B366" t="inlineStr">
        <is>
          <t>Agriculture Supplier 037</t>
        </is>
      </c>
      <c r="C366" t="inlineStr">
        <is>
          <t>Agriculture</t>
        </is>
      </c>
      <c r="D366" t="n">
        <v>2019</v>
      </c>
      <c r="E366" t="n">
        <v>22653604.05</v>
      </c>
      <c r="F366" t="n">
        <v>105138686.98</v>
      </c>
      <c r="G366" t="n">
        <v>13104.249</v>
      </c>
      <c r="H366" t="n">
        <v>3709.3156</v>
      </c>
      <c r="I366" t="n">
        <v>1621.6694</v>
      </c>
      <c r="J366" t="n">
        <v>9921.1495</v>
      </c>
      <c r="K366" t="n">
        <v>2019</v>
      </c>
      <c r="L366" t="n">
        <v>2035</v>
      </c>
      <c r="M366" t="n">
        <v>0.5499000000000001</v>
      </c>
      <c r="N366" t="n">
        <v>0.2996</v>
      </c>
      <c r="O366" t="n">
        <v>2018</v>
      </c>
      <c r="P366" t="inlineStr"/>
      <c r="Q366" t="inlineStr"/>
      <c r="R366" t="n">
        <v>529.8294</v>
      </c>
      <c r="S366" t="n">
        <v>0.00091413</v>
      </c>
      <c r="T366" t="n">
        <v>0.00096913</v>
      </c>
      <c r="U366" t="n">
        <v>13104.249</v>
      </c>
      <c r="V366" t="inlineStr">
        <is>
          <t>Supplier Reported Emissions</t>
        </is>
      </c>
      <c r="W366" t="b">
        <v>0</v>
      </c>
      <c r="X366" t="inlineStr">
        <is>
          <t>High</t>
        </is>
      </c>
      <c r="Y366" t="inlineStr">
        <is>
          <t>None</t>
        </is>
      </c>
      <c r="Z366" t="n">
        <v>0.95</v>
      </c>
      <c r="AA366" t="inlineStr">
        <is>
          <t>Valid</t>
        </is>
      </c>
    </row>
    <row r="367">
      <c r="A367" t="inlineStr">
        <is>
          <t>SUP-0037</t>
        </is>
      </c>
      <c r="B367" t="inlineStr">
        <is>
          <t>Agriculture Supplier 037</t>
        </is>
      </c>
      <c r="C367" t="inlineStr">
        <is>
          <t>Agriculture</t>
        </is>
      </c>
      <c r="D367" t="n">
        <v>2020</v>
      </c>
      <c r="E367" t="n">
        <v>29034166.84</v>
      </c>
      <c r="F367" t="n">
        <v>106256058.51</v>
      </c>
      <c r="G367" t="n">
        <v>17338.9013</v>
      </c>
      <c r="H367" t="inlineStr"/>
      <c r="I367" t="n">
        <v>3017.3228</v>
      </c>
      <c r="J367" t="inlineStr"/>
      <c r="K367" t="n">
        <v>2019</v>
      </c>
      <c r="L367" t="n">
        <v>2035</v>
      </c>
      <c r="M367" t="n">
        <v>0.5499000000000001</v>
      </c>
      <c r="N367" t="n">
        <v>0.2996</v>
      </c>
      <c r="O367" t="n">
        <v>2018</v>
      </c>
      <c r="P367" t="inlineStr"/>
      <c r="Q367" t="inlineStr"/>
      <c r="R367" t="n">
        <v>529.8294</v>
      </c>
      <c r="S367" t="n">
        <v>0.00091413</v>
      </c>
      <c r="T367" t="n">
        <v>0.00096913</v>
      </c>
      <c r="U367" t="n">
        <v>17338.9013</v>
      </c>
      <c r="V367" t="inlineStr">
        <is>
          <t>Supplier Reported Emissions</t>
        </is>
      </c>
      <c r="W367" t="b">
        <v>0</v>
      </c>
      <c r="X367" t="inlineStr">
        <is>
          <t>High</t>
        </is>
      </c>
      <c r="Y367" t="inlineStr">
        <is>
          <t>Scope_Emissions</t>
        </is>
      </c>
      <c r="Z367" t="n">
        <v>0.95</v>
      </c>
      <c r="AA367" t="inlineStr">
        <is>
          <t>Valid</t>
        </is>
      </c>
    </row>
    <row r="368">
      <c r="A368" t="inlineStr">
        <is>
          <t>SUP-0037</t>
        </is>
      </c>
      <c r="B368" t="inlineStr">
        <is>
          <t>Agriculture Supplier 037</t>
        </is>
      </c>
      <c r="C368" t="inlineStr">
        <is>
          <t>Agriculture</t>
        </is>
      </c>
      <c r="D368" t="n">
        <v>2021</v>
      </c>
      <c r="E368" t="n">
        <v>33044133.87</v>
      </c>
      <c r="F368" t="n">
        <v>116482130.01</v>
      </c>
      <c r="G368" t="n">
        <v>17251.1428</v>
      </c>
      <c r="H368" t="inlineStr"/>
      <c r="I368" t="n">
        <v>1338.9213</v>
      </c>
      <c r="J368" t="n">
        <v>16006.4905</v>
      </c>
      <c r="K368" t="n">
        <v>2019</v>
      </c>
      <c r="L368" t="n">
        <v>2035</v>
      </c>
      <c r="M368" t="n">
        <v>0.5499000000000001</v>
      </c>
      <c r="N368" t="n">
        <v>0.2996</v>
      </c>
      <c r="O368" t="n">
        <v>2018</v>
      </c>
      <c r="P368" t="inlineStr"/>
      <c r="Q368" t="inlineStr"/>
      <c r="R368" t="n">
        <v>529.8294</v>
      </c>
      <c r="S368" t="n">
        <v>0.00091413</v>
      </c>
      <c r="T368" t="n">
        <v>0.00096913</v>
      </c>
      <c r="U368" t="n">
        <v>17251.1428</v>
      </c>
      <c r="V368" t="inlineStr">
        <is>
          <t>Supplier Reported Emissions</t>
        </is>
      </c>
      <c r="W368" t="b">
        <v>0</v>
      </c>
      <c r="X368" t="inlineStr">
        <is>
          <t>High</t>
        </is>
      </c>
      <c r="Y368" t="inlineStr">
        <is>
          <t>Scope_Emissions</t>
        </is>
      </c>
      <c r="Z368" t="n">
        <v>0.95</v>
      </c>
      <c r="AA368" t="inlineStr">
        <is>
          <t>Valid</t>
        </is>
      </c>
    </row>
    <row r="369">
      <c r="A369" t="inlineStr">
        <is>
          <t>SUP-0037</t>
        </is>
      </c>
      <c r="B369" t="inlineStr">
        <is>
          <t>Agriculture Supplier 037</t>
        </is>
      </c>
      <c r="C369" t="inlineStr">
        <is>
          <t>Agriculture</t>
        </is>
      </c>
      <c r="D369" t="n">
        <v>2022</v>
      </c>
      <c r="E369" t="n">
        <v>29911000.88</v>
      </c>
      <c r="F369" t="n">
        <v>129386096.63</v>
      </c>
      <c r="G369" t="n">
        <v>18505.8172</v>
      </c>
      <c r="H369" t="n">
        <v>2491.3815</v>
      </c>
      <c r="I369" t="n">
        <v>1229.3965</v>
      </c>
      <c r="J369" t="n">
        <v>14789.2925</v>
      </c>
      <c r="K369" t="n">
        <v>2019</v>
      </c>
      <c r="L369" t="n">
        <v>2035</v>
      </c>
      <c r="M369" t="n">
        <v>0.5499000000000001</v>
      </c>
      <c r="N369" t="n">
        <v>0.2996</v>
      </c>
      <c r="O369" t="n">
        <v>2018</v>
      </c>
      <c r="P369" t="inlineStr"/>
      <c r="Q369" t="inlineStr"/>
      <c r="R369" t="n">
        <v>529.8294</v>
      </c>
      <c r="S369" t="n">
        <v>0.00091413</v>
      </c>
      <c r="T369" t="n">
        <v>0.00096913</v>
      </c>
      <c r="U369" t="n">
        <v>18505.8172</v>
      </c>
      <c r="V369" t="inlineStr">
        <is>
          <t>Supplier Reported Emissions</t>
        </is>
      </c>
      <c r="W369" t="b">
        <v>0</v>
      </c>
      <c r="X369" t="inlineStr">
        <is>
          <t>High</t>
        </is>
      </c>
      <c r="Y369" t="inlineStr">
        <is>
          <t>None</t>
        </is>
      </c>
      <c r="Z369" t="n">
        <v>0.95</v>
      </c>
      <c r="AA369" t="inlineStr">
        <is>
          <t>Valid</t>
        </is>
      </c>
    </row>
    <row r="370">
      <c r="A370" t="inlineStr">
        <is>
          <t>SUP-0037</t>
        </is>
      </c>
      <c r="B370" t="inlineStr">
        <is>
          <t>Agriculture Supplier 037</t>
        </is>
      </c>
      <c r="C370" t="inlineStr">
        <is>
          <t>Agriculture</t>
        </is>
      </c>
      <c r="D370" t="n">
        <v>2023</v>
      </c>
      <c r="E370" t="n">
        <v>35635083.33</v>
      </c>
      <c r="F370" t="n">
        <v>119313112.75</v>
      </c>
      <c r="G370" t="n">
        <v>20784.6354</v>
      </c>
      <c r="H370" t="n">
        <v>3210.2072</v>
      </c>
      <c r="I370" t="inlineStr"/>
      <c r="J370" t="n">
        <v>14510.2432</v>
      </c>
      <c r="K370" t="n">
        <v>2019</v>
      </c>
      <c r="L370" t="n">
        <v>2035</v>
      </c>
      <c r="M370" t="n">
        <v>0.5499000000000001</v>
      </c>
      <c r="N370" t="n">
        <v>0.2996</v>
      </c>
      <c r="O370" t="n">
        <v>2018</v>
      </c>
      <c r="P370" t="inlineStr"/>
      <c r="Q370" t="inlineStr"/>
      <c r="R370" t="n">
        <v>529.8294</v>
      </c>
      <c r="S370" t="n">
        <v>0.00091413</v>
      </c>
      <c r="T370" t="n">
        <v>0.00096913</v>
      </c>
      <c r="U370" t="n">
        <v>20784.6354</v>
      </c>
      <c r="V370" t="inlineStr">
        <is>
          <t>Supplier Reported Emissions</t>
        </is>
      </c>
      <c r="W370" t="b">
        <v>0</v>
      </c>
      <c r="X370" t="inlineStr">
        <is>
          <t>High</t>
        </is>
      </c>
      <c r="Y370" t="inlineStr">
        <is>
          <t>Scope_Emissions</t>
        </is>
      </c>
      <c r="Z370" t="n">
        <v>0.95</v>
      </c>
      <c r="AA370" t="inlineStr">
        <is>
          <t>Valid</t>
        </is>
      </c>
    </row>
    <row r="371">
      <c r="A371" t="inlineStr">
        <is>
          <t>SUP-0037</t>
        </is>
      </c>
      <c r="B371" t="inlineStr">
        <is>
          <t>Agriculture Supplier 037</t>
        </is>
      </c>
      <c r="C371" t="inlineStr">
        <is>
          <t>Agriculture</t>
        </is>
      </c>
      <c r="D371" t="n">
        <v>2024</v>
      </c>
      <c r="E371" t="n">
        <v>35588458.58</v>
      </c>
      <c r="F371" t="n">
        <v>116985827.89</v>
      </c>
      <c r="G371" t="n">
        <v>24172.2297</v>
      </c>
      <c r="H371" t="inlineStr"/>
      <c r="I371" t="n">
        <v>3839.1525</v>
      </c>
      <c r="J371" t="n">
        <v>15298.1023</v>
      </c>
      <c r="K371" t="n">
        <v>2019</v>
      </c>
      <c r="L371" t="n">
        <v>2035</v>
      </c>
      <c r="M371" t="n">
        <v>0.5499000000000001</v>
      </c>
      <c r="N371" t="n">
        <v>0.2996</v>
      </c>
      <c r="O371" t="n">
        <v>2018</v>
      </c>
      <c r="P371" t="inlineStr"/>
      <c r="Q371" t="inlineStr"/>
      <c r="R371" t="n">
        <v>529.8294</v>
      </c>
      <c r="S371" t="n">
        <v>0.00091413</v>
      </c>
      <c r="T371" t="n">
        <v>0.00096913</v>
      </c>
      <c r="U371" t="n">
        <v>24172.2297</v>
      </c>
      <c r="V371" t="inlineStr">
        <is>
          <t>Supplier Reported Emissions</t>
        </is>
      </c>
      <c r="W371" t="b">
        <v>0</v>
      </c>
      <c r="X371" t="inlineStr">
        <is>
          <t>High</t>
        </is>
      </c>
      <c r="Y371" t="inlineStr">
        <is>
          <t>Scope_Emissions</t>
        </is>
      </c>
      <c r="Z371" t="n">
        <v>0.95</v>
      </c>
      <c r="AA371" t="inlineStr">
        <is>
          <t>Valid</t>
        </is>
      </c>
    </row>
    <row r="372">
      <c r="A372" t="inlineStr">
        <is>
          <t>SUP-0038</t>
        </is>
      </c>
      <c r="B372" t="inlineStr">
        <is>
          <t>Agriculture Supplier 038</t>
        </is>
      </c>
      <c r="C372" t="inlineStr">
        <is>
          <t>Agriculture</t>
        </is>
      </c>
      <c r="D372" t="n">
        <v>2015</v>
      </c>
      <c r="E372" t="inlineStr"/>
      <c r="F372" t="n">
        <v>134824165.66</v>
      </c>
      <c r="G372" t="n">
        <v>17361.6491</v>
      </c>
      <c r="H372" t="n">
        <v>1836.9954</v>
      </c>
      <c r="I372" t="n">
        <v>2616.5028</v>
      </c>
      <c r="J372" t="n">
        <v>13698.2974</v>
      </c>
      <c r="K372" t="n">
        <v>2020</v>
      </c>
      <c r="L372" t="n">
        <v>2040</v>
      </c>
      <c r="M372" t="n">
        <v>0.6816</v>
      </c>
      <c r="N372" t="n">
        <v>0.3985</v>
      </c>
      <c r="O372" t="n">
        <v>2018</v>
      </c>
      <c r="P372" t="inlineStr"/>
      <c r="Q372" t="inlineStr"/>
      <c r="R372" t="n">
        <v>529.8294</v>
      </c>
      <c r="S372" t="n">
        <v>0.00091413</v>
      </c>
      <c r="T372" t="n">
        <v>0.00096913</v>
      </c>
      <c r="U372" t="n">
        <v>17361.6491</v>
      </c>
      <c r="V372" t="inlineStr">
        <is>
          <t>Supplier Reported Emissions</t>
        </is>
      </c>
      <c r="W372" t="b">
        <v>0</v>
      </c>
      <c r="X372" t="inlineStr">
        <is>
          <t>High</t>
        </is>
      </c>
      <c r="Y372" t="inlineStr">
        <is>
          <t>Gross_Spend</t>
        </is>
      </c>
      <c r="Z372" t="n">
        <v>0.95</v>
      </c>
      <c r="AA372" t="inlineStr">
        <is>
          <t>Valid</t>
        </is>
      </c>
    </row>
    <row r="373">
      <c r="A373" t="inlineStr">
        <is>
          <t>SUP-0038</t>
        </is>
      </c>
      <c r="B373" t="inlineStr">
        <is>
          <t>Agriculture Supplier 038</t>
        </is>
      </c>
      <c r="C373" t="inlineStr">
        <is>
          <t>Agriculture</t>
        </is>
      </c>
      <c r="D373" t="n">
        <v>2016</v>
      </c>
      <c r="E373" t="n">
        <v>23587624.05</v>
      </c>
      <c r="F373" t="n">
        <v>171181485.72</v>
      </c>
      <c r="G373" t="inlineStr"/>
      <c r="H373" t="inlineStr"/>
      <c r="I373" t="n">
        <v>2461.7257</v>
      </c>
      <c r="J373" t="n">
        <v>10982.0323</v>
      </c>
      <c r="K373" t="n">
        <v>2020</v>
      </c>
      <c r="L373" t="n">
        <v>2040</v>
      </c>
      <c r="M373" t="n">
        <v>0.6816</v>
      </c>
      <c r="N373" t="n">
        <v>0.3985</v>
      </c>
      <c r="O373" t="n">
        <v>2018</v>
      </c>
      <c r="P373" t="inlineStr"/>
      <c r="Q373" t="inlineStr"/>
      <c r="R373" t="n">
        <v>529.8294</v>
      </c>
      <c r="S373" t="n">
        <v>0.00091413</v>
      </c>
      <c r="T373" t="n">
        <v>0.00096913</v>
      </c>
      <c r="U373" t="n">
        <v>21562.1548</v>
      </c>
      <c r="V373" t="inlineStr">
        <is>
          <t>Spend-Based Estimate</t>
        </is>
      </c>
      <c r="W373" t="b">
        <v>1</v>
      </c>
      <c r="X373" t="inlineStr">
        <is>
          <t>Medium</t>
        </is>
      </c>
      <c r="Y373" t="inlineStr">
        <is>
          <t>Reported_Emissions; Scope_Emissions</t>
        </is>
      </c>
      <c r="Z373" t="n">
        <v>0.7</v>
      </c>
      <c r="AA373" t="inlineStr">
        <is>
          <t>Valid</t>
        </is>
      </c>
    </row>
    <row r="374">
      <c r="A374" t="inlineStr">
        <is>
          <t>SUP-0038</t>
        </is>
      </c>
      <c r="B374" t="inlineStr">
        <is>
          <t>Agriculture Supplier 038</t>
        </is>
      </c>
      <c r="C374" t="inlineStr">
        <is>
          <t>Agriculture</t>
        </is>
      </c>
      <c r="D374" t="n">
        <v>2017</v>
      </c>
      <c r="E374" t="n">
        <v>22591301.8</v>
      </c>
      <c r="F374" t="n">
        <v>195404402.06</v>
      </c>
      <c r="G374" t="n">
        <v>20158.6384</v>
      </c>
      <c r="H374" t="n">
        <v>1867.8752</v>
      </c>
      <c r="I374" t="n">
        <v>1911.8241</v>
      </c>
      <c r="J374" t="inlineStr"/>
      <c r="K374" t="n">
        <v>2020</v>
      </c>
      <c r="L374" t="n">
        <v>2040</v>
      </c>
      <c r="M374" t="n">
        <v>0.6816</v>
      </c>
      <c r="N374" t="n">
        <v>0.3985</v>
      </c>
      <c r="O374" t="n">
        <v>2018</v>
      </c>
      <c r="P374" t="inlineStr"/>
      <c r="Q374" t="inlineStr"/>
      <c r="R374" t="n">
        <v>529.8294</v>
      </c>
      <c r="S374" t="n">
        <v>0.00091413</v>
      </c>
      <c r="T374" t="n">
        <v>0.00096913</v>
      </c>
      <c r="U374" t="n">
        <v>20158.6384</v>
      </c>
      <c r="V374" t="inlineStr">
        <is>
          <t>Supplier Reported Emissions</t>
        </is>
      </c>
      <c r="W374" t="b">
        <v>0</v>
      </c>
      <c r="X374" t="inlineStr">
        <is>
          <t>High</t>
        </is>
      </c>
      <c r="Y374" t="inlineStr">
        <is>
          <t>Scope_Emissions</t>
        </is>
      </c>
      <c r="Z374" t="n">
        <v>0.95</v>
      </c>
      <c r="AA374" t="inlineStr">
        <is>
          <t>Valid</t>
        </is>
      </c>
    </row>
    <row r="375">
      <c r="A375" t="inlineStr">
        <is>
          <t>SUP-0038</t>
        </is>
      </c>
      <c r="B375" t="inlineStr">
        <is>
          <t>Agriculture Supplier 038</t>
        </is>
      </c>
      <c r="C375" t="inlineStr">
        <is>
          <t>Agriculture</t>
        </is>
      </c>
      <c r="D375" t="n">
        <v>2018</v>
      </c>
      <c r="E375" t="n">
        <v>31572779.89</v>
      </c>
      <c r="F375" t="n">
        <v>206653698.29</v>
      </c>
      <c r="G375" t="inlineStr"/>
      <c r="H375" t="n">
        <v>7565.1706</v>
      </c>
      <c r="I375" t="n">
        <v>2062.6372</v>
      </c>
      <c r="J375" t="n">
        <v>18299.3177</v>
      </c>
      <c r="K375" t="n">
        <v>2020</v>
      </c>
      <c r="L375" t="n">
        <v>2040</v>
      </c>
      <c r="M375" t="n">
        <v>0.6816</v>
      </c>
      <c r="N375" t="n">
        <v>0.3985</v>
      </c>
      <c r="O375" t="n">
        <v>2018</v>
      </c>
      <c r="P375" t="inlineStr"/>
      <c r="Q375" t="inlineStr"/>
      <c r="R375" t="n">
        <v>529.8294</v>
      </c>
      <c r="S375" t="n">
        <v>0.00091413</v>
      </c>
      <c r="T375" t="n">
        <v>0.00096913</v>
      </c>
      <c r="U375" t="n">
        <v>27927.1255</v>
      </c>
      <c r="V375" t="inlineStr">
        <is>
          <t>Scope 1 + Scope 2 + Scope 3</t>
        </is>
      </c>
      <c r="W375" t="b">
        <v>1</v>
      </c>
      <c r="X375" t="inlineStr">
        <is>
          <t>High</t>
        </is>
      </c>
      <c r="Y375" t="inlineStr">
        <is>
          <t>Reported_Emissions</t>
        </is>
      </c>
      <c r="Z375" t="n">
        <v>0.88</v>
      </c>
      <c r="AA375" t="inlineStr">
        <is>
          <t>Valid</t>
        </is>
      </c>
    </row>
    <row r="376">
      <c r="A376" t="inlineStr">
        <is>
          <t>SUP-0038</t>
        </is>
      </c>
      <c r="B376" t="inlineStr">
        <is>
          <t>Agriculture Supplier 038</t>
        </is>
      </c>
      <c r="C376" t="inlineStr">
        <is>
          <t>Agriculture</t>
        </is>
      </c>
      <c r="D376" t="n">
        <v>2019</v>
      </c>
      <c r="E376" t="n">
        <v>28086546.33</v>
      </c>
      <c r="F376" t="n">
        <v>223342692.14</v>
      </c>
      <c r="G376" t="n">
        <v>24285.7391</v>
      </c>
      <c r="H376" t="n">
        <v>3669.2844</v>
      </c>
      <c r="I376" t="n">
        <v>4206.2829</v>
      </c>
      <c r="J376" t="n">
        <v>16334.695</v>
      </c>
      <c r="K376" t="n">
        <v>2020</v>
      </c>
      <c r="L376" t="n">
        <v>2040</v>
      </c>
      <c r="M376" t="n">
        <v>0.6816</v>
      </c>
      <c r="N376" t="n">
        <v>0.3985</v>
      </c>
      <c r="O376" t="n">
        <v>2018</v>
      </c>
      <c r="P376" t="inlineStr"/>
      <c r="Q376" t="inlineStr"/>
      <c r="R376" t="n">
        <v>529.8294</v>
      </c>
      <c r="S376" t="n">
        <v>0.00091413</v>
      </c>
      <c r="T376" t="n">
        <v>0.00096913</v>
      </c>
      <c r="U376" t="n">
        <v>24285.7391</v>
      </c>
      <c r="V376" t="inlineStr">
        <is>
          <t>Supplier Reported Emissions</t>
        </is>
      </c>
      <c r="W376" t="b">
        <v>0</v>
      </c>
      <c r="X376" t="inlineStr">
        <is>
          <t>High</t>
        </is>
      </c>
      <c r="Y376" t="inlineStr">
        <is>
          <t>None</t>
        </is>
      </c>
      <c r="Z376" t="n">
        <v>0.95</v>
      </c>
      <c r="AA376" t="inlineStr">
        <is>
          <t>Valid</t>
        </is>
      </c>
    </row>
    <row r="377">
      <c r="A377" t="inlineStr">
        <is>
          <t>SUP-0038</t>
        </is>
      </c>
      <c r="B377" t="inlineStr">
        <is>
          <t>Agriculture Supplier 038</t>
        </is>
      </c>
      <c r="C377" t="inlineStr">
        <is>
          <t>Agriculture</t>
        </is>
      </c>
      <c r="D377" t="n">
        <v>2020</v>
      </c>
      <c r="E377" t="n">
        <v>37160467.7</v>
      </c>
      <c r="F377" t="n">
        <v>242540912.09</v>
      </c>
      <c r="G377" t="n">
        <v>33223.8893</v>
      </c>
      <c r="H377" t="n">
        <v>3514.1294</v>
      </c>
      <c r="I377" t="n">
        <v>2709.5489</v>
      </c>
      <c r="J377" t="n">
        <v>24400.0122</v>
      </c>
      <c r="K377" t="n">
        <v>2020</v>
      </c>
      <c r="L377" t="n">
        <v>2040</v>
      </c>
      <c r="M377" t="n">
        <v>0.6816</v>
      </c>
      <c r="N377" t="n">
        <v>0.3985</v>
      </c>
      <c r="O377" t="n">
        <v>2018</v>
      </c>
      <c r="P377" t="inlineStr"/>
      <c r="Q377" t="inlineStr"/>
      <c r="R377" t="n">
        <v>529.8294</v>
      </c>
      <c r="S377" t="n">
        <v>0.00091413</v>
      </c>
      <c r="T377" t="n">
        <v>0.00096913</v>
      </c>
      <c r="U377" t="n">
        <v>33223.8893</v>
      </c>
      <c r="V377" t="inlineStr">
        <is>
          <t>Supplier Reported Emissions</t>
        </is>
      </c>
      <c r="W377" t="b">
        <v>0</v>
      </c>
      <c r="X377" t="inlineStr">
        <is>
          <t>High</t>
        </is>
      </c>
      <c r="Y377" t="inlineStr">
        <is>
          <t>None</t>
        </is>
      </c>
      <c r="Z377" t="n">
        <v>0.95</v>
      </c>
      <c r="AA377" t="inlineStr">
        <is>
          <t>Valid</t>
        </is>
      </c>
    </row>
    <row r="378">
      <c r="A378" t="inlineStr">
        <is>
          <t>SUP-0038</t>
        </is>
      </c>
      <c r="B378" t="inlineStr">
        <is>
          <t>Agriculture Supplier 038</t>
        </is>
      </c>
      <c r="C378" t="inlineStr">
        <is>
          <t>Agriculture</t>
        </is>
      </c>
      <c r="D378" t="n">
        <v>2021</v>
      </c>
      <c r="E378" t="n">
        <v>41055587.57</v>
      </c>
      <c r="F378" t="n">
        <v>280524420.58</v>
      </c>
      <c r="G378" t="n">
        <v>34266.821</v>
      </c>
      <c r="H378" t="n">
        <v>5399.264</v>
      </c>
      <c r="I378" t="n">
        <v>5884.8594</v>
      </c>
      <c r="J378" t="n">
        <v>23358.8525</v>
      </c>
      <c r="K378" t="n">
        <v>2020</v>
      </c>
      <c r="L378" t="n">
        <v>2040</v>
      </c>
      <c r="M378" t="n">
        <v>0.6816</v>
      </c>
      <c r="N378" t="n">
        <v>0.3985</v>
      </c>
      <c r="O378" t="n">
        <v>2018</v>
      </c>
      <c r="P378" t="inlineStr"/>
      <c r="Q378" t="inlineStr"/>
      <c r="R378" t="n">
        <v>529.8294</v>
      </c>
      <c r="S378" t="n">
        <v>0.00091413</v>
      </c>
      <c r="T378" t="n">
        <v>0.00096913</v>
      </c>
      <c r="U378" t="n">
        <v>34266.821</v>
      </c>
      <c r="V378" t="inlineStr">
        <is>
          <t>Supplier Reported Emissions</t>
        </is>
      </c>
      <c r="W378" t="b">
        <v>0</v>
      </c>
      <c r="X378" t="inlineStr">
        <is>
          <t>High</t>
        </is>
      </c>
      <c r="Y378" t="inlineStr">
        <is>
          <t>None</t>
        </is>
      </c>
      <c r="Z378" t="n">
        <v>0.95</v>
      </c>
      <c r="AA378" t="inlineStr">
        <is>
          <t>Valid</t>
        </is>
      </c>
    </row>
    <row r="379">
      <c r="A379" t="inlineStr">
        <is>
          <t>SUP-0038</t>
        </is>
      </c>
      <c r="B379" t="inlineStr">
        <is>
          <t>Agriculture Supplier 038</t>
        </is>
      </c>
      <c r="C379" t="inlineStr">
        <is>
          <t>Agriculture</t>
        </is>
      </c>
      <c r="D379" t="n">
        <v>2022</v>
      </c>
      <c r="E379" t="n">
        <v>36455885.25</v>
      </c>
      <c r="F379" t="inlineStr"/>
      <c r="G379" t="n">
        <v>32388.2412</v>
      </c>
      <c r="H379" t="n">
        <v>7911.567</v>
      </c>
      <c r="I379" t="n">
        <v>3601.5847</v>
      </c>
      <c r="J379" t="n">
        <v>20561.3363</v>
      </c>
      <c r="K379" t="n">
        <v>2020</v>
      </c>
      <c r="L379" t="n">
        <v>2040</v>
      </c>
      <c r="M379" t="n">
        <v>0.6816</v>
      </c>
      <c r="N379" t="n">
        <v>0.3985</v>
      </c>
      <c r="O379" t="n">
        <v>2018</v>
      </c>
      <c r="P379" t="inlineStr"/>
      <c r="Q379" t="inlineStr"/>
      <c r="R379" t="n">
        <v>529.8294</v>
      </c>
      <c r="S379" t="n">
        <v>0.00091413</v>
      </c>
      <c r="T379" t="n">
        <v>0.00096913</v>
      </c>
      <c r="U379" t="n">
        <v>32388.2412</v>
      </c>
      <c r="V379" t="inlineStr">
        <is>
          <t>Supplier Reported Emissions</t>
        </is>
      </c>
      <c r="W379" t="b">
        <v>0</v>
      </c>
      <c r="X379" t="inlineStr">
        <is>
          <t>High</t>
        </is>
      </c>
      <c r="Y379" t="inlineStr">
        <is>
          <t>Revenue</t>
        </is>
      </c>
      <c r="Z379" t="n">
        <v>0.95</v>
      </c>
      <c r="AA379" t="inlineStr">
        <is>
          <t>Valid</t>
        </is>
      </c>
    </row>
    <row r="380">
      <c r="A380" t="inlineStr">
        <is>
          <t>SUP-0038</t>
        </is>
      </c>
      <c r="B380" t="inlineStr">
        <is>
          <t>Agriculture Supplier 038</t>
        </is>
      </c>
      <c r="C380" t="inlineStr">
        <is>
          <t>Agriculture</t>
        </is>
      </c>
      <c r="D380" t="n">
        <v>2023</v>
      </c>
      <c r="E380" t="n">
        <v>48186775.31</v>
      </c>
      <c r="F380" t="n">
        <v>241658348.33</v>
      </c>
      <c r="G380" t="n">
        <v>42141.7894</v>
      </c>
      <c r="H380" t="n">
        <v>8597.869699999999</v>
      </c>
      <c r="I380" t="n">
        <v>5086.1745</v>
      </c>
      <c r="J380" t="inlineStr"/>
      <c r="K380" t="n">
        <v>2020</v>
      </c>
      <c r="L380" t="n">
        <v>2040</v>
      </c>
      <c r="M380" t="n">
        <v>0.6816</v>
      </c>
      <c r="N380" t="n">
        <v>0.3985</v>
      </c>
      <c r="O380" t="n">
        <v>2018</v>
      </c>
      <c r="P380" t="inlineStr"/>
      <c r="Q380" t="inlineStr"/>
      <c r="R380" t="n">
        <v>529.8294</v>
      </c>
      <c r="S380" t="n">
        <v>0.00091413</v>
      </c>
      <c r="T380" t="n">
        <v>0.00096913</v>
      </c>
      <c r="U380" t="n">
        <v>42141.7894</v>
      </c>
      <c r="V380" t="inlineStr">
        <is>
          <t>Supplier Reported Emissions</t>
        </is>
      </c>
      <c r="W380" t="b">
        <v>0</v>
      </c>
      <c r="X380" t="inlineStr">
        <is>
          <t>High</t>
        </is>
      </c>
      <c r="Y380" t="inlineStr">
        <is>
          <t>Scope_Emissions</t>
        </is>
      </c>
      <c r="Z380" t="n">
        <v>0.95</v>
      </c>
      <c r="AA380" t="inlineStr">
        <is>
          <t>Valid</t>
        </is>
      </c>
    </row>
    <row r="381">
      <c r="A381" t="inlineStr">
        <is>
          <t>SUP-0038</t>
        </is>
      </c>
      <c r="B381" t="inlineStr">
        <is>
          <t>Agriculture Supplier 038</t>
        </is>
      </c>
      <c r="C381" t="inlineStr">
        <is>
          <t>Agriculture</t>
        </is>
      </c>
      <c r="D381" t="n">
        <v>2024</v>
      </c>
      <c r="E381" t="n">
        <v>44421179.83</v>
      </c>
      <c r="F381" t="n">
        <v>343175981.25</v>
      </c>
      <c r="G381" t="n">
        <v>29649.8869</v>
      </c>
      <c r="H381" t="n">
        <v>7511.1592</v>
      </c>
      <c r="I381" t="inlineStr"/>
      <c r="J381" t="n">
        <v>17952.3869</v>
      </c>
      <c r="K381" t="n">
        <v>2020</v>
      </c>
      <c r="L381" t="n">
        <v>2040</v>
      </c>
      <c r="M381" t="n">
        <v>0.6816</v>
      </c>
      <c r="N381" t="n">
        <v>0.3985</v>
      </c>
      <c r="O381" t="n">
        <v>2018</v>
      </c>
      <c r="P381" t="inlineStr"/>
      <c r="Q381" t="inlineStr"/>
      <c r="R381" t="n">
        <v>529.8294</v>
      </c>
      <c r="S381" t="n">
        <v>0.00091413</v>
      </c>
      <c r="T381" t="n">
        <v>0.00096913</v>
      </c>
      <c r="U381" t="n">
        <v>29649.8869</v>
      </c>
      <c r="V381" t="inlineStr">
        <is>
          <t>Supplier Reported Emissions</t>
        </is>
      </c>
      <c r="W381" t="b">
        <v>0</v>
      </c>
      <c r="X381" t="inlineStr">
        <is>
          <t>High</t>
        </is>
      </c>
      <c r="Y381" t="inlineStr">
        <is>
          <t>Scope_Emissions</t>
        </is>
      </c>
      <c r="Z381" t="n">
        <v>0.95</v>
      </c>
      <c r="AA381" t="inlineStr">
        <is>
          <t>Valid</t>
        </is>
      </c>
    </row>
    <row r="382">
      <c r="A382" t="inlineStr">
        <is>
          <t>SUP-0039</t>
        </is>
      </c>
      <c r="B382" t="inlineStr">
        <is>
          <t>Electronics Supplier 039</t>
        </is>
      </c>
      <c r="C382" t="inlineStr">
        <is>
          <t>Electronics</t>
        </is>
      </c>
      <c r="D382" t="n">
        <v>2015</v>
      </c>
      <c r="E382" t="n">
        <v>9625389.32</v>
      </c>
      <c r="F382" t="n">
        <v>25219383.3</v>
      </c>
      <c r="G382" t="n">
        <v>13252.7874</v>
      </c>
      <c r="H382" t="inlineStr"/>
      <c r="I382" t="inlineStr"/>
      <c r="J382" t="inlineStr"/>
      <c r="K382" t="inlineStr"/>
      <c r="L382" t="inlineStr"/>
      <c r="M382" t="inlineStr"/>
      <c r="N382" t="inlineStr"/>
      <c r="O382" t="n">
        <v>2018</v>
      </c>
      <c r="P382" t="n">
        <v>2040</v>
      </c>
      <c r="Q382" t="n">
        <v>0.3424</v>
      </c>
      <c r="R382" t="n">
        <v>635.1588</v>
      </c>
      <c r="S382" t="n">
        <v>0.00086105</v>
      </c>
      <c r="T382" t="n">
        <v>0.00013947</v>
      </c>
      <c r="U382" t="n">
        <v>13252.7874</v>
      </c>
      <c r="V382" t="inlineStr">
        <is>
          <t>Supplier Reported Emissions</t>
        </is>
      </c>
      <c r="W382" t="b">
        <v>0</v>
      </c>
      <c r="X382" t="inlineStr">
        <is>
          <t>High</t>
        </is>
      </c>
      <c r="Y382" t="inlineStr">
        <is>
          <t>Scope_Emissions</t>
        </is>
      </c>
      <c r="Z382" t="n">
        <v>0.95</v>
      </c>
      <c r="AA382" t="inlineStr">
        <is>
          <t>Valid</t>
        </is>
      </c>
    </row>
    <row r="383">
      <c r="A383" t="inlineStr">
        <is>
          <t>SUP-0039</t>
        </is>
      </c>
      <c r="B383" t="inlineStr">
        <is>
          <t>Electronics Supplier 039</t>
        </is>
      </c>
      <c r="C383" t="inlineStr">
        <is>
          <t>Electronics</t>
        </is>
      </c>
      <c r="D383" t="n">
        <v>2016</v>
      </c>
      <c r="E383" t="n">
        <v>9378558.83</v>
      </c>
      <c r="F383" t="inlineStr"/>
      <c r="G383" t="n">
        <v>14486.6638</v>
      </c>
      <c r="H383" t="n">
        <v>3459.1847</v>
      </c>
      <c r="I383" t="n">
        <v>1698.0213</v>
      </c>
      <c r="J383" t="n">
        <v>8840.2186</v>
      </c>
      <c r="K383" t="inlineStr"/>
      <c r="L383" t="inlineStr"/>
      <c r="M383" t="inlineStr"/>
      <c r="N383" t="inlineStr"/>
      <c r="O383" t="n">
        <v>2018</v>
      </c>
      <c r="P383" t="n">
        <v>2040</v>
      </c>
      <c r="Q383" t="n">
        <v>0.3424</v>
      </c>
      <c r="R383" t="n">
        <v>635.1588</v>
      </c>
      <c r="S383" t="n">
        <v>0.00086105</v>
      </c>
      <c r="T383" t="n">
        <v>0.00013947</v>
      </c>
      <c r="U383" t="n">
        <v>14486.6638</v>
      </c>
      <c r="V383" t="inlineStr">
        <is>
          <t>Supplier Reported Emissions</t>
        </is>
      </c>
      <c r="W383" t="b">
        <v>0</v>
      </c>
      <c r="X383" t="inlineStr">
        <is>
          <t>High</t>
        </is>
      </c>
      <c r="Y383" t="inlineStr">
        <is>
          <t>Revenue</t>
        </is>
      </c>
      <c r="Z383" t="n">
        <v>0.95</v>
      </c>
      <c r="AA383" t="inlineStr">
        <is>
          <t>Valid</t>
        </is>
      </c>
    </row>
    <row r="384">
      <c r="A384" t="inlineStr">
        <is>
          <t>SUP-0039</t>
        </is>
      </c>
      <c r="B384" t="inlineStr">
        <is>
          <t>Electronics Supplier 039</t>
        </is>
      </c>
      <c r="C384" t="inlineStr">
        <is>
          <t>Electronics</t>
        </is>
      </c>
      <c r="D384" t="n">
        <v>2017</v>
      </c>
      <c r="E384" t="n">
        <v>10103351.1</v>
      </c>
      <c r="F384" t="n">
        <v>27220780.3</v>
      </c>
      <c r="G384" t="inlineStr"/>
      <c r="H384" t="n">
        <v>1151.9341</v>
      </c>
      <c r="I384" t="n">
        <v>2601.3509</v>
      </c>
      <c r="J384" t="n">
        <v>10804.8767</v>
      </c>
      <c r="K384" t="inlineStr"/>
      <c r="L384" t="inlineStr"/>
      <c r="M384" t="inlineStr"/>
      <c r="N384" t="inlineStr"/>
      <c r="O384" t="n">
        <v>2018</v>
      </c>
      <c r="P384" t="n">
        <v>2040</v>
      </c>
      <c r="Q384" t="n">
        <v>0.3424</v>
      </c>
      <c r="R384" t="n">
        <v>635.1588</v>
      </c>
      <c r="S384" t="n">
        <v>0.00086105</v>
      </c>
      <c r="T384" t="n">
        <v>0.00013947</v>
      </c>
      <c r="U384" t="n">
        <v>14558.1617</v>
      </c>
      <c r="V384" t="inlineStr">
        <is>
          <t>Scope 1 + Scope 2 + Scope 3</t>
        </is>
      </c>
      <c r="W384" t="b">
        <v>1</v>
      </c>
      <c r="X384" t="inlineStr">
        <is>
          <t>High</t>
        </is>
      </c>
      <c r="Y384" t="inlineStr">
        <is>
          <t>Reported_Emissions</t>
        </is>
      </c>
      <c r="Z384" t="n">
        <v>0.88</v>
      </c>
      <c r="AA384" t="inlineStr">
        <is>
          <t>Valid</t>
        </is>
      </c>
    </row>
    <row r="385">
      <c r="A385" t="inlineStr">
        <is>
          <t>SUP-0039</t>
        </is>
      </c>
      <c r="B385" t="inlineStr">
        <is>
          <t>Electronics Supplier 039</t>
        </is>
      </c>
      <c r="C385" t="inlineStr">
        <is>
          <t>Electronics</t>
        </is>
      </c>
      <c r="D385" t="n">
        <v>2018</v>
      </c>
      <c r="E385" t="n">
        <v>10182883.52</v>
      </c>
      <c r="F385" t="n">
        <v>28678137.42</v>
      </c>
      <c r="G385" t="inlineStr"/>
      <c r="H385" t="n">
        <v>1013.3501</v>
      </c>
      <c r="I385" t="n">
        <v>1241.7032</v>
      </c>
      <c r="J385" t="n">
        <v>10054.2686</v>
      </c>
      <c r="K385" t="inlineStr"/>
      <c r="L385" t="inlineStr"/>
      <c r="M385" t="inlineStr"/>
      <c r="N385" t="inlineStr"/>
      <c r="O385" t="n">
        <v>2018</v>
      </c>
      <c r="P385" t="n">
        <v>2040</v>
      </c>
      <c r="Q385" t="n">
        <v>0.3424</v>
      </c>
      <c r="R385" t="n">
        <v>635.1588</v>
      </c>
      <c r="S385" t="n">
        <v>0.00086105</v>
      </c>
      <c r="T385" t="n">
        <v>0.00013947</v>
      </c>
      <c r="U385" t="n">
        <v>12309.3219</v>
      </c>
      <c r="V385" t="inlineStr">
        <is>
          <t>Scope 1 + Scope 2 + Scope 3</t>
        </is>
      </c>
      <c r="W385" t="b">
        <v>1</v>
      </c>
      <c r="X385" t="inlineStr">
        <is>
          <t>High</t>
        </is>
      </c>
      <c r="Y385" t="inlineStr">
        <is>
          <t>Reported_Emissions</t>
        </is>
      </c>
      <c r="Z385" t="n">
        <v>0.88</v>
      </c>
      <c r="AA385" t="inlineStr">
        <is>
          <t>Valid</t>
        </is>
      </c>
    </row>
    <row r="386">
      <c r="A386" t="inlineStr">
        <is>
          <t>SUP-0039</t>
        </is>
      </c>
      <c r="B386" t="inlineStr">
        <is>
          <t>Electronics Supplier 039</t>
        </is>
      </c>
      <c r="C386" t="inlineStr">
        <is>
          <t>Electronics</t>
        </is>
      </c>
      <c r="D386" t="n">
        <v>2019</v>
      </c>
      <c r="E386" t="n">
        <v>9357333.619999999</v>
      </c>
      <c r="F386" t="n">
        <v>34922702.38</v>
      </c>
      <c r="G386" t="n">
        <v>11193.9952</v>
      </c>
      <c r="H386" t="inlineStr"/>
      <c r="I386" t="n">
        <v>1582.8942</v>
      </c>
      <c r="J386" t="n">
        <v>8462.4524</v>
      </c>
      <c r="K386" t="inlineStr"/>
      <c r="L386" t="inlineStr"/>
      <c r="M386" t="inlineStr"/>
      <c r="N386" t="inlineStr"/>
      <c r="O386" t="n">
        <v>2018</v>
      </c>
      <c r="P386" t="n">
        <v>2040</v>
      </c>
      <c r="Q386" t="n">
        <v>0.3424</v>
      </c>
      <c r="R386" t="n">
        <v>635.1588</v>
      </c>
      <c r="S386" t="n">
        <v>0.00086105</v>
      </c>
      <c r="T386" t="n">
        <v>0.00013947</v>
      </c>
      <c r="U386" t="n">
        <v>11193.9952</v>
      </c>
      <c r="V386" t="inlineStr">
        <is>
          <t>Supplier Reported Emissions</t>
        </is>
      </c>
      <c r="W386" t="b">
        <v>0</v>
      </c>
      <c r="X386" t="inlineStr">
        <is>
          <t>High</t>
        </is>
      </c>
      <c r="Y386" t="inlineStr">
        <is>
          <t>Scope_Emissions</t>
        </is>
      </c>
      <c r="Z386" t="n">
        <v>0.95</v>
      </c>
      <c r="AA386" t="inlineStr">
        <is>
          <t>Valid</t>
        </is>
      </c>
    </row>
    <row r="387">
      <c r="A387" t="inlineStr">
        <is>
          <t>SUP-0039</t>
        </is>
      </c>
      <c r="B387" t="inlineStr">
        <is>
          <t>Electronics Supplier 039</t>
        </is>
      </c>
      <c r="C387" t="inlineStr">
        <is>
          <t>Electronics</t>
        </is>
      </c>
      <c r="D387" t="n">
        <v>2020</v>
      </c>
      <c r="E387" t="n">
        <v>10775775.5</v>
      </c>
      <c r="F387" t="n">
        <v>31964261.21</v>
      </c>
      <c r="G387" t="n">
        <v>12691.1973</v>
      </c>
      <c r="H387" t="n">
        <v>1277.8095</v>
      </c>
      <c r="I387" t="n">
        <v>1564.8784</v>
      </c>
      <c r="J387" t="n">
        <v>10458.1425</v>
      </c>
      <c r="K387" t="inlineStr"/>
      <c r="L387" t="inlineStr"/>
      <c r="M387" t="inlineStr"/>
      <c r="N387" t="inlineStr"/>
      <c r="O387" t="n">
        <v>2018</v>
      </c>
      <c r="P387" t="n">
        <v>2040</v>
      </c>
      <c r="Q387" t="n">
        <v>0.3424</v>
      </c>
      <c r="R387" t="n">
        <v>635.1588</v>
      </c>
      <c r="S387" t="n">
        <v>0.00086105</v>
      </c>
      <c r="T387" t="n">
        <v>0.00013947</v>
      </c>
      <c r="U387" t="n">
        <v>12691.1973</v>
      </c>
      <c r="V387" t="inlineStr">
        <is>
          <t>Supplier Reported Emissions</t>
        </is>
      </c>
      <c r="W387" t="b">
        <v>0</v>
      </c>
      <c r="X387" t="inlineStr">
        <is>
          <t>High</t>
        </is>
      </c>
      <c r="Y387" t="inlineStr">
        <is>
          <t>None</t>
        </is>
      </c>
      <c r="Z387" t="n">
        <v>0.95</v>
      </c>
      <c r="AA387" t="inlineStr">
        <is>
          <t>Valid</t>
        </is>
      </c>
    </row>
    <row r="388">
      <c r="A388" t="inlineStr">
        <is>
          <t>SUP-0039</t>
        </is>
      </c>
      <c r="B388" t="inlineStr">
        <is>
          <t>Electronics Supplier 039</t>
        </is>
      </c>
      <c r="C388" t="inlineStr">
        <is>
          <t>Electronics</t>
        </is>
      </c>
      <c r="D388" t="n">
        <v>2021</v>
      </c>
      <c r="E388" t="n">
        <v>10053216.69</v>
      </c>
      <c r="F388" t="n">
        <v>27164160.37</v>
      </c>
      <c r="G388" t="n">
        <v>14943.144</v>
      </c>
      <c r="H388" t="n">
        <v>3944.3924</v>
      </c>
      <c r="I388" t="n">
        <v>2890.9095</v>
      </c>
      <c r="J388" t="inlineStr"/>
      <c r="K388" t="inlineStr"/>
      <c r="L388" t="inlineStr"/>
      <c r="M388" t="inlineStr"/>
      <c r="N388" t="inlineStr"/>
      <c r="O388" t="n">
        <v>2018</v>
      </c>
      <c r="P388" t="n">
        <v>2040</v>
      </c>
      <c r="Q388" t="n">
        <v>0.3424</v>
      </c>
      <c r="R388" t="n">
        <v>635.1588</v>
      </c>
      <c r="S388" t="n">
        <v>0.00086105</v>
      </c>
      <c r="T388" t="n">
        <v>0.00013947</v>
      </c>
      <c r="U388" t="n">
        <v>14943.144</v>
      </c>
      <c r="V388" t="inlineStr">
        <is>
          <t>Supplier Reported Emissions</t>
        </is>
      </c>
      <c r="W388" t="b">
        <v>0</v>
      </c>
      <c r="X388" t="inlineStr">
        <is>
          <t>High</t>
        </is>
      </c>
      <c r="Y388" t="inlineStr">
        <is>
          <t>Scope_Emissions</t>
        </is>
      </c>
      <c r="Z388" t="n">
        <v>0.95</v>
      </c>
      <c r="AA388" t="inlineStr">
        <is>
          <t>Valid</t>
        </is>
      </c>
    </row>
    <row r="389">
      <c r="A389" t="inlineStr">
        <is>
          <t>SUP-0039</t>
        </is>
      </c>
      <c r="B389" t="inlineStr">
        <is>
          <t>Electronics Supplier 039</t>
        </is>
      </c>
      <c r="C389" t="inlineStr">
        <is>
          <t>Electronics</t>
        </is>
      </c>
      <c r="D389" t="n">
        <v>2022</v>
      </c>
      <c r="E389" t="inlineStr"/>
      <c r="F389" t="n">
        <v>28231504.16</v>
      </c>
      <c r="G389" t="inlineStr"/>
      <c r="H389" t="n">
        <v>1861.3826</v>
      </c>
      <c r="I389" t="inlineStr"/>
      <c r="J389" t="n">
        <v>9776.1109</v>
      </c>
      <c r="K389" t="inlineStr"/>
      <c r="L389" t="inlineStr"/>
      <c r="M389" t="inlineStr"/>
      <c r="N389" t="inlineStr"/>
      <c r="O389" t="n">
        <v>2018</v>
      </c>
      <c r="P389" t="n">
        <v>2040</v>
      </c>
      <c r="Q389" t="n">
        <v>0.3424</v>
      </c>
      <c r="R389" t="n">
        <v>635.1588</v>
      </c>
      <c r="S389" t="n">
        <v>0.00086105</v>
      </c>
      <c r="T389" t="n">
        <v>0.00013947</v>
      </c>
      <c r="U389" t="n">
        <v>3937.4479</v>
      </c>
      <c r="V389" t="inlineStr">
        <is>
          <t>Revenue-Based Estimate</t>
        </is>
      </c>
      <c r="W389" t="b">
        <v>1</v>
      </c>
      <c r="X389" t="inlineStr">
        <is>
          <t>Medium-Low</t>
        </is>
      </c>
      <c r="Y389" t="inlineStr">
        <is>
          <t>Gross_Spend; Reported_Emissions; Scope_Emissions</t>
        </is>
      </c>
      <c r="Z389" t="n">
        <v>0.6</v>
      </c>
      <c r="AA389" t="inlineStr">
        <is>
          <t>Valid</t>
        </is>
      </c>
    </row>
    <row r="390">
      <c r="A390" t="inlineStr">
        <is>
          <t>SUP-0039</t>
        </is>
      </c>
      <c r="B390" t="inlineStr">
        <is>
          <t>Electronics Supplier 039</t>
        </is>
      </c>
      <c r="C390" t="inlineStr">
        <is>
          <t>Electronics</t>
        </is>
      </c>
      <c r="D390" t="n">
        <v>2023</v>
      </c>
      <c r="E390" t="inlineStr"/>
      <c r="F390" t="n">
        <v>30606174.76</v>
      </c>
      <c r="G390" t="n">
        <v>17246.8663</v>
      </c>
      <c r="H390" t="n">
        <v>3333.731</v>
      </c>
      <c r="I390" t="n">
        <v>2871.472</v>
      </c>
      <c r="J390" t="n">
        <v>10919.0332</v>
      </c>
      <c r="K390" t="inlineStr"/>
      <c r="L390" t="inlineStr"/>
      <c r="M390" t="inlineStr"/>
      <c r="N390" t="inlineStr"/>
      <c r="O390" t="n">
        <v>2018</v>
      </c>
      <c r="P390" t="n">
        <v>2040</v>
      </c>
      <c r="Q390" t="n">
        <v>0.3424</v>
      </c>
      <c r="R390" t="n">
        <v>635.1588</v>
      </c>
      <c r="S390" t="n">
        <v>0.00086105</v>
      </c>
      <c r="T390" t="n">
        <v>0.00013947</v>
      </c>
      <c r="U390" t="n">
        <v>17246.8663</v>
      </c>
      <c r="V390" t="inlineStr">
        <is>
          <t>Supplier Reported Emissions</t>
        </is>
      </c>
      <c r="W390" t="b">
        <v>0</v>
      </c>
      <c r="X390" t="inlineStr">
        <is>
          <t>High</t>
        </is>
      </c>
      <c r="Y390" t="inlineStr">
        <is>
          <t>Gross_Spend</t>
        </is>
      </c>
      <c r="Z390" t="n">
        <v>0.95</v>
      </c>
      <c r="AA390" t="inlineStr">
        <is>
          <t>Valid</t>
        </is>
      </c>
    </row>
    <row r="391">
      <c r="A391" t="inlineStr">
        <is>
          <t>SUP-0039</t>
        </is>
      </c>
      <c r="B391" t="inlineStr">
        <is>
          <t>Electronics Supplier 039</t>
        </is>
      </c>
      <c r="C391" t="inlineStr">
        <is>
          <t>Electronics</t>
        </is>
      </c>
      <c r="D391" t="n">
        <v>2024</v>
      </c>
      <c r="E391" t="n">
        <v>13478264.2</v>
      </c>
      <c r="F391" t="n">
        <v>58884198.31</v>
      </c>
      <c r="G391" t="n">
        <v>19219.8697</v>
      </c>
      <c r="H391" t="n">
        <v>3401.2031</v>
      </c>
      <c r="I391" t="n">
        <v>3857.2562</v>
      </c>
      <c r="J391" t="inlineStr"/>
      <c r="K391" t="inlineStr"/>
      <c r="L391" t="inlineStr"/>
      <c r="M391" t="inlineStr"/>
      <c r="N391" t="inlineStr"/>
      <c r="O391" t="n">
        <v>2018</v>
      </c>
      <c r="P391" t="n">
        <v>2040</v>
      </c>
      <c r="Q391" t="n">
        <v>0.3424</v>
      </c>
      <c r="R391" t="n">
        <v>635.1588</v>
      </c>
      <c r="S391" t="n">
        <v>0.00086105</v>
      </c>
      <c r="T391" t="n">
        <v>0.00013947</v>
      </c>
      <c r="U391" t="n">
        <v>19219.8697</v>
      </c>
      <c r="V391" t="inlineStr">
        <is>
          <t>Supplier Reported Emissions</t>
        </is>
      </c>
      <c r="W391" t="b">
        <v>0</v>
      </c>
      <c r="X391" t="inlineStr">
        <is>
          <t>High</t>
        </is>
      </c>
      <c r="Y391" t="inlineStr">
        <is>
          <t>Scope_Emissions</t>
        </is>
      </c>
      <c r="Z391" t="n">
        <v>0.95</v>
      </c>
      <c r="AA391" t="inlineStr">
        <is>
          <t>Valid</t>
        </is>
      </c>
    </row>
    <row r="392">
      <c r="A392" t="inlineStr">
        <is>
          <t>SUP-0040</t>
        </is>
      </c>
      <c r="B392" t="inlineStr">
        <is>
          <t>Chemicals Supplier 040</t>
        </is>
      </c>
      <c r="C392" t="inlineStr">
        <is>
          <t>Chemicals</t>
        </is>
      </c>
      <c r="D392" t="n">
        <v>2015</v>
      </c>
      <c r="E392" t="n">
        <v>4805507.06</v>
      </c>
      <c r="F392" t="n">
        <v>18193803.61</v>
      </c>
      <c r="G392" t="n">
        <v>6155.3216</v>
      </c>
      <c r="H392" t="n">
        <v>1346.7891</v>
      </c>
      <c r="I392" t="n">
        <v>980.7633</v>
      </c>
      <c r="J392" t="n">
        <v>3513.3064</v>
      </c>
      <c r="K392" t="n">
        <v>2021</v>
      </c>
      <c r="L392" t="n">
        <v>2030</v>
      </c>
      <c r="M392" t="n">
        <v>0.5251</v>
      </c>
      <c r="N392" t="n">
        <v>0.198</v>
      </c>
      <c r="O392" t="n">
        <v>2019</v>
      </c>
      <c r="P392" t="n">
        <v>2035</v>
      </c>
      <c r="Q392" t="n">
        <v>0.5229</v>
      </c>
      <c r="R392" t="n">
        <v>506.3191</v>
      </c>
      <c r="S392" t="n">
        <v>0.00100149</v>
      </c>
      <c r="T392" t="n">
        <v>0.00047124</v>
      </c>
      <c r="U392" t="n">
        <v>6155.3216</v>
      </c>
      <c r="V392" t="inlineStr">
        <is>
          <t>Supplier Reported Emissions</t>
        </is>
      </c>
      <c r="W392" t="b">
        <v>0</v>
      </c>
      <c r="X392" t="inlineStr">
        <is>
          <t>High</t>
        </is>
      </c>
      <c r="Y392" t="inlineStr">
        <is>
          <t>None</t>
        </is>
      </c>
      <c r="Z392" t="n">
        <v>0.95</v>
      </c>
      <c r="AA392" t="inlineStr">
        <is>
          <t>Valid</t>
        </is>
      </c>
    </row>
    <row r="393">
      <c r="A393" t="inlineStr">
        <is>
          <t>SUP-0040</t>
        </is>
      </c>
      <c r="B393" t="inlineStr">
        <is>
          <t>Chemicals Supplier 040</t>
        </is>
      </c>
      <c r="C393" t="inlineStr">
        <is>
          <t>Chemicals</t>
        </is>
      </c>
      <c r="D393" t="n">
        <v>2016</v>
      </c>
      <c r="E393" t="n">
        <v>3908971.7</v>
      </c>
      <c r="F393" t="inlineStr"/>
      <c r="G393" t="n">
        <v>4109.3427</v>
      </c>
      <c r="H393" t="n">
        <v>1066.4963</v>
      </c>
      <c r="I393" t="n">
        <v>518.5119</v>
      </c>
      <c r="J393" t="n">
        <v>2547.2899</v>
      </c>
      <c r="K393" t="n">
        <v>2021</v>
      </c>
      <c r="L393" t="n">
        <v>2030</v>
      </c>
      <c r="M393" t="n">
        <v>0.5251</v>
      </c>
      <c r="N393" t="n">
        <v>0.198</v>
      </c>
      <c r="O393" t="n">
        <v>2019</v>
      </c>
      <c r="P393" t="n">
        <v>2035</v>
      </c>
      <c r="Q393" t="n">
        <v>0.5229</v>
      </c>
      <c r="R393" t="n">
        <v>506.3191</v>
      </c>
      <c r="S393" t="n">
        <v>0.00100149</v>
      </c>
      <c r="T393" t="n">
        <v>0.00047124</v>
      </c>
      <c r="U393" t="n">
        <v>4109.3427</v>
      </c>
      <c r="V393" t="inlineStr">
        <is>
          <t>Supplier Reported Emissions</t>
        </is>
      </c>
      <c r="W393" t="b">
        <v>0</v>
      </c>
      <c r="X393" t="inlineStr">
        <is>
          <t>High</t>
        </is>
      </c>
      <c r="Y393" t="inlineStr">
        <is>
          <t>Revenue</t>
        </is>
      </c>
      <c r="Z393" t="n">
        <v>0.95</v>
      </c>
      <c r="AA393" t="inlineStr">
        <is>
          <t>Valid</t>
        </is>
      </c>
    </row>
    <row r="394">
      <c r="A394" t="inlineStr">
        <is>
          <t>SUP-0040</t>
        </is>
      </c>
      <c r="B394" t="inlineStr">
        <is>
          <t>Chemicals Supplier 040</t>
        </is>
      </c>
      <c r="C394" t="inlineStr">
        <is>
          <t>Chemicals</t>
        </is>
      </c>
      <c r="D394" t="n">
        <v>2017</v>
      </c>
      <c r="E394" t="n">
        <v>4015146.38</v>
      </c>
      <c r="F394" t="n">
        <v>17285276.95</v>
      </c>
      <c r="G394" t="inlineStr"/>
      <c r="H394" t="n">
        <v>607.9607</v>
      </c>
      <c r="I394" t="inlineStr"/>
      <c r="J394" t="n">
        <v>3177.9654</v>
      </c>
      <c r="K394" t="n">
        <v>2021</v>
      </c>
      <c r="L394" t="n">
        <v>2030</v>
      </c>
      <c r="M394" t="n">
        <v>0.5251</v>
      </c>
      <c r="N394" t="n">
        <v>0.198</v>
      </c>
      <c r="O394" t="n">
        <v>2019</v>
      </c>
      <c r="P394" t="n">
        <v>2035</v>
      </c>
      <c r="Q394" t="n">
        <v>0.5229</v>
      </c>
      <c r="R394" t="n">
        <v>506.3191</v>
      </c>
      <c r="S394" t="n">
        <v>0.00100149</v>
      </c>
      <c r="T394" t="n">
        <v>0.00047124</v>
      </c>
      <c r="U394" t="n">
        <v>4021.1289</v>
      </c>
      <c r="V394" t="inlineStr">
        <is>
          <t>Spend-Based Estimate</t>
        </is>
      </c>
      <c r="W394" t="b">
        <v>1</v>
      </c>
      <c r="X394" t="inlineStr">
        <is>
          <t>Medium</t>
        </is>
      </c>
      <c r="Y394" t="inlineStr">
        <is>
          <t>Reported_Emissions; Scope_Emissions</t>
        </is>
      </c>
      <c r="Z394" t="n">
        <v>0.7</v>
      </c>
      <c r="AA394" t="inlineStr">
        <is>
          <t>Valid</t>
        </is>
      </c>
    </row>
    <row r="395">
      <c r="A395" t="inlineStr">
        <is>
          <t>SUP-0040</t>
        </is>
      </c>
      <c r="B395" t="inlineStr">
        <is>
          <t>Chemicals Supplier 040</t>
        </is>
      </c>
      <c r="C395" t="inlineStr">
        <is>
          <t>Chemicals</t>
        </is>
      </c>
      <c r="D395" t="n">
        <v>2018</v>
      </c>
      <c r="E395" t="inlineStr"/>
      <c r="F395" t="n">
        <v>20206876.46</v>
      </c>
      <c r="G395" t="n">
        <v>6037.4011</v>
      </c>
      <c r="H395" t="n">
        <v>663.015</v>
      </c>
      <c r="I395" t="n">
        <v>1192.191</v>
      </c>
      <c r="J395" t="n">
        <v>4269.625</v>
      </c>
      <c r="K395" t="n">
        <v>2021</v>
      </c>
      <c r="L395" t="n">
        <v>2030</v>
      </c>
      <c r="M395" t="n">
        <v>0.5251</v>
      </c>
      <c r="N395" t="n">
        <v>0.198</v>
      </c>
      <c r="O395" t="n">
        <v>2019</v>
      </c>
      <c r="P395" t="n">
        <v>2035</v>
      </c>
      <c r="Q395" t="n">
        <v>0.5229</v>
      </c>
      <c r="R395" t="n">
        <v>506.3191</v>
      </c>
      <c r="S395" t="n">
        <v>0.00100149</v>
      </c>
      <c r="T395" t="n">
        <v>0.00047124</v>
      </c>
      <c r="U395" t="n">
        <v>6037.4011</v>
      </c>
      <c r="V395" t="inlineStr">
        <is>
          <t>Supplier Reported Emissions</t>
        </is>
      </c>
      <c r="W395" t="b">
        <v>0</v>
      </c>
      <c r="X395" t="inlineStr">
        <is>
          <t>High</t>
        </is>
      </c>
      <c r="Y395" t="inlineStr">
        <is>
          <t>Gross_Spend</t>
        </is>
      </c>
      <c r="Z395" t="n">
        <v>0.95</v>
      </c>
      <c r="AA395" t="inlineStr">
        <is>
          <t>Valid</t>
        </is>
      </c>
    </row>
    <row r="396">
      <c r="A396" t="inlineStr">
        <is>
          <t>SUP-0040</t>
        </is>
      </c>
      <c r="B396" t="inlineStr">
        <is>
          <t>Chemicals Supplier 040</t>
        </is>
      </c>
      <c r="C396" t="inlineStr">
        <is>
          <t>Chemicals</t>
        </is>
      </c>
      <c r="D396" t="n">
        <v>2019</v>
      </c>
      <c r="E396" t="n">
        <v>5158460.18</v>
      </c>
      <c r="F396" t="n">
        <v>22809125.52</v>
      </c>
      <c r="G396" t="inlineStr"/>
      <c r="H396" t="n">
        <v>1181.618</v>
      </c>
      <c r="I396" t="inlineStr"/>
      <c r="J396" t="n">
        <v>3542.1803</v>
      </c>
      <c r="K396" t="n">
        <v>2021</v>
      </c>
      <c r="L396" t="n">
        <v>2030</v>
      </c>
      <c r="M396" t="n">
        <v>0.5251</v>
      </c>
      <c r="N396" t="n">
        <v>0.198</v>
      </c>
      <c r="O396" t="n">
        <v>2019</v>
      </c>
      <c r="P396" t="n">
        <v>2035</v>
      </c>
      <c r="Q396" t="n">
        <v>0.5229</v>
      </c>
      <c r="R396" t="n">
        <v>506.3191</v>
      </c>
      <c r="S396" t="n">
        <v>0.00100149</v>
      </c>
      <c r="T396" t="n">
        <v>0.00047124</v>
      </c>
      <c r="U396" t="n">
        <v>5166.1463</v>
      </c>
      <c r="V396" t="inlineStr">
        <is>
          <t>Spend-Based Estimate</t>
        </is>
      </c>
      <c r="W396" t="b">
        <v>1</v>
      </c>
      <c r="X396" t="inlineStr">
        <is>
          <t>Medium</t>
        </is>
      </c>
      <c r="Y396" t="inlineStr">
        <is>
          <t>Reported_Emissions; Scope_Emissions</t>
        </is>
      </c>
      <c r="Z396" t="n">
        <v>0.7</v>
      </c>
      <c r="AA396" t="inlineStr">
        <is>
          <t>Valid</t>
        </is>
      </c>
    </row>
    <row r="397">
      <c r="A397" t="inlineStr">
        <is>
          <t>SUP-0040</t>
        </is>
      </c>
      <c r="B397" t="inlineStr">
        <is>
          <t>Chemicals Supplier 040</t>
        </is>
      </c>
      <c r="C397" t="inlineStr">
        <is>
          <t>Chemicals</t>
        </is>
      </c>
      <c r="D397" t="n">
        <v>2020</v>
      </c>
      <c r="E397" t="n">
        <v>5562639.78</v>
      </c>
      <c r="F397" t="n">
        <v>26507306.6</v>
      </c>
      <c r="G397" t="n">
        <v>8129.9665</v>
      </c>
      <c r="H397" t="n">
        <v>2164.9235</v>
      </c>
      <c r="I397" t="n">
        <v>820.1182</v>
      </c>
      <c r="J397" t="n">
        <v>4273.4189</v>
      </c>
      <c r="K397" t="n">
        <v>2021</v>
      </c>
      <c r="L397" t="n">
        <v>2030</v>
      </c>
      <c r="M397" t="n">
        <v>0.5251</v>
      </c>
      <c r="N397" t="n">
        <v>0.198</v>
      </c>
      <c r="O397" t="n">
        <v>2019</v>
      </c>
      <c r="P397" t="n">
        <v>2035</v>
      </c>
      <c r="Q397" t="n">
        <v>0.5229</v>
      </c>
      <c r="R397" t="n">
        <v>506.3191</v>
      </c>
      <c r="S397" t="n">
        <v>0.00100149</v>
      </c>
      <c r="T397" t="n">
        <v>0.00047124</v>
      </c>
      <c r="U397" t="n">
        <v>8129.9665</v>
      </c>
      <c r="V397" t="inlineStr">
        <is>
          <t>Supplier Reported Emissions</t>
        </is>
      </c>
      <c r="W397" t="b">
        <v>0</v>
      </c>
      <c r="X397" t="inlineStr">
        <is>
          <t>High</t>
        </is>
      </c>
      <c r="Y397" t="inlineStr">
        <is>
          <t>None</t>
        </is>
      </c>
      <c r="Z397" t="n">
        <v>0.95</v>
      </c>
      <c r="AA397" t="inlineStr">
        <is>
          <t>Valid</t>
        </is>
      </c>
    </row>
    <row r="398">
      <c r="A398" t="inlineStr">
        <is>
          <t>SUP-0040</t>
        </is>
      </c>
      <c r="B398" t="inlineStr">
        <is>
          <t>Chemicals Supplier 040</t>
        </is>
      </c>
      <c r="C398" t="inlineStr">
        <is>
          <t>Chemicals</t>
        </is>
      </c>
      <c r="D398" t="n">
        <v>2021</v>
      </c>
      <c r="E398" t="inlineStr"/>
      <c r="F398" t="n">
        <v>24616727.48</v>
      </c>
      <c r="G398" t="n">
        <v>8922.821599999999</v>
      </c>
      <c r="H398" t="n">
        <v>2543.2564</v>
      </c>
      <c r="I398" t="n">
        <v>1829.1966</v>
      </c>
      <c r="J398" t="n">
        <v>4862.3107</v>
      </c>
      <c r="K398" t="n">
        <v>2021</v>
      </c>
      <c r="L398" t="n">
        <v>2030</v>
      </c>
      <c r="M398" t="n">
        <v>0.5251</v>
      </c>
      <c r="N398" t="n">
        <v>0.198</v>
      </c>
      <c r="O398" t="n">
        <v>2019</v>
      </c>
      <c r="P398" t="n">
        <v>2035</v>
      </c>
      <c r="Q398" t="n">
        <v>0.5229</v>
      </c>
      <c r="R398" t="n">
        <v>506.3191</v>
      </c>
      <c r="S398" t="n">
        <v>0.00100149</v>
      </c>
      <c r="T398" t="n">
        <v>0.00047124</v>
      </c>
      <c r="U398" t="n">
        <v>8922.821599999999</v>
      </c>
      <c r="V398" t="inlineStr">
        <is>
          <t>Supplier Reported Emissions</t>
        </is>
      </c>
      <c r="W398" t="b">
        <v>0</v>
      </c>
      <c r="X398" t="inlineStr">
        <is>
          <t>High</t>
        </is>
      </c>
      <c r="Y398" t="inlineStr">
        <is>
          <t>Gross_Spend</t>
        </is>
      </c>
      <c r="Z398" t="n">
        <v>0.95</v>
      </c>
      <c r="AA398" t="inlineStr">
        <is>
          <t>Valid</t>
        </is>
      </c>
    </row>
    <row r="399">
      <c r="A399" t="inlineStr">
        <is>
          <t>SUP-0040</t>
        </is>
      </c>
      <c r="B399" t="inlineStr">
        <is>
          <t>Chemicals Supplier 040</t>
        </is>
      </c>
      <c r="C399" t="inlineStr">
        <is>
          <t>Chemicals</t>
        </is>
      </c>
      <c r="D399" t="n">
        <v>2022</v>
      </c>
      <c r="E399" t="n">
        <v>6740301.17</v>
      </c>
      <c r="F399" t="inlineStr"/>
      <c r="G399" t="n">
        <v>8602.820299999999</v>
      </c>
      <c r="H399" t="n">
        <v>2036.767</v>
      </c>
      <c r="I399" t="n">
        <v>1201.9913</v>
      </c>
      <c r="J399" t="n">
        <v>4957.9012</v>
      </c>
      <c r="K399" t="n">
        <v>2021</v>
      </c>
      <c r="L399" t="n">
        <v>2030</v>
      </c>
      <c r="M399" t="n">
        <v>0.5251</v>
      </c>
      <c r="N399" t="n">
        <v>0.198</v>
      </c>
      <c r="O399" t="n">
        <v>2019</v>
      </c>
      <c r="P399" t="n">
        <v>2035</v>
      </c>
      <c r="Q399" t="n">
        <v>0.5229</v>
      </c>
      <c r="R399" t="n">
        <v>506.3191</v>
      </c>
      <c r="S399" t="n">
        <v>0.00100149</v>
      </c>
      <c r="T399" t="n">
        <v>0.00047124</v>
      </c>
      <c r="U399" t="n">
        <v>8602.820299999999</v>
      </c>
      <c r="V399" t="inlineStr">
        <is>
          <t>Supplier Reported Emissions</t>
        </is>
      </c>
      <c r="W399" t="b">
        <v>0</v>
      </c>
      <c r="X399" t="inlineStr">
        <is>
          <t>High</t>
        </is>
      </c>
      <c r="Y399" t="inlineStr">
        <is>
          <t>Revenue</t>
        </is>
      </c>
      <c r="Z399" t="n">
        <v>0.95</v>
      </c>
      <c r="AA399" t="inlineStr">
        <is>
          <t>Valid</t>
        </is>
      </c>
    </row>
    <row r="400">
      <c r="A400" t="inlineStr">
        <is>
          <t>SUP-0040</t>
        </is>
      </c>
      <c r="B400" t="inlineStr">
        <is>
          <t>Chemicals Supplier 040</t>
        </is>
      </c>
      <c r="C400" t="inlineStr">
        <is>
          <t>Chemicals</t>
        </is>
      </c>
      <c r="D400" t="n">
        <v>2023</v>
      </c>
      <c r="E400" t="n">
        <v>5834812.8</v>
      </c>
      <c r="F400" t="n">
        <v>32352566.82</v>
      </c>
      <c r="G400" t="inlineStr"/>
      <c r="H400" t="n">
        <v>1461.4114</v>
      </c>
      <c r="I400" t="n">
        <v>1156.9442</v>
      </c>
      <c r="J400" t="n">
        <v>4682.7999</v>
      </c>
      <c r="K400" t="n">
        <v>2021</v>
      </c>
      <c r="L400" t="n">
        <v>2030</v>
      </c>
      <c r="M400" t="n">
        <v>0.5251</v>
      </c>
      <c r="N400" t="n">
        <v>0.198</v>
      </c>
      <c r="O400" t="n">
        <v>2019</v>
      </c>
      <c r="P400" t="n">
        <v>2035</v>
      </c>
      <c r="Q400" t="n">
        <v>0.5229</v>
      </c>
      <c r="R400" t="n">
        <v>506.3191</v>
      </c>
      <c r="S400" t="n">
        <v>0.00100149</v>
      </c>
      <c r="T400" t="n">
        <v>0.00047124</v>
      </c>
      <c r="U400" t="n">
        <v>7301.1555</v>
      </c>
      <c r="V400" t="inlineStr">
        <is>
          <t>Scope 1 + Scope 2 + Scope 3</t>
        </is>
      </c>
      <c r="W400" t="b">
        <v>1</v>
      </c>
      <c r="X400" t="inlineStr">
        <is>
          <t>High</t>
        </is>
      </c>
      <c r="Y400" t="inlineStr">
        <is>
          <t>Reported_Emissions</t>
        </is>
      </c>
      <c r="Z400" t="n">
        <v>0.88</v>
      </c>
      <c r="AA400" t="inlineStr">
        <is>
          <t>Valid</t>
        </is>
      </c>
    </row>
    <row r="401">
      <c r="A401" t="inlineStr">
        <is>
          <t>SUP-0040</t>
        </is>
      </c>
      <c r="B401" t="inlineStr">
        <is>
          <t>Chemicals Supplier 040</t>
        </is>
      </c>
      <c r="C401" t="inlineStr">
        <is>
          <t>Chemicals</t>
        </is>
      </c>
      <c r="D401" t="n">
        <v>2024</v>
      </c>
      <c r="E401" t="n">
        <v>7566361.97</v>
      </c>
      <c r="F401" t="n">
        <v>34740066.95</v>
      </c>
      <c r="G401" t="n">
        <v>8045.683</v>
      </c>
      <c r="H401" t="n">
        <v>825.9494999999999</v>
      </c>
      <c r="I401" t="n">
        <v>1269.5315</v>
      </c>
      <c r="J401" t="n">
        <v>5474.4724</v>
      </c>
      <c r="K401" t="n">
        <v>2021</v>
      </c>
      <c r="L401" t="n">
        <v>2030</v>
      </c>
      <c r="M401" t="n">
        <v>0.5251</v>
      </c>
      <c r="N401" t="n">
        <v>0.198</v>
      </c>
      <c r="O401" t="n">
        <v>2019</v>
      </c>
      <c r="P401" t="n">
        <v>2035</v>
      </c>
      <c r="Q401" t="n">
        <v>0.5229</v>
      </c>
      <c r="R401" t="n">
        <v>506.3191</v>
      </c>
      <c r="S401" t="n">
        <v>0.00100149</v>
      </c>
      <c r="T401" t="n">
        <v>0.00047124</v>
      </c>
      <c r="U401" t="n">
        <v>8045.683</v>
      </c>
      <c r="V401" t="inlineStr">
        <is>
          <t>Supplier Reported Emissions</t>
        </is>
      </c>
      <c r="W401" t="b">
        <v>0</v>
      </c>
      <c r="X401" t="inlineStr">
        <is>
          <t>High</t>
        </is>
      </c>
      <c r="Y401" t="inlineStr">
        <is>
          <t>None</t>
        </is>
      </c>
      <c r="Z401" t="n">
        <v>0.95</v>
      </c>
      <c r="AA401" t="inlineStr">
        <is>
          <t>Valid</t>
        </is>
      </c>
    </row>
    <row r="402">
      <c r="A402" t="inlineStr">
        <is>
          <t>SUP-0041</t>
        </is>
      </c>
      <c r="B402" t="inlineStr">
        <is>
          <t>Logistics Supplier 041</t>
        </is>
      </c>
      <c r="C402" t="inlineStr">
        <is>
          <t>Logistics</t>
        </is>
      </c>
      <c r="D402" t="n">
        <v>2015</v>
      </c>
      <c r="E402" t="n">
        <v>11007476.74</v>
      </c>
      <c r="F402" t="n">
        <v>18617903.66</v>
      </c>
      <c r="G402" t="inlineStr"/>
      <c r="H402" t="inlineStr"/>
      <c r="I402" t="n">
        <v>363.2926</v>
      </c>
      <c r="J402" t="n">
        <v>3023.3506</v>
      </c>
      <c r="K402" t="inlineStr"/>
      <c r="L402" t="inlineStr"/>
      <c r="M402" t="inlineStr"/>
      <c r="N402" t="inlineStr"/>
      <c r="O402" t="n">
        <v>2019</v>
      </c>
      <c r="P402" t="n">
        <v>2040</v>
      </c>
      <c r="Q402" t="n">
        <v>0.4616</v>
      </c>
      <c r="R402" t="n">
        <v>591.6386</v>
      </c>
      <c r="S402" t="n">
        <v>0.00022349</v>
      </c>
      <c r="T402" t="n">
        <v>0.00047787</v>
      </c>
      <c r="U402" t="n">
        <v>2460.061</v>
      </c>
      <c r="V402" t="inlineStr">
        <is>
          <t>Spend-Based Estimate</t>
        </is>
      </c>
      <c r="W402" t="b">
        <v>1</v>
      </c>
      <c r="X402" t="inlineStr">
        <is>
          <t>Medium</t>
        </is>
      </c>
      <c r="Y402" t="inlineStr">
        <is>
          <t>Reported_Emissions; Scope_Emissions</t>
        </is>
      </c>
      <c r="Z402" t="n">
        <v>0.7</v>
      </c>
      <c r="AA402" t="inlineStr">
        <is>
          <t>Valid</t>
        </is>
      </c>
    </row>
    <row r="403">
      <c r="A403" t="inlineStr">
        <is>
          <t>SUP-0041</t>
        </is>
      </c>
      <c r="B403" t="inlineStr">
        <is>
          <t>Logistics Supplier 041</t>
        </is>
      </c>
      <c r="C403" t="inlineStr">
        <is>
          <t>Logistics</t>
        </is>
      </c>
      <c r="D403" t="n">
        <v>2016</v>
      </c>
      <c r="E403" t="n">
        <v>11614883.43</v>
      </c>
      <c r="F403" t="n">
        <v>18580037.58</v>
      </c>
      <c r="G403" t="n">
        <v>3544.9527</v>
      </c>
      <c r="H403" t="n">
        <v>452.4614</v>
      </c>
      <c r="I403" t="inlineStr"/>
      <c r="J403" t="n">
        <v>2387.5714</v>
      </c>
      <c r="K403" t="inlineStr"/>
      <c r="L403" t="inlineStr"/>
      <c r="M403" t="inlineStr"/>
      <c r="N403" t="inlineStr"/>
      <c r="O403" t="n">
        <v>2019</v>
      </c>
      <c r="P403" t="n">
        <v>2040</v>
      </c>
      <c r="Q403" t="n">
        <v>0.4616</v>
      </c>
      <c r="R403" t="n">
        <v>591.6386</v>
      </c>
      <c r="S403" t="n">
        <v>0.00022349</v>
      </c>
      <c r="T403" t="n">
        <v>0.00047787</v>
      </c>
      <c r="U403" t="n">
        <v>3544.9527</v>
      </c>
      <c r="V403" t="inlineStr">
        <is>
          <t>Supplier Reported Emissions</t>
        </is>
      </c>
      <c r="W403" t="b">
        <v>0</v>
      </c>
      <c r="X403" t="inlineStr">
        <is>
          <t>High</t>
        </is>
      </c>
      <c r="Y403" t="inlineStr">
        <is>
          <t>Scope_Emissions</t>
        </is>
      </c>
      <c r="Z403" t="n">
        <v>0.95</v>
      </c>
      <c r="AA403" t="inlineStr">
        <is>
          <t>Valid</t>
        </is>
      </c>
    </row>
    <row r="404">
      <c r="A404" t="inlineStr">
        <is>
          <t>SUP-0041</t>
        </is>
      </c>
      <c r="B404" t="inlineStr">
        <is>
          <t>Logistics Supplier 041</t>
        </is>
      </c>
      <c r="C404" t="inlineStr">
        <is>
          <t>Logistics</t>
        </is>
      </c>
      <c r="D404" t="n">
        <v>2017</v>
      </c>
      <c r="E404" t="n">
        <v>11742316.17</v>
      </c>
      <c r="F404" t="n">
        <v>20188590.37</v>
      </c>
      <c r="G404" t="n">
        <v>3254.3429</v>
      </c>
      <c r="H404" t="n">
        <v>489.026</v>
      </c>
      <c r="I404" t="n">
        <v>451.233</v>
      </c>
      <c r="J404" t="n">
        <v>2351.3287</v>
      </c>
      <c r="K404" t="inlineStr"/>
      <c r="L404" t="inlineStr"/>
      <c r="M404" t="inlineStr"/>
      <c r="N404" t="inlineStr"/>
      <c r="O404" t="n">
        <v>2019</v>
      </c>
      <c r="P404" t="n">
        <v>2040</v>
      </c>
      <c r="Q404" t="n">
        <v>0.4616</v>
      </c>
      <c r="R404" t="n">
        <v>591.6386</v>
      </c>
      <c r="S404" t="n">
        <v>0.00022349</v>
      </c>
      <c r="T404" t="n">
        <v>0.00047787</v>
      </c>
      <c r="U404" t="n">
        <v>3254.3429</v>
      </c>
      <c r="V404" t="inlineStr">
        <is>
          <t>Supplier Reported Emissions</t>
        </is>
      </c>
      <c r="W404" t="b">
        <v>0</v>
      </c>
      <c r="X404" t="inlineStr">
        <is>
          <t>High</t>
        </is>
      </c>
      <c r="Y404" t="inlineStr">
        <is>
          <t>None</t>
        </is>
      </c>
      <c r="Z404" t="n">
        <v>0.95</v>
      </c>
      <c r="AA404" t="inlineStr">
        <is>
          <t>Valid</t>
        </is>
      </c>
    </row>
    <row r="405">
      <c r="A405" t="inlineStr">
        <is>
          <t>SUP-0041</t>
        </is>
      </c>
      <c r="B405" t="inlineStr">
        <is>
          <t>Logistics Supplier 041</t>
        </is>
      </c>
      <c r="C405" t="inlineStr">
        <is>
          <t>Logistics</t>
        </is>
      </c>
      <c r="D405" t="n">
        <v>2018</v>
      </c>
      <c r="E405" t="n">
        <v>11188552.65</v>
      </c>
      <c r="F405" t="n">
        <v>17720960</v>
      </c>
      <c r="G405" t="n">
        <v>3072.3269</v>
      </c>
      <c r="H405" t="n">
        <v>800.5599</v>
      </c>
      <c r="I405" t="n">
        <v>615.7388</v>
      </c>
      <c r="J405" t="n">
        <v>1678.8134</v>
      </c>
      <c r="K405" t="inlineStr"/>
      <c r="L405" t="inlineStr"/>
      <c r="M405" t="inlineStr"/>
      <c r="N405" t="inlineStr"/>
      <c r="O405" t="n">
        <v>2019</v>
      </c>
      <c r="P405" t="n">
        <v>2040</v>
      </c>
      <c r="Q405" t="n">
        <v>0.4616</v>
      </c>
      <c r="R405" t="n">
        <v>591.6386</v>
      </c>
      <c r="S405" t="n">
        <v>0.00022349</v>
      </c>
      <c r="T405" t="n">
        <v>0.00047787</v>
      </c>
      <c r="U405" t="n">
        <v>3072.3269</v>
      </c>
      <c r="V405" t="inlineStr">
        <is>
          <t>Supplier Reported Emissions</t>
        </is>
      </c>
      <c r="W405" t="b">
        <v>0</v>
      </c>
      <c r="X405" t="inlineStr">
        <is>
          <t>High</t>
        </is>
      </c>
      <c r="Y405" t="inlineStr">
        <is>
          <t>None</t>
        </is>
      </c>
      <c r="Z405" t="n">
        <v>0.95</v>
      </c>
      <c r="AA405" t="inlineStr">
        <is>
          <t>Valid</t>
        </is>
      </c>
    </row>
    <row r="406">
      <c r="A406" t="inlineStr">
        <is>
          <t>SUP-0041</t>
        </is>
      </c>
      <c r="B406" t="inlineStr">
        <is>
          <t>Logistics Supplier 041</t>
        </is>
      </c>
      <c r="C406" t="inlineStr">
        <is>
          <t>Logistics</t>
        </is>
      </c>
      <c r="D406" t="n">
        <v>2019</v>
      </c>
      <c r="E406" t="inlineStr"/>
      <c r="F406" t="n">
        <v>15990181.86</v>
      </c>
      <c r="G406" t="inlineStr"/>
      <c r="H406" t="n">
        <v>523.9508</v>
      </c>
      <c r="I406" t="n">
        <v>363.2154</v>
      </c>
      <c r="J406" t="inlineStr"/>
      <c r="K406" t="inlineStr"/>
      <c r="L406" t="inlineStr"/>
      <c r="M406" t="inlineStr"/>
      <c r="N406" t="inlineStr"/>
      <c r="O406" t="n">
        <v>2019</v>
      </c>
      <c r="P406" t="n">
        <v>2040</v>
      </c>
      <c r="Q406" t="n">
        <v>0.4616</v>
      </c>
      <c r="R406" t="n">
        <v>591.6386</v>
      </c>
      <c r="S406" t="n">
        <v>0.00022349</v>
      </c>
      <c r="T406" t="n">
        <v>0.00047787</v>
      </c>
      <c r="U406" t="n">
        <v>7641.2282</v>
      </c>
      <c r="V406" t="inlineStr">
        <is>
          <t>Revenue-Based Estimate</t>
        </is>
      </c>
      <c r="W406" t="b">
        <v>1</v>
      </c>
      <c r="X406" t="inlineStr">
        <is>
          <t>Medium-Low</t>
        </is>
      </c>
      <c r="Y406" t="inlineStr">
        <is>
          <t>Gross_Spend; Reported_Emissions; Scope_Emissions</t>
        </is>
      </c>
      <c r="Z406" t="n">
        <v>0.6</v>
      </c>
      <c r="AA406" t="inlineStr">
        <is>
          <t>Valid</t>
        </is>
      </c>
    </row>
    <row r="407">
      <c r="A407" t="inlineStr">
        <is>
          <t>SUP-0041</t>
        </is>
      </c>
      <c r="B407" t="inlineStr">
        <is>
          <t>Logistics Supplier 041</t>
        </is>
      </c>
      <c r="C407" t="inlineStr">
        <is>
          <t>Logistics</t>
        </is>
      </c>
      <c r="D407" t="n">
        <v>2020</v>
      </c>
      <c r="E407" t="n">
        <v>10221714.36</v>
      </c>
      <c r="F407" t="n">
        <v>16886606.78</v>
      </c>
      <c r="G407" t="n">
        <v>2216.2934</v>
      </c>
      <c r="H407" t="n">
        <v>556.5204</v>
      </c>
      <c r="I407" t="n">
        <v>440.7981</v>
      </c>
      <c r="J407" t="inlineStr"/>
      <c r="K407" t="inlineStr"/>
      <c r="L407" t="inlineStr"/>
      <c r="M407" t="inlineStr"/>
      <c r="N407" t="inlineStr"/>
      <c r="O407" t="n">
        <v>2019</v>
      </c>
      <c r="P407" t="n">
        <v>2040</v>
      </c>
      <c r="Q407" t="n">
        <v>0.4616</v>
      </c>
      <c r="R407" t="n">
        <v>591.6386</v>
      </c>
      <c r="S407" t="n">
        <v>0.00022349</v>
      </c>
      <c r="T407" t="n">
        <v>0.00047787</v>
      </c>
      <c r="U407" t="n">
        <v>2216.2934</v>
      </c>
      <c r="V407" t="inlineStr">
        <is>
          <t>Supplier Reported Emissions</t>
        </is>
      </c>
      <c r="W407" t="b">
        <v>0</v>
      </c>
      <c r="X407" t="inlineStr">
        <is>
          <t>High</t>
        </is>
      </c>
      <c r="Y407" t="inlineStr">
        <is>
          <t>Scope_Emissions</t>
        </is>
      </c>
      <c r="Z407" t="n">
        <v>0.95</v>
      </c>
      <c r="AA407" t="inlineStr">
        <is>
          <t>Valid</t>
        </is>
      </c>
    </row>
    <row r="408">
      <c r="A408" t="inlineStr">
        <is>
          <t>SUP-0041</t>
        </is>
      </c>
      <c r="B408" t="inlineStr">
        <is>
          <t>Logistics Supplier 041</t>
        </is>
      </c>
      <c r="C408" t="inlineStr">
        <is>
          <t>Logistics</t>
        </is>
      </c>
      <c r="D408" t="n">
        <v>2021</v>
      </c>
      <c r="E408" t="n">
        <v>11181524.58</v>
      </c>
      <c r="F408" t="n">
        <v>15848765.82</v>
      </c>
      <c r="G408" t="n">
        <v>3285.4403</v>
      </c>
      <c r="H408" t="inlineStr"/>
      <c r="I408" t="inlineStr"/>
      <c r="J408" t="inlineStr"/>
      <c r="K408" t="inlineStr"/>
      <c r="L408" t="inlineStr"/>
      <c r="M408" t="inlineStr"/>
      <c r="N408" t="inlineStr"/>
      <c r="O408" t="n">
        <v>2019</v>
      </c>
      <c r="P408" t="n">
        <v>2040</v>
      </c>
      <c r="Q408" t="n">
        <v>0.4616</v>
      </c>
      <c r="R408" t="n">
        <v>591.6386</v>
      </c>
      <c r="S408" t="n">
        <v>0.00022349</v>
      </c>
      <c r="T408" t="n">
        <v>0.00047787</v>
      </c>
      <c r="U408" t="n">
        <v>3285.4403</v>
      </c>
      <c r="V408" t="inlineStr">
        <is>
          <t>Supplier Reported Emissions</t>
        </is>
      </c>
      <c r="W408" t="b">
        <v>0</v>
      </c>
      <c r="X408" t="inlineStr">
        <is>
          <t>High</t>
        </is>
      </c>
      <c r="Y408" t="inlineStr">
        <is>
          <t>Scope_Emissions</t>
        </is>
      </c>
      <c r="Z408" t="n">
        <v>0.95</v>
      </c>
      <c r="AA408" t="inlineStr">
        <is>
          <t>Valid</t>
        </is>
      </c>
    </row>
    <row r="409">
      <c r="A409" t="inlineStr">
        <is>
          <t>SUP-0041</t>
        </is>
      </c>
      <c r="B409" t="inlineStr">
        <is>
          <t>Logistics Supplier 041</t>
        </is>
      </c>
      <c r="C409" t="inlineStr">
        <is>
          <t>Logistics</t>
        </is>
      </c>
      <c r="D409" t="n">
        <v>2022</v>
      </c>
      <c r="E409" t="n">
        <v>10644991.35</v>
      </c>
      <c r="F409" t="n">
        <v>13542734.74</v>
      </c>
      <c r="G409" t="inlineStr"/>
      <c r="H409" t="n">
        <v>556.1607</v>
      </c>
      <c r="I409" t="inlineStr"/>
      <c r="J409" t="n">
        <v>1646.0119</v>
      </c>
      <c r="K409" t="inlineStr"/>
      <c r="L409" t="inlineStr"/>
      <c r="M409" t="inlineStr"/>
      <c r="N409" t="inlineStr"/>
      <c r="O409" t="n">
        <v>2019</v>
      </c>
      <c r="P409" t="n">
        <v>2040</v>
      </c>
      <c r="Q409" t="n">
        <v>0.4616</v>
      </c>
      <c r="R409" t="n">
        <v>591.6386</v>
      </c>
      <c r="S409" t="n">
        <v>0.00022349</v>
      </c>
      <c r="T409" t="n">
        <v>0.00047787</v>
      </c>
      <c r="U409" t="n">
        <v>2379.0491</v>
      </c>
      <c r="V409" t="inlineStr">
        <is>
          <t>Spend-Based Estimate</t>
        </is>
      </c>
      <c r="W409" t="b">
        <v>1</v>
      </c>
      <c r="X409" t="inlineStr">
        <is>
          <t>Medium</t>
        </is>
      </c>
      <c r="Y409" t="inlineStr">
        <is>
          <t>Reported_Emissions; Scope_Emissions</t>
        </is>
      </c>
      <c r="Z409" t="n">
        <v>0.7</v>
      </c>
      <c r="AA409" t="inlineStr">
        <is>
          <t>Valid</t>
        </is>
      </c>
    </row>
    <row r="410">
      <c r="A410" t="inlineStr">
        <is>
          <t>SUP-0041</t>
        </is>
      </c>
      <c r="B410" t="inlineStr">
        <is>
          <t>Logistics Supplier 041</t>
        </is>
      </c>
      <c r="C410" t="inlineStr">
        <is>
          <t>Logistics</t>
        </is>
      </c>
      <c r="D410" t="n">
        <v>2023</v>
      </c>
      <c r="E410" t="n">
        <v>11066549.16</v>
      </c>
      <c r="F410" t="n">
        <v>20057847.38</v>
      </c>
      <c r="G410" t="n">
        <v>2699.0743</v>
      </c>
      <c r="H410" t="n">
        <v>233.7053</v>
      </c>
      <c r="I410" t="n">
        <v>444.1573</v>
      </c>
      <c r="J410" t="n">
        <v>2085.8163</v>
      </c>
      <c r="K410" t="inlineStr"/>
      <c r="L410" t="inlineStr"/>
      <c r="M410" t="inlineStr"/>
      <c r="N410" t="inlineStr"/>
      <c r="O410" t="n">
        <v>2019</v>
      </c>
      <c r="P410" t="n">
        <v>2040</v>
      </c>
      <c r="Q410" t="n">
        <v>0.4616</v>
      </c>
      <c r="R410" t="n">
        <v>591.6386</v>
      </c>
      <c r="S410" t="n">
        <v>0.00022349</v>
      </c>
      <c r="T410" t="n">
        <v>0.00047787</v>
      </c>
      <c r="U410" t="n">
        <v>2699.0743</v>
      </c>
      <c r="V410" t="inlineStr">
        <is>
          <t>Supplier Reported Emissions</t>
        </is>
      </c>
      <c r="W410" t="b">
        <v>0</v>
      </c>
      <c r="X410" t="inlineStr">
        <is>
          <t>High</t>
        </is>
      </c>
      <c r="Y410" t="inlineStr">
        <is>
          <t>None</t>
        </is>
      </c>
      <c r="Z410" t="n">
        <v>0.95</v>
      </c>
      <c r="AA410" t="inlineStr">
        <is>
          <t>Valid</t>
        </is>
      </c>
    </row>
    <row r="411">
      <c r="A411" t="inlineStr">
        <is>
          <t>SUP-0041</t>
        </is>
      </c>
      <c r="B411" t="inlineStr">
        <is>
          <t>Logistics Supplier 041</t>
        </is>
      </c>
      <c r="C411" t="inlineStr">
        <is>
          <t>Logistics</t>
        </is>
      </c>
      <c r="D411" t="n">
        <v>2024</v>
      </c>
      <c r="E411" t="n">
        <v>9757957.09</v>
      </c>
      <c r="F411" t="n">
        <v>23127476.6</v>
      </c>
      <c r="G411" t="n">
        <v>2816.2884</v>
      </c>
      <c r="H411" t="n">
        <v>250.739</v>
      </c>
      <c r="I411" t="inlineStr"/>
      <c r="J411" t="n">
        <v>1858.2658</v>
      </c>
      <c r="K411" t="inlineStr"/>
      <c r="L411" t="inlineStr"/>
      <c r="M411" t="inlineStr"/>
      <c r="N411" t="inlineStr"/>
      <c r="O411" t="n">
        <v>2019</v>
      </c>
      <c r="P411" t="n">
        <v>2040</v>
      </c>
      <c r="Q411" t="n">
        <v>0.4616</v>
      </c>
      <c r="R411" t="n">
        <v>591.6386</v>
      </c>
      <c r="S411" t="n">
        <v>0.00022349</v>
      </c>
      <c r="T411" t="n">
        <v>0.00047787</v>
      </c>
      <c r="U411" t="n">
        <v>2816.2884</v>
      </c>
      <c r="V411" t="inlineStr">
        <is>
          <t>Supplier Reported Emissions</t>
        </is>
      </c>
      <c r="W411" t="b">
        <v>0</v>
      </c>
      <c r="X411" t="inlineStr">
        <is>
          <t>High</t>
        </is>
      </c>
      <c r="Y411" t="inlineStr">
        <is>
          <t>Scope_Emissions</t>
        </is>
      </c>
      <c r="Z411" t="n">
        <v>0.95</v>
      </c>
      <c r="AA411" t="inlineStr">
        <is>
          <t>Valid</t>
        </is>
      </c>
    </row>
    <row r="412">
      <c r="A412" t="inlineStr">
        <is>
          <t>SUP-0042</t>
        </is>
      </c>
      <c r="B412" t="inlineStr">
        <is>
          <t>Chemicals Supplier 042</t>
        </is>
      </c>
      <c r="C412" t="inlineStr">
        <is>
          <t>Chemicals</t>
        </is>
      </c>
      <c r="D412" t="n">
        <v>2015</v>
      </c>
      <c r="E412" t="n">
        <v>9812837.279999999</v>
      </c>
      <c r="F412" t="n">
        <v>46714652.69</v>
      </c>
      <c r="G412" t="n">
        <v>10496.8427</v>
      </c>
      <c r="H412" t="n">
        <v>1432.3635</v>
      </c>
      <c r="I412" t="n">
        <v>1929.6739</v>
      </c>
      <c r="J412" t="inlineStr"/>
      <c r="K412" t="inlineStr"/>
      <c r="L412" t="inlineStr"/>
      <c r="M412" t="inlineStr"/>
      <c r="N412" t="inlineStr"/>
      <c r="O412" t="n">
        <v>2019</v>
      </c>
      <c r="P412" t="n">
        <v>2035</v>
      </c>
      <c r="Q412" t="n">
        <v>0.5229</v>
      </c>
      <c r="R412" t="n">
        <v>506.3191</v>
      </c>
      <c r="S412" t="n">
        <v>0.00100149</v>
      </c>
      <c r="T412" t="n">
        <v>0.00047124</v>
      </c>
      <c r="U412" t="n">
        <v>10496.8427</v>
      </c>
      <c r="V412" t="inlineStr">
        <is>
          <t>Supplier Reported Emissions</t>
        </is>
      </c>
      <c r="W412" t="b">
        <v>0</v>
      </c>
      <c r="X412" t="inlineStr">
        <is>
          <t>High</t>
        </is>
      </c>
      <c r="Y412" t="inlineStr">
        <is>
          <t>Scope_Emissions</t>
        </is>
      </c>
      <c r="Z412" t="n">
        <v>0.95</v>
      </c>
      <c r="AA412" t="inlineStr">
        <is>
          <t>Valid</t>
        </is>
      </c>
    </row>
    <row r="413">
      <c r="A413" t="inlineStr">
        <is>
          <t>SUP-0042</t>
        </is>
      </c>
      <c r="B413" t="inlineStr">
        <is>
          <t>Chemicals Supplier 042</t>
        </is>
      </c>
      <c r="C413" t="inlineStr">
        <is>
          <t>Chemicals</t>
        </is>
      </c>
      <c r="D413" t="n">
        <v>2016</v>
      </c>
      <c r="E413" t="n">
        <v>9818197.73</v>
      </c>
      <c r="F413" t="n">
        <v>48963588.51</v>
      </c>
      <c r="G413" t="n">
        <v>8446.5216</v>
      </c>
      <c r="H413" t="n">
        <v>1688.071</v>
      </c>
      <c r="I413" t="n">
        <v>1620.4407</v>
      </c>
      <c r="J413" t="n">
        <v>5995.7426</v>
      </c>
      <c r="K413" t="inlineStr"/>
      <c r="L413" t="inlineStr"/>
      <c r="M413" t="inlineStr"/>
      <c r="N413" t="inlineStr"/>
      <c r="O413" t="n">
        <v>2019</v>
      </c>
      <c r="P413" t="n">
        <v>2035</v>
      </c>
      <c r="Q413" t="n">
        <v>0.5229</v>
      </c>
      <c r="R413" t="n">
        <v>506.3191</v>
      </c>
      <c r="S413" t="n">
        <v>0.00100149</v>
      </c>
      <c r="T413" t="n">
        <v>0.00047124</v>
      </c>
      <c r="U413" t="n">
        <v>8446.5216</v>
      </c>
      <c r="V413" t="inlineStr">
        <is>
          <t>Supplier Reported Emissions</t>
        </is>
      </c>
      <c r="W413" t="b">
        <v>0</v>
      </c>
      <c r="X413" t="inlineStr">
        <is>
          <t>High</t>
        </is>
      </c>
      <c r="Y413" t="inlineStr">
        <is>
          <t>None</t>
        </is>
      </c>
      <c r="Z413" t="n">
        <v>0.95</v>
      </c>
      <c r="AA413" t="inlineStr">
        <is>
          <t>Valid</t>
        </is>
      </c>
    </row>
    <row r="414">
      <c r="A414" t="inlineStr">
        <is>
          <t>SUP-0042</t>
        </is>
      </c>
      <c r="B414" t="inlineStr">
        <is>
          <t>Chemicals Supplier 042</t>
        </is>
      </c>
      <c r="C414" t="inlineStr">
        <is>
          <t>Chemicals</t>
        </is>
      </c>
      <c r="D414" t="n">
        <v>2017</v>
      </c>
      <c r="E414" t="n">
        <v>9016438.6</v>
      </c>
      <c r="F414" t="n">
        <v>51682329.05</v>
      </c>
      <c r="G414" t="n">
        <v>9698.389499999999</v>
      </c>
      <c r="H414" t="inlineStr"/>
      <c r="I414" t="inlineStr"/>
      <c r="J414" t="n">
        <v>5462.9497</v>
      </c>
      <c r="K414" t="inlineStr"/>
      <c r="L414" t="inlineStr"/>
      <c r="M414" t="inlineStr"/>
      <c r="N414" t="inlineStr"/>
      <c r="O414" t="n">
        <v>2019</v>
      </c>
      <c r="P414" t="n">
        <v>2035</v>
      </c>
      <c r="Q414" t="n">
        <v>0.5229</v>
      </c>
      <c r="R414" t="n">
        <v>506.3191</v>
      </c>
      <c r="S414" t="n">
        <v>0.00100149</v>
      </c>
      <c r="T414" t="n">
        <v>0.00047124</v>
      </c>
      <c r="U414" t="n">
        <v>9698.389499999999</v>
      </c>
      <c r="V414" t="inlineStr">
        <is>
          <t>Supplier Reported Emissions</t>
        </is>
      </c>
      <c r="W414" t="b">
        <v>0</v>
      </c>
      <c r="X414" t="inlineStr">
        <is>
          <t>High</t>
        </is>
      </c>
      <c r="Y414" t="inlineStr">
        <is>
          <t>Scope_Emissions</t>
        </is>
      </c>
      <c r="Z414" t="n">
        <v>0.95</v>
      </c>
      <c r="AA414" t="inlineStr">
        <is>
          <t>Valid</t>
        </is>
      </c>
    </row>
    <row r="415">
      <c r="A415" t="inlineStr">
        <is>
          <t>SUP-0042</t>
        </is>
      </c>
      <c r="B415" t="inlineStr">
        <is>
          <t>Chemicals Supplier 042</t>
        </is>
      </c>
      <c r="C415" t="inlineStr">
        <is>
          <t>Chemicals</t>
        </is>
      </c>
      <c r="D415" t="n">
        <v>2018</v>
      </c>
      <c r="E415" t="n">
        <v>10300152.59</v>
      </c>
      <c r="F415" t="n">
        <v>38785359.54</v>
      </c>
      <c r="G415" t="inlineStr"/>
      <c r="H415" t="n">
        <v>1882.1846</v>
      </c>
      <c r="I415" t="n">
        <v>817.9408</v>
      </c>
      <c r="J415" t="n">
        <v>9014.026900000001</v>
      </c>
      <c r="K415" t="inlineStr"/>
      <c r="L415" t="inlineStr"/>
      <c r="M415" t="inlineStr"/>
      <c r="N415" t="inlineStr"/>
      <c r="O415" t="n">
        <v>2019</v>
      </c>
      <c r="P415" t="n">
        <v>2035</v>
      </c>
      <c r="Q415" t="n">
        <v>0.5229</v>
      </c>
      <c r="R415" t="n">
        <v>506.3191</v>
      </c>
      <c r="S415" t="n">
        <v>0.00100149</v>
      </c>
      <c r="T415" t="n">
        <v>0.00047124</v>
      </c>
      <c r="U415" t="n">
        <v>11714.1523</v>
      </c>
      <c r="V415" t="inlineStr">
        <is>
          <t>Scope 1 + Scope 2 + Scope 3</t>
        </is>
      </c>
      <c r="W415" t="b">
        <v>1</v>
      </c>
      <c r="X415" t="inlineStr">
        <is>
          <t>High</t>
        </is>
      </c>
      <c r="Y415" t="inlineStr">
        <is>
          <t>Reported_Emissions</t>
        </is>
      </c>
      <c r="Z415" t="n">
        <v>0.88</v>
      </c>
      <c r="AA415" t="inlineStr">
        <is>
          <t>Valid</t>
        </is>
      </c>
    </row>
    <row r="416">
      <c r="A416" t="inlineStr">
        <is>
          <t>SUP-0042</t>
        </is>
      </c>
      <c r="B416" t="inlineStr">
        <is>
          <t>Chemicals Supplier 042</t>
        </is>
      </c>
      <c r="C416" t="inlineStr">
        <is>
          <t>Chemicals</t>
        </is>
      </c>
      <c r="D416" t="n">
        <v>2019</v>
      </c>
      <c r="E416" t="n">
        <v>9444385.17</v>
      </c>
      <c r="F416" t="n">
        <v>48174258.18</v>
      </c>
      <c r="G416" t="n">
        <v>9069.3452</v>
      </c>
      <c r="H416" t="n">
        <v>883.8723</v>
      </c>
      <c r="I416" t="n">
        <v>519.2125</v>
      </c>
      <c r="J416" t="n">
        <v>7296.9039</v>
      </c>
      <c r="K416" t="inlineStr"/>
      <c r="L416" t="inlineStr"/>
      <c r="M416" t="inlineStr"/>
      <c r="N416" t="inlineStr"/>
      <c r="O416" t="n">
        <v>2019</v>
      </c>
      <c r="P416" t="n">
        <v>2035</v>
      </c>
      <c r="Q416" t="n">
        <v>0.5229</v>
      </c>
      <c r="R416" t="n">
        <v>506.3191</v>
      </c>
      <c r="S416" t="n">
        <v>0.00100149</v>
      </c>
      <c r="T416" t="n">
        <v>0.00047124</v>
      </c>
      <c r="U416" t="n">
        <v>9069.3452</v>
      </c>
      <c r="V416" t="inlineStr">
        <is>
          <t>Supplier Reported Emissions</t>
        </is>
      </c>
      <c r="W416" t="b">
        <v>0</v>
      </c>
      <c r="X416" t="inlineStr">
        <is>
          <t>High</t>
        </is>
      </c>
      <c r="Y416" t="inlineStr">
        <is>
          <t>None</t>
        </is>
      </c>
      <c r="Z416" t="n">
        <v>0.95</v>
      </c>
      <c r="AA416" t="inlineStr">
        <is>
          <t>Valid</t>
        </is>
      </c>
    </row>
    <row r="417">
      <c r="A417" t="inlineStr">
        <is>
          <t>SUP-0042</t>
        </is>
      </c>
      <c r="B417" t="inlineStr">
        <is>
          <t>Chemicals Supplier 042</t>
        </is>
      </c>
      <c r="C417" t="inlineStr">
        <is>
          <t>Chemicals</t>
        </is>
      </c>
      <c r="D417" t="n">
        <v>2020</v>
      </c>
      <c r="E417" t="inlineStr"/>
      <c r="F417" t="n">
        <v>36745723.4</v>
      </c>
      <c r="G417" t="n">
        <v>7525.0034</v>
      </c>
      <c r="H417" t="n">
        <v>979.4857</v>
      </c>
      <c r="I417" t="inlineStr"/>
      <c r="J417" t="n">
        <v>4692.8995</v>
      </c>
      <c r="K417" t="inlineStr"/>
      <c r="L417" t="inlineStr"/>
      <c r="M417" t="inlineStr"/>
      <c r="N417" t="inlineStr"/>
      <c r="O417" t="n">
        <v>2019</v>
      </c>
      <c r="P417" t="n">
        <v>2035</v>
      </c>
      <c r="Q417" t="n">
        <v>0.5229</v>
      </c>
      <c r="R417" t="n">
        <v>506.3191</v>
      </c>
      <c r="S417" t="n">
        <v>0.00100149</v>
      </c>
      <c r="T417" t="n">
        <v>0.00047124</v>
      </c>
      <c r="U417" t="n">
        <v>7525.0034</v>
      </c>
      <c r="V417" t="inlineStr">
        <is>
          <t>Supplier Reported Emissions</t>
        </is>
      </c>
      <c r="W417" t="b">
        <v>0</v>
      </c>
      <c r="X417" t="inlineStr">
        <is>
          <t>High</t>
        </is>
      </c>
      <c r="Y417" t="inlineStr">
        <is>
          <t>Gross_Spend; Scope_Emissions</t>
        </is>
      </c>
      <c r="Z417" t="n">
        <v>0.95</v>
      </c>
      <c r="AA417" t="inlineStr">
        <is>
          <t>Valid</t>
        </is>
      </c>
    </row>
    <row r="418">
      <c r="A418" t="inlineStr">
        <is>
          <t>SUP-0042</t>
        </is>
      </c>
      <c r="B418" t="inlineStr">
        <is>
          <t>Chemicals Supplier 042</t>
        </is>
      </c>
      <c r="C418" t="inlineStr">
        <is>
          <t>Chemicals</t>
        </is>
      </c>
      <c r="D418" t="n">
        <v>2021</v>
      </c>
      <c r="E418" t="n">
        <v>9355808.310000001</v>
      </c>
      <c r="F418" t="n">
        <v>49916783.29</v>
      </c>
      <c r="G418" t="inlineStr"/>
      <c r="H418" t="n">
        <v>978.9519</v>
      </c>
      <c r="I418" t="n">
        <v>1467.5397</v>
      </c>
      <c r="J418" t="n">
        <v>4803.5132</v>
      </c>
      <c r="K418" t="inlineStr"/>
      <c r="L418" t="inlineStr"/>
      <c r="M418" t="inlineStr"/>
      <c r="N418" t="inlineStr"/>
      <c r="O418" t="n">
        <v>2019</v>
      </c>
      <c r="P418" t="n">
        <v>2035</v>
      </c>
      <c r="Q418" t="n">
        <v>0.5229</v>
      </c>
      <c r="R418" t="n">
        <v>506.3191</v>
      </c>
      <c r="S418" t="n">
        <v>0.00100149</v>
      </c>
      <c r="T418" t="n">
        <v>0.00047124</v>
      </c>
      <c r="U418" t="n">
        <v>7250.0048</v>
      </c>
      <c r="V418" t="inlineStr">
        <is>
          <t>Scope 1 + Scope 2 + Scope 3</t>
        </is>
      </c>
      <c r="W418" t="b">
        <v>1</v>
      </c>
      <c r="X418" t="inlineStr">
        <is>
          <t>High</t>
        </is>
      </c>
      <c r="Y418" t="inlineStr">
        <is>
          <t>Reported_Emissions</t>
        </is>
      </c>
      <c r="Z418" t="n">
        <v>0.88</v>
      </c>
      <c r="AA418" t="inlineStr">
        <is>
          <t>Valid</t>
        </is>
      </c>
    </row>
    <row r="419">
      <c r="A419" t="inlineStr">
        <is>
          <t>SUP-0042</t>
        </is>
      </c>
      <c r="B419" t="inlineStr">
        <is>
          <t>Chemicals Supplier 042</t>
        </is>
      </c>
      <c r="C419" t="inlineStr">
        <is>
          <t>Chemicals</t>
        </is>
      </c>
      <c r="D419" t="n">
        <v>2022</v>
      </c>
      <c r="E419" t="n">
        <v>9513189.890000001</v>
      </c>
      <c r="F419" t="inlineStr"/>
      <c r="G419" t="n">
        <v>8479.340399999999</v>
      </c>
      <c r="H419" t="n">
        <v>1234.3906</v>
      </c>
      <c r="I419" t="n">
        <v>1587.9717</v>
      </c>
      <c r="J419" t="n">
        <v>5832.1756</v>
      </c>
      <c r="K419" t="inlineStr"/>
      <c r="L419" t="inlineStr"/>
      <c r="M419" t="inlineStr"/>
      <c r="N419" t="inlineStr"/>
      <c r="O419" t="n">
        <v>2019</v>
      </c>
      <c r="P419" t="n">
        <v>2035</v>
      </c>
      <c r="Q419" t="n">
        <v>0.5229</v>
      </c>
      <c r="R419" t="n">
        <v>506.3191</v>
      </c>
      <c r="S419" t="n">
        <v>0.00100149</v>
      </c>
      <c r="T419" t="n">
        <v>0.00047124</v>
      </c>
      <c r="U419" t="n">
        <v>8479.340399999999</v>
      </c>
      <c r="V419" t="inlineStr">
        <is>
          <t>Supplier Reported Emissions</t>
        </is>
      </c>
      <c r="W419" t="b">
        <v>0</v>
      </c>
      <c r="X419" t="inlineStr">
        <is>
          <t>High</t>
        </is>
      </c>
      <c r="Y419" t="inlineStr">
        <is>
          <t>Revenue</t>
        </is>
      </c>
      <c r="Z419" t="n">
        <v>0.95</v>
      </c>
      <c r="AA419" t="inlineStr">
        <is>
          <t>Valid</t>
        </is>
      </c>
    </row>
    <row r="420">
      <c r="A420" t="inlineStr">
        <is>
          <t>SUP-0042</t>
        </is>
      </c>
      <c r="B420" t="inlineStr">
        <is>
          <t>Chemicals Supplier 042</t>
        </is>
      </c>
      <c r="C420" t="inlineStr">
        <is>
          <t>Chemicals</t>
        </is>
      </c>
      <c r="D420" t="n">
        <v>2023</v>
      </c>
      <c r="E420" t="n">
        <v>10168093.52</v>
      </c>
      <c r="F420" t="n">
        <v>54534938.15</v>
      </c>
      <c r="G420" t="n">
        <v>7958.8098</v>
      </c>
      <c r="H420" t="n">
        <v>1604.6562</v>
      </c>
      <c r="I420" t="n">
        <v>984.7532</v>
      </c>
      <c r="J420" t="n">
        <v>4875.7139</v>
      </c>
      <c r="K420" t="inlineStr"/>
      <c r="L420" t="inlineStr"/>
      <c r="M420" t="inlineStr"/>
      <c r="N420" t="inlineStr"/>
      <c r="O420" t="n">
        <v>2019</v>
      </c>
      <c r="P420" t="n">
        <v>2035</v>
      </c>
      <c r="Q420" t="n">
        <v>0.5229</v>
      </c>
      <c r="R420" t="n">
        <v>506.3191</v>
      </c>
      <c r="S420" t="n">
        <v>0.00100149</v>
      </c>
      <c r="T420" t="n">
        <v>0.00047124</v>
      </c>
      <c r="U420" t="n">
        <v>7958.8098</v>
      </c>
      <c r="V420" t="inlineStr">
        <is>
          <t>Supplier Reported Emissions</t>
        </is>
      </c>
      <c r="W420" t="b">
        <v>0</v>
      </c>
      <c r="X420" t="inlineStr">
        <is>
          <t>High</t>
        </is>
      </c>
      <c r="Y420" t="inlineStr">
        <is>
          <t>None</t>
        </is>
      </c>
      <c r="Z420" t="n">
        <v>0.95</v>
      </c>
      <c r="AA420" t="inlineStr">
        <is>
          <t>Valid</t>
        </is>
      </c>
    </row>
    <row r="421">
      <c r="A421" t="inlineStr">
        <is>
          <t>SUP-0042</t>
        </is>
      </c>
      <c r="B421" t="inlineStr">
        <is>
          <t>Chemicals Supplier 042</t>
        </is>
      </c>
      <c r="C421" t="inlineStr">
        <is>
          <t>Chemicals</t>
        </is>
      </c>
      <c r="D421" t="n">
        <v>2024</v>
      </c>
      <c r="E421" t="n">
        <v>10979514.65</v>
      </c>
      <c r="F421" t="n">
        <v>40348544.4</v>
      </c>
      <c r="G421" t="inlineStr"/>
      <c r="H421" t="inlineStr"/>
      <c r="I421" t="n">
        <v>1844.0681</v>
      </c>
      <c r="J421" t="n">
        <v>6628.6754</v>
      </c>
      <c r="K421" t="inlineStr"/>
      <c r="L421" t="inlineStr"/>
      <c r="M421" t="inlineStr"/>
      <c r="N421" t="inlineStr"/>
      <c r="O421" t="n">
        <v>2019</v>
      </c>
      <c r="P421" t="n">
        <v>2035</v>
      </c>
      <c r="Q421" t="n">
        <v>0.5229</v>
      </c>
      <c r="R421" t="n">
        <v>506.3191</v>
      </c>
      <c r="S421" t="n">
        <v>0.00100149</v>
      </c>
      <c r="T421" t="n">
        <v>0.00047124</v>
      </c>
      <c r="U421" t="n">
        <v>10995.8741</v>
      </c>
      <c r="V421" t="inlineStr">
        <is>
          <t>Spend-Based Estimate</t>
        </is>
      </c>
      <c r="W421" t="b">
        <v>1</v>
      </c>
      <c r="X421" t="inlineStr">
        <is>
          <t>Medium</t>
        </is>
      </c>
      <c r="Y421" t="inlineStr">
        <is>
          <t>Reported_Emissions; Scope_Emissions</t>
        </is>
      </c>
      <c r="Z421" t="n">
        <v>0.7</v>
      </c>
      <c r="AA421" t="inlineStr">
        <is>
          <t>Valid</t>
        </is>
      </c>
    </row>
    <row r="422">
      <c r="A422" t="inlineStr">
        <is>
          <t>SUP-0043</t>
        </is>
      </c>
      <c r="B422" t="inlineStr">
        <is>
          <t>Logistics Supplier 043</t>
        </is>
      </c>
      <c r="C422" t="inlineStr">
        <is>
          <t>Logistics</t>
        </is>
      </c>
      <c r="D422" t="n">
        <v>2015</v>
      </c>
      <c r="E422" t="n">
        <v>944194.74</v>
      </c>
      <c r="F422" t="n">
        <v>6711186.57</v>
      </c>
      <c r="G422" t="n">
        <v>223.8906</v>
      </c>
      <c r="H422" t="n">
        <v>45.3872</v>
      </c>
      <c r="I422" t="n">
        <v>41.9623</v>
      </c>
      <c r="J422" t="inlineStr"/>
      <c r="K422" t="n">
        <v>2018</v>
      </c>
      <c r="L422" t="n">
        <v>2035</v>
      </c>
      <c r="M422" t="n">
        <v>0.543</v>
      </c>
      <c r="N422" t="n">
        <v>0.1921</v>
      </c>
      <c r="O422" t="n">
        <v>2019</v>
      </c>
      <c r="P422" t="n">
        <v>2040</v>
      </c>
      <c r="Q422" t="n">
        <v>0.4616</v>
      </c>
      <c r="R422" t="n">
        <v>591.6386</v>
      </c>
      <c r="S422" t="n">
        <v>0.00022349</v>
      </c>
      <c r="T422" t="n">
        <v>0.00047787</v>
      </c>
      <c r="U422" t="n">
        <v>223.8906</v>
      </c>
      <c r="V422" t="inlineStr">
        <is>
          <t>Supplier Reported Emissions</t>
        </is>
      </c>
      <c r="W422" t="b">
        <v>0</v>
      </c>
      <c r="X422" t="inlineStr">
        <is>
          <t>High</t>
        </is>
      </c>
      <c r="Y422" t="inlineStr">
        <is>
          <t>Scope_Emissions</t>
        </is>
      </c>
      <c r="Z422" t="n">
        <v>0.95</v>
      </c>
      <c r="AA422" t="inlineStr">
        <is>
          <t>Valid</t>
        </is>
      </c>
    </row>
    <row r="423">
      <c r="A423" t="inlineStr">
        <is>
          <t>SUP-0043</t>
        </is>
      </c>
      <c r="B423" t="inlineStr">
        <is>
          <t>Logistics Supplier 043</t>
        </is>
      </c>
      <c r="C423" t="inlineStr">
        <is>
          <t>Logistics</t>
        </is>
      </c>
      <c r="D423" t="n">
        <v>2016</v>
      </c>
      <c r="E423" t="n">
        <v>1017773.92</v>
      </c>
      <c r="F423" t="n">
        <v>6618429.49</v>
      </c>
      <c r="G423" t="inlineStr"/>
      <c r="H423" t="n">
        <v>35.7938</v>
      </c>
      <c r="I423" t="n">
        <v>37.3655</v>
      </c>
      <c r="J423" t="n">
        <v>132.612</v>
      </c>
      <c r="K423" t="n">
        <v>2018</v>
      </c>
      <c r="L423" t="n">
        <v>2035</v>
      </c>
      <c r="M423" t="n">
        <v>0.543</v>
      </c>
      <c r="N423" t="n">
        <v>0.1921</v>
      </c>
      <c r="O423" t="n">
        <v>2019</v>
      </c>
      <c r="P423" t="n">
        <v>2040</v>
      </c>
      <c r="Q423" t="n">
        <v>0.4616</v>
      </c>
      <c r="R423" t="n">
        <v>591.6386</v>
      </c>
      <c r="S423" t="n">
        <v>0.00022349</v>
      </c>
      <c r="T423" t="n">
        <v>0.00047787</v>
      </c>
      <c r="U423" t="n">
        <v>205.7713</v>
      </c>
      <c r="V423" t="inlineStr">
        <is>
          <t>Scope 1 + Scope 2 + Scope 3</t>
        </is>
      </c>
      <c r="W423" t="b">
        <v>1</v>
      </c>
      <c r="X423" t="inlineStr">
        <is>
          <t>High</t>
        </is>
      </c>
      <c r="Y423" t="inlineStr">
        <is>
          <t>Reported_Emissions</t>
        </is>
      </c>
      <c r="Z423" t="n">
        <v>0.88</v>
      </c>
      <c r="AA423" t="inlineStr">
        <is>
          <t>Valid</t>
        </is>
      </c>
    </row>
    <row r="424">
      <c r="A424" t="inlineStr">
        <is>
          <t>SUP-0043</t>
        </is>
      </c>
      <c r="B424" t="inlineStr">
        <is>
          <t>Logistics Supplier 043</t>
        </is>
      </c>
      <c r="C424" t="inlineStr">
        <is>
          <t>Logistics</t>
        </is>
      </c>
      <c r="D424" t="n">
        <v>2017</v>
      </c>
      <c r="E424" t="n">
        <v>1004677.24</v>
      </c>
      <c r="F424" t="n">
        <v>6387980.25</v>
      </c>
      <c r="G424" t="n">
        <v>137.7011</v>
      </c>
      <c r="H424" t="n">
        <v>31.4779</v>
      </c>
      <c r="I424" t="n">
        <v>19.7482</v>
      </c>
      <c r="J424" t="inlineStr"/>
      <c r="K424" t="n">
        <v>2018</v>
      </c>
      <c r="L424" t="n">
        <v>2035</v>
      </c>
      <c r="M424" t="n">
        <v>0.543</v>
      </c>
      <c r="N424" t="n">
        <v>0.1921</v>
      </c>
      <c r="O424" t="n">
        <v>2019</v>
      </c>
      <c r="P424" t="n">
        <v>2040</v>
      </c>
      <c r="Q424" t="n">
        <v>0.4616</v>
      </c>
      <c r="R424" t="n">
        <v>591.6386</v>
      </c>
      <c r="S424" t="n">
        <v>0.00022349</v>
      </c>
      <c r="T424" t="n">
        <v>0.00047787</v>
      </c>
      <c r="U424" t="n">
        <v>137.7011</v>
      </c>
      <c r="V424" t="inlineStr">
        <is>
          <t>Supplier Reported Emissions</t>
        </is>
      </c>
      <c r="W424" t="b">
        <v>0</v>
      </c>
      <c r="X424" t="inlineStr">
        <is>
          <t>High</t>
        </is>
      </c>
      <c r="Y424" t="inlineStr">
        <is>
          <t>Scope_Emissions</t>
        </is>
      </c>
      <c r="Z424" t="n">
        <v>0.95</v>
      </c>
      <c r="AA424" t="inlineStr">
        <is>
          <t>Valid</t>
        </is>
      </c>
    </row>
    <row r="425">
      <c r="A425" t="inlineStr">
        <is>
          <t>SUP-0043</t>
        </is>
      </c>
      <c r="B425" t="inlineStr">
        <is>
          <t>Logistics Supplier 043</t>
        </is>
      </c>
      <c r="C425" t="inlineStr">
        <is>
          <t>Logistics</t>
        </is>
      </c>
      <c r="D425" t="n">
        <v>2018</v>
      </c>
      <c r="E425" t="n">
        <v>918751.67</v>
      </c>
      <c r="F425" t="n">
        <v>7186217.23</v>
      </c>
      <c r="G425" t="n">
        <v>158.9343</v>
      </c>
      <c r="H425" t="n">
        <v>36.288</v>
      </c>
      <c r="I425" t="n">
        <v>12.0185</v>
      </c>
      <c r="J425" t="inlineStr"/>
      <c r="K425" t="n">
        <v>2018</v>
      </c>
      <c r="L425" t="n">
        <v>2035</v>
      </c>
      <c r="M425" t="n">
        <v>0.543</v>
      </c>
      <c r="N425" t="n">
        <v>0.1921</v>
      </c>
      <c r="O425" t="n">
        <v>2019</v>
      </c>
      <c r="P425" t="n">
        <v>2040</v>
      </c>
      <c r="Q425" t="n">
        <v>0.4616</v>
      </c>
      <c r="R425" t="n">
        <v>591.6386</v>
      </c>
      <c r="S425" t="n">
        <v>0.00022349</v>
      </c>
      <c r="T425" t="n">
        <v>0.00047787</v>
      </c>
      <c r="U425" t="n">
        <v>158.9343</v>
      </c>
      <c r="V425" t="inlineStr">
        <is>
          <t>Supplier Reported Emissions</t>
        </is>
      </c>
      <c r="W425" t="b">
        <v>0</v>
      </c>
      <c r="X425" t="inlineStr">
        <is>
          <t>High</t>
        </is>
      </c>
      <c r="Y425" t="inlineStr">
        <is>
          <t>Scope_Emissions</t>
        </is>
      </c>
      <c r="Z425" t="n">
        <v>0.95</v>
      </c>
      <c r="AA425" t="inlineStr">
        <is>
          <t>Valid</t>
        </is>
      </c>
    </row>
    <row r="426">
      <c r="A426" t="inlineStr">
        <is>
          <t>SUP-0043</t>
        </is>
      </c>
      <c r="B426" t="inlineStr">
        <is>
          <t>Logistics Supplier 043</t>
        </is>
      </c>
      <c r="C426" t="inlineStr">
        <is>
          <t>Logistics</t>
        </is>
      </c>
      <c r="D426" t="n">
        <v>2019</v>
      </c>
      <c r="E426" t="n">
        <v>1175094.85</v>
      </c>
      <c r="F426" t="n">
        <v>9233268.949999999</v>
      </c>
      <c r="G426" t="n">
        <v>191.9903</v>
      </c>
      <c r="H426" t="n">
        <v>25.0381</v>
      </c>
      <c r="I426" t="n">
        <v>20.5427</v>
      </c>
      <c r="J426" t="inlineStr"/>
      <c r="K426" t="n">
        <v>2018</v>
      </c>
      <c r="L426" t="n">
        <v>2035</v>
      </c>
      <c r="M426" t="n">
        <v>0.543</v>
      </c>
      <c r="N426" t="n">
        <v>0.1921</v>
      </c>
      <c r="O426" t="n">
        <v>2019</v>
      </c>
      <c r="P426" t="n">
        <v>2040</v>
      </c>
      <c r="Q426" t="n">
        <v>0.4616</v>
      </c>
      <c r="R426" t="n">
        <v>591.6386</v>
      </c>
      <c r="S426" t="n">
        <v>0.00022349</v>
      </c>
      <c r="T426" t="n">
        <v>0.00047787</v>
      </c>
      <c r="U426" t="n">
        <v>191.9903</v>
      </c>
      <c r="V426" t="inlineStr">
        <is>
          <t>Supplier Reported Emissions</t>
        </is>
      </c>
      <c r="W426" t="b">
        <v>0</v>
      </c>
      <c r="X426" t="inlineStr">
        <is>
          <t>High</t>
        </is>
      </c>
      <c r="Y426" t="inlineStr">
        <is>
          <t>Scope_Emissions</t>
        </is>
      </c>
      <c r="Z426" t="n">
        <v>0.95</v>
      </c>
      <c r="AA426" t="inlineStr">
        <is>
          <t>Valid</t>
        </is>
      </c>
    </row>
    <row r="427">
      <c r="A427" t="inlineStr">
        <is>
          <t>SUP-0043</t>
        </is>
      </c>
      <c r="B427" t="inlineStr">
        <is>
          <t>Logistics Supplier 043</t>
        </is>
      </c>
      <c r="C427" t="inlineStr">
        <is>
          <t>Logistics</t>
        </is>
      </c>
      <c r="D427" t="n">
        <v>2020</v>
      </c>
      <c r="E427" t="n">
        <v>1073098.1</v>
      </c>
      <c r="F427" t="n">
        <v>9174248.74</v>
      </c>
      <c r="G427" t="n">
        <v>163.3993</v>
      </c>
      <c r="H427" t="n">
        <v>17.5134</v>
      </c>
      <c r="I427" t="n">
        <v>25.4962</v>
      </c>
      <c r="J427" t="inlineStr"/>
      <c r="K427" t="n">
        <v>2018</v>
      </c>
      <c r="L427" t="n">
        <v>2035</v>
      </c>
      <c r="M427" t="n">
        <v>0.543</v>
      </c>
      <c r="N427" t="n">
        <v>0.1921</v>
      </c>
      <c r="O427" t="n">
        <v>2019</v>
      </c>
      <c r="P427" t="n">
        <v>2040</v>
      </c>
      <c r="Q427" t="n">
        <v>0.4616</v>
      </c>
      <c r="R427" t="n">
        <v>591.6386</v>
      </c>
      <c r="S427" t="n">
        <v>0.00022349</v>
      </c>
      <c r="T427" t="n">
        <v>0.00047787</v>
      </c>
      <c r="U427" t="n">
        <v>163.3993</v>
      </c>
      <c r="V427" t="inlineStr">
        <is>
          <t>Supplier Reported Emissions</t>
        </is>
      </c>
      <c r="W427" t="b">
        <v>0</v>
      </c>
      <c r="X427" t="inlineStr">
        <is>
          <t>High</t>
        </is>
      </c>
      <c r="Y427" t="inlineStr">
        <is>
          <t>Scope_Emissions</t>
        </is>
      </c>
      <c r="Z427" t="n">
        <v>0.95</v>
      </c>
      <c r="AA427" t="inlineStr">
        <is>
          <t>Valid</t>
        </is>
      </c>
    </row>
    <row r="428">
      <c r="A428" t="inlineStr">
        <is>
          <t>SUP-0043</t>
        </is>
      </c>
      <c r="B428" t="inlineStr">
        <is>
          <t>Logistics Supplier 043</t>
        </is>
      </c>
      <c r="C428" t="inlineStr">
        <is>
          <t>Logistics</t>
        </is>
      </c>
      <c r="D428" t="n">
        <v>2021</v>
      </c>
      <c r="E428" t="n">
        <v>1339386.98</v>
      </c>
      <c r="F428" t="n">
        <v>10491730.86</v>
      </c>
      <c r="G428" t="inlineStr"/>
      <c r="H428" t="n">
        <v>42.6352</v>
      </c>
      <c r="I428" t="n">
        <v>31.8274</v>
      </c>
      <c r="J428" t="n">
        <v>138.2415</v>
      </c>
      <c r="K428" t="n">
        <v>2018</v>
      </c>
      <c r="L428" t="n">
        <v>2035</v>
      </c>
      <c r="M428" t="n">
        <v>0.543</v>
      </c>
      <c r="N428" t="n">
        <v>0.1921</v>
      </c>
      <c r="O428" t="n">
        <v>2019</v>
      </c>
      <c r="P428" t="n">
        <v>2040</v>
      </c>
      <c r="Q428" t="n">
        <v>0.4616</v>
      </c>
      <c r="R428" t="n">
        <v>591.6386</v>
      </c>
      <c r="S428" t="n">
        <v>0.00022349</v>
      </c>
      <c r="T428" t="n">
        <v>0.00047787</v>
      </c>
      <c r="U428" t="n">
        <v>212.7041</v>
      </c>
      <c r="V428" t="inlineStr">
        <is>
          <t>Scope 1 + Scope 2 + Scope 3</t>
        </is>
      </c>
      <c r="W428" t="b">
        <v>1</v>
      </c>
      <c r="X428" t="inlineStr">
        <is>
          <t>High</t>
        </is>
      </c>
      <c r="Y428" t="inlineStr">
        <is>
          <t>Reported_Emissions</t>
        </is>
      </c>
      <c r="Z428" t="n">
        <v>0.88</v>
      </c>
      <c r="AA428" t="inlineStr">
        <is>
          <t>Valid</t>
        </is>
      </c>
    </row>
    <row r="429">
      <c r="A429" t="inlineStr">
        <is>
          <t>SUP-0043</t>
        </is>
      </c>
      <c r="B429" t="inlineStr">
        <is>
          <t>Logistics Supplier 043</t>
        </is>
      </c>
      <c r="C429" t="inlineStr">
        <is>
          <t>Logistics</t>
        </is>
      </c>
      <c r="D429" t="n">
        <v>2022</v>
      </c>
      <c r="E429" t="n">
        <v>1055165.49</v>
      </c>
      <c r="F429" t="n">
        <v>11613402.56</v>
      </c>
      <c r="G429" t="n">
        <v>164.5807</v>
      </c>
      <c r="H429" t="n">
        <v>41.679</v>
      </c>
      <c r="I429" t="n">
        <v>15.6876</v>
      </c>
      <c r="J429" t="inlineStr"/>
      <c r="K429" t="n">
        <v>2018</v>
      </c>
      <c r="L429" t="n">
        <v>2035</v>
      </c>
      <c r="M429" t="n">
        <v>0.543</v>
      </c>
      <c r="N429" t="n">
        <v>0.1921</v>
      </c>
      <c r="O429" t="n">
        <v>2019</v>
      </c>
      <c r="P429" t="n">
        <v>2040</v>
      </c>
      <c r="Q429" t="n">
        <v>0.4616</v>
      </c>
      <c r="R429" t="n">
        <v>591.6386</v>
      </c>
      <c r="S429" t="n">
        <v>0.00022349</v>
      </c>
      <c r="T429" t="n">
        <v>0.00047787</v>
      </c>
      <c r="U429" t="n">
        <v>164.5807</v>
      </c>
      <c r="V429" t="inlineStr">
        <is>
          <t>Supplier Reported Emissions</t>
        </is>
      </c>
      <c r="W429" t="b">
        <v>0</v>
      </c>
      <c r="X429" t="inlineStr">
        <is>
          <t>High</t>
        </is>
      </c>
      <c r="Y429" t="inlineStr">
        <is>
          <t>Scope_Emissions</t>
        </is>
      </c>
      <c r="Z429" t="n">
        <v>0.95</v>
      </c>
      <c r="AA429" t="inlineStr">
        <is>
          <t>Valid</t>
        </is>
      </c>
    </row>
    <row r="430">
      <c r="A430" t="inlineStr">
        <is>
          <t>SUP-0043</t>
        </is>
      </c>
      <c r="B430" t="inlineStr">
        <is>
          <t>Logistics Supplier 043</t>
        </is>
      </c>
      <c r="C430" t="inlineStr">
        <is>
          <t>Logistics</t>
        </is>
      </c>
      <c r="D430" t="n">
        <v>2023</v>
      </c>
      <c r="E430" t="n">
        <v>1485363.67</v>
      </c>
      <c r="F430" t="n">
        <v>9184008.220000001</v>
      </c>
      <c r="G430" t="inlineStr"/>
      <c r="H430" t="n">
        <v>51.388</v>
      </c>
      <c r="I430" t="n">
        <v>18.0553</v>
      </c>
      <c r="J430" t="n">
        <v>125.7545</v>
      </c>
      <c r="K430" t="n">
        <v>2018</v>
      </c>
      <c r="L430" t="n">
        <v>2035</v>
      </c>
      <c r="M430" t="n">
        <v>0.543</v>
      </c>
      <c r="N430" t="n">
        <v>0.1921</v>
      </c>
      <c r="O430" t="n">
        <v>2019</v>
      </c>
      <c r="P430" t="n">
        <v>2040</v>
      </c>
      <c r="Q430" t="n">
        <v>0.4616</v>
      </c>
      <c r="R430" t="n">
        <v>591.6386</v>
      </c>
      <c r="S430" t="n">
        <v>0.00022349</v>
      </c>
      <c r="T430" t="n">
        <v>0.00047787</v>
      </c>
      <c r="U430" t="n">
        <v>195.1978</v>
      </c>
      <c r="V430" t="inlineStr">
        <is>
          <t>Scope 1 + Scope 2 + Scope 3</t>
        </is>
      </c>
      <c r="W430" t="b">
        <v>1</v>
      </c>
      <c r="X430" t="inlineStr">
        <is>
          <t>High</t>
        </is>
      </c>
      <c r="Y430" t="inlineStr">
        <is>
          <t>Reported_Emissions</t>
        </is>
      </c>
      <c r="Z430" t="n">
        <v>0.88</v>
      </c>
      <c r="AA430" t="inlineStr">
        <is>
          <t>Valid</t>
        </is>
      </c>
    </row>
    <row r="431">
      <c r="A431" t="inlineStr">
        <is>
          <t>SUP-0043</t>
        </is>
      </c>
      <c r="B431" t="inlineStr">
        <is>
          <t>Logistics Supplier 043</t>
        </is>
      </c>
      <c r="C431" t="inlineStr">
        <is>
          <t>Logistics</t>
        </is>
      </c>
      <c r="D431" t="n">
        <v>2024</v>
      </c>
      <c r="E431" t="n">
        <v>1582516.22</v>
      </c>
      <c r="F431" t="n">
        <v>9114745.390000001</v>
      </c>
      <c r="G431" t="inlineStr"/>
      <c r="H431" t="n">
        <v>34.2647</v>
      </c>
      <c r="I431" t="n">
        <v>37.2644</v>
      </c>
      <c r="J431" t="n">
        <v>147.6296</v>
      </c>
      <c r="K431" t="n">
        <v>2018</v>
      </c>
      <c r="L431" t="n">
        <v>2035</v>
      </c>
      <c r="M431" t="n">
        <v>0.543</v>
      </c>
      <c r="N431" t="n">
        <v>0.1921</v>
      </c>
      <c r="O431" t="n">
        <v>2019</v>
      </c>
      <c r="P431" t="n">
        <v>2040</v>
      </c>
      <c r="Q431" t="n">
        <v>0.4616</v>
      </c>
      <c r="R431" t="n">
        <v>591.6386</v>
      </c>
      <c r="S431" t="n">
        <v>0.00022349</v>
      </c>
      <c r="T431" t="n">
        <v>0.00047787</v>
      </c>
      <c r="U431" t="n">
        <v>219.1587</v>
      </c>
      <c r="V431" t="inlineStr">
        <is>
          <t>Scope 1 + Scope 2 + Scope 3</t>
        </is>
      </c>
      <c r="W431" t="b">
        <v>1</v>
      </c>
      <c r="X431" t="inlineStr">
        <is>
          <t>High</t>
        </is>
      </c>
      <c r="Y431" t="inlineStr">
        <is>
          <t>Reported_Emissions</t>
        </is>
      </c>
      <c r="Z431" t="n">
        <v>0.88</v>
      </c>
      <c r="AA431" t="inlineStr">
        <is>
          <t>Valid</t>
        </is>
      </c>
    </row>
    <row r="432">
      <c r="A432" t="inlineStr">
        <is>
          <t>SUP-0044</t>
        </is>
      </c>
      <c r="B432" t="inlineStr">
        <is>
          <t>Chemicals Supplier 044</t>
        </is>
      </c>
      <c r="C432" t="inlineStr">
        <is>
          <t>Chemicals</t>
        </is>
      </c>
      <c r="D432" t="n">
        <v>2015</v>
      </c>
      <c r="E432" t="n">
        <v>17652487.54</v>
      </c>
      <c r="F432" t="n">
        <v>102669591.28</v>
      </c>
      <c r="G432" t="n">
        <v>15097.8722</v>
      </c>
      <c r="H432" t="n">
        <v>3092.7058</v>
      </c>
      <c r="I432" t="n">
        <v>1791.9678</v>
      </c>
      <c r="J432" t="n">
        <v>11732.7781</v>
      </c>
      <c r="K432" t="inlineStr"/>
      <c r="L432" t="inlineStr"/>
      <c r="M432" t="inlineStr"/>
      <c r="N432" t="inlineStr"/>
      <c r="O432" t="n">
        <v>2019</v>
      </c>
      <c r="P432" t="n">
        <v>2035</v>
      </c>
      <c r="Q432" t="n">
        <v>0.5229</v>
      </c>
      <c r="R432" t="n">
        <v>506.3191</v>
      </c>
      <c r="S432" t="n">
        <v>0.00100149</v>
      </c>
      <c r="T432" t="n">
        <v>0.00047124</v>
      </c>
      <c r="U432" t="n">
        <v>15097.8722</v>
      </c>
      <c r="V432" t="inlineStr">
        <is>
          <t>Supplier Reported Emissions</t>
        </is>
      </c>
      <c r="W432" t="b">
        <v>0</v>
      </c>
      <c r="X432" t="inlineStr">
        <is>
          <t>High</t>
        </is>
      </c>
      <c r="Y432" t="inlineStr">
        <is>
          <t>None</t>
        </is>
      </c>
      <c r="Z432" t="n">
        <v>0.95</v>
      </c>
      <c r="AA432" t="inlineStr">
        <is>
          <t>Valid</t>
        </is>
      </c>
    </row>
    <row r="433">
      <c r="A433" t="inlineStr">
        <is>
          <t>SUP-0044</t>
        </is>
      </c>
      <c r="B433" t="inlineStr">
        <is>
          <t>Chemicals Supplier 044</t>
        </is>
      </c>
      <c r="C433" t="inlineStr">
        <is>
          <t>Chemicals</t>
        </is>
      </c>
      <c r="D433" t="n">
        <v>2016</v>
      </c>
      <c r="E433" t="n">
        <v>18991216.98</v>
      </c>
      <c r="F433" t="n">
        <v>116772875.93</v>
      </c>
      <c r="G433" t="inlineStr"/>
      <c r="H433" t="n">
        <v>5401.9376</v>
      </c>
      <c r="I433" t="n">
        <v>3430.1907</v>
      </c>
      <c r="J433" t="n">
        <v>10135.1771</v>
      </c>
      <c r="K433" t="inlineStr"/>
      <c r="L433" t="inlineStr"/>
      <c r="M433" t="inlineStr"/>
      <c r="N433" t="inlineStr"/>
      <c r="O433" t="n">
        <v>2019</v>
      </c>
      <c r="P433" t="n">
        <v>2035</v>
      </c>
      <c r="Q433" t="n">
        <v>0.5229</v>
      </c>
      <c r="R433" t="n">
        <v>506.3191</v>
      </c>
      <c r="S433" t="n">
        <v>0.00100149</v>
      </c>
      <c r="T433" t="n">
        <v>0.00047124</v>
      </c>
      <c r="U433" t="n">
        <v>18967.3054</v>
      </c>
      <c r="V433" t="inlineStr">
        <is>
          <t>Scope 1 + Scope 2 + Scope 3</t>
        </is>
      </c>
      <c r="W433" t="b">
        <v>1</v>
      </c>
      <c r="X433" t="inlineStr">
        <is>
          <t>High</t>
        </is>
      </c>
      <c r="Y433" t="inlineStr">
        <is>
          <t>Reported_Emissions</t>
        </is>
      </c>
      <c r="Z433" t="n">
        <v>0.88</v>
      </c>
      <c r="AA433" t="inlineStr">
        <is>
          <t>Valid</t>
        </is>
      </c>
    </row>
    <row r="434">
      <c r="A434" t="inlineStr">
        <is>
          <t>SUP-0044</t>
        </is>
      </c>
      <c r="B434" t="inlineStr">
        <is>
          <t>Chemicals Supplier 044</t>
        </is>
      </c>
      <c r="C434" t="inlineStr">
        <is>
          <t>Chemicals</t>
        </is>
      </c>
      <c r="D434" t="n">
        <v>2017</v>
      </c>
      <c r="E434" t="n">
        <v>19300750.41</v>
      </c>
      <c r="F434" t="n">
        <v>120446008.38</v>
      </c>
      <c r="G434" t="n">
        <v>16603.797</v>
      </c>
      <c r="H434" t="n">
        <v>3047.2352</v>
      </c>
      <c r="I434" t="n">
        <v>1869.5258</v>
      </c>
      <c r="J434" t="n">
        <v>12032.2491</v>
      </c>
      <c r="K434" t="inlineStr"/>
      <c r="L434" t="inlineStr"/>
      <c r="M434" t="inlineStr"/>
      <c r="N434" t="inlineStr"/>
      <c r="O434" t="n">
        <v>2019</v>
      </c>
      <c r="P434" t="n">
        <v>2035</v>
      </c>
      <c r="Q434" t="n">
        <v>0.5229</v>
      </c>
      <c r="R434" t="n">
        <v>506.3191</v>
      </c>
      <c r="S434" t="n">
        <v>0.00100149</v>
      </c>
      <c r="T434" t="n">
        <v>0.00047124</v>
      </c>
      <c r="U434" t="n">
        <v>16603.797</v>
      </c>
      <c r="V434" t="inlineStr">
        <is>
          <t>Supplier Reported Emissions</t>
        </is>
      </c>
      <c r="W434" t="b">
        <v>0</v>
      </c>
      <c r="X434" t="inlineStr">
        <is>
          <t>High</t>
        </is>
      </c>
      <c r="Y434" t="inlineStr">
        <is>
          <t>None</t>
        </is>
      </c>
      <c r="Z434" t="n">
        <v>0.95</v>
      </c>
      <c r="AA434" t="inlineStr">
        <is>
          <t>Valid</t>
        </is>
      </c>
    </row>
    <row r="435">
      <c r="A435" t="inlineStr">
        <is>
          <t>SUP-0044</t>
        </is>
      </c>
      <c r="B435" t="inlineStr">
        <is>
          <t>Chemicals Supplier 044</t>
        </is>
      </c>
      <c r="C435" t="inlineStr">
        <is>
          <t>Chemicals</t>
        </is>
      </c>
      <c r="D435" t="n">
        <v>2018</v>
      </c>
      <c r="E435" t="n">
        <v>24031028.79</v>
      </c>
      <c r="F435" t="n">
        <v>161014074.63</v>
      </c>
      <c r="G435" t="n">
        <v>20537.271</v>
      </c>
      <c r="H435" t="n">
        <v>2436.1053</v>
      </c>
      <c r="I435" t="inlineStr"/>
      <c r="J435" t="inlineStr"/>
      <c r="K435" t="inlineStr"/>
      <c r="L435" t="inlineStr"/>
      <c r="M435" t="inlineStr"/>
      <c r="N435" t="inlineStr"/>
      <c r="O435" t="n">
        <v>2019</v>
      </c>
      <c r="P435" t="n">
        <v>2035</v>
      </c>
      <c r="Q435" t="n">
        <v>0.5229</v>
      </c>
      <c r="R435" t="n">
        <v>506.3191</v>
      </c>
      <c r="S435" t="n">
        <v>0.00100149</v>
      </c>
      <c r="T435" t="n">
        <v>0.00047124</v>
      </c>
      <c r="U435" t="n">
        <v>20537.271</v>
      </c>
      <c r="V435" t="inlineStr">
        <is>
          <t>Supplier Reported Emissions</t>
        </is>
      </c>
      <c r="W435" t="b">
        <v>0</v>
      </c>
      <c r="X435" t="inlineStr">
        <is>
          <t>High</t>
        </is>
      </c>
      <c r="Y435" t="inlineStr">
        <is>
          <t>Scope_Emissions</t>
        </is>
      </c>
      <c r="Z435" t="n">
        <v>0.95</v>
      </c>
      <c r="AA435" t="inlineStr">
        <is>
          <t>Valid</t>
        </is>
      </c>
    </row>
    <row r="436">
      <c r="A436" t="inlineStr">
        <is>
          <t>SUP-0044</t>
        </is>
      </c>
      <c r="B436" t="inlineStr">
        <is>
          <t>Chemicals Supplier 044</t>
        </is>
      </c>
      <c r="C436" t="inlineStr">
        <is>
          <t>Chemicals</t>
        </is>
      </c>
      <c r="D436" t="n">
        <v>2019</v>
      </c>
      <c r="E436" t="n">
        <v>20816084.84</v>
      </c>
      <c r="F436" t="n">
        <v>153191438</v>
      </c>
      <c r="G436" t="inlineStr"/>
      <c r="H436" t="n">
        <v>5807.744</v>
      </c>
      <c r="I436" t="n">
        <v>4390.6977</v>
      </c>
      <c r="J436" t="inlineStr"/>
      <c r="K436" t="inlineStr"/>
      <c r="L436" t="inlineStr"/>
      <c r="M436" t="inlineStr"/>
      <c r="N436" t="inlineStr"/>
      <c r="O436" t="n">
        <v>2019</v>
      </c>
      <c r="P436" t="n">
        <v>2035</v>
      </c>
      <c r="Q436" t="n">
        <v>0.5229</v>
      </c>
      <c r="R436" t="n">
        <v>506.3191</v>
      </c>
      <c r="S436" t="n">
        <v>0.00100149</v>
      </c>
      <c r="T436" t="n">
        <v>0.00047124</v>
      </c>
      <c r="U436" t="n">
        <v>20847.1008</v>
      </c>
      <c r="V436" t="inlineStr">
        <is>
          <t>Spend-Based Estimate</t>
        </is>
      </c>
      <c r="W436" t="b">
        <v>1</v>
      </c>
      <c r="X436" t="inlineStr">
        <is>
          <t>Medium</t>
        </is>
      </c>
      <c r="Y436" t="inlineStr">
        <is>
          <t>Reported_Emissions; Scope_Emissions</t>
        </is>
      </c>
      <c r="Z436" t="n">
        <v>0.7</v>
      </c>
      <c r="AA436" t="inlineStr">
        <is>
          <t>Valid</t>
        </is>
      </c>
    </row>
    <row r="437">
      <c r="A437" t="inlineStr">
        <is>
          <t>SUP-0044</t>
        </is>
      </c>
      <c r="B437" t="inlineStr">
        <is>
          <t>Chemicals Supplier 044</t>
        </is>
      </c>
      <c r="C437" t="inlineStr">
        <is>
          <t>Chemicals</t>
        </is>
      </c>
      <c r="D437" t="n">
        <v>2020</v>
      </c>
      <c r="E437" t="n">
        <v>25212918.1</v>
      </c>
      <c r="F437" t="n">
        <v>124250924</v>
      </c>
      <c r="G437" t="n">
        <v>22494.2592</v>
      </c>
      <c r="H437" t="n">
        <v>3849.6592</v>
      </c>
      <c r="I437" t="n">
        <v>3715.3135</v>
      </c>
      <c r="J437" t="n">
        <v>15564.7747</v>
      </c>
      <c r="K437" t="inlineStr"/>
      <c r="L437" t="inlineStr"/>
      <c r="M437" t="inlineStr"/>
      <c r="N437" t="inlineStr"/>
      <c r="O437" t="n">
        <v>2019</v>
      </c>
      <c r="P437" t="n">
        <v>2035</v>
      </c>
      <c r="Q437" t="n">
        <v>0.5229</v>
      </c>
      <c r="R437" t="n">
        <v>506.3191</v>
      </c>
      <c r="S437" t="n">
        <v>0.00100149</v>
      </c>
      <c r="T437" t="n">
        <v>0.00047124</v>
      </c>
      <c r="U437" t="n">
        <v>22494.2592</v>
      </c>
      <c r="V437" t="inlineStr">
        <is>
          <t>Supplier Reported Emissions</t>
        </is>
      </c>
      <c r="W437" t="b">
        <v>0</v>
      </c>
      <c r="X437" t="inlineStr">
        <is>
          <t>High</t>
        </is>
      </c>
      <c r="Y437" t="inlineStr">
        <is>
          <t>None</t>
        </is>
      </c>
      <c r="Z437" t="n">
        <v>0.95</v>
      </c>
      <c r="AA437" t="inlineStr">
        <is>
          <t>Valid</t>
        </is>
      </c>
    </row>
    <row r="438">
      <c r="A438" t="inlineStr">
        <is>
          <t>SUP-0044</t>
        </is>
      </c>
      <c r="B438" t="inlineStr">
        <is>
          <t>Chemicals Supplier 044</t>
        </is>
      </c>
      <c r="C438" t="inlineStr">
        <is>
          <t>Chemicals</t>
        </is>
      </c>
      <c r="D438" t="n">
        <v>2021</v>
      </c>
      <c r="E438" t="n">
        <v>30308705.35</v>
      </c>
      <c r="F438" t="n">
        <v>209402600.55</v>
      </c>
      <c r="G438" t="n">
        <v>26009.1388</v>
      </c>
      <c r="H438" t="inlineStr"/>
      <c r="I438" t="n">
        <v>1891.7113</v>
      </c>
      <c r="J438" t="n">
        <v>15495.0043</v>
      </c>
      <c r="K438" t="inlineStr"/>
      <c r="L438" t="inlineStr"/>
      <c r="M438" t="inlineStr"/>
      <c r="N438" t="inlineStr"/>
      <c r="O438" t="n">
        <v>2019</v>
      </c>
      <c r="P438" t="n">
        <v>2035</v>
      </c>
      <c r="Q438" t="n">
        <v>0.5229</v>
      </c>
      <c r="R438" t="n">
        <v>506.3191</v>
      </c>
      <c r="S438" t="n">
        <v>0.00100149</v>
      </c>
      <c r="T438" t="n">
        <v>0.00047124</v>
      </c>
      <c r="U438" t="n">
        <v>26009.1388</v>
      </c>
      <c r="V438" t="inlineStr">
        <is>
          <t>Supplier Reported Emissions</t>
        </is>
      </c>
      <c r="W438" t="b">
        <v>0</v>
      </c>
      <c r="X438" t="inlineStr">
        <is>
          <t>High</t>
        </is>
      </c>
      <c r="Y438" t="inlineStr">
        <is>
          <t>Scope_Emissions</t>
        </is>
      </c>
      <c r="Z438" t="n">
        <v>0.95</v>
      </c>
      <c r="AA438" t="inlineStr">
        <is>
          <t>Valid</t>
        </is>
      </c>
    </row>
    <row r="439">
      <c r="A439" t="inlineStr">
        <is>
          <t>SUP-0044</t>
        </is>
      </c>
      <c r="B439" t="inlineStr">
        <is>
          <t>Chemicals Supplier 044</t>
        </is>
      </c>
      <c r="C439" t="inlineStr">
        <is>
          <t>Chemicals</t>
        </is>
      </c>
      <c r="D439" t="n">
        <v>2022</v>
      </c>
      <c r="E439" t="n">
        <v>27796184.17</v>
      </c>
      <c r="F439" t="n">
        <v>208637192.17</v>
      </c>
      <c r="G439" t="inlineStr"/>
      <c r="H439" t="inlineStr"/>
      <c r="I439" t="n">
        <v>3176.5797</v>
      </c>
      <c r="J439" t="n">
        <v>17696.3721</v>
      </c>
      <c r="K439" t="inlineStr"/>
      <c r="L439" t="inlineStr"/>
      <c r="M439" t="inlineStr"/>
      <c r="N439" t="inlineStr"/>
      <c r="O439" t="n">
        <v>2019</v>
      </c>
      <c r="P439" t="n">
        <v>2035</v>
      </c>
      <c r="Q439" t="n">
        <v>0.5229</v>
      </c>
      <c r="R439" t="n">
        <v>506.3191</v>
      </c>
      <c r="S439" t="n">
        <v>0.00100149</v>
      </c>
      <c r="T439" t="n">
        <v>0.00047124</v>
      </c>
      <c r="U439" t="n">
        <v>27837.6005</v>
      </c>
      <c r="V439" t="inlineStr">
        <is>
          <t>Spend-Based Estimate</t>
        </is>
      </c>
      <c r="W439" t="b">
        <v>1</v>
      </c>
      <c r="X439" t="inlineStr">
        <is>
          <t>Medium</t>
        </is>
      </c>
      <c r="Y439" t="inlineStr">
        <is>
          <t>Reported_Emissions; Scope_Emissions</t>
        </is>
      </c>
      <c r="Z439" t="n">
        <v>0.7</v>
      </c>
      <c r="AA439" t="inlineStr">
        <is>
          <t>Valid</t>
        </is>
      </c>
    </row>
    <row r="440">
      <c r="A440" t="inlineStr">
        <is>
          <t>SUP-0044</t>
        </is>
      </c>
      <c r="B440" t="inlineStr">
        <is>
          <t>Chemicals Supplier 044</t>
        </is>
      </c>
      <c r="C440" t="inlineStr">
        <is>
          <t>Chemicals</t>
        </is>
      </c>
      <c r="D440" t="n">
        <v>2023</v>
      </c>
      <c r="E440" t="n">
        <v>29592818.19</v>
      </c>
      <c r="F440" t="n">
        <v>172621455.16</v>
      </c>
      <c r="G440" t="n">
        <v>30028.5307</v>
      </c>
      <c r="H440" t="n">
        <v>5991.7142</v>
      </c>
      <c r="I440" t="n">
        <v>2955.2299</v>
      </c>
      <c r="J440" t="inlineStr"/>
      <c r="K440" t="inlineStr"/>
      <c r="L440" t="inlineStr"/>
      <c r="M440" t="inlineStr"/>
      <c r="N440" t="inlineStr"/>
      <c r="O440" t="n">
        <v>2019</v>
      </c>
      <c r="P440" t="n">
        <v>2035</v>
      </c>
      <c r="Q440" t="n">
        <v>0.5229</v>
      </c>
      <c r="R440" t="n">
        <v>506.3191</v>
      </c>
      <c r="S440" t="n">
        <v>0.00100149</v>
      </c>
      <c r="T440" t="n">
        <v>0.00047124</v>
      </c>
      <c r="U440" t="n">
        <v>30028.5307</v>
      </c>
      <c r="V440" t="inlineStr">
        <is>
          <t>Supplier Reported Emissions</t>
        </is>
      </c>
      <c r="W440" t="b">
        <v>0</v>
      </c>
      <c r="X440" t="inlineStr">
        <is>
          <t>High</t>
        </is>
      </c>
      <c r="Y440" t="inlineStr">
        <is>
          <t>Scope_Emissions</t>
        </is>
      </c>
      <c r="Z440" t="n">
        <v>0.95</v>
      </c>
      <c r="AA440" t="inlineStr">
        <is>
          <t>Valid</t>
        </is>
      </c>
    </row>
    <row r="441">
      <c r="A441" t="inlineStr">
        <is>
          <t>SUP-0044</t>
        </is>
      </c>
      <c r="B441" t="inlineStr">
        <is>
          <t>Chemicals Supplier 044</t>
        </is>
      </c>
      <c r="C441" t="inlineStr">
        <is>
          <t>Chemicals</t>
        </is>
      </c>
      <c r="D441" t="n">
        <v>2024</v>
      </c>
      <c r="E441" t="n">
        <v>35263210.83</v>
      </c>
      <c r="F441" t="n">
        <v>312085078.23</v>
      </c>
      <c r="G441" t="n">
        <v>30130.7815</v>
      </c>
      <c r="H441" t="n">
        <v>3248.4917</v>
      </c>
      <c r="I441" t="inlineStr"/>
      <c r="J441" t="inlineStr"/>
      <c r="K441" t="inlineStr"/>
      <c r="L441" t="inlineStr"/>
      <c r="M441" t="inlineStr"/>
      <c r="N441" t="inlineStr"/>
      <c r="O441" t="n">
        <v>2019</v>
      </c>
      <c r="P441" t="n">
        <v>2035</v>
      </c>
      <c r="Q441" t="n">
        <v>0.5229</v>
      </c>
      <c r="R441" t="n">
        <v>506.3191</v>
      </c>
      <c r="S441" t="n">
        <v>0.00100149</v>
      </c>
      <c r="T441" t="n">
        <v>0.00047124</v>
      </c>
      <c r="U441" t="n">
        <v>30130.7815</v>
      </c>
      <c r="V441" t="inlineStr">
        <is>
          <t>Supplier Reported Emissions</t>
        </is>
      </c>
      <c r="W441" t="b">
        <v>0</v>
      </c>
      <c r="X441" t="inlineStr">
        <is>
          <t>High</t>
        </is>
      </c>
      <c r="Y441" t="inlineStr">
        <is>
          <t>Scope_Emissions</t>
        </is>
      </c>
      <c r="Z441" t="n">
        <v>0.95</v>
      </c>
      <c r="AA441" t="inlineStr">
        <is>
          <t>Valid</t>
        </is>
      </c>
    </row>
    <row r="442">
      <c r="A442" t="inlineStr">
        <is>
          <t>SUP-0045</t>
        </is>
      </c>
      <c r="B442" t="inlineStr">
        <is>
          <t>Logistics Supplier 045</t>
        </is>
      </c>
      <c r="C442" t="inlineStr">
        <is>
          <t>Logistics</t>
        </is>
      </c>
      <c r="D442" t="n">
        <v>2015</v>
      </c>
      <c r="E442" t="n">
        <v>12962761.66</v>
      </c>
      <c r="F442" t="n">
        <v>18120647.64</v>
      </c>
      <c r="G442" t="n">
        <v>3708.4666</v>
      </c>
      <c r="H442" t="n">
        <v>875.6382</v>
      </c>
      <c r="I442" t="n">
        <v>734.3754</v>
      </c>
      <c r="J442" t="n">
        <v>1863.1646</v>
      </c>
      <c r="K442" t="n">
        <v>2019</v>
      </c>
      <c r="L442" t="n">
        <v>2035</v>
      </c>
      <c r="M442" t="n">
        <v>0.5906</v>
      </c>
      <c r="N442" t="n">
        <v>0.2263</v>
      </c>
      <c r="O442" t="n">
        <v>2019</v>
      </c>
      <c r="P442" t="n">
        <v>2040</v>
      </c>
      <c r="Q442" t="n">
        <v>0.4616</v>
      </c>
      <c r="R442" t="n">
        <v>591.6386</v>
      </c>
      <c r="S442" t="n">
        <v>0.00022349</v>
      </c>
      <c r="T442" t="n">
        <v>0.00047787</v>
      </c>
      <c r="U442" t="n">
        <v>3708.4666</v>
      </c>
      <c r="V442" t="inlineStr">
        <is>
          <t>Supplier Reported Emissions</t>
        </is>
      </c>
      <c r="W442" t="b">
        <v>0</v>
      </c>
      <c r="X442" t="inlineStr">
        <is>
          <t>High</t>
        </is>
      </c>
      <c r="Y442" t="inlineStr">
        <is>
          <t>None</t>
        </is>
      </c>
      <c r="Z442" t="n">
        <v>0.95</v>
      </c>
      <c r="AA442" t="inlineStr">
        <is>
          <t>Valid</t>
        </is>
      </c>
    </row>
    <row r="443">
      <c r="A443" t="inlineStr">
        <is>
          <t>SUP-0045</t>
        </is>
      </c>
      <c r="B443" t="inlineStr">
        <is>
          <t>Logistics Supplier 045</t>
        </is>
      </c>
      <c r="C443" t="inlineStr">
        <is>
          <t>Logistics</t>
        </is>
      </c>
      <c r="D443" t="n">
        <v>2016</v>
      </c>
      <c r="E443" t="n">
        <v>14863276.03</v>
      </c>
      <c r="F443" t="n">
        <v>20021232.39</v>
      </c>
      <c r="G443" t="inlineStr"/>
      <c r="H443" t="n">
        <v>716.4791</v>
      </c>
      <c r="I443" t="n">
        <v>371.3644</v>
      </c>
      <c r="J443" t="n">
        <v>2921.9892</v>
      </c>
      <c r="K443" t="n">
        <v>2019</v>
      </c>
      <c r="L443" t="n">
        <v>2035</v>
      </c>
      <c r="M443" t="n">
        <v>0.5906</v>
      </c>
      <c r="N443" t="n">
        <v>0.2263</v>
      </c>
      <c r="O443" t="n">
        <v>2019</v>
      </c>
      <c r="P443" t="n">
        <v>2040</v>
      </c>
      <c r="Q443" t="n">
        <v>0.4616</v>
      </c>
      <c r="R443" t="n">
        <v>591.6386</v>
      </c>
      <c r="S443" t="n">
        <v>0.00022349</v>
      </c>
      <c r="T443" t="n">
        <v>0.00047787</v>
      </c>
      <c r="U443" t="n">
        <v>4009.8327</v>
      </c>
      <c r="V443" t="inlineStr">
        <is>
          <t>Scope 1 + Scope 2 + Scope 3</t>
        </is>
      </c>
      <c r="W443" t="b">
        <v>1</v>
      </c>
      <c r="X443" t="inlineStr">
        <is>
          <t>High</t>
        </is>
      </c>
      <c r="Y443" t="inlineStr">
        <is>
          <t>Reported_Emissions</t>
        </is>
      </c>
      <c r="Z443" t="n">
        <v>0.88</v>
      </c>
      <c r="AA443" t="inlineStr">
        <is>
          <t>Valid</t>
        </is>
      </c>
    </row>
    <row r="444">
      <c r="A444" t="inlineStr">
        <is>
          <t>SUP-0045</t>
        </is>
      </c>
      <c r="B444" t="inlineStr">
        <is>
          <t>Logistics Supplier 045</t>
        </is>
      </c>
      <c r="C444" t="inlineStr">
        <is>
          <t>Logistics</t>
        </is>
      </c>
      <c r="D444" t="n">
        <v>2017</v>
      </c>
      <c r="E444" t="n">
        <v>16127816.9</v>
      </c>
      <c r="F444" t="n">
        <v>16370205.41</v>
      </c>
      <c r="G444" t="n">
        <v>4238.9012</v>
      </c>
      <c r="H444" t="n">
        <v>694.2987000000001</v>
      </c>
      <c r="I444" t="n">
        <v>268.4514</v>
      </c>
      <c r="J444" t="n">
        <v>3651.5945</v>
      </c>
      <c r="K444" t="n">
        <v>2019</v>
      </c>
      <c r="L444" t="n">
        <v>2035</v>
      </c>
      <c r="M444" t="n">
        <v>0.5906</v>
      </c>
      <c r="N444" t="n">
        <v>0.2263</v>
      </c>
      <c r="O444" t="n">
        <v>2019</v>
      </c>
      <c r="P444" t="n">
        <v>2040</v>
      </c>
      <c r="Q444" t="n">
        <v>0.4616</v>
      </c>
      <c r="R444" t="n">
        <v>591.6386</v>
      </c>
      <c r="S444" t="n">
        <v>0.00022349</v>
      </c>
      <c r="T444" t="n">
        <v>0.00047787</v>
      </c>
      <c r="U444" t="n">
        <v>4238.9012</v>
      </c>
      <c r="V444" t="inlineStr">
        <is>
          <t>Supplier Reported Emissions</t>
        </is>
      </c>
      <c r="W444" t="b">
        <v>0</v>
      </c>
      <c r="X444" t="inlineStr">
        <is>
          <t>High</t>
        </is>
      </c>
      <c r="Y444" t="inlineStr">
        <is>
          <t>None</t>
        </is>
      </c>
      <c r="Z444" t="n">
        <v>0.95</v>
      </c>
      <c r="AA444" t="inlineStr">
        <is>
          <t>Valid</t>
        </is>
      </c>
    </row>
    <row r="445">
      <c r="A445" t="inlineStr">
        <is>
          <t>SUP-0045</t>
        </is>
      </c>
      <c r="B445" t="inlineStr">
        <is>
          <t>Logistics Supplier 045</t>
        </is>
      </c>
      <c r="C445" t="inlineStr">
        <is>
          <t>Logistics</t>
        </is>
      </c>
      <c r="D445" t="n">
        <v>2018</v>
      </c>
      <c r="E445" t="n">
        <v>16900060.02</v>
      </c>
      <c r="F445" t="n">
        <v>25429414.88</v>
      </c>
      <c r="G445" t="n">
        <v>4799.4432</v>
      </c>
      <c r="H445" t="n">
        <v>987.3999</v>
      </c>
      <c r="I445" t="n">
        <v>747.6806</v>
      </c>
      <c r="J445" t="inlineStr"/>
      <c r="K445" t="n">
        <v>2019</v>
      </c>
      <c r="L445" t="n">
        <v>2035</v>
      </c>
      <c r="M445" t="n">
        <v>0.5906</v>
      </c>
      <c r="N445" t="n">
        <v>0.2263</v>
      </c>
      <c r="O445" t="n">
        <v>2019</v>
      </c>
      <c r="P445" t="n">
        <v>2040</v>
      </c>
      <c r="Q445" t="n">
        <v>0.4616</v>
      </c>
      <c r="R445" t="n">
        <v>591.6386</v>
      </c>
      <c r="S445" t="n">
        <v>0.00022349</v>
      </c>
      <c r="T445" t="n">
        <v>0.00047787</v>
      </c>
      <c r="U445" t="n">
        <v>4799.4432</v>
      </c>
      <c r="V445" t="inlineStr">
        <is>
          <t>Supplier Reported Emissions</t>
        </is>
      </c>
      <c r="W445" t="b">
        <v>0</v>
      </c>
      <c r="X445" t="inlineStr">
        <is>
          <t>High</t>
        </is>
      </c>
      <c r="Y445" t="inlineStr">
        <is>
          <t>Scope_Emissions</t>
        </is>
      </c>
      <c r="Z445" t="n">
        <v>0.95</v>
      </c>
      <c r="AA445" t="inlineStr">
        <is>
          <t>Valid</t>
        </is>
      </c>
    </row>
    <row r="446">
      <c r="A446" t="inlineStr">
        <is>
          <t>SUP-0045</t>
        </is>
      </c>
      <c r="B446" t="inlineStr">
        <is>
          <t>Logistics Supplier 045</t>
        </is>
      </c>
      <c r="C446" t="inlineStr">
        <is>
          <t>Logistics</t>
        </is>
      </c>
      <c r="D446" t="n">
        <v>2019</v>
      </c>
      <c r="E446" t="n">
        <v>15681242.13</v>
      </c>
      <c r="F446" t="n">
        <v>25569400.44</v>
      </c>
      <c r="G446" t="n">
        <v>4029.6726</v>
      </c>
      <c r="H446" t="n">
        <v>462.9382</v>
      </c>
      <c r="I446" t="n">
        <v>689.9719</v>
      </c>
      <c r="J446" t="n">
        <v>2753.5351</v>
      </c>
      <c r="K446" t="n">
        <v>2019</v>
      </c>
      <c r="L446" t="n">
        <v>2035</v>
      </c>
      <c r="M446" t="n">
        <v>0.5906</v>
      </c>
      <c r="N446" t="n">
        <v>0.2263</v>
      </c>
      <c r="O446" t="n">
        <v>2019</v>
      </c>
      <c r="P446" t="n">
        <v>2040</v>
      </c>
      <c r="Q446" t="n">
        <v>0.4616</v>
      </c>
      <c r="R446" t="n">
        <v>591.6386</v>
      </c>
      <c r="S446" t="n">
        <v>0.00022349</v>
      </c>
      <c r="T446" t="n">
        <v>0.00047787</v>
      </c>
      <c r="U446" t="n">
        <v>4029.6726</v>
      </c>
      <c r="V446" t="inlineStr">
        <is>
          <t>Supplier Reported Emissions</t>
        </is>
      </c>
      <c r="W446" t="b">
        <v>0</v>
      </c>
      <c r="X446" t="inlineStr">
        <is>
          <t>High</t>
        </is>
      </c>
      <c r="Y446" t="inlineStr">
        <is>
          <t>None</t>
        </is>
      </c>
      <c r="Z446" t="n">
        <v>0.95</v>
      </c>
      <c r="AA446" t="inlineStr">
        <is>
          <t>Valid</t>
        </is>
      </c>
    </row>
    <row r="447">
      <c r="A447" t="inlineStr">
        <is>
          <t>SUP-0045</t>
        </is>
      </c>
      <c r="B447" t="inlineStr">
        <is>
          <t>Logistics Supplier 045</t>
        </is>
      </c>
      <c r="C447" t="inlineStr">
        <is>
          <t>Logistics</t>
        </is>
      </c>
      <c r="D447" t="n">
        <v>2020</v>
      </c>
      <c r="E447" t="n">
        <v>17316388.47</v>
      </c>
      <c r="F447" t="n">
        <v>24595968.5</v>
      </c>
      <c r="G447" t="n">
        <v>3844.3676</v>
      </c>
      <c r="H447" t="inlineStr"/>
      <c r="I447" t="n">
        <v>583.9309</v>
      </c>
      <c r="J447" t="n">
        <v>2778.6476</v>
      </c>
      <c r="K447" t="n">
        <v>2019</v>
      </c>
      <c r="L447" t="n">
        <v>2035</v>
      </c>
      <c r="M447" t="n">
        <v>0.5906</v>
      </c>
      <c r="N447" t="n">
        <v>0.2263</v>
      </c>
      <c r="O447" t="n">
        <v>2019</v>
      </c>
      <c r="P447" t="n">
        <v>2040</v>
      </c>
      <c r="Q447" t="n">
        <v>0.4616</v>
      </c>
      <c r="R447" t="n">
        <v>591.6386</v>
      </c>
      <c r="S447" t="n">
        <v>0.00022349</v>
      </c>
      <c r="T447" t="n">
        <v>0.00047787</v>
      </c>
      <c r="U447" t="n">
        <v>3844.3676</v>
      </c>
      <c r="V447" t="inlineStr">
        <is>
          <t>Supplier Reported Emissions</t>
        </is>
      </c>
      <c r="W447" t="b">
        <v>0</v>
      </c>
      <c r="X447" t="inlineStr">
        <is>
          <t>High</t>
        </is>
      </c>
      <c r="Y447" t="inlineStr">
        <is>
          <t>Scope_Emissions</t>
        </is>
      </c>
      <c r="Z447" t="n">
        <v>0.95</v>
      </c>
      <c r="AA447" t="inlineStr">
        <is>
          <t>Valid</t>
        </is>
      </c>
    </row>
    <row r="448">
      <c r="A448" t="inlineStr">
        <is>
          <t>SUP-0045</t>
        </is>
      </c>
      <c r="B448" t="inlineStr">
        <is>
          <t>Logistics Supplier 045</t>
        </is>
      </c>
      <c r="C448" t="inlineStr">
        <is>
          <t>Logistics</t>
        </is>
      </c>
      <c r="D448" t="n">
        <v>2021</v>
      </c>
      <c r="E448" t="n">
        <v>19740348.43</v>
      </c>
      <c r="F448" t="n">
        <v>32269746.24</v>
      </c>
      <c r="G448" t="n">
        <v>4069.3811</v>
      </c>
      <c r="H448" t="inlineStr"/>
      <c r="I448" t="n">
        <v>915.5852</v>
      </c>
      <c r="J448" t="n">
        <v>2704.0591</v>
      </c>
      <c r="K448" t="n">
        <v>2019</v>
      </c>
      <c r="L448" t="n">
        <v>2035</v>
      </c>
      <c r="M448" t="n">
        <v>0.5906</v>
      </c>
      <c r="N448" t="n">
        <v>0.2263</v>
      </c>
      <c r="O448" t="n">
        <v>2019</v>
      </c>
      <c r="P448" t="n">
        <v>2040</v>
      </c>
      <c r="Q448" t="n">
        <v>0.4616</v>
      </c>
      <c r="R448" t="n">
        <v>591.6386</v>
      </c>
      <c r="S448" t="n">
        <v>0.00022349</v>
      </c>
      <c r="T448" t="n">
        <v>0.00047787</v>
      </c>
      <c r="U448" t="n">
        <v>4069.3811</v>
      </c>
      <c r="V448" t="inlineStr">
        <is>
          <t>Supplier Reported Emissions</t>
        </is>
      </c>
      <c r="W448" t="b">
        <v>0</v>
      </c>
      <c r="X448" t="inlineStr">
        <is>
          <t>High</t>
        </is>
      </c>
      <c r="Y448" t="inlineStr">
        <is>
          <t>Scope_Emissions</t>
        </is>
      </c>
      <c r="Z448" t="n">
        <v>0.95</v>
      </c>
      <c r="AA448" t="inlineStr">
        <is>
          <t>Valid</t>
        </is>
      </c>
    </row>
    <row r="449">
      <c r="A449" t="inlineStr">
        <is>
          <t>SUP-0045</t>
        </is>
      </c>
      <c r="B449" t="inlineStr">
        <is>
          <t>Logistics Supplier 045</t>
        </is>
      </c>
      <c r="C449" t="inlineStr">
        <is>
          <t>Logistics</t>
        </is>
      </c>
      <c r="D449" t="n">
        <v>2022</v>
      </c>
      <c r="E449" t="n">
        <v>19954005.01</v>
      </c>
      <c r="F449" t="n">
        <v>29587299.72</v>
      </c>
      <c r="G449" t="n">
        <v>3903.6622</v>
      </c>
      <c r="H449" t="n">
        <v>1147.0254</v>
      </c>
      <c r="I449" t="inlineStr"/>
      <c r="J449" t="n">
        <v>2593.2761</v>
      </c>
      <c r="K449" t="n">
        <v>2019</v>
      </c>
      <c r="L449" t="n">
        <v>2035</v>
      </c>
      <c r="M449" t="n">
        <v>0.5906</v>
      </c>
      <c r="N449" t="n">
        <v>0.2263</v>
      </c>
      <c r="O449" t="n">
        <v>2019</v>
      </c>
      <c r="P449" t="n">
        <v>2040</v>
      </c>
      <c r="Q449" t="n">
        <v>0.4616</v>
      </c>
      <c r="R449" t="n">
        <v>591.6386</v>
      </c>
      <c r="S449" t="n">
        <v>0.00022349</v>
      </c>
      <c r="T449" t="n">
        <v>0.00047787</v>
      </c>
      <c r="U449" t="n">
        <v>3903.6622</v>
      </c>
      <c r="V449" t="inlineStr">
        <is>
          <t>Supplier Reported Emissions</t>
        </is>
      </c>
      <c r="W449" t="b">
        <v>0</v>
      </c>
      <c r="X449" t="inlineStr">
        <is>
          <t>High</t>
        </is>
      </c>
      <c r="Y449" t="inlineStr">
        <is>
          <t>Scope_Emissions</t>
        </is>
      </c>
      <c r="Z449" t="n">
        <v>0.95</v>
      </c>
      <c r="AA449" t="inlineStr">
        <is>
          <t>Valid</t>
        </is>
      </c>
    </row>
    <row r="450">
      <c r="A450" t="inlineStr">
        <is>
          <t>SUP-0045</t>
        </is>
      </c>
      <c r="B450" t="inlineStr">
        <is>
          <t>Logistics Supplier 045</t>
        </is>
      </c>
      <c r="C450" t="inlineStr">
        <is>
          <t>Logistics</t>
        </is>
      </c>
      <c r="D450" t="n">
        <v>2023</v>
      </c>
      <c r="E450" t="n">
        <v>23741420.04</v>
      </c>
      <c r="F450" t="n">
        <v>25954507.99</v>
      </c>
      <c r="G450" t="n">
        <v>4073.3026</v>
      </c>
      <c r="H450" t="n">
        <v>819.9914</v>
      </c>
      <c r="I450" t="n">
        <v>445.2657</v>
      </c>
      <c r="J450" t="n">
        <v>3013.9937</v>
      </c>
      <c r="K450" t="n">
        <v>2019</v>
      </c>
      <c r="L450" t="n">
        <v>2035</v>
      </c>
      <c r="M450" t="n">
        <v>0.5906</v>
      </c>
      <c r="N450" t="n">
        <v>0.2263</v>
      </c>
      <c r="O450" t="n">
        <v>2019</v>
      </c>
      <c r="P450" t="n">
        <v>2040</v>
      </c>
      <c r="Q450" t="n">
        <v>0.4616</v>
      </c>
      <c r="R450" t="n">
        <v>591.6386</v>
      </c>
      <c r="S450" t="n">
        <v>0.00022349</v>
      </c>
      <c r="T450" t="n">
        <v>0.00047787</v>
      </c>
      <c r="U450" t="n">
        <v>4073.3026</v>
      </c>
      <c r="V450" t="inlineStr">
        <is>
          <t>Supplier Reported Emissions</t>
        </is>
      </c>
      <c r="W450" t="b">
        <v>0</v>
      </c>
      <c r="X450" t="inlineStr">
        <is>
          <t>High</t>
        </is>
      </c>
      <c r="Y450" t="inlineStr">
        <is>
          <t>None</t>
        </is>
      </c>
      <c r="Z450" t="n">
        <v>0.95</v>
      </c>
      <c r="AA450" t="inlineStr">
        <is>
          <t>Valid</t>
        </is>
      </c>
    </row>
    <row r="451">
      <c r="A451" t="inlineStr">
        <is>
          <t>SUP-0045</t>
        </is>
      </c>
      <c r="B451" t="inlineStr">
        <is>
          <t>Logistics Supplier 045</t>
        </is>
      </c>
      <c r="C451" t="inlineStr">
        <is>
          <t>Logistics</t>
        </is>
      </c>
      <c r="D451" t="n">
        <v>2024</v>
      </c>
      <c r="E451" t="n">
        <v>21874586.79</v>
      </c>
      <c r="F451" t="n">
        <v>36553728.54</v>
      </c>
      <c r="G451" t="n">
        <v>3783.1466</v>
      </c>
      <c r="H451" t="n">
        <v>572.0124</v>
      </c>
      <c r="I451" t="n">
        <v>507.5448</v>
      </c>
      <c r="J451" t="n">
        <v>2729.1452</v>
      </c>
      <c r="K451" t="n">
        <v>2019</v>
      </c>
      <c r="L451" t="n">
        <v>2035</v>
      </c>
      <c r="M451" t="n">
        <v>0.5906</v>
      </c>
      <c r="N451" t="n">
        <v>0.2263</v>
      </c>
      <c r="O451" t="n">
        <v>2019</v>
      </c>
      <c r="P451" t="n">
        <v>2040</v>
      </c>
      <c r="Q451" t="n">
        <v>0.4616</v>
      </c>
      <c r="R451" t="n">
        <v>591.6386</v>
      </c>
      <c r="S451" t="n">
        <v>0.00022349</v>
      </c>
      <c r="T451" t="n">
        <v>0.00047787</v>
      </c>
      <c r="U451" t="n">
        <v>3783.1466</v>
      </c>
      <c r="V451" t="inlineStr">
        <is>
          <t>Supplier Reported Emissions</t>
        </is>
      </c>
      <c r="W451" t="b">
        <v>0</v>
      </c>
      <c r="X451" t="inlineStr">
        <is>
          <t>High</t>
        </is>
      </c>
      <c r="Y451" t="inlineStr">
        <is>
          <t>None</t>
        </is>
      </c>
      <c r="Z451" t="n">
        <v>0.95</v>
      </c>
      <c r="AA451" t="inlineStr">
        <is>
          <t>Valid</t>
        </is>
      </c>
    </row>
    <row r="452">
      <c r="A452" t="inlineStr">
        <is>
          <t>SUP-0046</t>
        </is>
      </c>
      <c r="B452" t="inlineStr">
        <is>
          <t>Textiles Supplier 046</t>
        </is>
      </c>
      <c r="C452" t="inlineStr">
        <is>
          <t>Textiles</t>
        </is>
      </c>
      <c r="D452" t="n">
        <v>2015</v>
      </c>
      <c r="E452" t="n">
        <v>1375728.55</v>
      </c>
      <c r="F452" t="n">
        <v>6884544.38</v>
      </c>
      <c r="G452" t="n">
        <v>443.2574</v>
      </c>
      <c r="H452" t="n">
        <v>56.6819</v>
      </c>
      <c r="I452" t="n">
        <v>38.6554</v>
      </c>
      <c r="J452" t="n">
        <v>337.9272</v>
      </c>
      <c r="K452" t="inlineStr"/>
      <c r="L452" t="inlineStr"/>
      <c r="M452" t="inlineStr"/>
      <c r="N452" t="inlineStr"/>
      <c r="O452" t="n">
        <v>2019</v>
      </c>
      <c r="P452" t="n">
        <v>2030</v>
      </c>
      <c r="Q452" t="n">
        <v>0.3171</v>
      </c>
      <c r="R452" t="n">
        <v>401.7335</v>
      </c>
      <c r="S452" t="n">
        <v>0.00029221</v>
      </c>
      <c r="T452" t="n">
        <v>0.00017343</v>
      </c>
      <c r="U452" t="n">
        <v>443.2574</v>
      </c>
      <c r="V452" t="inlineStr">
        <is>
          <t>Supplier Reported Emissions</t>
        </is>
      </c>
      <c r="W452" t="b">
        <v>0</v>
      </c>
      <c r="X452" t="inlineStr">
        <is>
          <t>High</t>
        </is>
      </c>
      <c r="Y452" t="inlineStr">
        <is>
          <t>None</t>
        </is>
      </c>
      <c r="Z452" t="n">
        <v>0.95</v>
      </c>
      <c r="AA452" t="inlineStr">
        <is>
          <t>Valid</t>
        </is>
      </c>
    </row>
    <row r="453">
      <c r="A453" t="inlineStr">
        <is>
          <t>SUP-0046</t>
        </is>
      </c>
      <c r="B453" t="inlineStr">
        <is>
          <t>Textiles Supplier 046</t>
        </is>
      </c>
      <c r="C453" t="inlineStr">
        <is>
          <t>Textiles</t>
        </is>
      </c>
      <c r="D453" t="n">
        <v>2016</v>
      </c>
      <c r="E453" t="n">
        <v>1159389.35</v>
      </c>
      <c r="F453" t="n">
        <v>8157541.35</v>
      </c>
      <c r="G453" t="inlineStr"/>
      <c r="H453" t="n">
        <v>41.6769</v>
      </c>
      <c r="I453" t="n">
        <v>31.8507</v>
      </c>
      <c r="J453" t="n">
        <v>253.6564</v>
      </c>
      <c r="K453" t="inlineStr"/>
      <c r="L453" t="inlineStr"/>
      <c r="M453" t="inlineStr"/>
      <c r="N453" t="inlineStr"/>
      <c r="O453" t="n">
        <v>2019</v>
      </c>
      <c r="P453" t="n">
        <v>2030</v>
      </c>
      <c r="Q453" t="n">
        <v>0.3171</v>
      </c>
      <c r="R453" t="n">
        <v>401.7335</v>
      </c>
      <c r="S453" t="n">
        <v>0.00029221</v>
      </c>
      <c r="T453" t="n">
        <v>0.00017343</v>
      </c>
      <c r="U453" t="n">
        <v>327.184</v>
      </c>
      <c r="V453" t="inlineStr">
        <is>
          <t>Scope 1 + Scope 2 + Scope 3</t>
        </is>
      </c>
      <c r="W453" t="b">
        <v>1</v>
      </c>
      <c r="X453" t="inlineStr">
        <is>
          <t>High</t>
        </is>
      </c>
      <c r="Y453" t="inlineStr">
        <is>
          <t>Reported_Emissions</t>
        </is>
      </c>
      <c r="Z453" t="n">
        <v>0.88</v>
      </c>
      <c r="AA453" t="inlineStr">
        <is>
          <t>Valid</t>
        </is>
      </c>
    </row>
    <row r="454">
      <c r="A454" t="inlineStr">
        <is>
          <t>SUP-0046</t>
        </is>
      </c>
      <c r="B454" t="inlineStr">
        <is>
          <t>Textiles Supplier 046</t>
        </is>
      </c>
      <c r="C454" t="inlineStr">
        <is>
          <t>Textiles</t>
        </is>
      </c>
      <c r="D454" t="n">
        <v>2017</v>
      </c>
      <c r="E454" t="n">
        <v>1279441.77</v>
      </c>
      <c r="F454" t="n">
        <v>7872114.36</v>
      </c>
      <c r="G454" t="n">
        <v>296.3822</v>
      </c>
      <c r="H454" t="n">
        <v>56.3985</v>
      </c>
      <c r="I454" t="n">
        <v>36.8349</v>
      </c>
      <c r="J454" t="n">
        <v>206.8141</v>
      </c>
      <c r="K454" t="inlineStr"/>
      <c r="L454" t="inlineStr"/>
      <c r="M454" t="inlineStr"/>
      <c r="N454" t="inlineStr"/>
      <c r="O454" t="n">
        <v>2019</v>
      </c>
      <c r="P454" t="n">
        <v>2030</v>
      </c>
      <c r="Q454" t="n">
        <v>0.3171</v>
      </c>
      <c r="R454" t="n">
        <v>401.7335</v>
      </c>
      <c r="S454" t="n">
        <v>0.00029221</v>
      </c>
      <c r="T454" t="n">
        <v>0.00017343</v>
      </c>
      <c r="U454" t="n">
        <v>296.3822</v>
      </c>
      <c r="V454" t="inlineStr">
        <is>
          <t>Supplier Reported Emissions</t>
        </is>
      </c>
      <c r="W454" t="b">
        <v>0</v>
      </c>
      <c r="X454" t="inlineStr">
        <is>
          <t>High</t>
        </is>
      </c>
      <c r="Y454" t="inlineStr">
        <is>
          <t>None</t>
        </is>
      </c>
      <c r="Z454" t="n">
        <v>0.95</v>
      </c>
      <c r="AA454" t="inlineStr">
        <is>
          <t>Valid</t>
        </is>
      </c>
    </row>
    <row r="455">
      <c r="A455" t="inlineStr">
        <is>
          <t>SUP-0046</t>
        </is>
      </c>
      <c r="B455" t="inlineStr">
        <is>
          <t>Textiles Supplier 046</t>
        </is>
      </c>
      <c r="C455" t="inlineStr">
        <is>
          <t>Textiles</t>
        </is>
      </c>
      <c r="D455" t="n">
        <v>2018</v>
      </c>
      <c r="E455" t="n">
        <v>1468991.91</v>
      </c>
      <c r="F455" t="n">
        <v>6967029.46</v>
      </c>
      <c r="G455" t="n">
        <v>404.7753</v>
      </c>
      <c r="H455" t="n">
        <v>108.6312</v>
      </c>
      <c r="I455" t="n">
        <v>59.5587</v>
      </c>
      <c r="J455" t="n">
        <v>236.2098</v>
      </c>
      <c r="K455" t="inlineStr"/>
      <c r="L455" t="inlineStr"/>
      <c r="M455" t="inlineStr"/>
      <c r="N455" t="inlineStr"/>
      <c r="O455" t="n">
        <v>2019</v>
      </c>
      <c r="P455" t="n">
        <v>2030</v>
      </c>
      <c r="Q455" t="n">
        <v>0.3171</v>
      </c>
      <c r="R455" t="n">
        <v>401.7335</v>
      </c>
      <c r="S455" t="n">
        <v>0.00029221</v>
      </c>
      <c r="T455" t="n">
        <v>0.00017343</v>
      </c>
      <c r="U455" t="n">
        <v>404.7753</v>
      </c>
      <c r="V455" t="inlineStr">
        <is>
          <t>Supplier Reported Emissions</t>
        </is>
      </c>
      <c r="W455" t="b">
        <v>0</v>
      </c>
      <c r="X455" t="inlineStr">
        <is>
          <t>High</t>
        </is>
      </c>
      <c r="Y455" t="inlineStr">
        <is>
          <t>None</t>
        </is>
      </c>
      <c r="Z455" t="n">
        <v>0.95</v>
      </c>
      <c r="AA455" t="inlineStr">
        <is>
          <t>Valid</t>
        </is>
      </c>
    </row>
    <row r="456">
      <c r="A456" t="inlineStr">
        <is>
          <t>SUP-0046</t>
        </is>
      </c>
      <c r="B456" t="inlineStr">
        <is>
          <t>Textiles Supplier 046</t>
        </is>
      </c>
      <c r="C456" t="inlineStr">
        <is>
          <t>Textiles</t>
        </is>
      </c>
      <c r="D456" t="n">
        <v>2019</v>
      </c>
      <c r="E456" t="n">
        <v>1282824.75</v>
      </c>
      <c r="F456" t="n">
        <v>6456179.14</v>
      </c>
      <c r="G456" t="n">
        <v>315.468</v>
      </c>
      <c r="H456" t="n">
        <v>84.565</v>
      </c>
      <c r="I456" t="n">
        <v>51.9812</v>
      </c>
      <c r="J456" t="n">
        <v>162.3647</v>
      </c>
      <c r="K456" t="inlineStr"/>
      <c r="L456" t="inlineStr"/>
      <c r="M456" t="inlineStr"/>
      <c r="N456" t="inlineStr"/>
      <c r="O456" t="n">
        <v>2019</v>
      </c>
      <c r="P456" t="n">
        <v>2030</v>
      </c>
      <c r="Q456" t="n">
        <v>0.3171</v>
      </c>
      <c r="R456" t="n">
        <v>401.7335</v>
      </c>
      <c r="S456" t="n">
        <v>0.00029221</v>
      </c>
      <c r="T456" t="n">
        <v>0.00017343</v>
      </c>
      <c r="U456" t="n">
        <v>315.468</v>
      </c>
      <c r="V456" t="inlineStr">
        <is>
          <t>Supplier Reported Emissions</t>
        </is>
      </c>
      <c r="W456" t="b">
        <v>0</v>
      </c>
      <c r="X456" t="inlineStr">
        <is>
          <t>High</t>
        </is>
      </c>
      <c r="Y456" t="inlineStr">
        <is>
          <t>None</t>
        </is>
      </c>
      <c r="Z456" t="n">
        <v>0.95</v>
      </c>
      <c r="AA456" t="inlineStr">
        <is>
          <t>Valid</t>
        </is>
      </c>
    </row>
    <row r="457">
      <c r="A457" t="inlineStr">
        <is>
          <t>SUP-0046</t>
        </is>
      </c>
      <c r="B457" t="inlineStr">
        <is>
          <t>Textiles Supplier 046</t>
        </is>
      </c>
      <c r="C457" t="inlineStr">
        <is>
          <t>Textiles</t>
        </is>
      </c>
      <c r="D457" t="n">
        <v>2020</v>
      </c>
      <c r="E457" t="n">
        <v>1294621.22</v>
      </c>
      <c r="F457" t="n">
        <v>9223922.48</v>
      </c>
      <c r="G457" t="n">
        <v>351.3144</v>
      </c>
      <c r="H457" t="n">
        <v>39.9993</v>
      </c>
      <c r="I457" t="inlineStr"/>
      <c r="J457" t="n">
        <v>226.9306</v>
      </c>
      <c r="K457" t="inlineStr"/>
      <c r="L457" t="inlineStr"/>
      <c r="M457" t="inlineStr"/>
      <c r="N457" t="inlineStr"/>
      <c r="O457" t="n">
        <v>2019</v>
      </c>
      <c r="P457" t="n">
        <v>2030</v>
      </c>
      <c r="Q457" t="n">
        <v>0.3171</v>
      </c>
      <c r="R457" t="n">
        <v>401.7335</v>
      </c>
      <c r="S457" t="n">
        <v>0.00029221</v>
      </c>
      <c r="T457" t="n">
        <v>0.00017343</v>
      </c>
      <c r="U457" t="n">
        <v>351.3144</v>
      </c>
      <c r="V457" t="inlineStr">
        <is>
          <t>Supplier Reported Emissions</t>
        </is>
      </c>
      <c r="W457" t="b">
        <v>0</v>
      </c>
      <c r="X457" t="inlineStr">
        <is>
          <t>High</t>
        </is>
      </c>
      <c r="Y457" t="inlineStr">
        <is>
          <t>Scope_Emissions</t>
        </is>
      </c>
      <c r="Z457" t="n">
        <v>0.95</v>
      </c>
      <c r="AA457" t="inlineStr">
        <is>
          <t>Valid</t>
        </is>
      </c>
    </row>
    <row r="458">
      <c r="A458" t="inlineStr">
        <is>
          <t>SUP-0046</t>
        </is>
      </c>
      <c r="B458" t="inlineStr">
        <is>
          <t>Textiles Supplier 046</t>
        </is>
      </c>
      <c r="C458" t="inlineStr">
        <is>
          <t>Textiles</t>
        </is>
      </c>
      <c r="D458" t="n">
        <v>2021</v>
      </c>
      <c r="E458" t="n">
        <v>1224353.67</v>
      </c>
      <c r="F458" t="n">
        <v>7006591.1</v>
      </c>
      <c r="G458" t="inlineStr"/>
      <c r="H458" t="n">
        <v>32.0577</v>
      </c>
      <c r="I458" t="inlineStr"/>
      <c r="J458" t="n">
        <v>132.8842</v>
      </c>
      <c r="K458" t="inlineStr"/>
      <c r="L458" t="inlineStr"/>
      <c r="M458" t="inlineStr"/>
      <c r="N458" t="inlineStr"/>
      <c r="O458" t="n">
        <v>2019</v>
      </c>
      <c r="P458" t="n">
        <v>2030</v>
      </c>
      <c r="Q458" t="n">
        <v>0.3171</v>
      </c>
      <c r="R458" t="n">
        <v>401.7335</v>
      </c>
      <c r="S458" t="n">
        <v>0.00029221</v>
      </c>
      <c r="T458" t="n">
        <v>0.00017343</v>
      </c>
      <c r="U458" t="n">
        <v>357.7684</v>
      </c>
      <c r="V458" t="inlineStr">
        <is>
          <t>Spend-Based Estimate</t>
        </is>
      </c>
      <c r="W458" t="b">
        <v>1</v>
      </c>
      <c r="X458" t="inlineStr">
        <is>
          <t>Medium</t>
        </is>
      </c>
      <c r="Y458" t="inlineStr">
        <is>
          <t>Reported_Emissions; Scope_Emissions</t>
        </is>
      </c>
      <c r="Z458" t="n">
        <v>0.7</v>
      </c>
      <c r="AA458" t="inlineStr">
        <is>
          <t>Valid</t>
        </is>
      </c>
    </row>
    <row r="459">
      <c r="A459" t="inlineStr">
        <is>
          <t>SUP-0046</t>
        </is>
      </c>
      <c r="B459" t="inlineStr">
        <is>
          <t>Textiles Supplier 046</t>
        </is>
      </c>
      <c r="C459" t="inlineStr">
        <is>
          <t>Textiles</t>
        </is>
      </c>
      <c r="D459" t="n">
        <v>2022</v>
      </c>
      <c r="E459" t="n">
        <v>1240841.36</v>
      </c>
      <c r="F459" t="n">
        <v>9165593.33</v>
      </c>
      <c r="G459" t="inlineStr"/>
      <c r="H459" t="n">
        <v>34.3527</v>
      </c>
      <c r="I459" t="n">
        <v>70.566</v>
      </c>
      <c r="J459" t="n">
        <v>249.063</v>
      </c>
      <c r="K459" t="inlineStr"/>
      <c r="L459" t="inlineStr"/>
      <c r="M459" t="inlineStr"/>
      <c r="N459" t="inlineStr"/>
      <c r="O459" t="n">
        <v>2019</v>
      </c>
      <c r="P459" t="n">
        <v>2030</v>
      </c>
      <c r="Q459" t="n">
        <v>0.3171</v>
      </c>
      <c r="R459" t="n">
        <v>401.7335</v>
      </c>
      <c r="S459" t="n">
        <v>0.00029221</v>
      </c>
      <c r="T459" t="n">
        <v>0.00017343</v>
      </c>
      <c r="U459" t="n">
        <v>353.9817</v>
      </c>
      <c r="V459" t="inlineStr">
        <is>
          <t>Scope 1 + Scope 2 + Scope 3</t>
        </is>
      </c>
      <c r="W459" t="b">
        <v>1</v>
      </c>
      <c r="X459" t="inlineStr">
        <is>
          <t>High</t>
        </is>
      </c>
      <c r="Y459" t="inlineStr">
        <is>
          <t>Reported_Emissions</t>
        </is>
      </c>
      <c r="Z459" t="n">
        <v>0.88</v>
      </c>
      <c r="AA459" t="inlineStr">
        <is>
          <t>Valid</t>
        </is>
      </c>
    </row>
    <row r="460">
      <c r="A460" t="inlineStr">
        <is>
          <t>SUP-0046</t>
        </is>
      </c>
      <c r="B460" t="inlineStr">
        <is>
          <t>Textiles Supplier 046</t>
        </is>
      </c>
      <c r="C460" t="inlineStr">
        <is>
          <t>Textiles</t>
        </is>
      </c>
      <c r="D460" t="n">
        <v>2023</v>
      </c>
      <c r="E460" t="n">
        <v>1281641.09</v>
      </c>
      <c r="F460" t="n">
        <v>8684918.35</v>
      </c>
      <c r="G460" t="n">
        <v>343.2542</v>
      </c>
      <c r="H460" t="inlineStr"/>
      <c r="I460" t="inlineStr"/>
      <c r="J460" t="n">
        <v>187.5908</v>
      </c>
      <c r="K460" t="inlineStr"/>
      <c r="L460" t="inlineStr"/>
      <c r="M460" t="inlineStr"/>
      <c r="N460" t="inlineStr"/>
      <c r="O460" t="n">
        <v>2019</v>
      </c>
      <c r="P460" t="n">
        <v>2030</v>
      </c>
      <c r="Q460" t="n">
        <v>0.3171</v>
      </c>
      <c r="R460" t="n">
        <v>401.7335</v>
      </c>
      <c r="S460" t="n">
        <v>0.00029221</v>
      </c>
      <c r="T460" t="n">
        <v>0.00017343</v>
      </c>
      <c r="U460" t="n">
        <v>343.2542</v>
      </c>
      <c r="V460" t="inlineStr">
        <is>
          <t>Supplier Reported Emissions</t>
        </is>
      </c>
      <c r="W460" t="b">
        <v>0</v>
      </c>
      <c r="X460" t="inlineStr">
        <is>
          <t>High</t>
        </is>
      </c>
      <c r="Y460" t="inlineStr">
        <is>
          <t>Scope_Emissions</t>
        </is>
      </c>
      <c r="Z460" t="n">
        <v>0.95</v>
      </c>
      <c r="AA460" t="inlineStr">
        <is>
          <t>Valid</t>
        </is>
      </c>
    </row>
    <row r="461">
      <c r="A461" t="inlineStr">
        <is>
          <t>SUP-0046</t>
        </is>
      </c>
      <c r="B461" t="inlineStr">
        <is>
          <t>Textiles Supplier 046</t>
        </is>
      </c>
      <c r="C461" t="inlineStr">
        <is>
          <t>Textiles</t>
        </is>
      </c>
      <c r="D461" t="n">
        <v>2024</v>
      </c>
      <c r="E461" t="n">
        <v>1364268.71</v>
      </c>
      <c r="F461" t="n">
        <v>16401506.49</v>
      </c>
      <c r="G461" t="n">
        <v>301.8451</v>
      </c>
      <c r="H461" t="n">
        <v>46.1148</v>
      </c>
      <c r="I461" t="n">
        <v>48.2149</v>
      </c>
      <c r="J461" t="n">
        <v>202.6606</v>
      </c>
      <c r="K461" t="inlineStr"/>
      <c r="L461" t="inlineStr"/>
      <c r="M461" t="inlineStr"/>
      <c r="N461" t="inlineStr"/>
      <c r="O461" t="n">
        <v>2019</v>
      </c>
      <c r="P461" t="n">
        <v>2030</v>
      </c>
      <c r="Q461" t="n">
        <v>0.3171</v>
      </c>
      <c r="R461" t="n">
        <v>401.7335</v>
      </c>
      <c r="S461" t="n">
        <v>0.00029221</v>
      </c>
      <c r="T461" t="n">
        <v>0.00017343</v>
      </c>
      <c r="U461" t="n">
        <v>301.8451</v>
      </c>
      <c r="V461" t="inlineStr">
        <is>
          <t>Supplier Reported Emissions</t>
        </is>
      </c>
      <c r="W461" t="b">
        <v>0</v>
      </c>
      <c r="X461" t="inlineStr">
        <is>
          <t>High</t>
        </is>
      </c>
      <c r="Y461" t="inlineStr">
        <is>
          <t>None</t>
        </is>
      </c>
      <c r="Z461" t="n">
        <v>0.95</v>
      </c>
      <c r="AA461" t="inlineStr">
        <is>
          <t>Valid</t>
        </is>
      </c>
    </row>
    <row r="462">
      <c r="A462" t="inlineStr">
        <is>
          <t>SUP-0047</t>
        </is>
      </c>
      <c r="B462" t="inlineStr">
        <is>
          <t>Packaging Supplier 047</t>
        </is>
      </c>
      <c r="C462" t="inlineStr">
        <is>
          <t>Packaging</t>
        </is>
      </c>
      <c r="D462" t="n">
        <v>2015</v>
      </c>
      <c r="E462" t="n">
        <v>15619527.34</v>
      </c>
      <c r="F462" t="n">
        <v>66793410.11</v>
      </c>
      <c r="G462" t="inlineStr"/>
      <c r="H462" t="n">
        <v>5747.7544</v>
      </c>
      <c r="I462" t="n">
        <v>4628.4095</v>
      </c>
      <c r="J462" t="inlineStr"/>
      <c r="K462" t="n">
        <v>2018</v>
      </c>
      <c r="L462" t="n">
        <v>2040</v>
      </c>
      <c r="M462" t="n">
        <v>0.3939</v>
      </c>
      <c r="N462" t="n">
        <v>0.2136</v>
      </c>
      <c r="O462" t="n">
        <v>2018</v>
      </c>
      <c r="P462" t="n">
        <v>2040</v>
      </c>
      <c r="Q462" t="n">
        <v>0.3112</v>
      </c>
      <c r="R462" t="n">
        <v>702.4188</v>
      </c>
      <c r="S462" t="n">
        <v>0.0010803</v>
      </c>
      <c r="T462" t="n">
        <v>0.00078946</v>
      </c>
      <c r="U462" t="n">
        <v>16873.7754</v>
      </c>
      <c r="V462" t="inlineStr">
        <is>
          <t>Spend-Based Estimate</t>
        </is>
      </c>
      <c r="W462" t="b">
        <v>1</v>
      </c>
      <c r="X462" t="inlineStr">
        <is>
          <t>Medium</t>
        </is>
      </c>
      <c r="Y462" t="inlineStr">
        <is>
          <t>Reported_Emissions; Scope_Emissions</t>
        </is>
      </c>
      <c r="Z462" t="n">
        <v>0.7</v>
      </c>
      <c r="AA462" t="inlineStr">
        <is>
          <t>Valid</t>
        </is>
      </c>
    </row>
    <row r="463">
      <c r="A463" t="inlineStr">
        <is>
          <t>SUP-0047</t>
        </is>
      </c>
      <c r="B463" t="inlineStr">
        <is>
          <t>Packaging Supplier 047</t>
        </is>
      </c>
      <c r="C463" t="inlineStr">
        <is>
          <t>Packaging</t>
        </is>
      </c>
      <c r="D463" t="n">
        <v>2016</v>
      </c>
      <c r="E463" t="n">
        <v>17036092.13</v>
      </c>
      <c r="F463" t="n">
        <v>62776501.45</v>
      </c>
      <c r="G463" t="n">
        <v>26002.2769</v>
      </c>
      <c r="H463" t="n">
        <v>2478.9438</v>
      </c>
      <c r="I463" t="inlineStr"/>
      <c r="J463" t="n">
        <v>18400.3394</v>
      </c>
      <c r="K463" t="n">
        <v>2018</v>
      </c>
      <c r="L463" t="n">
        <v>2040</v>
      </c>
      <c r="M463" t="n">
        <v>0.3939</v>
      </c>
      <c r="N463" t="n">
        <v>0.2136</v>
      </c>
      <c r="O463" t="n">
        <v>2018</v>
      </c>
      <c r="P463" t="n">
        <v>2040</v>
      </c>
      <c r="Q463" t="n">
        <v>0.3112</v>
      </c>
      <c r="R463" t="n">
        <v>702.4188</v>
      </c>
      <c r="S463" t="n">
        <v>0.0010803</v>
      </c>
      <c r="T463" t="n">
        <v>0.00078946</v>
      </c>
      <c r="U463" t="n">
        <v>26002.2769</v>
      </c>
      <c r="V463" t="inlineStr">
        <is>
          <t>Supplier Reported Emissions</t>
        </is>
      </c>
      <c r="W463" t="b">
        <v>0</v>
      </c>
      <c r="X463" t="inlineStr">
        <is>
          <t>High</t>
        </is>
      </c>
      <c r="Y463" t="inlineStr">
        <is>
          <t>Scope_Emissions</t>
        </is>
      </c>
      <c r="Z463" t="n">
        <v>0.95</v>
      </c>
      <c r="AA463" t="inlineStr">
        <is>
          <t>Valid</t>
        </is>
      </c>
    </row>
    <row r="464">
      <c r="A464" t="inlineStr">
        <is>
          <t>SUP-0047</t>
        </is>
      </c>
      <c r="B464" t="inlineStr">
        <is>
          <t>Packaging Supplier 047</t>
        </is>
      </c>
      <c r="C464" t="inlineStr">
        <is>
          <t>Packaging</t>
        </is>
      </c>
      <c r="D464" t="n">
        <v>2017</v>
      </c>
      <c r="E464" t="n">
        <v>19233646.28</v>
      </c>
      <c r="F464" t="n">
        <v>69583340.09</v>
      </c>
      <c r="G464" t="n">
        <v>29400.5717</v>
      </c>
      <c r="H464" t="n">
        <v>2411.669</v>
      </c>
      <c r="I464" t="n">
        <v>1908.3752</v>
      </c>
      <c r="J464" t="inlineStr"/>
      <c r="K464" t="n">
        <v>2018</v>
      </c>
      <c r="L464" t="n">
        <v>2040</v>
      </c>
      <c r="M464" t="n">
        <v>0.3939</v>
      </c>
      <c r="N464" t="n">
        <v>0.2136</v>
      </c>
      <c r="O464" t="n">
        <v>2018</v>
      </c>
      <c r="P464" t="n">
        <v>2040</v>
      </c>
      <c r="Q464" t="n">
        <v>0.3112</v>
      </c>
      <c r="R464" t="n">
        <v>702.4188</v>
      </c>
      <c r="S464" t="n">
        <v>0.0010803</v>
      </c>
      <c r="T464" t="n">
        <v>0.00078946</v>
      </c>
      <c r="U464" t="n">
        <v>29400.5717</v>
      </c>
      <c r="V464" t="inlineStr">
        <is>
          <t>Supplier Reported Emissions</t>
        </is>
      </c>
      <c r="W464" t="b">
        <v>0</v>
      </c>
      <c r="X464" t="inlineStr">
        <is>
          <t>High</t>
        </is>
      </c>
      <c r="Y464" t="inlineStr">
        <is>
          <t>Scope_Emissions</t>
        </is>
      </c>
      <c r="Z464" t="n">
        <v>0.95</v>
      </c>
      <c r="AA464" t="inlineStr">
        <is>
          <t>Valid</t>
        </is>
      </c>
    </row>
    <row r="465">
      <c r="A465" t="inlineStr">
        <is>
          <t>SUP-0047</t>
        </is>
      </c>
      <c r="B465" t="inlineStr">
        <is>
          <t>Packaging Supplier 047</t>
        </is>
      </c>
      <c r="C465" t="inlineStr">
        <is>
          <t>Packaging</t>
        </is>
      </c>
      <c r="D465" t="n">
        <v>2018</v>
      </c>
      <c r="E465" t="n">
        <v>19963776.39</v>
      </c>
      <c r="F465" t="n">
        <v>90561760.33</v>
      </c>
      <c r="G465" t="n">
        <v>24264.6494</v>
      </c>
      <c r="H465" t="n">
        <v>5052.8923</v>
      </c>
      <c r="I465" t="n">
        <v>5564.1681</v>
      </c>
      <c r="J465" t="n">
        <v>14681.5907</v>
      </c>
      <c r="K465" t="n">
        <v>2018</v>
      </c>
      <c r="L465" t="n">
        <v>2040</v>
      </c>
      <c r="M465" t="n">
        <v>0.3939</v>
      </c>
      <c r="N465" t="n">
        <v>0.2136</v>
      </c>
      <c r="O465" t="n">
        <v>2018</v>
      </c>
      <c r="P465" t="n">
        <v>2040</v>
      </c>
      <c r="Q465" t="n">
        <v>0.3112</v>
      </c>
      <c r="R465" t="n">
        <v>702.4188</v>
      </c>
      <c r="S465" t="n">
        <v>0.0010803</v>
      </c>
      <c r="T465" t="n">
        <v>0.00078946</v>
      </c>
      <c r="U465" t="n">
        <v>24264.6494</v>
      </c>
      <c r="V465" t="inlineStr">
        <is>
          <t>Supplier Reported Emissions</t>
        </is>
      </c>
      <c r="W465" t="b">
        <v>0</v>
      </c>
      <c r="X465" t="inlineStr">
        <is>
          <t>High</t>
        </is>
      </c>
      <c r="Y465" t="inlineStr">
        <is>
          <t>None</t>
        </is>
      </c>
      <c r="Z465" t="n">
        <v>0.95</v>
      </c>
      <c r="AA465" t="inlineStr">
        <is>
          <t>Valid</t>
        </is>
      </c>
    </row>
    <row r="466">
      <c r="A466" t="inlineStr">
        <is>
          <t>SUP-0047</t>
        </is>
      </c>
      <c r="B466" t="inlineStr">
        <is>
          <t>Packaging Supplier 047</t>
        </is>
      </c>
      <c r="C466" t="inlineStr">
        <is>
          <t>Packaging</t>
        </is>
      </c>
      <c r="D466" t="n">
        <v>2019</v>
      </c>
      <c r="E466" t="n">
        <v>21313886.01</v>
      </c>
      <c r="F466" t="n">
        <v>77378386.92</v>
      </c>
      <c r="G466" t="n">
        <v>30584.0262</v>
      </c>
      <c r="H466" t="n">
        <v>5245.6352</v>
      </c>
      <c r="I466" t="n">
        <v>4687.7129</v>
      </c>
      <c r="J466" t="n">
        <v>20932.9098</v>
      </c>
      <c r="K466" t="n">
        <v>2018</v>
      </c>
      <c r="L466" t="n">
        <v>2040</v>
      </c>
      <c r="M466" t="n">
        <v>0.3939</v>
      </c>
      <c r="N466" t="n">
        <v>0.2136</v>
      </c>
      <c r="O466" t="n">
        <v>2018</v>
      </c>
      <c r="P466" t="n">
        <v>2040</v>
      </c>
      <c r="Q466" t="n">
        <v>0.3112</v>
      </c>
      <c r="R466" t="n">
        <v>702.4188</v>
      </c>
      <c r="S466" t="n">
        <v>0.0010803</v>
      </c>
      <c r="T466" t="n">
        <v>0.00078946</v>
      </c>
      <c r="U466" t="n">
        <v>30584.0262</v>
      </c>
      <c r="V466" t="inlineStr">
        <is>
          <t>Supplier Reported Emissions</t>
        </is>
      </c>
      <c r="W466" t="b">
        <v>0</v>
      </c>
      <c r="X466" t="inlineStr">
        <is>
          <t>High</t>
        </is>
      </c>
      <c r="Y466" t="inlineStr">
        <is>
          <t>None</t>
        </is>
      </c>
      <c r="Z466" t="n">
        <v>0.95</v>
      </c>
      <c r="AA466" t="inlineStr">
        <is>
          <t>Valid</t>
        </is>
      </c>
    </row>
    <row r="467">
      <c r="A467" t="inlineStr">
        <is>
          <t>SUP-0047</t>
        </is>
      </c>
      <c r="B467" t="inlineStr">
        <is>
          <t>Packaging Supplier 047</t>
        </is>
      </c>
      <c r="C467" t="inlineStr">
        <is>
          <t>Packaging</t>
        </is>
      </c>
      <c r="D467" t="n">
        <v>2020</v>
      </c>
      <c r="E467" t="n">
        <v>25379788.62</v>
      </c>
      <c r="F467" t="n">
        <v>100445291.64</v>
      </c>
      <c r="G467" t="n">
        <v>42625.7368</v>
      </c>
      <c r="H467" t="n">
        <v>7650.1795</v>
      </c>
      <c r="I467" t="n">
        <v>7370.8916</v>
      </c>
      <c r="J467" t="n">
        <v>26482.3936</v>
      </c>
      <c r="K467" t="n">
        <v>2018</v>
      </c>
      <c r="L467" t="n">
        <v>2040</v>
      </c>
      <c r="M467" t="n">
        <v>0.3939</v>
      </c>
      <c r="N467" t="n">
        <v>0.2136</v>
      </c>
      <c r="O467" t="n">
        <v>2018</v>
      </c>
      <c r="P467" t="n">
        <v>2040</v>
      </c>
      <c r="Q467" t="n">
        <v>0.3112</v>
      </c>
      <c r="R467" t="n">
        <v>702.4188</v>
      </c>
      <c r="S467" t="n">
        <v>0.0010803</v>
      </c>
      <c r="T467" t="n">
        <v>0.00078946</v>
      </c>
      <c r="U467" t="n">
        <v>42625.7368</v>
      </c>
      <c r="V467" t="inlineStr">
        <is>
          <t>Supplier Reported Emissions</t>
        </is>
      </c>
      <c r="W467" t="b">
        <v>0</v>
      </c>
      <c r="X467" t="inlineStr">
        <is>
          <t>High</t>
        </is>
      </c>
      <c r="Y467" t="inlineStr">
        <is>
          <t>None</t>
        </is>
      </c>
      <c r="Z467" t="n">
        <v>0.95</v>
      </c>
      <c r="AA467" t="inlineStr">
        <is>
          <t>Valid</t>
        </is>
      </c>
    </row>
    <row r="468">
      <c r="A468" t="inlineStr">
        <is>
          <t>SUP-0047</t>
        </is>
      </c>
      <c r="B468" t="inlineStr">
        <is>
          <t>Packaging Supplier 047</t>
        </is>
      </c>
      <c r="C468" t="inlineStr">
        <is>
          <t>Packaging</t>
        </is>
      </c>
      <c r="D468" t="n">
        <v>2021</v>
      </c>
      <c r="E468" t="n">
        <v>24249499.68</v>
      </c>
      <c r="F468" t="n">
        <v>113672706.99</v>
      </c>
      <c r="G468" t="n">
        <v>33519.8375</v>
      </c>
      <c r="H468" t="inlineStr"/>
      <c r="I468" t="n">
        <v>3609.9536</v>
      </c>
      <c r="J468" t="n">
        <v>24329.6545</v>
      </c>
      <c r="K468" t="n">
        <v>2018</v>
      </c>
      <c r="L468" t="n">
        <v>2040</v>
      </c>
      <c r="M468" t="n">
        <v>0.3939</v>
      </c>
      <c r="N468" t="n">
        <v>0.2136</v>
      </c>
      <c r="O468" t="n">
        <v>2018</v>
      </c>
      <c r="P468" t="n">
        <v>2040</v>
      </c>
      <c r="Q468" t="n">
        <v>0.3112</v>
      </c>
      <c r="R468" t="n">
        <v>702.4188</v>
      </c>
      <c r="S468" t="n">
        <v>0.0010803</v>
      </c>
      <c r="T468" t="n">
        <v>0.00078946</v>
      </c>
      <c r="U468" t="n">
        <v>33519.8375</v>
      </c>
      <c r="V468" t="inlineStr">
        <is>
          <t>Supplier Reported Emissions</t>
        </is>
      </c>
      <c r="W468" t="b">
        <v>0</v>
      </c>
      <c r="X468" t="inlineStr">
        <is>
          <t>High</t>
        </is>
      </c>
      <c r="Y468" t="inlineStr">
        <is>
          <t>Scope_Emissions</t>
        </is>
      </c>
      <c r="Z468" t="n">
        <v>0.95</v>
      </c>
      <c r="AA468" t="inlineStr">
        <is>
          <t>Valid</t>
        </is>
      </c>
    </row>
    <row r="469">
      <c r="A469" t="inlineStr">
        <is>
          <t>SUP-0047</t>
        </is>
      </c>
      <c r="B469" t="inlineStr">
        <is>
          <t>Packaging Supplier 047</t>
        </is>
      </c>
      <c r="C469" t="inlineStr">
        <is>
          <t>Packaging</t>
        </is>
      </c>
      <c r="D469" t="n">
        <v>2022</v>
      </c>
      <c r="E469" t="n">
        <v>30235371.77</v>
      </c>
      <c r="F469" t="n">
        <v>127260997.11</v>
      </c>
      <c r="G469" t="n">
        <v>46702.4552</v>
      </c>
      <c r="H469" t="n">
        <v>12655.8005</v>
      </c>
      <c r="I469" t="n">
        <v>7254.8754</v>
      </c>
      <c r="J469" t="n">
        <v>26392.423</v>
      </c>
      <c r="K469" t="n">
        <v>2018</v>
      </c>
      <c r="L469" t="n">
        <v>2040</v>
      </c>
      <c r="M469" t="n">
        <v>0.3939</v>
      </c>
      <c r="N469" t="n">
        <v>0.2136</v>
      </c>
      <c r="O469" t="n">
        <v>2018</v>
      </c>
      <c r="P469" t="n">
        <v>2040</v>
      </c>
      <c r="Q469" t="n">
        <v>0.3112</v>
      </c>
      <c r="R469" t="n">
        <v>702.4188</v>
      </c>
      <c r="S469" t="n">
        <v>0.0010803</v>
      </c>
      <c r="T469" t="n">
        <v>0.00078946</v>
      </c>
      <c r="U469" t="n">
        <v>46702.4552</v>
      </c>
      <c r="V469" t="inlineStr">
        <is>
          <t>Supplier Reported Emissions</t>
        </is>
      </c>
      <c r="W469" t="b">
        <v>0</v>
      </c>
      <c r="X469" t="inlineStr">
        <is>
          <t>High</t>
        </is>
      </c>
      <c r="Y469" t="inlineStr">
        <is>
          <t>None</t>
        </is>
      </c>
      <c r="Z469" t="n">
        <v>0.95</v>
      </c>
      <c r="AA469" t="inlineStr">
        <is>
          <t>Valid</t>
        </is>
      </c>
    </row>
    <row r="470">
      <c r="A470" t="inlineStr">
        <is>
          <t>SUP-0047</t>
        </is>
      </c>
      <c r="B470" t="inlineStr">
        <is>
          <t>Packaging Supplier 047</t>
        </is>
      </c>
      <c r="C470" t="inlineStr">
        <is>
          <t>Packaging</t>
        </is>
      </c>
      <c r="D470" t="n">
        <v>2023</v>
      </c>
      <c r="E470" t="n">
        <v>27509248.35</v>
      </c>
      <c r="F470" t="n">
        <v>108386126.58</v>
      </c>
      <c r="G470" t="inlineStr"/>
      <c r="H470" t="n">
        <v>10185.0465</v>
      </c>
      <c r="I470" t="inlineStr"/>
      <c r="J470" t="inlineStr"/>
      <c r="K470" t="n">
        <v>2018</v>
      </c>
      <c r="L470" t="n">
        <v>2040</v>
      </c>
      <c r="M470" t="n">
        <v>0.3939</v>
      </c>
      <c r="N470" t="n">
        <v>0.2136</v>
      </c>
      <c r="O470" t="n">
        <v>2018</v>
      </c>
      <c r="P470" t="n">
        <v>2040</v>
      </c>
      <c r="Q470" t="n">
        <v>0.3112</v>
      </c>
      <c r="R470" t="n">
        <v>702.4188</v>
      </c>
      <c r="S470" t="n">
        <v>0.0010803</v>
      </c>
      <c r="T470" t="n">
        <v>0.00078946</v>
      </c>
      <c r="U470" t="n">
        <v>29718.241</v>
      </c>
      <c r="V470" t="inlineStr">
        <is>
          <t>Spend-Based Estimate</t>
        </is>
      </c>
      <c r="W470" t="b">
        <v>1</v>
      </c>
      <c r="X470" t="inlineStr">
        <is>
          <t>Medium</t>
        </is>
      </c>
      <c r="Y470" t="inlineStr">
        <is>
          <t>Reported_Emissions; Scope_Emissions</t>
        </is>
      </c>
      <c r="Z470" t="n">
        <v>0.7</v>
      </c>
      <c r="AA470" t="inlineStr">
        <is>
          <t>Valid</t>
        </is>
      </c>
    </row>
    <row r="471">
      <c r="A471" t="inlineStr">
        <is>
          <t>SUP-0047</t>
        </is>
      </c>
      <c r="B471" t="inlineStr">
        <is>
          <t>Packaging Supplier 047</t>
        </is>
      </c>
      <c r="C471" t="inlineStr">
        <is>
          <t>Packaging</t>
        </is>
      </c>
      <c r="D471" t="n">
        <v>2024</v>
      </c>
      <c r="E471" t="n">
        <v>34224773.76</v>
      </c>
      <c r="F471" t="inlineStr"/>
      <c r="G471" t="n">
        <v>49116.488</v>
      </c>
      <c r="H471" t="n">
        <v>10460.8548</v>
      </c>
      <c r="I471" t="n">
        <v>9550.4494</v>
      </c>
      <c r="J471" t="n">
        <v>29214.3236</v>
      </c>
      <c r="K471" t="n">
        <v>2018</v>
      </c>
      <c r="L471" t="n">
        <v>2040</v>
      </c>
      <c r="M471" t="n">
        <v>0.3939</v>
      </c>
      <c r="N471" t="n">
        <v>0.2136</v>
      </c>
      <c r="O471" t="n">
        <v>2018</v>
      </c>
      <c r="P471" t="n">
        <v>2040</v>
      </c>
      <c r="Q471" t="n">
        <v>0.3112</v>
      </c>
      <c r="R471" t="n">
        <v>702.4188</v>
      </c>
      <c r="S471" t="n">
        <v>0.0010803</v>
      </c>
      <c r="T471" t="n">
        <v>0.00078946</v>
      </c>
      <c r="U471" t="n">
        <v>49116.488</v>
      </c>
      <c r="V471" t="inlineStr">
        <is>
          <t>Supplier Reported Emissions</t>
        </is>
      </c>
      <c r="W471" t="b">
        <v>0</v>
      </c>
      <c r="X471" t="inlineStr">
        <is>
          <t>High</t>
        </is>
      </c>
      <c r="Y471" t="inlineStr">
        <is>
          <t>Revenue</t>
        </is>
      </c>
      <c r="Z471" t="n">
        <v>0.95</v>
      </c>
      <c r="AA471" t="inlineStr">
        <is>
          <t>Valid</t>
        </is>
      </c>
    </row>
    <row r="472">
      <c r="A472" t="inlineStr">
        <is>
          <t>SUP-0048</t>
        </is>
      </c>
      <c r="B472" t="inlineStr">
        <is>
          <t>Logistics Supplier 048</t>
        </is>
      </c>
      <c r="C472" t="inlineStr">
        <is>
          <t>Logistics</t>
        </is>
      </c>
      <c r="D472" t="n">
        <v>2015</v>
      </c>
      <c r="E472" t="n">
        <v>7002410.02</v>
      </c>
      <c r="F472" t="n">
        <v>21358551.66</v>
      </c>
      <c r="G472" t="n">
        <v>2179.8608</v>
      </c>
      <c r="H472" t="n">
        <v>396.4768</v>
      </c>
      <c r="I472" t="n">
        <v>385.4979</v>
      </c>
      <c r="J472" t="n">
        <v>1349.074</v>
      </c>
      <c r="K472" t="inlineStr"/>
      <c r="L472" t="inlineStr"/>
      <c r="M472" t="inlineStr"/>
      <c r="N472" t="inlineStr"/>
      <c r="O472" t="n">
        <v>2019</v>
      </c>
      <c r="P472" t="n">
        <v>2040</v>
      </c>
      <c r="Q472" t="n">
        <v>0.4616</v>
      </c>
      <c r="R472" t="n">
        <v>591.6386</v>
      </c>
      <c r="S472" t="n">
        <v>0.00022349</v>
      </c>
      <c r="T472" t="n">
        <v>0.00047787</v>
      </c>
      <c r="U472" t="n">
        <v>2179.8608</v>
      </c>
      <c r="V472" t="inlineStr">
        <is>
          <t>Supplier Reported Emissions</t>
        </is>
      </c>
      <c r="W472" t="b">
        <v>0</v>
      </c>
      <c r="X472" t="inlineStr">
        <is>
          <t>High</t>
        </is>
      </c>
      <c r="Y472" t="inlineStr">
        <is>
          <t>None</t>
        </is>
      </c>
      <c r="Z472" t="n">
        <v>0.95</v>
      </c>
      <c r="AA472" t="inlineStr">
        <is>
          <t>Valid</t>
        </is>
      </c>
    </row>
    <row r="473">
      <c r="A473" t="inlineStr">
        <is>
          <t>SUP-0048</t>
        </is>
      </c>
      <c r="B473" t="inlineStr">
        <is>
          <t>Logistics Supplier 048</t>
        </is>
      </c>
      <c r="C473" t="inlineStr">
        <is>
          <t>Logistics</t>
        </is>
      </c>
      <c r="D473" t="n">
        <v>2016</v>
      </c>
      <c r="E473" t="n">
        <v>7459906.05</v>
      </c>
      <c r="F473" t="n">
        <v>21600822.47</v>
      </c>
      <c r="G473" t="inlineStr"/>
      <c r="H473" t="n">
        <v>152.0745</v>
      </c>
      <c r="I473" t="n">
        <v>118.0885</v>
      </c>
      <c r="J473" t="n">
        <v>1681.9017</v>
      </c>
      <c r="K473" t="inlineStr"/>
      <c r="L473" t="inlineStr"/>
      <c r="M473" t="inlineStr"/>
      <c r="N473" t="inlineStr"/>
      <c r="O473" t="n">
        <v>2019</v>
      </c>
      <c r="P473" t="n">
        <v>2040</v>
      </c>
      <c r="Q473" t="n">
        <v>0.4616</v>
      </c>
      <c r="R473" t="n">
        <v>591.6386</v>
      </c>
      <c r="S473" t="n">
        <v>0.00022349</v>
      </c>
      <c r="T473" t="n">
        <v>0.00047787</v>
      </c>
      <c r="U473" t="n">
        <v>1952.0647</v>
      </c>
      <c r="V473" t="inlineStr">
        <is>
          <t>Scope 1 + Scope 2 + Scope 3</t>
        </is>
      </c>
      <c r="W473" t="b">
        <v>1</v>
      </c>
      <c r="X473" t="inlineStr">
        <is>
          <t>High</t>
        </is>
      </c>
      <c r="Y473" t="inlineStr">
        <is>
          <t>Reported_Emissions</t>
        </is>
      </c>
      <c r="Z473" t="n">
        <v>0.88</v>
      </c>
      <c r="AA473" t="inlineStr">
        <is>
          <t>Valid</t>
        </is>
      </c>
    </row>
    <row r="474">
      <c r="A474" t="inlineStr">
        <is>
          <t>SUP-0048</t>
        </is>
      </c>
      <c r="B474" t="inlineStr">
        <is>
          <t>Logistics Supplier 048</t>
        </is>
      </c>
      <c r="C474" t="inlineStr">
        <is>
          <t>Logistics</t>
        </is>
      </c>
      <c r="D474" t="n">
        <v>2017</v>
      </c>
      <c r="E474" t="n">
        <v>7535746.01</v>
      </c>
      <c r="F474" t="n">
        <v>18052003.05</v>
      </c>
      <c r="G474" t="n">
        <v>1949.4645</v>
      </c>
      <c r="H474" t="n">
        <v>408.0641</v>
      </c>
      <c r="I474" t="n">
        <v>456.6539</v>
      </c>
      <c r="J474" t="inlineStr"/>
      <c r="K474" t="inlineStr"/>
      <c r="L474" t="inlineStr"/>
      <c r="M474" t="inlineStr"/>
      <c r="N474" t="inlineStr"/>
      <c r="O474" t="n">
        <v>2019</v>
      </c>
      <c r="P474" t="n">
        <v>2040</v>
      </c>
      <c r="Q474" t="n">
        <v>0.4616</v>
      </c>
      <c r="R474" t="n">
        <v>591.6386</v>
      </c>
      <c r="S474" t="n">
        <v>0.00022349</v>
      </c>
      <c r="T474" t="n">
        <v>0.00047787</v>
      </c>
      <c r="U474" t="n">
        <v>1949.4645</v>
      </c>
      <c r="V474" t="inlineStr">
        <is>
          <t>Supplier Reported Emissions</t>
        </is>
      </c>
      <c r="W474" t="b">
        <v>0</v>
      </c>
      <c r="X474" t="inlineStr">
        <is>
          <t>High</t>
        </is>
      </c>
      <c r="Y474" t="inlineStr">
        <is>
          <t>Scope_Emissions</t>
        </is>
      </c>
      <c r="Z474" t="n">
        <v>0.95</v>
      </c>
      <c r="AA474" t="inlineStr">
        <is>
          <t>Valid</t>
        </is>
      </c>
    </row>
    <row r="475">
      <c r="A475" t="inlineStr">
        <is>
          <t>SUP-0048</t>
        </is>
      </c>
      <c r="B475" t="inlineStr">
        <is>
          <t>Logistics Supplier 048</t>
        </is>
      </c>
      <c r="C475" t="inlineStr">
        <is>
          <t>Logistics</t>
        </is>
      </c>
      <c r="D475" t="n">
        <v>2018</v>
      </c>
      <c r="E475" t="n">
        <v>8046335.19</v>
      </c>
      <c r="F475" t="n">
        <v>20619935.28</v>
      </c>
      <c r="G475" t="inlineStr"/>
      <c r="H475" t="n">
        <v>266.9008</v>
      </c>
      <c r="I475" t="inlineStr"/>
      <c r="J475" t="inlineStr"/>
      <c r="K475" t="inlineStr"/>
      <c r="L475" t="inlineStr"/>
      <c r="M475" t="inlineStr"/>
      <c r="N475" t="inlineStr"/>
      <c r="O475" t="n">
        <v>2019</v>
      </c>
      <c r="P475" t="n">
        <v>2040</v>
      </c>
      <c r="Q475" t="n">
        <v>0.4616</v>
      </c>
      <c r="R475" t="n">
        <v>591.6386</v>
      </c>
      <c r="S475" t="n">
        <v>0.00022349</v>
      </c>
      <c r="T475" t="n">
        <v>0.00047787</v>
      </c>
      <c r="U475" t="n">
        <v>1798.2755</v>
      </c>
      <c r="V475" t="inlineStr">
        <is>
          <t>Spend-Based Estimate</t>
        </is>
      </c>
      <c r="W475" t="b">
        <v>1</v>
      </c>
      <c r="X475" t="inlineStr">
        <is>
          <t>Medium</t>
        </is>
      </c>
      <c r="Y475" t="inlineStr">
        <is>
          <t>Reported_Emissions; Scope_Emissions</t>
        </is>
      </c>
      <c r="Z475" t="n">
        <v>0.7</v>
      </c>
      <c r="AA475" t="inlineStr">
        <is>
          <t>Valid</t>
        </is>
      </c>
    </row>
    <row r="476">
      <c r="A476" t="inlineStr">
        <is>
          <t>SUP-0048</t>
        </is>
      </c>
      <c r="B476" t="inlineStr">
        <is>
          <t>Logistics Supplier 048</t>
        </is>
      </c>
      <c r="C476" t="inlineStr">
        <is>
          <t>Logistics</t>
        </is>
      </c>
      <c r="D476" t="n">
        <v>2019</v>
      </c>
      <c r="E476" t="n">
        <v>7875414.02</v>
      </c>
      <c r="F476" t="n">
        <v>21204610.01</v>
      </c>
      <c r="G476" t="n">
        <v>1918.0186</v>
      </c>
      <c r="H476" t="inlineStr"/>
      <c r="I476" t="n">
        <v>340.2826</v>
      </c>
      <c r="J476" t="n">
        <v>1200.3154</v>
      </c>
      <c r="K476" t="inlineStr"/>
      <c r="L476" t="inlineStr"/>
      <c r="M476" t="inlineStr"/>
      <c r="N476" t="inlineStr"/>
      <c r="O476" t="n">
        <v>2019</v>
      </c>
      <c r="P476" t="n">
        <v>2040</v>
      </c>
      <c r="Q476" t="n">
        <v>0.4616</v>
      </c>
      <c r="R476" t="n">
        <v>591.6386</v>
      </c>
      <c r="S476" t="n">
        <v>0.00022349</v>
      </c>
      <c r="T476" t="n">
        <v>0.00047787</v>
      </c>
      <c r="U476" t="n">
        <v>1918.0186</v>
      </c>
      <c r="V476" t="inlineStr">
        <is>
          <t>Supplier Reported Emissions</t>
        </is>
      </c>
      <c r="W476" t="b">
        <v>0</v>
      </c>
      <c r="X476" t="inlineStr">
        <is>
          <t>High</t>
        </is>
      </c>
      <c r="Y476" t="inlineStr">
        <is>
          <t>Scope_Emissions</t>
        </is>
      </c>
      <c r="Z476" t="n">
        <v>0.95</v>
      </c>
      <c r="AA476" t="inlineStr">
        <is>
          <t>Valid</t>
        </is>
      </c>
    </row>
    <row r="477">
      <c r="A477" t="inlineStr">
        <is>
          <t>SUP-0048</t>
        </is>
      </c>
      <c r="B477" t="inlineStr">
        <is>
          <t>Logistics Supplier 048</t>
        </is>
      </c>
      <c r="C477" t="inlineStr">
        <is>
          <t>Logistics</t>
        </is>
      </c>
      <c r="D477" t="n">
        <v>2020</v>
      </c>
      <c r="E477" t="n">
        <v>6671358.75</v>
      </c>
      <c r="F477" t="n">
        <v>31440264.5</v>
      </c>
      <c r="G477" t="n">
        <v>2319.7229</v>
      </c>
      <c r="H477" t="n">
        <v>371.4298</v>
      </c>
      <c r="I477" t="n">
        <v>280.302</v>
      </c>
      <c r="J477" t="n">
        <v>1624.49</v>
      </c>
      <c r="K477" t="inlineStr"/>
      <c r="L477" t="inlineStr"/>
      <c r="M477" t="inlineStr"/>
      <c r="N477" t="inlineStr"/>
      <c r="O477" t="n">
        <v>2019</v>
      </c>
      <c r="P477" t="n">
        <v>2040</v>
      </c>
      <c r="Q477" t="n">
        <v>0.4616</v>
      </c>
      <c r="R477" t="n">
        <v>591.6386</v>
      </c>
      <c r="S477" t="n">
        <v>0.00022349</v>
      </c>
      <c r="T477" t="n">
        <v>0.00047787</v>
      </c>
      <c r="U477" t="n">
        <v>2319.7229</v>
      </c>
      <c r="V477" t="inlineStr">
        <is>
          <t>Supplier Reported Emissions</t>
        </is>
      </c>
      <c r="W477" t="b">
        <v>0</v>
      </c>
      <c r="X477" t="inlineStr">
        <is>
          <t>High</t>
        </is>
      </c>
      <c r="Y477" t="inlineStr">
        <is>
          <t>None</t>
        </is>
      </c>
      <c r="Z477" t="n">
        <v>0.95</v>
      </c>
      <c r="AA477" t="inlineStr">
        <is>
          <t>Valid</t>
        </is>
      </c>
    </row>
    <row r="478">
      <c r="A478" t="inlineStr">
        <is>
          <t>SUP-0048</t>
        </is>
      </c>
      <c r="B478" t="inlineStr">
        <is>
          <t>Logistics Supplier 048</t>
        </is>
      </c>
      <c r="C478" t="inlineStr">
        <is>
          <t>Logistics</t>
        </is>
      </c>
      <c r="D478" t="n">
        <v>2021</v>
      </c>
      <c r="E478" t="n">
        <v>8361695.47</v>
      </c>
      <c r="F478" t="inlineStr"/>
      <c r="G478" t="inlineStr"/>
      <c r="H478" t="n">
        <v>434.4401</v>
      </c>
      <c r="I478" t="n">
        <v>264.0936</v>
      </c>
      <c r="J478" t="n">
        <v>1622.9657</v>
      </c>
      <c r="K478" t="inlineStr"/>
      <c r="L478" t="inlineStr"/>
      <c r="M478" t="inlineStr"/>
      <c r="N478" t="inlineStr"/>
      <c r="O478" t="n">
        <v>2019</v>
      </c>
      <c r="P478" t="n">
        <v>2040</v>
      </c>
      <c r="Q478" t="n">
        <v>0.4616</v>
      </c>
      <c r="R478" t="n">
        <v>591.6386</v>
      </c>
      <c r="S478" t="n">
        <v>0.00022349</v>
      </c>
      <c r="T478" t="n">
        <v>0.00047787</v>
      </c>
      <c r="U478" t="n">
        <v>2321.4994</v>
      </c>
      <c r="V478" t="inlineStr">
        <is>
          <t>Scope 1 + Scope 2 + Scope 3</t>
        </is>
      </c>
      <c r="W478" t="b">
        <v>1</v>
      </c>
      <c r="X478" t="inlineStr">
        <is>
          <t>High</t>
        </is>
      </c>
      <c r="Y478" t="inlineStr">
        <is>
          <t>Reported_Emissions; Revenue</t>
        </is>
      </c>
      <c r="Z478" t="n">
        <v>0.88</v>
      </c>
      <c r="AA478" t="inlineStr">
        <is>
          <t>Valid</t>
        </is>
      </c>
    </row>
    <row r="479">
      <c r="A479" t="inlineStr">
        <is>
          <t>SUP-0048</t>
        </is>
      </c>
      <c r="B479" t="inlineStr">
        <is>
          <t>Logistics Supplier 048</t>
        </is>
      </c>
      <c r="C479" t="inlineStr">
        <is>
          <t>Logistics</t>
        </is>
      </c>
      <c r="D479" t="n">
        <v>2022</v>
      </c>
      <c r="E479" t="n">
        <v>8779384.949999999</v>
      </c>
      <c r="F479" t="n">
        <v>33316327.31</v>
      </c>
      <c r="G479" t="n">
        <v>2215.53</v>
      </c>
      <c r="H479" t="n">
        <v>465.9464</v>
      </c>
      <c r="I479" t="n">
        <v>378.5885</v>
      </c>
      <c r="J479" t="n">
        <v>1404.353</v>
      </c>
      <c r="K479" t="inlineStr"/>
      <c r="L479" t="inlineStr"/>
      <c r="M479" t="inlineStr"/>
      <c r="N479" t="inlineStr"/>
      <c r="O479" t="n">
        <v>2019</v>
      </c>
      <c r="P479" t="n">
        <v>2040</v>
      </c>
      <c r="Q479" t="n">
        <v>0.4616</v>
      </c>
      <c r="R479" t="n">
        <v>591.6386</v>
      </c>
      <c r="S479" t="n">
        <v>0.00022349</v>
      </c>
      <c r="T479" t="n">
        <v>0.00047787</v>
      </c>
      <c r="U479" t="n">
        <v>2215.53</v>
      </c>
      <c r="V479" t="inlineStr">
        <is>
          <t>Supplier Reported Emissions</t>
        </is>
      </c>
      <c r="W479" t="b">
        <v>0</v>
      </c>
      <c r="X479" t="inlineStr">
        <is>
          <t>High</t>
        </is>
      </c>
      <c r="Y479" t="inlineStr">
        <is>
          <t>None</t>
        </is>
      </c>
      <c r="Z479" t="n">
        <v>0.95</v>
      </c>
      <c r="AA479" t="inlineStr">
        <is>
          <t>Valid</t>
        </is>
      </c>
    </row>
    <row r="480">
      <c r="A480" t="inlineStr">
        <is>
          <t>SUP-0048</t>
        </is>
      </c>
      <c r="B480" t="inlineStr">
        <is>
          <t>Logistics Supplier 048</t>
        </is>
      </c>
      <c r="C480" t="inlineStr">
        <is>
          <t>Logistics</t>
        </is>
      </c>
      <c r="D480" t="n">
        <v>2023</v>
      </c>
      <c r="E480" t="n">
        <v>9116693.869999999</v>
      </c>
      <c r="F480" t="n">
        <v>26024579.27</v>
      </c>
      <c r="G480" t="inlineStr"/>
      <c r="H480" t="n">
        <v>573.5798</v>
      </c>
      <c r="I480" t="n">
        <v>189.4772</v>
      </c>
      <c r="J480" t="n">
        <v>1968.2098</v>
      </c>
      <c r="K480" t="inlineStr"/>
      <c r="L480" t="inlineStr"/>
      <c r="M480" t="inlineStr"/>
      <c r="N480" t="inlineStr"/>
      <c r="O480" t="n">
        <v>2019</v>
      </c>
      <c r="P480" t="n">
        <v>2040</v>
      </c>
      <c r="Q480" t="n">
        <v>0.4616</v>
      </c>
      <c r="R480" t="n">
        <v>591.6386</v>
      </c>
      <c r="S480" t="n">
        <v>0.00022349</v>
      </c>
      <c r="T480" t="n">
        <v>0.00047787</v>
      </c>
      <c r="U480" t="n">
        <v>2731.2668</v>
      </c>
      <c r="V480" t="inlineStr">
        <is>
          <t>Scope 1 + Scope 2 + Scope 3</t>
        </is>
      </c>
      <c r="W480" t="b">
        <v>1</v>
      </c>
      <c r="X480" t="inlineStr">
        <is>
          <t>High</t>
        </is>
      </c>
      <c r="Y480" t="inlineStr">
        <is>
          <t>Reported_Emissions</t>
        </is>
      </c>
      <c r="Z480" t="n">
        <v>0.88</v>
      </c>
      <c r="AA480" t="inlineStr">
        <is>
          <t>Valid</t>
        </is>
      </c>
    </row>
    <row r="481">
      <c r="A481" t="inlineStr">
        <is>
          <t>SUP-0048</t>
        </is>
      </c>
      <c r="B481" t="inlineStr">
        <is>
          <t>Logistics Supplier 048</t>
        </is>
      </c>
      <c r="C481" t="inlineStr">
        <is>
          <t>Logistics</t>
        </is>
      </c>
      <c r="D481" t="n">
        <v>2024</v>
      </c>
      <c r="E481" t="n">
        <v>9186435.67</v>
      </c>
      <c r="F481" t="inlineStr"/>
      <c r="G481" t="inlineStr"/>
      <c r="H481" t="n">
        <v>378.8577</v>
      </c>
      <c r="I481" t="n">
        <v>471.3549</v>
      </c>
      <c r="J481" t="n">
        <v>1497.791</v>
      </c>
      <c r="K481" t="inlineStr"/>
      <c r="L481" t="inlineStr"/>
      <c r="M481" t="inlineStr"/>
      <c r="N481" t="inlineStr"/>
      <c r="O481" t="n">
        <v>2019</v>
      </c>
      <c r="P481" t="n">
        <v>2040</v>
      </c>
      <c r="Q481" t="n">
        <v>0.4616</v>
      </c>
      <c r="R481" t="n">
        <v>591.6386</v>
      </c>
      <c r="S481" t="n">
        <v>0.00022349</v>
      </c>
      <c r="T481" t="n">
        <v>0.00047787</v>
      </c>
      <c r="U481" t="n">
        <v>2348.0036</v>
      </c>
      <c r="V481" t="inlineStr">
        <is>
          <t>Scope 1 + Scope 2 + Scope 3</t>
        </is>
      </c>
      <c r="W481" t="b">
        <v>1</v>
      </c>
      <c r="X481" t="inlineStr">
        <is>
          <t>High</t>
        </is>
      </c>
      <c r="Y481" t="inlineStr">
        <is>
          <t>Reported_Emissions; Revenue</t>
        </is>
      </c>
      <c r="Z481" t="n">
        <v>0.88</v>
      </c>
      <c r="AA481" t="inlineStr">
        <is>
          <t>Valid</t>
        </is>
      </c>
    </row>
    <row r="482">
      <c r="A482" t="inlineStr">
        <is>
          <t>SUP-0049</t>
        </is>
      </c>
      <c r="B482" t="inlineStr">
        <is>
          <t>Logistics Supplier 049</t>
        </is>
      </c>
      <c r="C482" t="inlineStr">
        <is>
          <t>Logistics</t>
        </is>
      </c>
      <c r="D482" t="n">
        <v>2015</v>
      </c>
      <c r="E482" t="n">
        <v>6651665.65</v>
      </c>
      <c r="F482" t="n">
        <v>64917886.01</v>
      </c>
      <c r="G482" t="inlineStr"/>
      <c r="H482" t="n">
        <v>260.0038</v>
      </c>
      <c r="I482" t="n">
        <v>141.3751</v>
      </c>
      <c r="J482" t="n">
        <v>844.4025</v>
      </c>
      <c r="K482" t="n">
        <v>2019</v>
      </c>
      <c r="L482" t="n">
        <v>2030</v>
      </c>
      <c r="M482" t="n">
        <v>0.236</v>
      </c>
      <c r="N482" t="n">
        <v>0.1422</v>
      </c>
      <c r="O482" t="n">
        <v>2019</v>
      </c>
      <c r="P482" t="n">
        <v>2040</v>
      </c>
      <c r="Q482" t="n">
        <v>0.4616</v>
      </c>
      <c r="R482" t="n">
        <v>591.6386</v>
      </c>
      <c r="S482" t="n">
        <v>0.00022349</v>
      </c>
      <c r="T482" t="n">
        <v>0.00047787</v>
      </c>
      <c r="U482" t="n">
        <v>1245.7814</v>
      </c>
      <c r="V482" t="inlineStr">
        <is>
          <t>Scope 1 + Scope 2 + Scope 3</t>
        </is>
      </c>
      <c r="W482" t="b">
        <v>1</v>
      </c>
      <c r="X482" t="inlineStr">
        <is>
          <t>High</t>
        </is>
      </c>
      <c r="Y482" t="inlineStr">
        <is>
          <t>Reported_Emissions</t>
        </is>
      </c>
      <c r="Z482" t="n">
        <v>0.88</v>
      </c>
      <c r="AA482" t="inlineStr">
        <is>
          <t>Valid</t>
        </is>
      </c>
    </row>
    <row r="483">
      <c r="A483" t="inlineStr">
        <is>
          <t>SUP-0049</t>
        </is>
      </c>
      <c r="B483" t="inlineStr">
        <is>
          <t>Logistics Supplier 049</t>
        </is>
      </c>
      <c r="C483" t="inlineStr">
        <is>
          <t>Logistics</t>
        </is>
      </c>
      <c r="D483" t="n">
        <v>2016</v>
      </c>
      <c r="E483" t="n">
        <v>7715121.89</v>
      </c>
      <c r="F483" t="n">
        <v>55062172.49</v>
      </c>
      <c r="G483" t="n">
        <v>1057.3056</v>
      </c>
      <c r="H483" t="n">
        <v>218.1597</v>
      </c>
      <c r="I483" t="inlineStr"/>
      <c r="J483" t="inlineStr"/>
      <c r="K483" t="n">
        <v>2019</v>
      </c>
      <c r="L483" t="n">
        <v>2030</v>
      </c>
      <c r="M483" t="n">
        <v>0.236</v>
      </c>
      <c r="N483" t="n">
        <v>0.1422</v>
      </c>
      <c r="O483" t="n">
        <v>2019</v>
      </c>
      <c r="P483" t="n">
        <v>2040</v>
      </c>
      <c r="Q483" t="n">
        <v>0.4616</v>
      </c>
      <c r="R483" t="n">
        <v>591.6386</v>
      </c>
      <c r="S483" t="n">
        <v>0.00022349</v>
      </c>
      <c r="T483" t="n">
        <v>0.00047787</v>
      </c>
      <c r="U483" t="n">
        <v>1057.3056</v>
      </c>
      <c r="V483" t="inlineStr">
        <is>
          <t>Supplier Reported Emissions</t>
        </is>
      </c>
      <c r="W483" t="b">
        <v>0</v>
      </c>
      <c r="X483" t="inlineStr">
        <is>
          <t>High</t>
        </is>
      </c>
      <c r="Y483" t="inlineStr">
        <is>
          <t>Scope_Emissions</t>
        </is>
      </c>
      <c r="Z483" t="n">
        <v>0.95</v>
      </c>
      <c r="AA483" t="inlineStr">
        <is>
          <t>Valid</t>
        </is>
      </c>
    </row>
    <row r="484">
      <c r="A484" t="inlineStr">
        <is>
          <t>SUP-0049</t>
        </is>
      </c>
      <c r="B484" t="inlineStr">
        <is>
          <t>Logistics Supplier 049</t>
        </is>
      </c>
      <c r="C484" t="inlineStr">
        <is>
          <t>Logistics</t>
        </is>
      </c>
      <c r="D484" t="n">
        <v>2017</v>
      </c>
      <c r="E484" t="n">
        <v>7517625.9</v>
      </c>
      <c r="F484" t="inlineStr"/>
      <c r="G484" t="inlineStr"/>
      <c r="H484" t="inlineStr"/>
      <c r="I484" t="n">
        <v>207.6666</v>
      </c>
      <c r="J484" t="n">
        <v>720.3459</v>
      </c>
      <c r="K484" t="n">
        <v>2019</v>
      </c>
      <c r="L484" t="n">
        <v>2030</v>
      </c>
      <c r="M484" t="n">
        <v>0.236</v>
      </c>
      <c r="N484" t="n">
        <v>0.1422</v>
      </c>
      <c r="O484" t="n">
        <v>2019</v>
      </c>
      <c r="P484" t="n">
        <v>2040</v>
      </c>
      <c r="Q484" t="n">
        <v>0.4616</v>
      </c>
      <c r="R484" t="n">
        <v>591.6386</v>
      </c>
      <c r="S484" t="n">
        <v>0.00022349</v>
      </c>
      <c r="T484" t="n">
        <v>0.00047787</v>
      </c>
      <c r="U484" t="n">
        <v>1680.1142</v>
      </c>
      <c r="V484" t="inlineStr">
        <is>
          <t>Spend-Based Estimate</t>
        </is>
      </c>
      <c r="W484" t="b">
        <v>1</v>
      </c>
      <c r="X484" t="inlineStr">
        <is>
          <t>Medium</t>
        </is>
      </c>
      <c r="Y484" t="inlineStr">
        <is>
          <t>Reported_Emissions; Revenue; Scope_Emissions</t>
        </is>
      </c>
      <c r="Z484" t="n">
        <v>0.7</v>
      </c>
      <c r="AA484" t="inlineStr">
        <is>
          <t>Valid</t>
        </is>
      </c>
    </row>
    <row r="485">
      <c r="A485" t="inlineStr">
        <is>
          <t>SUP-0049</t>
        </is>
      </c>
      <c r="B485" t="inlineStr">
        <is>
          <t>Logistics Supplier 049</t>
        </is>
      </c>
      <c r="C485" t="inlineStr">
        <is>
          <t>Logistics</t>
        </is>
      </c>
      <c r="D485" t="n">
        <v>2018</v>
      </c>
      <c r="E485" t="inlineStr"/>
      <c r="F485" t="inlineStr"/>
      <c r="G485" t="n">
        <v>1132.4652</v>
      </c>
      <c r="H485" t="n">
        <v>168.6916</v>
      </c>
      <c r="I485" t="n">
        <v>93.0234</v>
      </c>
      <c r="J485" t="inlineStr"/>
      <c r="K485" t="n">
        <v>2019</v>
      </c>
      <c r="L485" t="n">
        <v>2030</v>
      </c>
      <c r="M485" t="n">
        <v>0.236</v>
      </c>
      <c r="N485" t="n">
        <v>0.1422</v>
      </c>
      <c r="O485" t="n">
        <v>2019</v>
      </c>
      <c r="P485" t="n">
        <v>2040</v>
      </c>
      <c r="Q485" t="n">
        <v>0.4616</v>
      </c>
      <c r="R485" t="n">
        <v>591.6386</v>
      </c>
      <c r="S485" t="n">
        <v>0.00022349</v>
      </c>
      <c r="T485" t="n">
        <v>0.00047787</v>
      </c>
      <c r="U485" t="n">
        <v>1132.4652</v>
      </c>
      <c r="V485" t="inlineStr">
        <is>
          <t>Supplier Reported Emissions</t>
        </is>
      </c>
      <c r="W485" t="b">
        <v>0</v>
      </c>
      <c r="X485" t="inlineStr">
        <is>
          <t>High</t>
        </is>
      </c>
      <c r="Y485" t="inlineStr">
        <is>
          <t>Gross_Spend; Revenue; Scope_Emissions</t>
        </is>
      </c>
      <c r="Z485" t="n">
        <v>0.95</v>
      </c>
      <c r="AA485" t="inlineStr">
        <is>
          <t>Valid</t>
        </is>
      </c>
    </row>
    <row r="486">
      <c r="A486" t="inlineStr">
        <is>
          <t>SUP-0049</t>
        </is>
      </c>
      <c r="B486" t="inlineStr">
        <is>
          <t>Logistics Supplier 049</t>
        </is>
      </c>
      <c r="C486" t="inlineStr">
        <is>
          <t>Logistics</t>
        </is>
      </c>
      <c r="D486" t="n">
        <v>2019</v>
      </c>
      <c r="E486" t="n">
        <v>6792509.93</v>
      </c>
      <c r="F486" t="n">
        <v>54673104.61</v>
      </c>
      <c r="G486" t="inlineStr"/>
      <c r="H486" t="n">
        <v>215.6403</v>
      </c>
      <c r="I486" t="n">
        <v>57.0781</v>
      </c>
      <c r="J486" t="n">
        <v>691.0925999999999</v>
      </c>
      <c r="K486" t="n">
        <v>2019</v>
      </c>
      <c r="L486" t="n">
        <v>2030</v>
      </c>
      <c r="M486" t="n">
        <v>0.236</v>
      </c>
      <c r="N486" t="n">
        <v>0.1422</v>
      </c>
      <c r="O486" t="n">
        <v>2019</v>
      </c>
      <c r="P486" t="n">
        <v>2040</v>
      </c>
      <c r="Q486" t="n">
        <v>0.4616</v>
      </c>
      <c r="R486" t="n">
        <v>591.6386</v>
      </c>
      <c r="S486" t="n">
        <v>0.00022349</v>
      </c>
      <c r="T486" t="n">
        <v>0.00047787</v>
      </c>
      <c r="U486" t="n">
        <v>963.811</v>
      </c>
      <c r="V486" t="inlineStr">
        <is>
          <t>Scope 1 + Scope 2 + Scope 3</t>
        </is>
      </c>
      <c r="W486" t="b">
        <v>1</v>
      </c>
      <c r="X486" t="inlineStr">
        <is>
          <t>High</t>
        </is>
      </c>
      <c r="Y486" t="inlineStr">
        <is>
          <t>Reported_Emissions</t>
        </is>
      </c>
      <c r="Z486" t="n">
        <v>0.88</v>
      </c>
      <c r="AA486" t="inlineStr">
        <is>
          <t>Valid</t>
        </is>
      </c>
    </row>
    <row r="487">
      <c r="A487" t="inlineStr">
        <is>
          <t>SUP-0049</t>
        </is>
      </c>
      <c r="B487" t="inlineStr">
        <is>
          <t>Logistics Supplier 049</t>
        </is>
      </c>
      <c r="C487" t="inlineStr">
        <is>
          <t>Logistics</t>
        </is>
      </c>
      <c r="D487" t="n">
        <v>2020</v>
      </c>
      <c r="E487" t="n">
        <v>7203067.52</v>
      </c>
      <c r="F487" t="inlineStr"/>
      <c r="G487" t="inlineStr"/>
      <c r="H487" t="n">
        <v>160.1828</v>
      </c>
      <c r="I487" t="n">
        <v>101.2874</v>
      </c>
      <c r="J487" t="n">
        <v>855.6123</v>
      </c>
      <c r="K487" t="n">
        <v>2019</v>
      </c>
      <c r="L487" t="n">
        <v>2030</v>
      </c>
      <c r="M487" t="n">
        <v>0.236</v>
      </c>
      <c r="N487" t="n">
        <v>0.1422</v>
      </c>
      <c r="O487" t="n">
        <v>2019</v>
      </c>
      <c r="P487" t="n">
        <v>2040</v>
      </c>
      <c r="Q487" t="n">
        <v>0.4616</v>
      </c>
      <c r="R487" t="n">
        <v>591.6386</v>
      </c>
      <c r="S487" t="n">
        <v>0.00022349</v>
      </c>
      <c r="T487" t="n">
        <v>0.00047787</v>
      </c>
      <c r="U487" t="n">
        <v>1117.0825</v>
      </c>
      <c r="V487" t="inlineStr">
        <is>
          <t>Scope 1 + Scope 2 + Scope 3</t>
        </is>
      </c>
      <c r="W487" t="b">
        <v>1</v>
      </c>
      <c r="X487" t="inlineStr">
        <is>
          <t>High</t>
        </is>
      </c>
      <c r="Y487" t="inlineStr">
        <is>
          <t>Reported_Emissions; Revenue</t>
        </is>
      </c>
      <c r="Z487" t="n">
        <v>0.88</v>
      </c>
      <c r="AA487" t="inlineStr">
        <is>
          <t>Valid</t>
        </is>
      </c>
    </row>
    <row r="488">
      <c r="A488" t="inlineStr">
        <is>
          <t>SUP-0049</t>
        </is>
      </c>
      <c r="B488" t="inlineStr">
        <is>
          <t>Logistics Supplier 049</t>
        </is>
      </c>
      <c r="C488" t="inlineStr">
        <is>
          <t>Logistics</t>
        </is>
      </c>
      <c r="D488" t="n">
        <v>2021</v>
      </c>
      <c r="E488" t="n">
        <v>7787991.45</v>
      </c>
      <c r="F488" t="n">
        <v>70114277.38</v>
      </c>
      <c r="G488" t="n">
        <v>1376.2951</v>
      </c>
      <c r="H488" t="n">
        <v>202.7989</v>
      </c>
      <c r="I488" t="n">
        <v>220.4617</v>
      </c>
      <c r="J488" t="inlineStr"/>
      <c r="K488" t="n">
        <v>2019</v>
      </c>
      <c r="L488" t="n">
        <v>2030</v>
      </c>
      <c r="M488" t="n">
        <v>0.236</v>
      </c>
      <c r="N488" t="n">
        <v>0.1422</v>
      </c>
      <c r="O488" t="n">
        <v>2019</v>
      </c>
      <c r="P488" t="n">
        <v>2040</v>
      </c>
      <c r="Q488" t="n">
        <v>0.4616</v>
      </c>
      <c r="R488" t="n">
        <v>591.6386</v>
      </c>
      <c r="S488" t="n">
        <v>0.00022349</v>
      </c>
      <c r="T488" t="n">
        <v>0.00047787</v>
      </c>
      <c r="U488" t="n">
        <v>1376.2951</v>
      </c>
      <c r="V488" t="inlineStr">
        <is>
          <t>Supplier Reported Emissions</t>
        </is>
      </c>
      <c r="W488" t="b">
        <v>0</v>
      </c>
      <c r="X488" t="inlineStr">
        <is>
          <t>High</t>
        </is>
      </c>
      <c r="Y488" t="inlineStr">
        <is>
          <t>Scope_Emissions</t>
        </is>
      </c>
      <c r="Z488" t="n">
        <v>0.95</v>
      </c>
      <c r="AA488" t="inlineStr">
        <is>
          <t>Valid</t>
        </is>
      </c>
    </row>
    <row r="489">
      <c r="A489" t="inlineStr">
        <is>
          <t>SUP-0049</t>
        </is>
      </c>
      <c r="B489" t="inlineStr">
        <is>
          <t>Logistics Supplier 049</t>
        </is>
      </c>
      <c r="C489" t="inlineStr">
        <is>
          <t>Logistics</t>
        </is>
      </c>
      <c r="D489" t="n">
        <v>2022</v>
      </c>
      <c r="E489" t="n">
        <v>7466487.41</v>
      </c>
      <c r="F489" t="n">
        <v>70879654.94</v>
      </c>
      <c r="G489" t="n">
        <v>1301.3245</v>
      </c>
      <c r="H489" t="n">
        <v>128.9304</v>
      </c>
      <c r="I489" t="inlineStr"/>
      <c r="J489" t="inlineStr"/>
      <c r="K489" t="n">
        <v>2019</v>
      </c>
      <c r="L489" t="n">
        <v>2030</v>
      </c>
      <c r="M489" t="n">
        <v>0.236</v>
      </c>
      <c r="N489" t="n">
        <v>0.1422</v>
      </c>
      <c r="O489" t="n">
        <v>2019</v>
      </c>
      <c r="P489" t="n">
        <v>2040</v>
      </c>
      <c r="Q489" t="n">
        <v>0.4616</v>
      </c>
      <c r="R489" t="n">
        <v>591.6386</v>
      </c>
      <c r="S489" t="n">
        <v>0.00022349</v>
      </c>
      <c r="T489" t="n">
        <v>0.00047787</v>
      </c>
      <c r="U489" t="n">
        <v>1301.3245</v>
      </c>
      <c r="V489" t="inlineStr">
        <is>
          <t>Supplier Reported Emissions</t>
        </is>
      </c>
      <c r="W489" t="b">
        <v>0</v>
      </c>
      <c r="X489" t="inlineStr">
        <is>
          <t>High</t>
        </is>
      </c>
      <c r="Y489" t="inlineStr">
        <is>
          <t>Scope_Emissions</t>
        </is>
      </c>
      <c r="Z489" t="n">
        <v>0.95</v>
      </c>
      <c r="AA489" t="inlineStr">
        <is>
          <t>Valid</t>
        </is>
      </c>
    </row>
    <row r="490">
      <c r="A490" t="inlineStr">
        <is>
          <t>SUP-0049</t>
        </is>
      </c>
      <c r="B490" t="inlineStr">
        <is>
          <t>Logistics Supplier 049</t>
        </is>
      </c>
      <c r="C490" t="inlineStr">
        <is>
          <t>Logistics</t>
        </is>
      </c>
      <c r="D490" t="n">
        <v>2023</v>
      </c>
      <c r="E490" t="n">
        <v>7120335.6</v>
      </c>
      <c r="F490" t="n">
        <v>59369250.66</v>
      </c>
      <c r="G490" t="inlineStr"/>
      <c r="H490" t="n">
        <v>205.5944</v>
      </c>
      <c r="I490" t="n">
        <v>165.9286</v>
      </c>
      <c r="J490" t="n">
        <v>503.3381</v>
      </c>
      <c r="K490" t="n">
        <v>2019</v>
      </c>
      <c r="L490" t="n">
        <v>2030</v>
      </c>
      <c r="M490" t="n">
        <v>0.236</v>
      </c>
      <c r="N490" t="n">
        <v>0.1422</v>
      </c>
      <c r="O490" t="n">
        <v>2019</v>
      </c>
      <c r="P490" t="n">
        <v>2040</v>
      </c>
      <c r="Q490" t="n">
        <v>0.4616</v>
      </c>
      <c r="R490" t="n">
        <v>591.6386</v>
      </c>
      <c r="S490" t="n">
        <v>0.00022349</v>
      </c>
      <c r="T490" t="n">
        <v>0.00047787</v>
      </c>
      <c r="U490" t="n">
        <v>874.8611</v>
      </c>
      <c r="V490" t="inlineStr">
        <is>
          <t>Scope 1 + Scope 2 + Scope 3</t>
        </is>
      </c>
      <c r="W490" t="b">
        <v>1</v>
      </c>
      <c r="X490" t="inlineStr">
        <is>
          <t>High</t>
        </is>
      </c>
      <c r="Y490" t="inlineStr">
        <is>
          <t>Reported_Emissions</t>
        </is>
      </c>
      <c r="Z490" t="n">
        <v>0.88</v>
      </c>
      <c r="AA490" t="inlineStr">
        <is>
          <t>Valid</t>
        </is>
      </c>
    </row>
    <row r="491">
      <c r="A491" t="inlineStr">
        <is>
          <t>SUP-0049</t>
        </is>
      </c>
      <c r="B491" t="inlineStr">
        <is>
          <t>Logistics Supplier 049</t>
        </is>
      </c>
      <c r="C491" t="inlineStr">
        <is>
          <t>Logistics</t>
        </is>
      </c>
      <c r="D491" t="n">
        <v>2024</v>
      </c>
      <c r="E491" t="n">
        <v>7710892.64</v>
      </c>
      <c r="F491" t="n">
        <v>59733845.05</v>
      </c>
      <c r="G491" t="n">
        <v>1168.5577</v>
      </c>
      <c r="H491" t="inlineStr"/>
      <c r="I491" t="n">
        <v>170.241</v>
      </c>
      <c r="J491" t="inlineStr"/>
      <c r="K491" t="n">
        <v>2019</v>
      </c>
      <c r="L491" t="n">
        <v>2030</v>
      </c>
      <c r="M491" t="n">
        <v>0.236</v>
      </c>
      <c r="N491" t="n">
        <v>0.1422</v>
      </c>
      <c r="O491" t="n">
        <v>2019</v>
      </c>
      <c r="P491" t="n">
        <v>2040</v>
      </c>
      <c r="Q491" t="n">
        <v>0.4616</v>
      </c>
      <c r="R491" t="n">
        <v>591.6386</v>
      </c>
      <c r="S491" t="n">
        <v>0.00022349</v>
      </c>
      <c r="T491" t="n">
        <v>0.00047787</v>
      </c>
      <c r="U491" t="n">
        <v>1168.5577</v>
      </c>
      <c r="V491" t="inlineStr">
        <is>
          <t>Supplier Reported Emissions</t>
        </is>
      </c>
      <c r="W491" t="b">
        <v>0</v>
      </c>
      <c r="X491" t="inlineStr">
        <is>
          <t>High</t>
        </is>
      </c>
      <c r="Y491" t="inlineStr">
        <is>
          <t>Scope_Emissions</t>
        </is>
      </c>
      <c r="Z491" t="n">
        <v>0.95</v>
      </c>
      <c r="AA491" t="inlineStr">
        <is>
          <t>Valid</t>
        </is>
      </c>
    </row>
    <row r="492">
      <c r="A492" t="inlineStr">
        <is>
          <t>SUP-0050</t>
        </is>
      </c>
      <c r="B492" t="inlineStr">
        <is>
          <t>Electronics Supplier 050</t>
        </is>
      </c>
      <c r="C492" t="inlineStr">
        <is>
          <t>Electronics</t>
        </is>
      </c>
      <c r="D492" t="n">
        <v>2015</v>
      </c>
      <c r="E492" t="n">
        <v>12594802.95</v>
      </c>
      <c r="F492" t="n">
        <v>22189244.07</v>
      </c>
      <c r="G492" t="n">
        <v>11485.1549</v>
      </c>
      <c r="H492" t="n">
        <v>3351.4062</v>
      </c>
      <c r="I492" t="n">
        <v>1264.3772</v>
      </c>
      <c r="J492" t="n">
        <v>7120.6816</v>
      </c>
      <c r="K492" t="inlineStr"/>
      <c r="L492" t="inlineStr"/>
      <c r="M492" t="inlineStr"/>
      <c r="N492" t="inlineStr"/>
      <c r="O492" t="n">
        <v>2018</v>
      </c>
      <c r="P492" t="n">
        <v>2040</v>
      </c>
      <c r="Q492" t="n">
        <v>0.3424</v>
      </c>
      <c r="R492" t="n">
        <v>635.1588</v>
      </c>
      <c r="S492" t="n">
        <v>0.00086105</v>
      </c>
      <c r="T492" t="n">
        <v>0.00013947</v>
      </c>
      <c r="U492" t="n">
        <v>11485.1549</v>
      </c>
      <c r="V492" t="inlineStr">
        <is>
          <t>Supplier Reported Emissions</t>
        </is>
      </c>
      <c r="W492" t="b">
        <v>0</v>
      </c>
      <c r="X492" t="inlineStr">
        <is>
          <t>High</t>
        </is>
      </c>
      <c r="Y492" t="inlineStr">
        <is>
          <t>None</t>
        </is>
      </c>
      <c r="Z492" t="n">
        <v>0.95</v>
      </c>
      <c r="AA492" t="inlineStr">
        <is>
          <t>Valid</t>
        </is>
      </c>
    </row>
    <row r="493">
      <c r="A493" t="inlineStr">
        <is>
          <t>SUP-0050</t>
        </is>
      </c>
      <c r="B493" t="inlineStr">
        <is>
          <t>Electronics Supplier 050</t>
        </is>
      </c>
      <c r="C493" t="inlineStr">
        <is>
          <t>Electronics</t>
        </is>
      </c>
      <c r="D493" t="n">
        <v>2016</v>
      </c>
      <c r="E493" t="n">
        <v>16467668.67</v>
      </c>
      <c r="F493" t="n">
        <v>20340736.79</v>
      </c>
      <c r="G493" t="n">
        <v>20062.763</v>
      </c>
      <c r="H493" t="n">
        <v>1733.4955</v>
      </c>
      <c r="I493" t="inlineStr"/>
      <c r="J493" t="n">
        <v>14325.629</v>
      </c>
      <c r="K493" t="inlineStr"/>
      <c r="L493" t="inlineStr"/>
      <c r="M493" t="inlineStr"/>
      <c r="N493" t="inlineStr"/>
      <c r="O493" t="n">
        <v>2018</v>
      </c>
      <c r="P493" t="n">
        <v>2040</v>
      </c>
      <c r="Q493" t="n">
        <v>0.3424</v>
      </c>
      <c r="R493" t="n">
        <v>635.1588</v>
      </c>
      <c r="S493" t="n">
        <v>0.00086105</v>
      </c>
      <c r="T493" t="n">
        <v>0.00013947</v>
      </c>
      <c r="U493" t="n">
        <v>20062.763</v>
      </c>
      <c r="V493" t="inlineStr">
        <is>
          <t>Supplier Reported Emissions</t>
        </is>
      </c>
      <c r="W493" t="b">
        <v>0</v>
      </c>
      <c r="X493" t="inlineStr">
        <is>
          <t>High</t>
        </is>
      </c>
      <c r="Y493" t="inlineStr">
        <is>
          <t>Scope_Emissions</t>
        </is>
      </c>
      <c r="Z493" t="n">
        <v>0.95</v>
      </c>
      <c r="AA493" t="inlineStr">
        <is>
          <t>Valid</t>
        </is>
      </c>
    </row>
    <row r="494">
      <c r="A494" t="inlineStr">
        <is>
          <t>SUP-0050</t>
        </is>
      </c>
      <c r="B494" t="inlineStr">
        <is>
          <t>Electronics Supplier 050</t>
        </is>
      </c>
      <c r="C494" t="inlineStr">
        <is>
          <t>Electronics</t>
        </is>
      </c>
      <c r="D494" t="n">
        <v>2017</v>
      </c>
      <c r="E494" t="n">
        <v>16937501.77</v>
      </c>
      <c r="F494" t="n">
        <v>22810228.96</v>
      </c>
      <c r="G494" t="inlineStr"/>
      <c r="H494" t="n">
        <v>3672.0869</v>
      </c>
      <c r="I494" t="n">
        <v>2257.9867</v>
      </c>
      <c r="J494" t="inlineStr"/>
      <c r="K494" t="inlineStr"/>
      <c r="L494" t="inlineStr"/>
      <c r="M494" t="inlineStr"/>
      <c r="N494" t="inlineStr"/>
      <c r="O494" t="n">
        <v>2018</v>
      </c>
      <c r="P494" t="n">
        <v>2040</v>
      </c>
      <c r="Q494" t="n">
        <v>0.3424</v>
      </c>
      <c r="R494" t="n">
        <v>635.1588</v>
      </c>
      <c r="S494" t="n">
        <v>0.00086105</v>
      </c>
      <c r="T494" t="n">
        <v>0.00013947</v>
      </c>
      <c r="U494" t="n">
        <v>14584.0359</v>
      </c>
      <c r="V494" t="inlineStr">
        <is>
          <t>Spend-Based Estimate</t>
        </is>
      </c>
      <c r="W494" t="b">
        <v>1</v>
      </c>
      <c r="X494" t="inlineStr">
        <is>
          <t>Medium</t>
        </is>
      </c>
      <c r="Y494" t="inlineStr">
        <is>
          <t>Reported_Emissions; Scope_Emissions</t>
        </is>
      </c>
      <c r="Z494" t="n">
        <v>0.7</v>
      </c>
      <c r="AA494" t="inlineStr">
        <is>
          <t>Valid</t>
        </is>
      </c>
    </row>
    <row r="495">
      <c r="A495" t="inlineStr">
        <is>
          <t>SUP-0050</t>
        </is>
      </c>
      <c r="B495" t="inlineStr">
        <is>
          <t>Electronics Supplier 050</t>
        </is>
      </c>
      <c r="C495" t="inlineStr">
        <is>
          <t>Electronics</t>
        </is>
      </c>
      <c r="D495" t="n">
        <v>2018</v>
      </c>
      <c r="E495" t="inlineStr"/>
      <c r="F495" t="n">
        <v>21119097.1</v>
      </c>
      <c r="G495" t="n">
        <v>15348.8864</v>
      </c>
      <c r="H495" t="n">
        <v>3874.9612</v>
      </c>
      <c r="I495" t="n">
        <v>2405.2194</v>
      </c>
      <c r="J495" t="n">
        <v>8911.8778</v>
      </c>
      <c r="K495" t="inlineStr"/>
      <c r="L495" t="inlineStr"/>
      <c r="M495" t="inlineStr"/>
      <c r="N495" t="inlineStr"/>
      <c r="O495" t="n">
        <v>2018</v>
      </c>
      <c r="P495" t="n">
        <v>2040</v>
      </c>
      <c r="Q495" t="n">
        <v>0.3424</v>
      </c>
      <c r="R495" t="n">
        <v>635.1588</v>
      </c>
      <c r="S495" t="n">
        <v>0.00086105</v>
      </c>
      <c r="T495" t="n">
        <v>0.00013947</v>
      </c>
      <c r="U495" t="n">
        <v>15348.8864</v>
      </c>
      <c r="V495" t="inlineStr">
        <is>
          <t>Supplier Reported Emissions</t>
        </is>
      </c>
      <c r="W495" t="b">
        <v>0</v>
      </c>
      <c r="X495" t="inlineStr">
        <is>
          <t>High</t>
        </is>
      </c>
      <c r="Y495" t="inlineStr">
        <is>
          <t>Gross_Spend</t>
        </is>
      </c>
      <c r="Z495" t="n">
        <v>0.95</v>
      </c>
      <c r="AA495" t="inlineStr">
        <is>
          <t>Valid</t>
        </is>
      </c>
    </row>
    <row r="496">
      <c r="A496" t="inlineStr">
        <is>
          <t>SUP-0050</t>
        </is>
      </c>
      <c r="B496" t="inlineStr">
        <is>
          <t>Electronics Supplier 050</t>
        </is>
      </c>
      <c r="C496" t="inlineStr">
        <is>
          <t>Electronics</t>
        </is>
      </c>
      <c r="D496" t="n">
        <v>2019</v>
      </c>
      <c r="E496" t="n">
        <v>18117850.26</v>
      </c>
      <c r="F496" t="inlineStr"/>
      <c r="G496" t="n">
        <v>17806.7625</v>
      </c>
      <c r="H496" t="inlineStr"/>
      <c r="I496" t="inlineStr"/>
      <c r="J496" t="n">
        <v>13361.5198</v>
      </c>
      <c r="K496" t="inlineStr"/>
      <c r="L496" t="inlineStr"/>
      <c r="M496" t="inlineStr"/>
      <c r="N496" t="inlineStr"/>
      <c r="O496" t="n">
        <v>2018</v>
      </c>
      <c r="P496" t="n">
        <v>2040</v>
      </c>
      <c r="Q496" t="n">
        <v>0.3424</v>
      </c>
      <c r="R496" t="n">
        <v>635.1588</v>
      </c>
      <c r="S496" t="n">
        <v>0.00086105</v>
      </c>
      <c r="T496" t="n">
        <v>0.00013947</v>
      </c>
      <c r="U496" t="n">
        <v>17806.7625</v>
      </c>
      <c r="V496" t="inlineStr">
        <is>
          <t>Supplier Reported Emissions</t>
        </is>
      </c>
      <c r="W496" t="b">
        <v>0</v>
      </c>
      <c r="X496" t="inlineStr">
        <is>
          <t>High</t>
        </is>
      </c>
      <c r="Y496" t="inlineStr">
        <is>
          <t>Revenue; Scope_Emissions</t>
        </is>
      </c>
      <c r="Z496" t="n">
        <v>0.95</v>
      </c>
      <c r="AA496" t="inlineStr">
        <is>
          <t>Valid</t>
        </is>
      </c>
    </row>
    <row r="497">
      <c r="A497" t="inlineStr">
        <is>
          <t>SUP-0050</t>
        </is>
      </c>
      <c r="B497" t="inlineStr">
        <is>
          <t>Electronics Supplier 050</t>
        </is>
      </c>
      <c r="C497" t="inlineStr">
        <is>
          <t>Electronics</t>
        </is>
      </c>
      <c r="D497" t="n">
        <v>2020</v>
      </c>
      <c r="E497" t="n">
        <v>22474176.68</v>
      </c>
      <c r="F497" t="n">
        <v>29737763.94</v>
      </c>
      <c r="G497" t="inlineStr"/>
      <c r="H497" t="n">
        <v>3867.5767</v>
      </c>
      <c r="I497" t="n">
        <v>1940.0729</v>
      </c>
      <c r="J497" t="n">
        <v>19224.9918</v>
      </c>
      <c r="K497" t="inlineStr"/>
      <c r="L497" t="inlineStr"/>
      <c r="M497" t="inlineStr"/>
      <c r="N497" t="inlineStr"/>
      <c r="O497" t="n">
        <v>2018</v>
      </c>
      <c r="P497" t="n">
        <v>2040</v>
      </c>
      <c r="Q497" t="n">
        <v>0.3424</v>
      </c>
      <c r="R497" t="n">
        <v>635.1588</v>
      </c>
      <c r="S497" t="n">
        <v>0.00086105</v>
      </c>
      <c r="T497" t="n">
        <v>0.00013947</v>
      </c>
      <c r="U497" t="n">
        <v>25032.6414</v>
      </c>
      <c r="V497" t="inlineStr">
        <is>
          <t>Scope 1 + Scope 2 + Scope 3</t>
        </is>
      </c>
      <c r="W497" t="b">
        <v>1</v>
      </c>
      <c r="X497" t="inlineStr">
        <is>
          <t>High</t>
        </is>
      </c>
      <c r="Y497" t="inlineStr">
        <is>
          <t>Reported_Emissions</t>
        </is>
      </c>
      <c r="Z497" t="n">
        <v>0.88</v>
      </c>
      <c r="AA497" t="inlineStr">
        <is>
          <t>Valid</t>
        </is>
      </c>
    </row>
    <row r="498">
      <c r="A498" t="inlineStr">
        <is>
          <t>SUP-0050</t>
        </is>
      </c>
      <c r="B498" t="inlineStr">
        <is>
          <t>Electronics Supplier 050</t>
        </is>
      </c>
      <c r="C498" t="inlineStr">
        <is>
          <t>Electronics</t>
        </is>
      </c>
      <c r="D498" t="n">
        <v>2021</v>
      </c>
      <c r="E498" t="n">
        <v>23913876.4</v>
      </c>
      <c r="F498" t="n">
        <v>25500133.46</v>
      </c>
      <c r="G498" t="n">
        <v>16299.785</v>
      </c>
      <c r="H498" t="n">
        <v>2618.3902</v>
      </c>
      <c r="I498" t="n">
        <v>2262.1409</v>
      </c>
      <c r="J498" t="n">
        <v>11444.8235</v>
      </c>
      <c r="K498" t="inlineStr"/>
      <c r="L498" t="inlineStr"/>
      <c r="M498" t="inlineStr"/>
      <c r="N498" t="inlineStr"/>
      <c r="O498" t="n">
        <v>2018</v>
      </c>
      <c r="P498" t="n">
        <v>2040</v>
      </c>
      <c r="Q498" t="n">
        <v>0.3424</v>
      </c>
      <c r="R498" t="n">
        <v>635.1588</v>
      </c>
      <c r="S498" t="n">
        <v>0.00086105</v>
      </c>
      <c r="T498" t="n">
        <v>0.00013947</v>
      </c>
      <c r="U498" t="n">
        <v>16299.785</v>
      </c>
      <c r="V498" t="inlineStr">
        <is>
          <t>Supplier Reported Emissions</t>
        </is>
      </c>
      <c r="W498" t="b">
        <v>0</v>
      </c>
      <c r="X498" t="inlineStr">
        <is>
          <t>High</t>
        </is>
      </c>
      <c r="Y498" t="inlineStr">
        <is>
          <t>None</t>
        </is>
      </c>
      <c r="Z498" t="n">
        <v>0.95</v>
      </c>
      <c r="AA498" t="inlineStr">
        <is>
          <t>Valid</t>
        </is>
      </c>
    </row>
    <row r="499">
      <c r="A499" t="inlineStr">
        <is>
          <t>SUP-0050</t>
        </is>
      </c>
      <c r="B499" t="inlineStr">
        <is>
          <t>Electronics Supplier 050</t>
        </is>
      </c>
      <c r="C499" t="inlineStr">
        <is>
          <t>Electronics</t>
        </is>
      </c>
      <c r="D499" t="n">
        <v>2022</v>
      </c>
      <c r="E499" t="n">
        <v>22148190.73</v>
      </c>
      <c r="F499" t="inlineStr"/>
      <c r="G499" t="inlineStr"/>
      <c r="H499" t="n">
        <v>3725.058</v>
      </c>
      <c r="I499" t="n">
        <v>3308.9646</v>
      </c>
      <c r="J499" t="n">
        <v>9621.4295</v>
      </c>
      <c r="K499" t="inlineStr"/>
      <c r="L499" t="inlineStr"/>
      <c r="M499" t="inlineStr"/>
      <c r="N499" t="inlineStr"/>
      <c r="O499" t="n">
        <v>2018</v>
      </c>
      <c r="P499" t="n">
        <v>2040</v>
      </c>
      <c r="Q499" t="n">
        <v>0.3424</v>
      </c>
      <c r="R499" t="n">
        <v>635.1588</v>
      </c>
      <c r="S499" t="n">
        <v>0.00086105</v>
      </c>
      <c r="T499" t="n">
        <v>0.00013947</v>
      </c>
      <c r="U499" t="n">
        <v>16655.4521</v>
      </c>
      <c r="V499" t="inlineStr">
        <is>
          <t>Scope 1 + Scope 2 + Scope 3</t>
        </is>
      </c>
      <c r="W499" t="b">
        <v>1</v>
      </c>
      <c r="X499" t="inlineStr">
        <is>
          <t>High</t>
        </is>
      </c>
      <c r="Y499" t="inlineStr">
        <is>
          <t>Reported_Emissions; Revenue</t>
        </is>
      </c>
      <c r="Z499" t="n">
        <v>0.88</v>
      </c>
      <c r="AA499" t="inlineStr">
        <is>
          <t>Valid</t>
        </is>
      </c>
    </row>
    <row r="500">
      <c r="A500" t="inlineStr">
        <is>
          <t>SUP-0050</t>
        </is>
      </c>
      <c r="B500" t="inlineStr">
        <is>
          <t>Electronics Supplier 050</t>
        </is>
      </c>
      <c r="C500" t="inlineStr">
        <is>
          <t>Electronics</t>
        </is>
      </c>
      <c r="D500" t="n">
        <v>2023</v>
      </c>
      <c r="E500" t="n">
        <v>26758804.43</v>
      </c>
      <c r="F500" t="n">
        <v>30526096.55</v>
      </c>
      <c r="G500" t="inlineStr"/>
      <c r="H500" t="n">
        <v>4701.0982</v>
      </c>
      <c r="I500" t="n">
        <v>3939.1413</v>
      </c>
      <c r="J500" t="n">
        <v>12579.059</v>
      </c>
      <c r="K500" t="inlineStr"/>
      <c r="L500" t="inlineStr"/>
      <c r="M500" t="inlineStr"/>
      <c r="N500" t="inlineStr"/>
      <c r="O500" t="n">
        <v>2018</v>
      </c>
      <c r="P500" t="n">
        <v>2040</v>
      </c>
      <c r="Q500" t="n">
        <v>0.3424</v>
      </c>
      <c r="R500" t="n">
        <v>635.1588</v>
      </c>
      <c r="S500" t="n">
        <v>0.00086105</v>
      </c>
      <c r="T500" t="n">
        <v>0.00013947</v>
      </c>
      <c r="U500" t="n">
        <v>21219.2985</v>
      </c>
      <c r="V500" t="inlineStr">
        <is>
          <t>Scope 1 + Scope 2 + Scope 3</t>
        </is>
      </c>
      <c r="W500" t="b">
        <v>1</v>
      </c>
      <c r="X500" t="inlineStr">
        <is>
          <t>High</t>
        </is>
      </c>
      <c r="Y500" t="inlineStr">
        <is>
          <t>Reported_Emissions</t>
        </is>
      </c>
      <c r="Z500" t="n">
        <v>0.88</v>
      </c>
      <c r="AA500" t="inlineStr">
        <is>
          <t>Valid</t>
        </is>
      </c>
    </row>
    <row r="501">
      <c r="A501" t="inlineStr">
        <is>
          <t>SUP-0050</t>
        </is>
      </c>
      <c r="B501" t="inlineStr">
        <is>
          <t>Electronics Supplier 050</t>
        </is>
      </c>
      <c r="C501" t="inlineStr">
        <is>
          <t>Electronics</t>
        </is>
      </c>
      <c r="D501" t="n">
        <v>2024</v>
      </c>
      <c r="E501" t="n">
        <v>30503082.57</v>
      </c>
      <c r="F501" t="n">
        <v>29119757.53</v>
      </c>
      <c r="G501" t="inlineStr"/>
      <c r="H501" t="n">
        <v>4417.1932</v>
      </c>
      <c r="I501" t="n">
        <v>2273.9902</v>
      </c>
      <c r="J501" t="n">
        <v>14805.3566</v>
      </c>
      <c r="K501" t="inlineStr"/>
      <c r="L501" t="inlineStr"/>
      <c r="M501" t="inlineStr"/>
      <c r="N501" t="inlineStr"/>
      <c r="O501" t="n">
        <v>2018</v>
      </c>
      <c r="P501" t="n">
        <v>2040</v>
      </c>
      <c r="Q501" t="n">
        <v>0.3424</v>
      </c>
      <c r="R501" t="n">
        <v>635.1588</v>
      </c>
      <c r="S501" t="n">
        <v>0.00086105</v>
      </c>
      <c r="T501" t="n">
        <v>0.00013947</v>
      </c>
      <c r="U501" t="n">
        <v>21496.54</v>
      </c>
      <c r="V501" t="inlineStr">
        <is>
          <t>Scope 1 + Scope 2 + Scope 3</t>
        </is>
      </c>
      <c r="W501" t="b">
        <v>1</v>
      </c>
      <c r="X501" t="inlineStr">
        <is>
          <t>High</t>
        </is>
      </c>
      <c r="Y501" t="inlineStr">
        <is>
          <t>Reported_Emissions</t>
        </is>
      </c>
      <c r="Z501" t="n">
        <v>0.88</v>
      </c>
      <c r="AA501" t="inlineStr">
        <is>
          <t>Valid</t>
        </is>
      </c>
    </row>
    <row r="502">
      <c r="A502" t="inlineStr">
        <is>
          <t>SUP-0051</t>
        </is>
      </c>
      <c r="B502" t="inlineStr">
        <is>
          <t>Textiles Supplier 051</t>
        </is>
      </c>
      <c r="C502" t="inlineStr">
        <is>
          <t>Textiles</t>
        </is>
      </c>
      <c r="D502" t="n">
        <v>2015</v>
      </c>
      <c r="E502" t="n">
        <v>9949680.32</v>
      </c>
      <c r="F502" t="n">
        <v>63816904.06</v>
      </c>
      <c r="G502" t="n">
        <v>1881.3185</v>
      </c>
      <c r="H502" t="n">
        <v>374.5989</v>
      </c>
      <c r="I502" t="inlineStr"/>
      <c r="J502" t="n">
        <v>1271.1471</v>
      </c>
      <c r="K502" t="n">
        <v>2021</v>
      </c>
      <c r="L502" t="n">
        <v>2035</v>
      </c>
      <c r="M502" t="n">
        <v>0.4466</v>
      </c>
      <c r="N502" t="n">
        <v>0.1676</v>
      </c>
      <c r="O502" t="n">
        <v>2019</v>
      </c>
      <c r="P502" t="n">
        <v>2030</v>
      </c>
      <c r="Q502" t="n">
        <v>0.3171</v>
      </c>
      <c r="R502" t="n">
        <v>401.7335</v>
      </c>
      <c r="S502" t="n">
        <v>0.00029221</v>
      </c>
      <c r="T502" t="n">
        <v>0.00017343</v>
      </c>
      <c r="U502" t="n">
        <v>1881.3185</v>
      </c>
      <c r="V502" t="inlineStr">
        <is>
          <t>Supplier Reported Emissions</t>
        </is>
      </c>
      <c r="W502" t="b">
        <v>0</v>
      </c>
      <c r="X502" t="inlineStr">
        <is>
          <t>High</t>
        </is>
      </c>
      <c r="Y502" t="inlineStr">
        <is>
          <t>Scope_Emissions</t>
        </is>
      </c>
      <c r="Z502" t="n">
        <v>0.95</v>
      </c>
      <c r="AA502" t="inlineStr">
        <is>
          <t>Valid</t>
        </is>
      </c>
    </row>
    <row r="503">
      <c r="A503" t="inlineStr">
        <is>
          <t>SUP-0051</t>
        </is>
      </c>
      <c r="B503" t="inlineStr">
        <is>
          <t>Textiles Supplier 051</t>
        </is>
      </c>
      <c r="C503" t="inlineStr">
        <is>
          <t>Textiles</t>
        </is>
      </c>
      <c r="D503" t="n">
        <v>2016</v>
      </c>
      <c r="E503" t="n">
        <v>7756127.9</v>
      </c>
      <c r="F503" t="n">
        <v>65925274.19</v>
      </c>
      <c r="G503" t="n">
        <v>1765.3815</v>
      </c>
      <c r="H503" t="inlineStr"/>
      <c r="I503" t="inlineStr"/>
      <c r="J503" t="n">
        <v>980.985</v>
      </c>
      <c r="K503" t="n">
        <v>2021</v>
      </c>
      <c r="L503" t="n">
        <v>2035</v>
      </c>
      <c r="M503" t="n">
        <v>0.4466</v>
      </c>
      <c r="N503" t="n">
        <v>0.1676</v>
      </c>
      <c r="O503" t="n">
        <v>2019</v>
      </c>
      <c r="P503" t="n">
        <v>2030</v>
      </c>
      <c r="Q503" t="n">
        <v>0.3171</v>
      </c>
      <c r="R503" t="n">
        <v>401.7335</v>
      </c>
      <c r="S503" t="n">
        <v>0.00029221</v>
      </c>
      <c r="T503" t="n">
        <v>0.00017343</v>
      </c>
      <c r="U503" t="n">
        <v>1765.3815</v>
      </c>
      <c r="V503" t="inlineStr">
        <is>
          <t>Supplier Reported Emissions</t>
        </is>
      </c>
      <c r="W503" t="b">
        <v>0</v>
      </c>
      <c r="X503" t="inlineStr">
        <is>
          <t>High</t>
        </is>
      </c>
      <c r="Y503" t="inlineStr">
        <is>
          <t>Scope_Emissions</t>
        </is>
      </c>
      <c r="Z503" t="n">
        <v>0.95</v>
      </c>
      <c r="AA503" t="inlineStr">
        <is>
          <t>Valid</t>
        </is>
      </c>
    </row>
    <row r="504">
      <c r="A504" t="inlineStr">
        <is>
          <t>SUP-0051</t>
        </is>
      </c>
      <c r="B504" t="inlineStr">
        <is>
          <t>Textiles Supplier 051</t>
        </is>
      </c>
      <c r="C504" t="inlineStr">
        <is>
          <t>Textiles</t>
        </is>
      </c>
      <c r="D504" t="n">
        <v>2017</v>
      </c>
      <c r="E504" t="n">
        <v>9681767.949999999</v>
      </c>
      <c r="F504" t="n">
        <v>75146011.37</v>
      </c>
      <c r="G504" t="n">
        <v>2157.8079</v>
      </c>
      <c r="H504" t="n">
        <v>581.6501</v>
      </c>
      <c r="I504" t="n">
        <v>247.0007</v>
      </c>
      <c r="J504" t="n">
        <v>1351.9097</v>
      </c>
      <c r="K504" t="n">
        <v>2021</v>
      </c>
      <c r="L504" t="n">
        <v>2035</v>
      </c>
      <c r="M504" t="n">
        <v>0.4466</v>
      </c>
      <c r="N504" t="n">
        <v>0.1676</v>
      </c>
      <c r="O504" t="n">
        <v>2019</v>
      </c>
      <c r="P504" t="n">
        <v>2030</v>
      </c>
      <c r="Q504" t="n">
        <v>0.3171</v>
      </c>
      <c r="R504" t="n">
        <v>401.7335</v>
      </c>
      <c r="S504" t="n">
        <v>0.00029221</v>
      </c>
      <c r="T504" t="n">
        <v>0.00017343</v>
      </c>
      <c r="U504" t="n">
        <v>2157.8079</v>
      </c>
      <c r="V504" t="inlineStr">
        <is>
          <t>Supplier Reported Emissions</t>
        </is>
      </c>
      <c r="W504" t="b">
        <v>0</v>
      </c>
      <c r="X504" t="inlineStr">
        <is>
          <t>High</t>
        </is>
      </c>
      <c r="Y504" t="inlineStr">
        <is>
          <t>None</t>
        </is>
      </c>
      <c r="Z504" t="n">
        <v>0.95</v>
      </c>
      <c r="AA504" t="inlineStr">
        <is>
          <t>Valid</t>
        </is>
      </c>
    </row>
    <row r="505">
      <c r="A505" t="inlineStr">
        <is>
          <t>SUP-0051</t>
        </is>
      </c>
      <c r="B505" t="inlineStr">
        <is>
          <t>Textiles Supplier 051</t>
        </is>
      </c>
      <c r="C505" t="inlineStr">
        <is>
          <t>Textiles</t>
        </is>
      </c>
      <c r="D505" t="n">
        <v>2018</v>
      </c>
      <c r="E505" t="n">
        <v>9657666.43</v>
      </c>
      <c r="F505" t="inlineStr"/>
      <c r="G505" t="n">
        <v>1684.8266</v>
      </c>
      <c r="H505" t="n">
        <v>146.399</v>
      </c>
      <c r="I505" t="n">
        <v>124.4639</v>
      </c>
      <c r="J505" t="n">
        <v>1413.6711</v>
      </c>
      <c r="K505" t="n">
        <v>2021</v>
      </c>
      <c r="L505" t="n">
        <v>2035</v>
      </c>
      <c r="M505" t="n">
        <v>0.4466</v>
      </c>
      <c r="N505" t="n">
        <v>0.1676</v>
      </c>
      <c r="O505" t="n">
        <v>2019</v>
      </c>
      <c r="P505" t="n">
        <v>2030</v>
      </c>
      <c r="Q505" t="n">
        <v>0.3171</v>
      </c>
      <c r="R505" t="n">
        <v>401.7335</v>
      </c>
      <c r="S505" t="n">
        <v>0.00029221</v>
      </c>
      <c r="T505" t="n">
        <v>0.00017343</v>
      </c>
      <c r="U505" t="n">
        <v>1684.8266</v>
      </c>
      <c r="V505" t="inlineStr">
        <is>
          <t>Supplier Reported Emissions</t>
        </is>
      </c>
      <c r="W505" t="b">
        <v>0</v>
      </c>
      <c r="X505" t="inlineStr">
        <is>
          <t>High</t>
        </is>
      </c>
      <c r="Y505" t="inlineStr">
        <is>
          <t>Revenue</t>
        </is>
      </c>
      <c r="Z505" t="n">
        <v>0.95</v>
      </c>
      <c r="AA505" t="inlineStr">
        <is>
          <t>Valid</t>
        </is>
      </c>
    </row>
    <row r="506">
      <c r="A506" t="inlineStr">
        <is>
          <t>SUP-0051</t>
        </is>
      </c>
      <c r="B506" t="inlineStr">
        <is>
          <t>Textiles Supplier 051</t>
        </is>
      </c>
      <c r="C506" t="inlineStr">
        <is>
          <t>Textiles</t>
        </is>
      </c>
      <c r="D506" t="n">
        <v>2019</v>
      </c>
      <c r="E506" t="n">
        <v>9980605.390000001</v>
      </c>
      <c r="F506" t="n">
        <v>54927342.92</v>
      </c>
      <c r="G506" t="inlineStr"/>
      <c r="H506" t="n">
        <v>344.2581</v>
      </c>
      <c r="I506" t="n">
        <v>168.6583</v>
      </c>
      <c r="J506" t="n">
        <v>1823.0722</v>
      </c>
      <c r="K506" t="n">
        <v>2021</v>
      </c>
      <c r="L506" t="n">
        <v>2035</v>
      </c>
      <c r="M506" t="n">
        <v>0.4466</v>
      </c>
      <c r="N506" t="n">
        <v>0.1676</v>
      </c>
      <c r="O506" t="n">
        <v>2019</v>
      </c>
      <c r="P506" t="n">
        <v>2030</v>
      </c>
      <c r="Q506" t="n">
        <v>0.3171</v>
      </c>
      <c r="R506" t="n">
        <v>401.7335</v>
      </c>
      <c r="S506" t="n">
        <v>0.00029221</v>
      </c>
      <c r="T506" t="n">
        <v>0.00017343</v>
      </c>
      <c r="U506" t="n">
        <v>2335.9886</v>
      </c>
      <c r="V506" t="inlineStr">
        <is>
          <t>Scope 1 + Scope 2 + Scope 3</t>
        </is>
      </c>
      <c r="W506" t="b">
        <v>1</v>
      </c>
      <c r="X506" t="inlineStr">
        <is>
          <t>High</t>
        </is>
      </c>
      <c r="Y506" t="inlineStr">
        <is>
          <t>Reported_Emissions</t>
        </is>
      </c>
      <c r="Z506" t="n">
        <v>0.88</v>
      </c>
      <c r="AA506" t="inlineStr">
        <is>
          <t>Valid</t>
        </is>
      </c>
    </row>
    <row r="507">
      <c r="A507" t="inlineStr">
        <is>
          <t>SUP-0051</t>
        </is>
      </c>
      <c r="B507" t="inlineStr">
        <is>
          <t>Textiles Supplier 051</t>
        </is>
      </c>
      <c r="C507" t="inlineStr">
        <is>
          <t>Textiles</t>
        </is>
      </c>
      <c r="D507" t="n">
        <v>2020</v>
      </c>
      <c r="E507" t="n">
        <v>8165784.85</v>
      </c>
      <c r="F507" t="n">
        <v>72685775.5</v>
      </c>
      <c r="G507" t="n">
        <v>1886.7746</v>
      </c>
      <c r="H507" t="n">
        <v>484.8907</v>
      </c>
      <c r="I507" t="n">
        <v>406.8545</v>
      </c>
      <c r="J507" t="n">
        <v>1146.7993</v>
      </c>
      <c r="K507" t="n">
        <v>2021</v>
      </c>
      <c r="L507" t="n">
        <v>2035</v>
      </c>
      <c r="M507" t="n">
        <v>0.4466</v>
      </c>
      <c r="N507" t="n">
        <v>0.1676</v>
      </c>
      <c r="O507" t="n">
        <v>2019</v>
      </c>
      <c r="P507" t="n">
        <v>2030</v>
      </c>
      <c r="Q507" t="n">
        <v>0.3171</v>
      </c>
      <c r="R507" t="n">
        <v>401.7335</v>
      </c>
      <c r="S507" t="n">
        <v>0.00029221</v>
      </c>
      <c r="T507" t="n">
        <v>0.00017343</v>
      </c>
      <c r="U507" t="n">
        <v>1886.7746</v>
      </c>
      <c r="V507" t="inlineStr">
        <is>
          <t>Supplier Reported Emissions</t>
        </is>
      </c>
      <c r="W507" t="b">
        <v>0</v>
      </c>
      <c r="X507" t="inlineStr">
        <is>
          <t>High</t>
        </is>
      </c>
      <c r="Y507" t="inlineStr">
        <is>
          <t>None</t>
        </is>
      </c>
      <c r="Z507" t="n">
        <v>0.95</v>
      </c>
      <c r="AA507" t="inlineStr">
        <is>
          <t>Valid</t>
        </is>
      </c>
    </row>
    <row r="508">
      <c r="A508" t="inlineStr">
        <is>
          <t>SUP-0051</t>
        </is>
      </c>
      <c r="B508" t="inlineStr">
        <is>
          <t>Textiles Supplier 051</t>
        </is>
      </c>
      <c r="C508" t="inlineStr">
        <is>
          <t>Textiles</t>
        </is>
      </c>
      <c r="D508" t="n">
        <v>2021</v>
      </c>
      <c r="E508" t="n">
        <v>9257855.93</v>
      </c>
      <c r="F508" t="n">
        <v>82890281.36</v>
      </c>
      <c r="G508" t="inlineStr"/>
      <c r="H508" t="n">
        <v>463.3019</v>
      </c>
      <c r="I508" t="inlineStr"/>
      <c r="J508" t="inlineStr"/>
      <c r="K508" t="n">
        <v>2021</v>
      </c>
      <c r="L508" t="n">
        <v>2035</v>
      </c>
      <c r="M508" t="n">
        <v>0.4466</v>
      </c>
      <c r="N508" t="n">
        <v>0.1676</v>
      </c>
      <c r="O508" t="n">
        <v>2019</v>
      </c>
      <c r="P508" t="n">
        <v>2030</v>
      </c>
      <c r="Q508" t="n">
        <v>0.3171</v>
      </c>
      <c r="R508" t="n">
        <v>401.7335</v>
      </c>
      <c r="S508" t="n">
        <v>0.00029221</v>
      </c>
      <c r="T508" t="n">
        <v>0.00017343</v>
      </c>
      <c r="U508" t="n">
        <v>2705.2381</v>
      </c>
      <c r="V508" t="inlineStr">
        <is>
          <t>Spend-Based Estimate</t>
        </is>
      </c>
      <c r="W508" t="b">
        <v>1</v>
      </c>
      <c r="X508" t="inlineStr">
        <is>
          <t>Medium</t>
        </is>
      </c>
      <c r="Y508" t="inlineStr">
        <is>
          <t>Reported_Emissions; Scope_Emissions</t>
        </is>
      </c>
      <c r="Z508" t="n">
        <v>0.7</v>
      </c>
      <c r="AA508" t="inlineStr">
        <is>
          <t>Valid</t>
        </is>
      </c>
    </row>
    <row r="509">
      <c r="A509" t="inlineStr">
        <is>
          <t>SUP-0051</t>
        </is>
      </c>
      <c r="B509" t="inlineStr">
        <is>
          <t>Textiles Supplier 051</t>
        </is>
      </c>
      <c r="C509" t="inlineStr">
        <is>
          <t>Textiles</t>
        </is>
      </c>
      <c r="D509" t="n">
        <v>2022</v>
      </c>
      <c r="E509" t="n">
        <v>9596126.279999999</v>
      </c>
      <c r="F509" t="n">
        <v>64925691.34</v>
      </c>
      <c r="G509" t="n">
        <v>1956.3857</v>
      </c>
      <c r="H509" t="n">
        <v>252.7722</v>
      </c>
      <c r="I509" t="n">
        <v>201.5309</v>
      </c>
      <c r="J509" t="n">
        <v>1552.4822</v>
      </c>
      <c r="K509" t="n">
        <v>2021</v>
      </c>
      <c r="L509" t="n">
        <v>2035</v>
      </c>
      <c r="M509" t="n">
        <v>0.4466</v>
      </c>
      <c r="N509" t="n">
        <v>0.1676</v>
      </c>
      <c r="O509" t="n">
        <v>2019</v>
      </c>
      <c r="P509" t="n">
        <v>2030</v>
      </c>
      <c r="Q509" t="n">
        <v>0.3171</v>
      </c>
      <c r="R509" t="n">
        <v>401.7335</v>
      </c>
      <c r="S509" t="n">
        <v>0.00029221</v>
      </c>
      <c r="T509" t="n">
        <v>0.00017343</v>
      </c>
      <c r="U509" t="n">
        <v>1956.3857</v>
      </c>
      <c r="V509" t="inlineStr">
        <is>
          <t>Supplier Reported Emissions</t>
        </is>
      </c>
      <c r="W509" t="b">
        <v>0</v>
      </c>
      <c r="X509" t="inlineStr">
        <is>
          <t>High</t>
        </is>
      </c>
      <c r="Y509" t="inlineStr">
        <is>
          <t>None</t>
        </is>
      </c>
      <c r="Z509" t="n">
        <v>0.95</v>
      </c>
      <c r="AA509" t="inlineStr">
        <is>
          <t>Valid</t>
        </is>
      </c>
    </row>
    <row r="510">
      <c r="A510" t="inlineStr">
        <is>
          <t>SUP-0051</t>
        </is>
      </c>
      <c r="B510" t="inlineStr">
        <is>
          <t>Textiles Supplier 051</t>
        </is>
      </c>
      <c r="C510" t="inlineStr">
        <is>
          <t>Textiles</t>
        </is>
      </c>
      <c r="D510" t="n">
        <v>2023</v>
      </c>
      <c r="E510" t="n">
        <v>11357078.57</v>
      </c>
      <c r="F510" t="n">
        <v>86622786.81</v>
      </c>
      <c r="G510" t="n">
        <v>2836.6234</v>
      </c>
      <c r="H510" t="inlineStr"/>
      <c r="I510" t="n">
        <v>575.6436</v>
      </c>
      <c r="J510" t="n">
        <v>1662.726</v>
      </c>
      <c r="K510" t="n">
        <v>2021</v>
      </c>
      <c r="L510" t="n">
        <v>2035</v>
      </c>
      <c r="M510" t="n">
        <v>0.4466</v>
      </c>
      <c r="N510" t="n">
        <v>0.1676</v>
      </c>
      <c r="O510" t="n">
        <v>2019</v>
      </c>
      <c r="P510" t="n">
        <v>2030</v>
      </c>
      <c r="Q510" t="n">
        <v>0.3171</v>
      </c>
      <c r="R510" t="n">
        <v>401.7335</v>
      </c>
      <c r="S510" t="n">
        <v>0.00029221</v>
      </c>
      <c r="T510" t="n">
        <v>0.00017343</v>
      </c>
      <c r="U510" t="n">
        <v>2836.6234</v>
      </c>
      <c r="V510" t="inlineStr">
        <is>
          <t>Supplier Reported Emissions</t>
        </is>
      </c>
      <c r="W510" t="b">
        <v>0</v>
      </c>
      <c r="X510" t="inlineStr">
        <is>
          <t>High</t>
        </is>
      </c>
      <c r="Y510" t="inlineStr">
        <is>
          <t>Scope_Emissions</t>
        </is>
      </c>
      <c r="Z510" t="n">
        <v>0.95</v>
      </c>
      <c r="AA510" t="inlineStr">
        <is>
          <t>Valid</t>
        </is>
      </c>
    </row>
    <row r="511">
      <c r="A511" t="inlineStr">
        <is>
          <t>SUP-0051</t>
        </is>
      </c>
      <c r="B511" t="inlineStr">
        <is>
          <t>Textiles Supplier 051</t>
        </is>
      </c>
      <c r="C511" t="inlineStr">
        <is>
          <t>Textiles</t>
        </is>
      </c>
      <c r="D511" t="n">
        <v>2024</v>
      </c>
      <c r="E511" t="n">
        <v>9086118.810000001</v>
      </c>
      <c r="F511" t="n">
        <v>73100833.8</v>
      </c>
      <c r="G511" t="n">
        <v>1958.5221</v>
      </c>
      <c r="H511" t="n">
        <v>566.0083</v>
      </c>
      <c r="I511" t="n">
        <v>210.5221</v>
      </c>
      <c r="J511" t="inlineStr"/>
      <c r="K511" t="n">
        <v>2021</v>
      </c>
      <c r="L511" t="n">
        <v>2035</v>
      </c>
      <c r="M511" t="n">
        <v>0.4466</v>
      </c>
      <c r="N511" t="n">
        <v>0.1676</v>
      </c>
      <c r="O511" t="n">
        <v>2019</v>
      </c>
      <c r="P511" t="n">
        <v>2030</v>
      </c>
      <c r="Q511" t="n">
        <v>0.3171</v>
      </c>
      <c r="R511" t="n">
        <v>401.7335</v>
      </c>
      <c r="S511" t="n">
        <v>0.00029221</v>
      </c>
      <c r="T511" t="n">
        <v>0.00017343</v>
      </c>
      <c r="U511" t="n">
        <v>1958.5221</v>
      </c>
      <c r="V511" t="inlineStr">
        <is>
          <t>Supplier Reported Emissions</t>
        </is>
      </c>
      <c r="W511" t="b">
        <v>0</v>
      </c>
      <c r="X511" t="inlineStr">
        <is>
          <t>High</t>
        </is>
      </c>
      <c r="Y511" t="inlineStr">
        <is>
          <t>Scope_Emissions</t>
        </is>
      </c>
      <c r="Z511" t="n">
        <v>0.95</v>
      </c>
      <c r="AA511" t="inlineStr">
        <is>
          <t>Valid</t>
        </is>
      </c>
    </row>
    <row r="512">
      <c r="A512" t="inlineStr">
        <is>
          <t>SUP-0052</t>
        </is>
      </c>
      <c r="B512" t="inlineStr">
        <is>
          <t>Electronics Supplier 052</t>
        </is>
      </c>
      <c r="C512" t="inlineStr">
        <is>
          <t>Electronics</t>
        </is>
      </c>
      <c r="D512" t="n">
        <v>2015</v>
      </c>
      <c r="E512" t="n">
        <v>14440663.68</v>
      </c>
      <c r="F512" t="n">
        <v>50772819.78</v>
      </c>
      <c r="G512" t="n">
        <v>10231.0759</v>
      </c>
      <c r="H512" t="n">
        <v>1511.8208</v>
      </c>
      <c r="I512" t="n">
        <v>1565.6685</v>
      </c>
      <c r="J512" t="n">
        <v>8124.4517</v>
      </c>
      <c r="K512" t="inlineStr"/>
      <c r="L512" t="inlineStr"/>
      <c r="M512" t="inlineStr"/>
      <c r="N512" t="inlineStr"/>
      <c r="O512" t="n">
        <v>2018</v>
      </c>
      <c r="P512" t="n">
        <v>2040</v>
      </c>
      <c r="Q512" t="n">
        <v>0.3424</v>
      </c>
      <c r="R512" t="n">
        <v>635.1588</v>
      </c>
      <c r="S512" t="n">
        <v>0.00086105</v>
      </c>
      <c r="T512" t="n">
        <v>0.00013947</v>
      </c>
      <c r="U512" t="n">
        <v>10231.0759</v>
      </c>
      <c r="V512" t="inlineStr">
        <is>
          <t>Supplier Reported Emissions</t>
        </is>
      </c>
      <c r="W512" t="b">
        <v>0</v>
      </c>
      <c r="X512" t="inlineStr">
        <is>
          <t>High</t>
        </is>
      </c>
      <c r="Y512" t="inlineStr">
        <is>
          <t>None</t>
        </is>
      </c>
      <c r="Z512" t="n">
        <v>0.95</v>
      </c>
      <c r="AA512" t="inlineStr">
        <is>
          <t>Valid</t>
        </is>
      </c>
    </row>
    <row r="513">
      <c r="A513" t="inlineStr">
        <is>
          <t>SUP-0052</t>
        </is>
      </c>
      <c r="B513" t="inlineStr">
        <is>
          <t>Electronics Supplier 052</t>
        </is>
      </c>
      <c r="C513" t="inlineStr">
        <is>
          <t>Electronics</t>
        </is>
      </c>
      <c r="D513" t="n">
        <v>2016</v>
      </c>
      <c r="E513" t="n">
        <v>15501307.42</v>
      </c>
      <c r="F513" t="n">
        <v>59756128.63</v>
      </c>
      <c r="G513" t="n">
        <v>10292.0354</v>
      </c>
      <c r="H513" t="inlineStr"/>
      <c r="I513" t="n">
        <v>1737.4655</v>
      </c>
      <c r="J513" t="inlineStr"/>
      <c r="K513" t="inlineStr"/>
      <c r="L513" t="inlineStr"/>
      <c r="M513" t="inlineStr"/>
      <c r="N513" t="inlineStr"/>
      <c r="O513" t="n">
        <v>2018</v>
      </c>
      <c r="P513" t="n">
        <v>2040</v>
      </c>
      <c r="Q513" t="n">
        <v>0.3424</v>
      </c>
      <c r="R513" t="n">
        <v>635.1588</v>
      </c>
      <c r="S513" t="n">
        <v>0.00086105</v>
      </c>
      <c r="T513" t="n">
        <v>0.00013947</v>
      </c>
      <c r="U513" t="n">
        <v>10292.0354</v>
      </c>
      <c r="V513" t="inlineStr">
        <is>
          <t>Supplier Reported Emissions</t>
        </is>
      </c>
      <c r="W513" t="b">
        <v>0</v>
      </c>
      <c r="X513" t="inlineStr">
        <is>
          <t>High</t>
        </is>
      </c>
      <c r="Y513" t="inlineStr">
        <is>
          <t>Scope_Emissions</t>
        </is>
      </c>
      <c r="Z513" t="n">
        <v>0.95</v>
      </c>
      <c r="AA513" t="inlineStr">
        <is>
          <t>Valid</t>
        </is>
      </c>
    </row>
    <row r="514">
      <c r="A514" t="inlineStr">
        <is>
          <t>SUP-0052</t>
        </is>
      </c>
      <c r="B514" t="inlineStr">
        <is>
          <t>Electronics Supplier 052</t>
        </is>
      </c>
      <c r="C514" t="inlineStr">
        <is>
          <t>Electronics</t>
        </is>
      </c>
      <c r="D514" t="n">
        <v>2017</v>
      </c>
      <c r="E514" t="n">
        <v>18866248.49</v>
      </c>
      <c r="F514" t="n">
        <v>57691831.45</v>
      </c>
      <c r="G514" t="n">
        <v>10726.3475</v>
      </c>
      <c r="H514" t="n">
        <v>906.5909</v>
      </c>
      <c r="I514" t="n">
        <v>1393.6983</v>
      </c>
      <c r="J514" t="n">
        <v>8101.1078</v>
      </c>
      <c r="K514" t="inlineStr"/>
      <c r="L514" t="inlineStr"/>
      <c r="M514" t="inlineStr"/>
      <c r="N514" t="inlineStr"/>
      <c r="O514" t="n">
        <v>2018</v>
      </c>
      <c r="P514" t="n">
        <v>2040</v>
      </c>
      <c r="Q514" t="n">
        <v>0.3424</v>
      </c>
      <c r="R514" t="n">
        <v>635.1588</v>
      </c>
      <c r="S514" t="n">
        <v>0.00086105</v>
      </c>
      <c r="T514" t="n">
        <v>0.00013947</v>
      </c>
      <c r="U514" t="n">
        <v>10726.3475</v>
      </c>
      <c r="V514" t="inlineStr">
        <is>
          <t>Supplier Reported Emissions</t>
        </is>
      </c>
      <c r="W514" t="b">
        <v>0</v>
      </c>
      <c r="X514" t="inlineStr">
        <is>
          <t>High</t>
        </is>
      </c>
      <c r="Y514" t="inlineStr">
        <is>
          <t>None</t>
        </is>
      </c>
      <c r="Z514" t="n">
        <v>0.95</v>
      </c>
      <c r="AA514" t="inlineStr">
        <is>
          <t>Valid</t>
        </is>
      </c>
    </row>
    <row r="515">
      <c r="A515" t="inlineStr">
        <is>
          <t>SUP-0052</t>
        </is>
      </c>
      <c r="B515" t="inlineStr">
        <is>
          <t>Electronics Supplier 052</t>
        </is>
      </c>
      <c r="C515" t="inlineStr">
        <is>
          <t>Electronics</t>
        </is>
      </c>
      <c r="D515" t="n">
        <v>2018</v>
      </c>
      <c r="E515" t="n">
        <v>17376497.18</v>
      </c>
      <c r="F515" t="n">
        <v>56212028.68</v>
      </c>
      <c r="G515" t="n">
        <v>6971.8466</v>
      </c>
      <c r="H515" t="n">
        <v>823.6835</v>
      </c>
      <c r="I515" t="n">
        <v>1071.0915</v>
      </c>
      <c r="J515" t="inlineStr"/>
      <c r="K515" t="inlineStr"/>
      <c r="L515" t="inlineStr"/>
      <c r="M515" t="inlineStr"/>
      <c r="N515" t="inlineStr"/>
      <c r="O515" t="n">
        <v>2018</v>
      </c>
      <c r="P515" t="n">
        <v>2040</v>
      </c>
      <c r="Q515" t="n">
        <v>0.3424</v>
      </c>
      <c r="R515" t="n">
        <v>635.1588</v>
      </c>
      <c r="S515" t="n">
        <v>0.00086105</v>
      </c>
      <c r="T515" t="n">
        <v>0.00013947</v>
      </c>
      <c r="U515" t="n">
        <v>6971.8466</v>
      </c>
      <c r="V515" t="inlineStr">
        <is>
          <t>Supplier Reported Emissions</t>
        </is>
      </c>
      <c r="W515" t="b">
        <v>0</v>
      </c>
      <c r="X515" t="inlineStr">
        <is>
          <t>High</t>
        </is>
      </c>
      <c r="Y515" t="inlineStr">
        <is>
          <t>Scope_Emissions</t>
        </is>
      </c>
      <c r="Z515" t="n">
        <v>0.95</v>
      </c>
      <c r="AA515" t="inlineStr">
        <is>
          <t>Valid</t>
        </is>
      </c>
    </row>
    <row r="516">
      <c r="A516" t="inlineStr">
        <is>
          <t>SUP-0052</t>
        </is>
      </c>
      <c r="B516" t="inlineStr">
        <is>
          <t>Electronics Supplier 052</t>
        </is>
      </c>
      <c r="C516" t="inlineStr">
        <is>
          <t>Electronics</t>
        </is>
      </c>
      <c r="D516" t="n">
        <v>2019</v>
      </c>
      <c r="E516" t="n">
        <v>14881005.06</v>
      </c>
      <c r="F516" t="n">
        <v>52252221.85</v>
      </c>
      <c r="G516" t="n">
        <v>9770.447700000001</v>
      </c>
      <c r="H516" t="n">
        <v>1407.7577</v>
      </c>
      <c r="I516" t="inlineStr"/>
      <c r="J516" t="n">
        <v>6865.6221</v>
      </c>
      <c r="K516" t="inlineStr"/>
      <c r="L516" t="inlineStr"/>
      <c r="M516" t="inlineStr"/>
      <c r="N516" t="inlineStr"/>
      <c r="O516" t="n">
        <v>2018</v>
      </c>
      <c r="P516" t="n">
        <v>2040</v>
      </c>
      <c r="Q516" t="n">
        <v>0.3424</v>
      </c>
      <c r="R516" t="n">
        <v>635.1588</v>
      </c>
      <c r="S516" t="n">
        <v>0.00086105</v>
      </c>
      <c r="T516" t="n">
        <v>0.00013947</v>
      </c>
      <c r="U516" t="n">
        <v>9770.447700000001</v>
      </c>
      <c r="V516" t="inlineStr">
        <is>
          <t>Supplier Reported Emissions</t>
        </is>
      </c>
      <c r="W516" t="b">
        <v>0</v>
      </c>
      <c r="X516" t="inlineStr">
        <is>
          <t>High</t>
        </is>
      </c>
      <c r="Y516" t="inlineStr">
        <is>
          <t>Scope_Emissions</t>
        </is>
      </c>
      <c r="Z516" t="n">
        <v>0.95</v>
      </c>
      <c r="AA516" t="inlineStr">
        <is>
          <t>Valid</t>
        </is>
      </c>
    </row>
    <row r="517">
      <c r="A517" t="inlineStr">
        <is>
          <t>SUP-0052</t>
        </is>
      </c>
      <c r="B517" t="inlineStr">
        <is>
          <t>Electronics Supplier 052</t>
        </is>
      </c>
      <c r="C517" t="inlineStr">
        <is>
          <t>Electronics</t>
        </is>
      </c>
      <c r="D517" t="n">
        <v>2020</v>
      </c>
      <c r="E517" t="n">
        <v>16992724.42</v>
      </c>
      <c r="F517" t="n">
        <v>58422825.82</v>
      </c>
      <c r="G517" t="n">
        <v>10318.0632</v>
      </c>
      <c r="H517" t="inlineStr"/>
      <c r="I517" t="n">
        <v>1843.2232</v>
      </c>
      <c r="J517" t="n">
        <v>5785.3088</v>
      </c>
      <c r="K517" t="inlineStr"/>
      <c r="L517" t="inlineStr"/>
      <c r="M517" t="inlineStr"/>
      <c r="N517" t="inlineStr"/>
      <c r="O517" t="n">
        <v>2018</v>
      </c>
      <c r="P517" t="n">
        <v>2040</v>
      </c>
      <c r="Q517" t="n">
        <v>0.3424</v>
      </c>
      <c r="R517" t="n">
        <v>635.1588</v>
      </c>
      <c r="S517" t="n">
        <v>0.00086105</v>
      </c>
      <c r="T517" t="n">
        <v>0.00013947</v>
      </c>
      <c r="U517" t="n">
        <v>10318.0632</v>
      </c>
      <c r="V517" t="inlineStr">
        <is>
          <t>Supplier Reported Emissions</t>
        </is>
      </c>
      <c r="W517" t="b">
        <v>0</v>
      </c>
      <c r="X517" t="inlineStr">
        <is>
          <t>High</t>
        </is>
      </c>
      <c r="Y517" t="inlineStr">
        <is>
          <t>Scope_Emissions</t>
        </is>
      </c>
      <c r="Z517" t="n">
        <v>0.95</v>
      </c>
      <c r="AA517" t="inlineStr">
        <is>
          <t>Valid</t>
        </is>
      </c>
    </row>
    <row r="518">
      <c r="A518" t="inlineStr">
        <is>
          <t>SUP-0052</t>
        </is>
      </c>
      <c r="B518" t="inlineStr">
        <is>
          <t>Electronics Supplier 052</t>
        </is>
      </c>
      <c r="C518" t="inlineStr">
        <is>
          <t>Electronics</t>
        </is>
      </c>
      <c r="D518" t="n">
        <v>2021</v>
      </c>
      <c r="E518" t="n">
        <v>18468280.53</v>
      </c>
      <c r="F518" t="n">
        <v>61080957.03</v>
      </c>
      <c r="G518" t="inlineStr"/>
      <c r="H518" t="n">
        <v>1432.5355</v>
      </c>
      <c r="I518" t="n">
        <v>1417.298</v>
      </c>
      <c r="J518" t="n">
        <v>6495.5403</v>
      </c>
      <c r="K518" t="inlineStr"/>
      <c r="L518" t="inlineStr"/>
      <c r="M518" t="inlineStr"/>
      <c r="N518" t="inlineStr"/>
      <c r="O518" t="n">
        <v>2018</v>
      </c>
      <c r="P518" t="n">
        <v>2040</v>
      </c>
      <c r="Q518" t="n">
        <v>0.3424</v>
      </c>
      <c r="R518" t="n">
        <v>635.1588</v>
      </c>
      <c r="S518" t="n">
        <v>0.00086105</v>
      </c>
      <c r="T518" t="n">
        <v>0.00013947</v>
      </c>
      <c r="U518" t="n">
        <v>9345.373799999999</v>
      </c>
      <c r="V518" t="inlineStr">
        <is>
          <t>Scope 1 + Scope 2 + Scope 3</t>
        </is>
      </c>
      <c r="W518" t="b">
        <v>1</v>
      </c>
      <c r="X518" t="inlineStr">
        <is>
          <t>High</t>
        </is>
      </c>
      <c r="Y518" t="inlineStr">
        <is>
          <t>Reported_Emissions</t>
        </is>
      </c>
      <c r="Z518" t="n">
        <v>0.88</v>
      </c>
      <c r="AA518" t="inlineStr">
        <is>
          <t>Valid</t>
        </is>
      </c>
    </row>
    <row r="519">
      <c r="A519" t="inlineStr">
        <is>
          <t>SUP-0052</t>
        </is>
      </c>
      <c r="B519" t="inlineStr">
        <is>
          <t>Electronics Supplier 052</t>
        </is>
      </c>
      <c r="C519" t="inlineStr">
        <is>
          <t>Electronics</t>
        </is>
      </c>
      <c r="D519" t="n">
        <v>2022</v>
      </c>
      <c r="E519" t="inlineStr"/>
      <c r="F519" t="n">
        <v>58383570</v>
      </c>
      <c r="G519" t="n">
        <v>8930.9936</v>
      </c>
      <c r="H519" t="n">
        <v>2513.5467</v>
      </c>
      <c r="I519" t="n">
        <v>696.4758</v>
      </c>
      <c r="J519" t="n">
        <v>5926.7172</v>
      </c>
      <c r="K519" t="inlineStr"/>
      <c r="L519" t="inlineStr"/>
      <c r="M519" t="inlineStr"/>
      <c r="N519" t="inlineStr"/>
      <c r="O519" t="n">
        <v>2018</v>
      </c>
      <c r="P519" t="n">
        <v>2040</v>
      </c>
      <c r="Q519" t="n">
        <v>0.3424</v>
      </c>
      <c r="R519" t="n">
        <v>635.1588</v>
      </c>
      <c r="S519" t="n">
        <v>0.00086105</v>
      </c>
      <c r="T519" t="n">
        <v>0.00013947</v>
      </c>
      <c r="U519" t="n">
        <v>8930.9936</v>
      </c>
      <c r="V519" t="inlineStr">
        <is>
          <t>Supplier Reported Emissions</t>
        </is>
      </c>
      <c r="W519" t="b">
        <v>0</v>
      </c>
      <c r="X519" t="inlineStr">
        <is>
          <t>High</t>
        </is>
      </c>
      <c r="Y519" t="inlineStr">
        <is>
          <t>Gross_Spend</t>
        </is>
      </c>
      <c r="Z519" t="n">
        <v>0.95</v>
      </c>
      <c r="AA519" t="inlineStr">
        <is>
          <t>Valid</t>
        </is>
      </c>
    </row>
    <row r="520">
      <c r="A520" t="inlineStr">
        <is>
          <t>SUP-0052</t>
        </is>
      </c>
      <c r="B520" t="inlineStr">
        <is>
          <t>Electronics Supplier 052</t>
        </is>
      </c>
      <c r="C520" t="inlineStr">
        <is>
          <t>Electronics</t>
        </is>
      </c>
      <c r="D520" t="n">
        <v>2023</v>
      </c>
      <c r="E520" t="n">
        <v>20042530.91</v>
      </c>
      <c r="F520" t="n">
        <v>80255570.81999999</v>
      </c>
      <c r="G520" t="n">
        <v>8514.867399999999</v>
      </c>
      <c r="H520" t="inlineStr"/>
      <c r="I520" t="n">
        <v>631.8626</v>
      </c>
      <c r="J520" t="inlineStr"/>
      <c r="K520" t="inlineStr"/>
      <c r="L520" t="inlineStr"/>
      <c r="M520" t="inlineStr"/>
      <c r="N520" t="inlineStr"/>
      <c r="O520" t="n">
        <v>2018</v>
      </c>
      <c r="P520" t="n">
        <v>2040</v>
      </c>
      <c r="Q520" t="n">
        <v>0.3424</v>
      </c>
      <c r="R520" t="n">
        <v>635.1588</v>
      </c>
      <c r="S520" t="n">
        <v>0.00086105</v>
      </c>
      <c r="T520" t="n">
        <v>0.00013947</v>
      </c>
      <c r="U520" t="n">
        <v>8514.867399999999</v>
      </c>
      <c r="V520" t="inlineStr">
        <is>
          <t>Supplier Reported Emissions</t>
        </is>
      </c>
      <c r="W520" t="b">
        <v>0</v>
      </c>
      <c r="X520" t="inlineStr">
        <is>
          <t>High</t>
        </is>
      </c>
      <c r="Y520" t="inlineStr">
        <is>
          <t>Scope_Emissions</t>
        </is>
      </c>
      <c r="Z520" t="n">
        <v>0.95</v>
      </c>
      <c r="AA520" t="inlineStr">
        <is>
          <t>Valid</t>
        </is>
      </c>
    </row>
    <row r="521">
      <c r="A521" t="inlineStr">
        <is>
          <t>SUP-0052</t>
        </is>
      </c>
      <c r="B521" t="inlineStr">
        <is>
          <t>Electronics Supplier 052</t>
        </is>
      </c>
      <c r="C521" t="inlineStr">
        <is>
          <t>Electronics</t>
        </is>
      </c>
      <c r="D521" t="n">
        <v>2024</v>
      </c>
      <c r="E521" t="n">
        <v>17480428.95</v>
      </c>
      <c r="F521" t="n">
        <v>59211096.29</v>
      </c>
      <c r="G521" t="n">
        <v>6648.7037</v>
      </c>
      <c r="H521" t="inlineStr"/>
      <c r="I521" t="n">
        <v>490.2344</v>
      </c>
      <c r="J521" t="n">
        <v>5038.2233</v>
      </c>
      <c r="K521" t="inlineStr"/>
      <c r="L521" t="inlineStr"/>
      <c r="M521" t="inlineStr"/>
      <c r="N521" t="inlineStr"/>
      <c r="O521" t="n">
        <v>2018</v>
      </c>
      <c r="P521" t="n">
        <v>2040</v>
      </c>
      <c r="Q521" t="n">
        <v>0.3424</v>
      </c>
      <c r="R521" t="n">
        <v>635.1588</v>
      </c>
      <c r="S521" t="n">
        <v>0.00086105</v>
      </c>
      <c r="T521" t="n">
        <v>0.00013947</v>
      </c>
      <c r="U521" t="n">
        <v>6648.7037</v>
      </c>
      <c r="V521" t="inlineStr">
        <is>
          <t>Supplier Reported Emissions</t>
        </is>
      </c>
      <c r="W521" t="b">
        <v>0</v>
      </c>
      <c r="X521" t="inlineStr">
        <is>
          <t>High</t>
        </is>
      </c>
      <c r="Y521" t="inlineStr">
        <is>
          <t>Scope_Emissions</t>
        </is>
      </c>
      <c r="Z521" t="n">
        <v>0.95</v>
      </c>
      <c r="AA521" t="inlineStr">
        <is>
          <t>Valid</t>
        </is>
      </c>
    </row>
    <row r="522">
      <c r="A522" t="inlineStr">
        <is>
          <t>SUP-0053</t>
        </is>
      </c>
      <c r="B522" t="inlineStr">
        <is>
          <t>Electronics Supplier 053</t>
        </is>
      </c>
      <c r="C522" t="inlineStr">
        <is>
          <t>Electronics</t>
        </is>
      </c>
      <c r="D522" t="n">
        <v>2015</v>
      </c>
      <c r="E522" t="n">
        <v>523804.78</v>
      </c>
      <c r="F522" t="n">
        <v>2011013.32</v>
      </c>
      <c r="G522" t="inlineStr"/>
      <c r="H522" t="n">
        <v>112.8069</v>
      </c>
      <c r="I522" t="n">
        <v>52.2272</v>
      </c>
      <c r="J522" t="inlineStr"/>
      <c r="K522" t="n">
        <v>2021</v>
      </c>
      <c r="L522" t="n">
        <v>2030</v>
      </c>
      <c r="M522" t="n">
        <v>0.5843</v>
      </c>
      <c r="N522" t="n">
        <v>0.3539</v>
      </c>
      <c r="O522" t="n">
        <v>2018</v>
      </c>
      <c r="P522" t="n">
        <v>2040</v>
      </c>
      <c r="Q522" t="n">
        <v>0.3424</v>
      </c>
      <c r="R522" t="n">
        <v>635.1588</v>
      </c>
      <c r="S522" t="n">
        <v>0.00086105</v>
      </c>
      <c r="T522" t="n">
        <v>0.00013947</v>
      </c>
      <c r="U522" t="n">
        <v>451.0221</v>
      </c>
      <c r="V522" t="inlineStr">
        <is>
          <t>Spend-Based Estimate</t>
        </is>
      </c>
      <c r="W522" t="b">
        <v>1</v>
      </c>
      <c r="X522" t="inlineStr">
        <is>
          <t>Medium</t>
        </is>
      </c>
      <c r="Y522" t="inlineStr">
        <is>
          <t>Reported_Emissions; Scope_Emissions</t>
        </is>
      </c>
      <c r="Z522" t="n">
        <v>0.7</v>
      </c>
      <c r="AA522" t="inlineStr">
        <is>
          <t>Valid</t>
        </is>
      </c>
    </row>
    <row r="523">
      <c r="A523" t="inlineStr">
        <is>
          <t>SUP-0053</t>
        </is>
      </c>
      <c r="B523" t="inlineStr">
        <is>
          <t>Electronics Supplier 053</t>
        </is>
      </c>
      <c r="C523" t="inlineStr">
        <is>
          <t>Electronics</t>
        </is>
      </c>
      <c r="D523" t="n">
        <v>2016</v>
      </c>
      <c r="E523" t="n">
        <v>508890.36</v>
      </c>
      <c r="F523" t="inlineStr"/>
      <c r="G523" t="n">
        <v>521.5717</v>
      </c>
      <c r="H523" t="n">
        <v>104.0763</v>
      </c>
      <c r="I523" t="n">
        <v>81.87860000000001</v>
      </c>
      <c r="J523" t="n">
        <v>320.4539</v>
      </c>
      <c r="K523" t="n">
        <v>2021</v>
      </c>
      <c r="L523" t="n">
        <v>2030</v>
      </c>
      <c r="M523" t="n">
        <v>0.5843</v>
      </c>
      <c r="N523" t="n">
        <v>0.3539</v>
      </c>
      <c r="O523" t="n">
        <v>2018</v>
      </c>
      <c r="P523" t="n">
        <v>2040</v>
      </c>
      <c r="Q523" t="n">
        <v>0.3424</v>
      </c>
      <c r="R523" t="n">
        <v>635.1588</v>
      </c>
      <c r="S523" t="n">
        <v>0.00086105</v>
      </c>
      <c r="T523" t="n">
        <v>0.00013947</v>
      </c>
      <c r="U523" t="n">
        <v>521.5717</v>
      </c>
      <c r="V523" t="inlineStr">
        <is>
          <t>Supplier Reported Emissions</t>
        </is>
      </c>
      <c r="W523" t="b">
        <v>0</v>
      </c>
      <c r="X523" t="inlineStr">
        <is>
          <t>High</t>
        </is>
      </c>
      <c r="Y523" t="inlineStr">
        <is>
          <t>Revenue</t>
        </is>
      </c>
      <c r="Z523" t="n">
        <v>0.95</v>
      </c>
      <c r="AA523" t="inlineStr">
        <is>
          <t>Valid</t>
        </is>
      </c>
    </row>
    <row r="524">
      <c r="A524" t="inlineStr">
        <is>
          <t>SUP-0053</t>
        </is>
      </c>
      <c r="B524" t="inlineStr">
        <is>
          <t>Electronics Supplier 053</t>
        </is>
      </c>
      <c r="C524" t="inlineStr">
        <is>
          <t>Electronics</t>
        </is>
      </c>
      <c r="D524" t="n">
        <v>2017</v>
      </c>
      <c r="E524" t="n">
        <v>590829.13</v>
      </c>
      <c r="F524" t="n">
        <v>2718163.82</v>
      </c>
      <c r="G524" t="n">
        <v>654.6942</v>
      </c>
      <c r="H524" t="n">
        <v>132.4221</v>
      </c>
      <c r="I524" t="n">
        <v>79.8907</v>
      </c>
      <c r="J524" t="n">
        <v>450.1854</v>
      </c>
      <c r="K524" t="n">
        <v>2021</v>
      </c>
      <c r="L524" t="n">
        <v>2030</v>
      </c>
      <c r="M524" t="n">
        <v>0.5843</v>
      </c>
      <c r="N524" t="n">
        <v>0.3539</v>
      </c>
      <c r="O524" t="n">
        <v>2018</v>
      </c>
      <c r="P524" t="n">
        <v>2040</v>
      </c>
      <c r="Q524" t="n">
        <v>0.3424</v>
      </c>
      <c r="R524" t="n">
        <v>635.1588</v>
      </c>
      <c r="S524" t="n">
        <v>0.00086105</v>
      </c>
      <c r="T524" t="n">
        <v>0.00013947</v>
      </c>
      <c r="U524" t="n">
        <v>654.6942</v>
      </c>
      <c r="V524" t="inlineStr">
        <is>
          <t>Supplier Reported Emissions</t>
        </is>
      </c>
      <c r="W524" t="b">
        <v>0</v>
      </c>
      <c r="X524" t="inlineStr">
        <is>
          <t>High</t>
        </is>
      </c>
      <c r="Y524" t="inlineStr">
        <is>
          <t>None</t>
        </is>
      </c>
      <c r="Z524" t="n">
        <v>0.95</v>
      </c>
      <c r="AA524" t="inlineStr">
        <is>
          <t>Valid</t>
        </is>
      </c>
    </row>
    <row r="525">
      <c r="A525" t="inlineStr">
        <is>
          <t>SUP-0053</t>
        </is>
      </c>
      <c r="B525" t="inlineStr">
        <is>
          <t>Electronics Supplier 053</t>
        </is>
      </c>
      <c r="C525" t="inlineStr">
        <is>
          <t>Electronics</t>
        </is>
      </c>
      <c r="D525" t="n">
        <v>2018</v>
      </c>
      <c r="E525" t="n">
        <v>662713.45</v>
      </c>
      <c r="F525" t="n">
        <v>2912578.58</v>
      </c>
      <c r="G525" t="n">
        <v>662.2178</v>
      </c>
      <c r="H525" t="n">
        <v>118.1257</v>
      </c>
      <c r="I525" t="n">
        <v>111.6942</v>
      </c>
      <c r="J525" t="n">
        <v>461.0607</v>
      </c>
      <c r="K525" t="n">
        <v>2021</v>
      </c>
      <c r="L525" t="n">
        <v>2030</v>
      </c>
      <c r="M525" t="n">
        <v>0.5843</v>
      </c>
      <c r="N525" t="n">
        <v>0.3539</v>
      </c>
      <c r="O525" t="n">
        <v>2018</v>
      </c>
      <c r="P525" t="n">
        <v>2040</v>
      </c>
      <c r="Q525" t="n">
        <v>0.3424</v>
      </c>
      <c r="R525" t="n">
        <v>635.1588</v>
      </c>
      <c r="S525" t="n">
        <v>0.00086105</v>
      </c>
      <c r="T525" t="n">
        <v>0.00013947</v>
      </c>
      <c r="U525" t="n">
        <v>662.2178</v>
      </c>
      <c r="V525" t="inlineStr">
        <is>
          <t>Supplier Reported Emissions</t>
        </is>
      </c>
      <c r="W525" t="b">
        <v>0</v>
      </c>
      <c r="X525" t="inlineStr">
        <is>
          <t>High</t>
        </is>
      </c>
      <c r="Y525" t="inlineStr">
        <is>
          <t>None</t>
        </is>
      </c>
      <c r="Z525" t="n">
        <v>0.95</v>
      </c>
      <c r="AA525" t="inlineStr">
        <is>
          <t>Valid</t>
        </is>
      </c>
    </row>
    <row r="526">
      <c r="A526" t="inlineStr">
        <is>
          <t>SUP-0053</t>
        </is>
      </c>
      <c r="B526" t="inlineStr">
        <is>
          <t>Electronics Supplier 053</t>
        </is>
      </c>
      <c r="C526" t="inlineStr">
        <is>
          <t>Electronics</t>
        </is>
      </c>
      <c r="D526" t="n">
        <v>2019</v>
      </c>
      <c r="E526" t="n">
        <v>620762.1800000001</v>
      </c>
      <c r="F526" t="n">
        <v>3542801.13</v>
      </c>
      <c r="G526" t="n">
        <v>808.9703</v>
      </c>
      <c r="H526" t="n">
        <v>90.2007</v>
      </c>
      <c r="I526" t="n">
        <v>85.669</v>
      </c>
      <c r="J526" t="n">
        <v>590.2699</v>
      </c>
      <c r="K526" t="n">
        <v>2021</v>
      </c>
      <c r="L526" t="n">
        <v>2030</v>
      </c>
      <c r="M526" t="n">
        <v>0.5843</v>
      </c>
      <c r="N526" t="n">
        <v>0.3539</v>
      </c>
      <c r="O526" t="n">
        <v>2018</v>
      </c>
      <c r="P526" t="n">
        <v>2040</v>
      </c>
      <c r="Q526" t="n">
        <v>0.3424</v>
      </c>
      <c r="R526" t="n">
        <v>635.1588</v>
      </c>
      <c r="S526" t="n">
        <v>0.00086105</v>
      </c>
      <c r="T526" t="n">
        <v>0.00013947</v>
      </c>
      <c r="U526" t="n">
        <v>808.9703</v>
      </c>
      <c r="V526" t="inlineStr">
        <is>
          <t>Supplier Reported Emissions</t>
        </is>
      </c>
      <c r="W526" t="b">
        <v>0</v>
      </c>
      <c r="X526" t="inlineStr">
        <is>
          <t>High</t>
        </is>
      </c>
      <c r="Y526" t="inlineStr">
        <is>
          <t>None</t>
        </is>
      </c>
      <c r="Z526" t="n">
        <v>0.95</v>
      </c>
      <c r="AA526" t="inlineStr">
        <is>
          <t>Valid</t>
        </is>
      </c>
    </row>
    <row r="527">
      <c r="A527" t="inlineStr">
        <is>
          <t>SUP-0053</t>
        </is>
      </c>
      <c r="B527" t="inlineStr">
        <is>
          <t>Electronics Supplier 053</t>
        </is>
      </c>
      <c r="C527" t="inlineStr">
        <is>
          <t>Electronics</t>
        </is>
      </c>
      <c r="D527" t="n">
        <v>2020</v>
      </c>
      <c r="E527" t="n">
        <v>709622.7</v>
      </c>
      <c r="F527" t="n">
        <v>3634179.42</v>
      </c>
      <c r="G527" t="n">
        <v>705.3059</v>
      </c>
      <c r="H527" t="n">
        <v>87.7544</v>
      </c>
      <c r="I527" t="n">
        <v>134.092</v>
      </c>
      <c r="J527" t="n">
        <v>532.8228</v>
      </c>
      <c r="K527" t="n">
        <v>2021</v>
      </c>
      <c r="L527" t="n">
        <v>2030</v>
      </c>
      <c r="M527" t="n">
        <v>0.5843</v>
      </c>
      <c r="N527" t="n">
        <v>0.3539</v>
      </c>
      <c r="O527" t="n">
        <v>2018</v>
      </c>
      <c r="P527" t="n">
        <v>2040</v>
      </c>
      <c r="Q527" t="n">
        <v>0.3424</v>
      </c>
      <c r="R527" t="n">
        <v>635.1588</v>
      </c>
      <c r="S527" t="n">
        <v>0.00086105</v>
      </c>
      <c r="T527" t="n">
        <v>0.00013947</v>
      </c>
      <c r="U527" t="n">
        <v>705.3059</v>
      </c>
      <c r="V527" t="inlineStr">
        <is>
          <t>Supplier Reported Emissions</t>
        </is>
      </c>
      <c r="W527" t="b">
        <v>0</v>
      </c>
      <c r="X527" t="inlineStr">
        <is>
          <t>High</t>
        </is>
      </c>
      <c r="Y527" t="inlineStr">
        <is>
          <t>None</t>
        </is>
      </c>
      <c r="Z527" t="n">
        <v>0.95</v>
      </c>
      <c r="AA527" t="inlineStr">
        <is>
          <t>Valid</t>
        </is>
      </c>
    </row>
    <row r="528">
      <c r="A528" t="inlineStr">
        <is>
          <t>SUP-0053</t>
        </is>
      </c>
      <c r="B528" t="inlineStr">
        <is>
          <t>Electronics Supplier 053</t>
        </is>
      </c>
      <c r="C528" t="inlineStr">
        <is>
          <t>Electronics</t>
        </is>
      </c>
      <c r="D528" t="n">
        <v>2021</v>
      </c>
      <c r="E528" t="inlineStr"/>
      <c r="F528" t="n">
        <v>2839825.22</v>
      </c>
      <c r="G528" t="n">
        <v>574.1627999999999</v>
      </c>
      <c r="H528" t="n">
        <v>124.743</v>
      </c>
      <c r="I528" t="n">
        <v>69.4573</v>
      </c>
      <c r="J528" t="inlineStr"/>
      <c r="K528" t="n">
        <v>2021</v>
      </c>
      <c r="L528" t="n">
        <v>2030</v>
      </c>
      <c r="M528" t="n">
        <v>0.5843</v>
      </c>
      <c r="N528" t="n">
        <v>0.3539</v>
      </c>
      <c r="O528" t="n">
        <v>2018</v>
      </c>
      <c r="P528" t="n">
        <v>2040</v>
      </c>
      <c r="Q528" t="n">
        <v>0.3424</v>
      </c>
      <c r="R528" t="n">
        <v>635.1588</v>
      </c>
      <c r="S528" t="n">
        <v>0.00086105</v>
      </c>
      <c r="T528" t="n">
        <v>0.00013947</v>
      </c>
      <c r="U528" t="n">
        <v>574.1627999999999</v>
      </c>
      <c r="V528" t="inlineStr">
        <is>
          <t>Supplier Reported Emissions</t>
        </is>
      </c>
      <c r="W528" t="b">
        <v>0</v>
      </c>
      <c r="X528" t="inlineStr">
        <is>
          <t>High</t>
        </is>
      </c>
      <c r="Y528" t="inlineStr">
        <is>
          <t>Gross_Spend; Scope_Emissions</t>
        </is>
      </c>
      <c r="Z528" t="n">
        <v>0.95</v>
      </c>
      <c r="AA528" t="inlineStr">
        <is>
          <t>Valid</t>
        </is>
      </c>
    </row>
    <row r="529">
      <c r="A529" t="inlineStr">
        <is>
          <t>SUP-0053</t>
        </is>
      </c>
      <c r="B529" t="inlineStr">
        <is>
          <t>Electronics Supplier 053</t>
        </is>
      </c>
      <c r="C529" t="inlineStr">
        <is>
          <t>Electronics</t>
        </is>
      </c>
      <c r="D529" t="n">
        <v>2022</v>
      </c>
      <c r="E529" t="n">
        <v>616218.8</v>
      </c>
      <c r="F529" t="n">
        <v>4098541.65</v>
      </c>
      <c r="G529" t="n">
        <v>604.8104</v>
      </c>
      <c r="H529" t="n">
        <v>111.708</v>
      </c>
      <c r="I529" t="n">
        <v>104.5208</v>
      </c>
      <c r="J529" t="n">
        <v>451.0083</v>
      </c>
      <c r="K529" t="n">
        <v>2021</v>
      </c>
      <c r="L529" t="n">
        <v>2030</v>
      </c>
      <c r="M529" t="n">
        <v>0.5843</v>
      </c>
      <c r="N529" t="n">
        <v>0.3539</v>
      </c>
      <c r="O529" t="n">
        <v>2018</v>
      </c>
      <c r="P529" t="n">
        <v>2040</v>
      </c>
      <c r="Q529" t="n">
        <v>0.3424</v>
      </c>
      <c r="R529" t="n">
        <v>635.1588</v>
      </c>
      <c r="S529" t="n">
        <v>0.00086105</v>
      </c>
      <c r="T529" t="n">
        <v>0.00013947</v>
      </c>
      <c r="U529" t="n">
        <v>604.8104</v>
      </c>
      <c r="V529" t="inlineStr">
        <is>
          <t>Supplier Reported Emissions</t>
        </is>
      </c>
      <c r="W529" t="b">
        <v>0</v>
      </c>
      <c r="X529" t="inlineStr">
        <is>
          <t>High</t>
        </is>
      </c>
      <c r="Y529" t="inlineStr">
        <is>
          <t>None</t>
        </is>
      </c>
      <c r="Z529" t="n">
        <v>0.95</v>
      </c>
      <c r="AA529" t="inlineStr">
        <is>
          <t>Valid</t>
        </is>
      </c>
    </row>
    <row r="530">
      <c r="A530" t="inlineStr">
        <is>
          <t>SUP-0053</t>
        </is>
      </c>
      <c r="B530" t="inlineStr">
        <is>
          <t>Electronics Supplier 053</t>
        </is>
      </c>
      <c r="C530" t="inlineStr">
        <is>
          <t>Electronics</t>
        </is>
      </c>
      <c r="D530" t="n">
        <v>2023</v>
      </c>
      <c r="E530" t="n">
        <v>884901.04</v>
      </c>
      <c r="F530" t="n">
        <v>3333297.2</v>
      </c>
      <c r="G530" t="n">
        <v>843.0254</v>
      </c>
      <c r="H530" t="n">
        <v>107.8216</v>
      </c>
      <c r="I530" t="n">
        <v>137.5078</v>
      </c>
      <c r="J530" t="n">
        <v>538.3193</v>
      </c>
      <c r="K530" t="n">
        <v>2021</v>
      </c>
      <c r="L530" t="n">
        <v>2030</v>
      </c>
      <c r="M530" t="n">
        <v>0.5843</v>
      </c>
      <c r="N530" t="n">
        <v>0.3539</v>
      </c>
      <c r="O530" t="n">
        <v>2018</v>
      </c>
      <c r="P530" t="n">
        <v>2040</v>
      </c>
      <c r="Q530" t="n">
        <v>0.3424</v>
      </c>
      <c r="R530" t="n">
        <v>635.1588</v>
      </c>
      <c r="S530" t="n">
        <v>0.00086105</v>
      </c>
      <c r="T530" t="n">
        <v>0.00013947</v>
      </c>
      <c r="U530" t="n">
        <v>843.0254</v>
      </c>
      <c r="V530" t="inlineStr">
        <is>
          <t>Supplier Reported Emissions</t>
        </is>
      </c>
      <c r="W530" t="b">
        <v>0</v>
      </c>
      <c r="X530" t="inlineStr">
        <is>
          <t>High</t>
        </is>
      </c>
      <c r="Y530" t="inlineStr">
        <is>
          <t>None</t>
        </is>
      </c>
      <c r="Z530" t="n">
        <v>0.95</v>
      </c>
      <c r="AA530" t="inlineStr">
        <is>
          <t>Valid</t>
        </is>
      </c>
    </row>
    <row r="531">
      <c r="A531" t="inlineStr">
        <is>
          <t>SUP-0053</t>
        </is>
      </c>
      <c r="B531" t="inlineStr">
        <is>
          <t>Electronics Supplier 053</t>
        </is>
      </c>
      <c r="C531" t="inlineStr">
        <is>
          <t>Electronics</t>
        </is>
      </c>
      <c r="D531" t="n">
        <v>2024</v>
      </c>
      <c r="E531" t="n">
        <v>917106.38</v>
      </c>
      <c r="F531" t="n">
        <v>4831588.32</v>
      </c>
      <c r="G531" t="inlineStr"/>
      <c r="H531" t="n">
        <v>196.2945</v>
      </c>
      <c r="I531" t="n">
        <v>144.2933</v>
      </c>
      <c r="J531" t="n">
        <v>378.9051</v>
      </c>
      <c r="K531" t="n">
        <v>2021</v>
      </c>
      <c r="L531" t="n">
        <v>2030</v>
      </c>
      <c r="M531" t="n">
        <v>0.5843</v>
      </c>
      <c r="N531" t="n">
        <v>0.3539</v>
      </c>
      <c r="O531" t="n">
        <v>2018</v>
      </c>
      <c r="P531" t="n">
        <v>2040</v>
      </c>
      <c r="Q531" t="n">
        <v>0.3424</v>
      </c>
      <c r="R531" t="n">
        <v>635.1588</v>
      </c>
      <c r="S531" t="n">
        <v>0.00086105</v>
      </c>
      <c r="T531" t="n">
        <v>0.00013947</v>
      </c>
      <c r="U531" t="n">
        <v>719.4929</v>
      </c>
      <c r="V531" t="inlineStr">
        <is>
          <t>Scope 1 + Scope 2 + Scope 3</t>
        </is>
      </c>
      <c r="W531" t="b">
        <v>1</v>
      </c>
      <c r="X531" t="inlineStr">
        <is>
          <t>High</t>
        </is>
      </c>
      <c r="Y531" t="inlineStr">
        <is>
          <t>Reported_Emissions</t>
        </is>
      </c>
      <c r="Z531" t="n">
        <v>0.88</v>
      </c>
      <c r="AA531" t="inlineStr">
        <is>
          <t>Valid</t>
        </is>
      </c>
    </row>
    <row r="532">
      <c r="A532" t="inlineStr">
        <is>
          <t>SUP-0054</t>
        </is>
      </c>
      <c r="B532" t="inlineStr">
        <is>
          <t>Chemicals Supplier 054</t>
        </is>
      </c>
      <c r="C532" t="inlineStr">
        <is>
          <t>Chemicals</t>
        </is>
      </c>
      <c r="D532" t="n">
        <v>2015</v>
      </c>
      <c r="E532" t="n">
        <v>2569176.3</v>
      </c>
      <c r="F532" t="n">
        <v>3892965.99</v>
      </c>
      <c r="G532" t="n">
        <v>1527.7388</v>
      </c>
      <c r="H532" t="n">
        <v>392.631</v>
      </c>
      <c r="I532" t="n">
        <v>179.0758</v>
      </c>
      <c r="J532" t="n">
        <v>900.8951</v>
      </c>
      <c r="K532" t="n">
        <v>2019</v>
      </c>
      <c r="L532" t="n">
        <v>2035</v>
      </c>
      <c r="M532" t="n">
        <v>0.3128</v>
      </c>
      <c r="N532" t="n">
        <v>0.1632</v>
      </c>
      <c r="O532" t="n">
        <v>2019</v>
      </c>
      <c r="P532" t="n">
        <v>2035</v>
      </c>
      <c r="Q532" t="n">
        <v>0.5229</v>
      </c>
      <c r="R532" t="n">
        <v>506.3191</v>
      </c>
      <c r="S532" t="n">
        <v>0.00100149</v>
      </c>
      <c r="T532" t="n">
        <v>0.00047124</v>
      </c>
      <c r="U532" t="n">
        <v>1527.7388</v>
      </c>
      <c r="V532" t="inlineStr">
        <is>
          <t>Supplier Reported Emissions</t>
        </is>
      </c>
      <c r="W532" t="b">
        <v>0</v>
      </c>
      <c r="X532" t="inlineStr">
        <is>
          <t>High</t>
        </is>
      </c>
      <c r="Y532" t="inlineStr">
        <is>
          <t>None</t>
        </is>
      </c>
      <c r="Z532" t="n">
        <v>0.95</v>
      </c>
      <c r="AA532" t="inlineStr">
        <is>
          <t>Valid</t>
        </is>
      </c>
    </row>
    <row r="533">
      <c r="A533" t="inlineStr">
        <is>
          <t>SUP-0054</t>
        </is>
      </c>
      <c r="B533" t="inlineStr">
        <is>
          <t>Chemicals Supplier 054</t>
        </is>
      </c>
      <c r="C533" t="inlineStr">
        <is>
          <t>Chemicals</t>
        </is>
      </c>
      <c r="D533" t="n">
        <v>2016</v>
      </c>
      <c r="E533" t="n">
        <v>2395593.17</v>
      </c>
      <c r="F533" t="n">
        <v>2878543.9</v>
      </c>
      <c r="G533" t="n">
        <v>1602.5482</v>
      </c>
      <c r="H533" t="n">
        <v>154.2757</v>
      </c>
      <c r="I533" t="n">
        <v>116.4944</v>
      </c>
      <c r="J533" t="n">
        <v>1373.2602</v>
      </c>
      <c r="K533" t="n">
        <v>2019</v>
      </c>
      <c r="L533" t="n">
        <v>2035</v>
      </c>
      <c r="M533" t="n">
        <v>0.3128</v>
      </c>
      <c r="N533" t="n">
        <v>0.1632</v>
      </c>
      <c r="O533" t="n">
        <v>2019</v>
      </c>
      <c r="P533" t="n">
        <v>2035</v>
      </c>
      <c r="Q533" t="n">
        <v>0.5229</v>
      </c>
      <c r="R533" t="n">
        <v>506.3191</v>
      </c>
      <c r="S533" t="n">
        <v>0.00100149</v>
      </c>
      <c r="T533" t="n">
        <v>0.00047124</v>
      </c>
      <c r="U533" t="n">
        <v>1602.5482</v>
      </c>
      <c r="V533" t="inlineStr">
        <is>
          <t>Supplier Reported Emissions</t>
        </is>
      </c>
      <c r="W533" t="b">
        <v>0</v>
      </c>
      <c r="X533" t="inlineStr">
        <is>
          <t>High</t>
        </is>
      </c>
      <c r="Y533" t="inlineStr">
        <is>
          <t>None</t>
        </is>
      </c>
      <c r="Z533" t="n">
        <v>0.95</v>
      </c>
      <c r="AA533" t="inlineStr">
        <is>
          <t>Valid</t>
        </is>
      </c>
    </row>
    <row r="534">
      <c r="A534" t="inlineStr">
        <is>
          <t>SUP-0054</t>
        </is>
      </c>
      <c r="B534" t="inlineStr">
        <is>
          <t>Chemicals Supplier 054</t>
        </is>
      </c>
      <c r="C534" t="inlineStr">
        <is>
          <t>Chemicals</t>
        </is>
      </c>
      <c r="D534" t="n">
        <v>2017</v>
      </c>
      <c r="E534" t="inlineStr"/>
      <c r="F534" t="n">
        <v>2958749.67</v>
      </c>
      <c r="G534" t="n">
        <v>1473.5414</v>
      </c>
      <c r="H534" t="inlineStr"/>
      <c r="I534" t="n">
        <v>294.6901</v>
      </c>
      <c r="J534" t="n">
        <v>1038.8907</v>
      </c>
      <c r="K534" t="n">
        <v>2019</v>
      </c>
      <c r="L534" t="n">
        <v>2035</v>
      </c>
      <c r="M534" t="n">
        <v>0.3128</v>
      </c>
      <c r="N534" t="n">
        <v>0.1632</v>
      </c>
      <c r="O534" t="n">
        <v>2019</v>
      </c>
      <c r="P534" t="n">
        <v>2035</v>
      </c>
      <c r="Q534" t="n">
        <v>0.5229</v>
      </c>
      <c r="R534" t="n">
        <v>506.3191</v>
      </c>
      <c r="S534" t="n">
        <v>0.00100149</v>
      </c>
      <c r="T534" t="n">
        <v>0.00047124</v>
      </c>
      <c r="U534" t="n">
        <v>1473.5414</v>
      </c>
      <c r="V534" t="inlineStr">
        <is>
          <t>Supplier Reported Emissions</t>
        </is>
      </c>
      <c r="W534" t="b">
        <v>0</v>
      </c>
      <c r="X534" t="inlineStr">
        <is>
          <t>High</t>
        </is>
      </c>
      <c r="Y534" t="inlineStr">
        <is>
          <t>Gross_Spend; Scope_Emissions</t>
        </is>
      </c>
      <c r="Z534" t="n">
        <v>0.95</v>
      </c>
      <c r="AA534" t="inlineStr">
        <is>
          <t>Valid</t>
        </is>
      </c>
    </row>
    <row r="535">
      <c r="A535" t="inlineStr">
        <is>
          <t>SUP-0054</t>
        </is>
      </c>
      <c r="B535" t="inlineStr">
        <is>
          <t>Chemicals Supplier 054</t>
        </is>
      </c>
      <c r="C535" t="inlineStr">
        <is>
          <t>Chemicals</t>
        </is>
      </c>
      <c r="D535" t="n">
        <v>2018</v>
      </c>
      <c r="E535" t="n">
        <v>2389457.52</v>
      </c>
      <c r="F535" t="n">
        <v>3553900.75</v>
      </c>
      <c r="G535" t="n">
        <v>1283.2802</v>
      </c>
      <c r="H535" t="n">
        <v>326.389</v>
      </c>
      <c r="I535" t="n">
        <v>134.6633</v>
      </c>
      <c r="J535" t="n">
        <v>846.3162</v>
      </c>
      <c r="K535" t="n">
        <v>2019</v>
      </c>
      <c r="L535" t="n">
        <v>2035</v>
      </c>
      <c r="M535" t="n">
        <v>0.3128</v>
      </c>
      <c r="N535" t="n">
        <v>0.1632</v>
      </c>
      <c r="O535" t="n">
        <v>2019</v>
      </c>
      <c r="P535" t="n">
        <v>2035</v>
      </c>
      <c r="Q535" t="n">
        <v>0.5229</v>
      </c>
      <c r="R535" t="n">
        <v>506.3191</v>
      </c>
      <c r="S535" t="n">
        <v>0.00100149</v>
      </c>
      <c r="T535" t="n">
        <v>0.00047124</v>
      </c>
      <c r="U535" t="n">
        <v>1283.2802</v>
      </c>
      <c r="V535" t="inlineStr">
        <is>
          <t>Supplier Reported Emissions</t>
        </is>
      </c>
      <c r="W535" t="b">
        <v>0</v>
      </c>
      <c r="X535" t="inlineStr">
        <is>
          <t>High</t>
        </is>
      </c>
      <c r="Y535" t="inlineStr">
        <is>
          <t>None</t>
        </is>
      </c>
      <c r="Z535" t="n">
        <v>0.95</v>
      </c>
      <c r="AA535" t="inlineStr">
        <is>
          <t>Valid</t>
        </is>
      </c>
    </row>
    <row r="536">
      <c r="A536" t="inlineStr">
        <is>
          <t>SUP-0054</t>
        </is>
      </c>
      <c r="B536" t="inlineStr">
        <is>
          <t>Chemicals Supplier 054</t>
        </is>
      </c>
      <c r="C536" t="inlineStr">
        <is>
          <t>Chemicals</t>
        </is>
      </c>
      <c r="D536" t="n">
        <v>2019</v>
      </c>
      <c r="E536" t="n">
        <v>3067721.41</v>
      </c>
      <c r="F536" t="inlineStr"/>
      <c r="G536" t="n">
        <v>1807.0777</v>
      </c>
      <c r="H536" t="inlineStr"/>
      <c r="I536" t="n">
        <v>186.8636</v>
      </c>
      <c r="J536" t="inlineStr"/>
      <c r="K536" t="n">
        <v>2019</v>
      </c>
      <c r="L536" t="n">
        <v>2035</v>
      </c>
      <c r="M536" t="n">
        <v>0.3128</v>
      </c>
      <c r="N536" t="n">
        <v>0.1632</v>
      </c>
      <c r="O536" t="n">
        <v>2019</v>
      </c>
      <c r="P536" t="n">
        <v>2035</v>
      </c>
      <c r="Q536" t="n">
        <v>0.5229</v>
      </c>
      <c r="R536" t="n">
        <v>506.3191</v>
      </c>
      <c r="S536" t="n">
        <v>0.00100149</v>
      </c>
      <c r="T536" t="n">
        <v>0.00047124</v>
      </c>
      <c r="U536" t="n">
        <v>1807.0777</v>
      </c>
      <c r="V536" t="inlineStr">
        <is>
          <t>Supplier Reported Emissions</t>
        </is>
      </c>
      <c r="W536" t="b">
        <v>0</v>
      </c>
      <c r="X536" t="inlineStr">
        <is>
          <t>High</t>
        </is>
      </c>
      <c r="Y536" t="inlineStr">
        <is>
          <t>Revenue; Scope_Emissions</t>
        </is>
      </c>
      <c r="Z536" t="n">
        <v>0.95</v>
      </c>
      <c r="AA536" t="inlineStr">
        <is>
          <t>Valid</t>
        </is>
      </c>
    </row>
    <row r="537">
      <c r="A537" t="inlineStr">
        <is>
          <t>SUP-0054</t>
        </is>
      </c>
      <c r="B537" t="inlineStr">
        <is>
          <t>Chemicals Supplier 054</t>
        </is>
      </c>
      <c r="C537" t="inlineStr">
        <is>
          <t>Chemicals</t>
        </is>
      </c>
      <c r="D537" t="n">
        <v>2020</v>
      </c>
      <c r="E537" t="n">
        <v>2778069.51</v>
      </c>
      <c r="F537" t="n">
        <v>3315514.77</v>
      </c>
      <c r="G537" t="inlineStr"/>
      <c r="H537" t="n">
        <v>292.8235</v>
      </c>
      <c r="I537" t="inlineStr"/>
      <c r="J537" t="n">
        <v>971.2477</v>
      </c>
      <c r="K537" t="n">
        <v>2019</v>
      </c>
      <c r="L537" t="n">
        <v>2035</v>
      </c>
      <c r="M537" t="n">
        <v>0.3128</v>
      </c>
      <c r="N537" t="n">
        <v>0.1632</v>
      </c>
      <c r="O537" t="n">
        <v>2019</v>
      </c>
      <c r="P537" t="n">
        <v>2035</v>
      </c>
      <c r="Q537" t="n">
        <v>0.5229</v>
      </c>
      <c r="R537" t="n">
        <v>506.3191</v>
      </c>
      <c r="S537" t="n">
        <v>0.00100149</v>
      </c>
      <c r="T537" t="n">
        <v>0.00047124</v>
      </c>
      <c r="U537" t="n">
        <v>2782.2088</v>
      </c>
      <c r="V537" t="inlineStr">
        <is>
          <t>Spend-Based Estimate</t>
        </is>
      </c>
      <c r="W537" t="b">
        <v>1</v>
      </c>
      <c r="X537" t="inlineStr">
        <is>
          <t>Medium</t>
        </is>
      </c>
      <c r="Y537" t="inlineStr">
        <is>
          <t>Reported_Emissions; Scope_Emissions</t>
        </is>
      </c>
      <c r="Z537" t="n">
        <v>0.7</v>
      </c>
      <c r="AA537" t="inlineStr">
        <is>
          <t>Valid</t>
        </is>
      </c>
    </row>
    <row r="538">
      <c r="A538" t="inlineStr">
        <is>
          <t>SUP-0054</t>
        </is>
      </c>
      <c r="B538" t="inlineStr">
        <is>
          <t>Chemicals Supplier 054</t>
        </is>
      </c>
      <c r="C538" t="inlineStr">
        <is>
          <t>Chemicals</t>
        </is>
      </c>
      <c r="D538" t="n">
        <v>2021</v>
      </c>
      <c r="E538" t="n">
        <v>2502568.83</v>
      </c>
      <c r="F538" t="n">
        <v>3828040.09</v>
      </c>
      <c r="G538" t="inlineStr"/>
      <c r="H538" t="n">
        <v>143.8972</v>
      </c>
      <c r="I538" t="n">
        <v>201.1025</v>
      </c>
      <c r="J538" t="n">
        <v>821.1144</v>
      </c>
      <c r="K538" t="n">
        <v>2019</v>
      </c>
      <c r="L538" t="n">
        <v>2035</v>
      </c>
      <c r="M538" t="n">
        <v>0.3128</v>
      </c>
      <c r="N538" t="n">
        <v>0.1632</v>
      </c>
      <c r="O538" t="n">
        <v>2019</v>
      </c>
      <c r="P538" t="n">
        <v>2035</v>
      </c>
      <c r="Q538" t="n">
        <v>0.5229</v>
      </c>
      <c r="R538" t="n">
        <v>506.3191</v>
      </c>
      <c r="S538" t="n">
        <v>0.00100149</v>
      </c>
      <c r="T538" t="n">
        <v>0.00047124</v>
      </c>
      <c r="U538" t="n">
        <v>1166.1141</v>
      </c>
      <c r="V538" t="inlineStr">
        <is>
          <t>Scope 1 + Scope 2 + Scope 3</t>
        </is>
      </c>
      <c r="W538" t="b">
        <v>1</v>
      </c>
      <c r="X538" t="inlineStr">
        <is>
          <t>High</t>
        </is>
      </c>
      <c r="Y538" t="inlineStr">
        <is>
          <t>Reported_Emissions</t>
        </is>
      </c>
      <c r="Z538" t="n">
        <v>0.88</v>
      </c>
      <c r="AA538" t="inlineStr">
        <is>
          <t>Valid</t>
        </is>
      </c>
    </row>
    <row r="539">
      <c r="A539" t="inlineStr">
        <is>
          <t>SUP-0054</t>
        </is>
      </c>
      <c r="B539" t="inlineStr">
        <is>
          <t>Chemicals Supplier 054</t>
        </is>
      </c>
      <c r="C539" t="inlineStr">
        <is>
          <t>Chemicals</t>
        </is>
      </c>
      <c r="D539" t="n">
        <v>2022</v>
      </c>
      <c r="E539" t="n">
        <v>2858935.31</v>
      </c>
      <c r="F539" t="n">
        <v>4091075.72</v>
      </c>
      <c r="G539" t="n">
        <v>1494.4131</v>
      </c>
      <c r="H539" t="n">
        <v>407.0473</v>
      </c>
      <c r="I539" t="inlineStr"/>
      <c r="J539" t="n">
        <v>863.6301999999999</v>
      </c>
      <c r="K539" t="n">
        <v>2019</v>
      </c>
      <c r="L539" t="n">
        <v>2035</v>
      </c>
      <c r="M539" t="n">
        <v>0.3128</v>
      </c>
      <c r="N539" t="n">
        <v>0.1632</v>
      </c>
      <c r="O539" t="n">
        <v>2019</v>
      </c>
      <c r="P539" t="n">
        <v>2035</v>
      </c>
      <c r="Q539" t="n">
        <v>0.5229</v>
      </c>
      <c r="R539" t="n">
        <v>506.3191</v>
      </c>
      <c r="S539" t="n">
        <v>0.00100149</v>
      </c>
      <c r="T539" t="n">
        <v>0.00047124</v>
      </c>
      <c r="U539" t="n">
        <v>1494.4131</v>
      </c>
      <c r="V539" t="inlineStr">
        <is>
          <t>Supplier Reported Emissions</t>
        </is>
      </c>
      <c r="W539" t="b">
        <v>0</v>
      </c>
      <c r="X539" t="inlineStr">
        <is>
          <t>High</t>
        </is>
      </c>
      <c r="Y539" t="inlineStr">
        <is>
          <t>Scope_Emissions</t>
        </is>
      </c>
      <c r="Z539" t="n">
        <v>0.95</v>
      </c>
      <c r="AA539" t="inlineStr">
        <is>
          <t>Valid</t>
        </is>
      </c>
    </row>
    <row r="540">
      <c r="A540" t="inlineStr">
        <is>
          <t>SUP-0054</t>
        </is>
      </c>
      <c r="B540" t="inlineStr">
        <is>
          <t>Chemicals Supplier 054</t>
        </is>
      </c>
      <c r="C540" t="inlineStr">
        <is>
          <t>Chemicals</t>
        </is>
      </c>
      <c r="D540" t="n">
        <v>2023</v>
      </c>
      <c r="E540" t="n">
        <v>2841688.31</v>
      </c>
      <c r="F540" t="n">
        <v>4049516.27</v>
      </c>
      <c r="G540" t="n">
        <v>1669.237</v>
      </c>
      <c r="H540" t="inlineStr"/>
      <c r="I540" t="inlineStr"/>
      <c r="J540" t="n">
        <v>1188.9129</v>
      </c>
      <c r="K540" t="n">
        <v>2019</v>
      </c>
      <c r="L540" t="n">
        <v>2035</v>
      </c>
      <c r="M540" t="n">
        <v>0.3128</v>
      </c>
      <c r="N540" t="n">
        <v>0.1632</v>
      </c>
      <c r="O540" t="n">
        <v>2019</v>
      </c>
      <c r="P540" t="n">
        <v>2035</v>
      </c>
      <c r="Q540" t="n">
        <v>0.5229</v>
      </c>
      <c r="R540" t="n">
        <v>506.3191</v>
      </c>
      <c r="S540" t="n">
        <v>0.00100149</v>
      </c>
      <c r="T540" t="n">
        <v>0.00047124</v>
      </c>
      <c r="U540" t="n">
        <v>1669.237</v>
      </c>
      <c r="V540" t="inlineStr">
        <is>
          <t>Supplier Reported Emissions</t>
        </is>
      </c>
      <c r="W540" t="b">
        <v>0</v>
      </c>
      <c r="X540" t="inlineStr">
        <is>
          <t>High</t>
        </is>
      </c>
      <c r="Y540" t="inlineStr">
        <is>
          <t>Scope_Emissions</t>
        </is>
      </c>
      <c r="Z540" t="n">
        <v>0.95</v>
      </c>
      <c r="AA540" t="inlineStr">
        <is>
          <t>Valid</t>
        </is>
      </c>
    </row>
    <row r="541">
      <c r="A541" t="inlineStr">
        <is>
          <t>SUP-0054</t>
        </is>
      </c>
      <c r="B541" t="inlineStr">
        <is>
          <t>Chemicals Supplier 054</t>
        </is>
      </c>
      <c r="C541" t="inlineStr">
        <is>
          <t>Chemicals</t>
        </is>
      </c>
      <c r="D541" t="n">
        <v>2024</v>
      </c>
      <c r="E541" t="inlineStr"/>
      <c r="F541" t="n">
        <v>3663142.89</v>
      </c>
      <c r="G541" t="n">
        <v>1075.8171</v>
      </c>
      <c r="H541" t="n">
        <v>231.391</v>
      </c>
      <c r="I541" t="n">
        <v>102.4218</v>
      </c>
      <c r="J541" t="n">
        <v>762.7708</v>
      </c>
      <c r="K541" t="n">
        <v>2019</v>
      </c>
      <c r="L541" t="n">
        <v>2035</v>
      </c>
      <c r="M541" t="n">
        <v>0.3128</v>
      </c>
      <c r="N541" t="n">
        <v>0.1632</v>
      </c>
      <c r="O541" t="n">
        <v>2019</v>
      </c>
      <c r="P541" t="n">
        <v>2035</v>
      </c>
      <c r="Q541" t="n">
        <v>0.5229</v>
      </c>
      <c r="R541" t="n">
        <v>506.3191</v>
      </c>
      <c r="S541" t="n">
        <v>0.00100149</v>
      </c>
      <c r="T541" t="n">
        <v>0.00047124</v>
      </c>
      <c r="U541" t="n">
        <v>1075.8171</v>
      </c>
      <c r="V541" t="inlineStr">
        <is>
          <t>Supplier Reported Emissions</t>
        </is>
      </c>
      <c r="W541" t="b">
        <v>0</v>
      </c>
      <c r="X541" t="inlineStr">
        <is>
          <t>High</t>
        </is>
      </c>
      <c r="Y541" t="inlineStr">
        <is>
          <t>Gross_Spend</t>
        </is>
      </c>
      <c r="Z541" t="n">
        <v>0.95</v>
      </c>
      <c r="AA541" t="inlineStr">
        <is>
          <t>Valid</t>
        </is>
      </c>
    </row>
    <row r="542">
      <c r="A542" t="inlineStr">
        <is>
          <t>SUP-0055</t>
        </is>
      </c>
      <c r="B542" t="inlineStr">
        <is>
          <t>Chemicals Supplier 055</t>
        </is>
      </c>
      <c r="C542" t="inlineStr">
        <is>
          <t>Chemicals</t>
        </is>
      </c>
      <c r="D542" t="n">
        <v>2015</v>
      </c>
      <c r="E542" t="n">
        <v>21458975.33</v>
      </c>
      <c r="F542" t="inlineStr"/>
      <c r="G542" t="inlineStr"/>
      <c r="H542" t="n">
        <v>3784.798</v>
      </c>
      <c r="I542" t="n">
        <v>3185.8873</v>
      </c>
      <c r="J542" t="n">
        <v>15993.4938</v>
      </c>
      <c r="K542" t="n">
        <v>2020</v>
      </c>
      <c r="L542" t="n">
        <v>2040</v>
      </c>
      <c r="M542" t="n">
        <v>0.6136</v>
      </c>
      <c r="N542" t="n">
        <v>0.3724</v>
      </c>
      <c r="O542" t="n">
        <v>2019</v>
      </c>
      <c r="P542" t="n">
        <v>2035</v>
      </c>
      <c r="Q542" t="n">
        <v>0.5229</v>
      </c>
      <c r="R542" t="n">
        <v>506.3191</v>
      </c>
      <c r="S542" t="n">
        <v>0.00100149</v>
      </c>
      <c r="T542" t="n">
        <v>0.00047124</v>
      </c>
      <c r="U542" t="n">
        <v>22964.1791</v>
      </c>
      <c r="V542" t="inlineStr">
        <is>
          <t>Scope 1 + Scope 2 + Scope 3</t>
        </is>
      </c>
      <c r="W542" t="b">
        <v>1</v>
      </c>
      <c r="X542" t="inlineStr">
        <is>
          <t>High</t>
        </is>
      </c>
      <c r="Y542" t="inlineStr">
        <is>
          <t>Reported_Emissions; Revenue</t>
        </is>
      </c>
      <c r="Z542" t="n">
        <v>0.88</v>
      </c>
      <c r="AA542" t="inlineStr">
        <is>
          <t>Valid</t>
        </is>
      </c>
    </row>
    <row r="543">
      <c r="A543" t="inlineStr">
        <is>
          <t>SUP-0055</t>
        </is>
      </c>
      <c r="B543" t="inlineStr">
        <is>
          <t>Chemicals Supplier 055</t>
        </is>
      </c>
      <c r="C543" t="inlineStr">
        <is>
          <t>Chemicals</t>
        </is>
      </c>
      <c r="D543" t="n">
        <v>2016</v>
      </c>
      <c r="E543" t="n">
        <v>20725054.41</v>
      </c>
      <c r="F543" t="n">
        <v>124547056.35</v>
      </c>
      <c r="G543" t="n">
        <v>19280.9107</v>
      </c>
      <c r="H543" t="n">
        <v>2421.2393</v>
      </c>
      <c r="I543" t="n">
        <v>3514.2935</v>
      </c>
      <c r="J543" t="n">
        <v>13217.2247</v>
      </c>
      <c r="K543" t="n">
        <v>2020</v>
      </c>
      <c r="L543" t="n">
        <v>2040</v>
      </c>
      <c r="M543" t="n">
        <v>0.6136</v>
      </c>
      <c r="N543" t="n">
        <v>0.3724</v>
      </c>
      <c r="O543" t="n">
        <v>2019</v>
      </c>
      <c r="P543" t="n">
        <v>2035</v>
      </c>
      <c r="Q543" t="n">
        <v>0.5229</v>
      </c>
      <c r="R543" t="n">
        <v>506.3191</v>
      </c>
      <c r="S543" t="n">
        <v>0.00100149</v>
      </c>
      <c r="T543" t="n">
        <v>0.00047124</v>
      </c>
      <c r="U543" t="n">
        <v>19280.9107</v>
      </c>
      <c r="V543" t="inlineStr">
        <is>
          <t>Supplier Reported Emissions</t>
        </is>
      </c>
      <c r="W543" t="b">
        <v>0</v>
      </c>
      <c r="X543" t="inlineStr">
        <is>
          <t>High</t>
        </is>
      </c>
      <c r="Y543" t="inlineStr">
        <is>
          <t>None</t>
        </is>
      </c>
      <c r="Z543" t="n">
        <v>0.95</v>
      </c>
      <c r="AA543" t="inlineStr">
        <is>
          <t>Valid</t>
        </is>
      </c>
    </row>
    <row r="544">
      <c r="A544" t="inlineStr">
        <is>
          <t>SUP-0055</t>
        </is>
      </c>
      <c r="B544" t="inlineStr">
        <is>
          <t>Chemicals Supplier 055</t>
        </is>
      </c>
      <c r="C544" t="inlineStr">
        <is>
          <t>Chemicals</t>
        </is>
      </c>
      <c r="D544" t="n">
        <v>2017</v>
      </c>
      <c r="E544" t="n">
        <v>24877280.04</v>
      </c>
      <c r="F544" t="n">
        <v>148078078.07</v>
      </c>
      <c r="G544" t="inlineStr"/>
      <c r="H544" t="n">
        <v>3810.1377</v>
      </c>
      <c r="I544" t="n">
        <v>3801.3425</v>
      </c>
      <c r="J544" t="inlineStr"/>
      <c r="K544" t="n">
        <v>2020</v>
      </c>
      <c r="L544" t="n">
        <v>2040</v>
      </c>
      <c r="M544" t="n">
        <v>0.6136</v>
      </c>
      <c r="N544" t="n">
        <v>0.3724</v>
      </c>
      <c r="O544" t="n">
        <v>2019</v>
      </c>
      <c r="P544" t="n">
        <v>2035</v>
      </c>
      <c r="Q544" t="n">
        <v>0.5229</v>
      </c>
      <c r="R544" t="n">
        <v>506.3191</v>
      </c>
      <c r="S544" t="n">
        <v>0.00100149</v>
      </c>
      <c r="T544" t="n">
        <v>0.00047124</v>
      </c>
      <c r="U544" t="n">
        <v>24914.3472</v>
      </c>
      <c r="V544" t="inlineStr">
        <is>
          <t>Spend-Based Estimate</t>
        </is>
      </c>
      <c r="W544" t="b">
        <v>1</v>
      </c>
      <c r="X544" t="inlineStr">
        <is>
          <t>Medium</t>
        </is>
      </c>
      <c r="Y544" t="inlineStr">
        <is>
          <t>Reported_Emissions; Scope_Emissions</t>
        </is>
      </c>
      <c r="Z544" t="n">
        <v>0.7</v>
      </c>
      <c r="AA544" t="inlineStr">
        <is>
          <t>Valid</t>
        </is>
      </c>
    </row>
    <row r="545">
      <c r="A545" t="inlineStr">
        <is>
          <t>SUP-0055</t>
        </is>
      </c>
      <c r="B545" t="inlineStr">
        <is>
          <t>Chemicals Supplier 055</t>
        </is>
      </c>
      <c r="C545" t="inlineStr">
        <is>
          <t>Chemicals</t>
        </is>
      </c>
      <c r="D545" t="n">
        <v>2018</v>
      </c>
      <c r="E545" t="n">
        <v>20745173.36</v>
      </c>
      <c r="F545" t="n">
        <v>132982458.39</v>
      </c>
      <c r="G545" t="inlineStr"/>
      <c r="H545" t="n">
        <v>2476.585</v>
      </c>
      <c r="I545" t="n">
        <v>2152.2195</v>
      </c>
      <c r="J545" t="n">
        <v>10999.6009</v>
      </c>
      <c r="K545" t="n">
        <v>2020</v>
      </c>
      <c r="L545" t="n">
        <v>2040</v>
      </c>
      <c r="M545" t="n">
        <v>0.6136</v>
      </c>
      <c r="N545" t="n">
        <v>0.3724</v>
      </c>
      <c r="O545" t="n">
        <v>2019</v>
      </c>
      <c r="P545" t="n">
        <v>2035</v>
      </c>
      <c r="Q545" t="n">
        <v>0.5229</v>
      </c>
      <c r="R545" t="n">
        <v>506.3191</v>
      </c>
      <c r="S545" t="n">
        <v>0.00100149</v>
      </c>
      <c r="T545" t="n">
        <v>0.00047124</v>
      </c>
      <c r="U545" t="n">
        <v>15628.4054</v>
      </c>
      <c r="V545" t="inlineStr">
        <is>
          <t>Scope 1 + Scope 2 + Scope 3</t>
        </is>
      </c>
      <c r="W545" t="b">
        <v>1</v>
      </c>
      <c r="X545" t="inlineStr">
        <is>
          <t>High</t>
        </is>
      </c>
      <c r="Y545" t="inlineStr">
        <is>
          <t>Reported_Emissions</t>
        </is>
      </c>
      <c r="Z545" t="n">
        <v>0.88</v>
      </c>
      <c r="AA545" t="inlineStr">
        <is>
          <t>Valid</t>
        </is>
      </c>
    </row>
    <row r="546">
      <c r="A546" t="inlineStr">
        <is>
          <t>SUP-0055</t>
        </is>
      </c>
      <c r="B546" t="inlineStr">
        <is>
          <t>Chemicals Supplier 055</t>
        </is>
      </c>
      <c r="C546" t="inlineStr">
        <is>
          <t>Chemicals</t>
        </is>
      </c>
      <c r="D546" t="n">
        <v>2019</v>
      </c>
      <c r="E546" t="n">
        <v>26332788.11</v>
      </c>
      <c r="F546" t="n">
        <v>121114026.47</v>
      </c>
      <c r="G546" t="inlineStr"/>
      <c r="H546" t="n">
        <v>3406.9038</v>
      </c>
      <c r="I546" t="inlineStr"/>
      <c r="J546" t="n">
        <v>12570.3631</v>
      </c>
      <c r="K546" t="n">
        <v>2020</v>
      </c>
      <c r="L546" t="n">
        <v>2040</v>
      </c>
      <c r="M546" t="n">
        <v>0.6136</v>
      </c>
      <c r="N546" t="n">
        <v>0.3724</v>
      </c>
      <c r="O546" t="n">
        <v>2019</v>
      </c>
      <c r="P546" t="n">
        <v>2035</v>
      </c>
      <c r="Q546" t="n">
        <v>0.5229</v>
      </c>
      <c r="R546" t="n">
        <v>506.3191</v>
      </c>
      <c r="S546" t="n">
        <v>0.00100149</v>
      </c>
      <c r="T546" t="n">
        <v>0.00047124</v>
      </c>
      <c r="U546" t="n">
        <v>26372.024</v>
      </c>
      <c r="V546" t="inlineStr">
        <is>
          <t>Spend-Based Estimate</t>
        </is>
      </c>
      <c r="W546" t="b">
        <v>1</v>
      </c>
      <c r="X546" t="inlineStr">
        <is>
          <t>Medium</t>
        </is>
      </c>
      <c r="Y546" t="inlineStr">
        <is>
          <t>Reported_Emissions; Scope_Emissions</t>
        </is>
      </c>
      <c r="Z546" t="n">
        <v>0.7</v>
      </c>
      <c r="AA546" t="inlineStr">
        <is>
          <t>Valid</t>
        </is>
      </c>
    </row>
    <row r="547">
      <c r="A547" t="inlineStr">
        <is>
          <t>SUP-0055</t>
        </is>
      </c>
      <c r="B547" t="inlineStr">
        <is>
          <t>Chemicals Supplier 055</t>
        </is>
      </c>
      <c r="C547" t="inlineStr">
        <is>
          <t>Chemicals</t>
        </is>
      </c>
      <c r="D547" t="n">
        <v>2020</v>
      </c>
      <c r="E547" t="n">
        <v>25085949.56</v>
      </c>
      <c r="F547" t="n">
        <v>107875932.03</v>
      </c>
      <c r="G547" t="inlineStr"/>
      <c r="H547" t="inlineStr"/>
      <c r="I547" t="n">
        <v>4253.6921</v>
      </c>
      <c r="J547" t="inlineStr"/>
      <c r="K547" t="n">
        <v>2020</v>
      </c>
      <c r="L547" t="n">
        <v>2040</v>
      </c>
      <c r="M547" t="n">
        <v>0.6136</v>
      </c>
      <c r="N547" t="n">
        <v>0.3724</v>
      </c>
      <c r="O547" t="n">
        <v>2019</v>
      </c>
      <c r="P547" t="n">
        <v>2035</v>
      </c>
      <c r="Q547" t="n">
        <v>0.5229</v>
      </c>
      <c r="R547" t="n">
        <v>506.3191</v>
      </c>
      <c r="S547" t="n">
        <v>0.00100149</v>
      </c>
      <c r="T547" t="n">
        <v>0.00047124</v>
      </c>
      <c r="U547" t="n">
        <v>25123.3276</v>
      </c>
      <c r="V547" t="inlineStr">
        <is>
          <t>Spend-Based Estimate</t>
        </is>
      </c>
      <c r="W547" t="b">
        <v>1</v>
      </c>
      <c r="X547" t="inlineStr">
        <is>
          <t>Medium</t>
        </is>
      </c>
      <c r="Y547" t="inlineStr">
        <is>
          <t>Reported_Emissions; Scope_Emissions</t>
        </is>
      </c>
      <c r="Z547" t="n">
        <v>0.7</v>
      </c>
      <c r="AA547" t="inlineStr">
        <is>
          <t>Valid</t>
        </is>
      </c>
    </row>
    <row r="548">
      <c r="A548" t="inlineStr">
        <is>
          <t>SUP-0055</t>
        </is>
      </c>
      <c r="B548" t="inlineStr">
        <is>
          <t>Chemicals Supplier 055</t>
        </is>
      </c>
      <c r="C548" t="inlineStr">
        <is>
          <t>Chemicals</t>
        </is>
      </c>
      <c r="D548" t="n">
        <v>2021</v>
      </c>
      <c r="E548" t="inlineStr"/>
      <c r="F548" t="n">
        <v>167281032.75</v>
      </c>
      <c r="G548" t="inlineStr"/>
      <c r="H548" t="n">
        <v>5099.4743</v>
      </c>
      <c r="I548" t="n">
        <v>4631.7882</v>
      </c>
      <c r="J548" t="n">
        <v>14427.3177</v>
      </c>
      <c r="K548" t="n">
        <v>2020</v>
      </c>
      <c r="L548" t="n">
        <v>2040</v>
      </c>
      <c r="M548" t="n">
        <v>0.6136</v>
      </c>
      <c r="N548" t="n">
        <v>0.3724</v>
      </c>
      <c r="O548" t="n">
        <v>2019</v>
      </c>
      <c r="P548" t="n">
        <v>2035</v>
      </c>
      <c r="Q548" t="n">
        <v>0.5229</v>
      </c>
      <c r="R548" t="n">
        <v>506.3191</v>
      </c>
      <c r="S548" t="n">
        <v>0.00100149</v>
      </c>
      <c r="T548" t="n">
        <v>0.00047124</v>
      </c>
      <c r="U548" t="n">
        <v>24158.5802</v>
      </c>
      <c r="V548" t="inlineStr">
        <is>
          <t>Scope 1 + Scope 2 + Scope 3</t>
        </is>
      </c>
      <c r="W548" t="b">
        <v>1</v>
      </c>
      <c r="X548" t="inlineStr">
        <is>
          <t>High</t>
        </is>
      </c>
      <c r="Y548" t="inlineStr">
        <is>
          <t>Gross_Spend; Reported_Emissions</t>
        </is>
      </c>
      <c r="Z548" t="n">
        <v>0.88</v>
      </c>
      <c r="AA548" t="inlineStr">
        <is>
          <t>Valid</t>
        </is>
      </c>
    </row>
    <row r="549">
      <c r="A549" t="inlineStr">
        <is>
          <t>SUP-0055</t>
        </is>
      </c>
      <c r="B549" t="inlineStr">
        <is>
          <t>Chemicals Supplier 055</t>
        </is>
      </c>
      <c r="C549" t="inlineStr">
        <is>
          <t>Chemicals</t>
        </is>
      </c>
      <c r="D549" t="n">
        <v>2022</v>
      </c>
      <c r="E549" t="n">
        <v>25006816.04</v>
      </c>
      <c r="F549" t="n">
        <v>143297094.49</v>
      </c>
      <c r="G549" t="inlineStr"/>
      <c r="H549" t="n">
        <v>7298.6782</v>
      </c>
      <c r="I549" t="n">
        <v>1776.2754</v>
      </c>
      <c r="J549" t="inlineStr"/>
      <c r="K549" t="n">
        <v>2020</v>
      </c>
      <c r="L549" t="n">
        <v>2040</v>
      </c>
      <c r="M549" t="n">
        <v>0.6136</v>
      </c>
      <c r="N549" t="n">
        <v>0.3724</v>
      </c>
      <c r="O549" t="n">
        <v>2019</v>
      </c>
      <c r="P549" t="n">
        <v>2035</v>
      </c>
      <c r="Q549" t="n">
        <v>0.5229</v>
      </c>
      <c r="R549" t="n">
        <v>506.3191</v>
      </c>
      <c r="S549" t="n">
        <v>0.00100149</v>
      </c>
      <c r="T549" t="n">
        <v>0.00047124</v>
      </c>
      <c r="U549" t="n">
        <v>25044.0762</v>
      </c>
      <c r="V549" t="inlineStr">
        <is>
          <t>Spend-Based Estimate</t>
        </is>
      </c>
      <c r="W549" t="b">
        <v>1</v>
      </c>
      <c r="X549" t="inlineStr">
        <is>
          <t>Medium</t>
        </is>
      </c>
      <c r="Y549" t="inlineStr">
        <is>
          <t>Reported_Emissions; Scope_Emissions</t>
        </is>
      </c>
      <c r="Z549" t="n">
        <v>0.7</v>
      </c>
      <c r="AA549" t="inlineStr">
        <is>
          <t>Valid</t>
        </is>
      </c>
    </row>
    <row r="550">
      <c r="A550" t="inlineStr">
        <is>
          <t>SUP-0055</t>
        </is>
      </c>
      <c r="B550" t="inlineStr">
        <is>
          <t>Chemicals Supplier 055</t>
        </is>
      </c>
      <c r="C550" t="inlineStr">
        <is>
          <t>Chemicals</t>
        </is>
      </c>
      <c r="D550" t="n">
        <v>2023</v>
      </c>
      <c r="E550" t="n">
        <v>30349792.37</v>
      </c>
      <c r="F550" t="n">
        <v>166021495.59</v>
      </c>
      <c r="G550" t="n">
        <v>30586.0885</v>
      </c>
      <c r="H550" t="n">
        <v>3148.2264</v>
      </c>
      <c r="I550" t="n">
        <v>5171.1441</v>
      </c>
      <c r="J550" t="n">
        <v>22029.8238</v>
      </c>
      <c r="K550" t="n">
        <v>2020</v>
      </c>
      <c r="L550" t="n">
        <v>2040</v>
      </c>
      <c r="M550" t="n">
        <v>0.6136</v>
      </c>
      <c r="N550" t="n">
        <v>0.3724</v>
      </c>
      <c r="O550" t="n">
        <v>2019</v>
      </c>
      <c r="P550" t="n">
        <v>2035</v>
      </c>
      <c r="Q550" t="n">
        <v>0.5229</v>
      </c>
      <c r="R550" t="n">
        <v>506.3191</v>
      </c>
      <c r="S550" t="n">
        <v>0.00100149</v>
      </c>
      <c r="T550" t="n">
        <v>0.00047124</v>
      </c>
      <c r="U550" t="n">
        <v>30586.0885</v>
      </c>
      <c r="V550" t="inlineStr">
        <is>
          <t>Supplier Reported Emissions</t>
        </is>
      </c>
      <c r="W550" t="b">
        <v>0</v>
      </c>
      <c r="X550" t="inlineStr">
        <is>
          <t>High</t>
        </is>
      </c>
      <c r="Y550" t="inlineStr">
        <is>
          <t>None</t>
        </is>
      </c>
      <c r="Z550" t="n">
        <v>0.95</v>
      </c>
      <c r="AA550" t="inlineStr">
        <is>
          <t>Valid</t>
        </is>
      </c>
    </row>
    <row r="551">
      <c r="A551" t="inlineStr">
        <is>
          <t>SUP-0055</t>
        </is>
      </c>
      <c r="B551" t="inlineStr">
        <is>
          <t>Chemicals Supplier 055</t>
        </is>
      </c>
      <c r="C551" t="inlineStr">
        <is>
          <t>Chemicals</t>
        </is>
      </c>
      <c r="D551" t="n">
        <v>2024</v>
      </c>
      <c r="E551" t="n">
        <v>32625215.05</v>
      </c>
      <c r="F551" t="n">
        <v>121223052.52</v>
      </c>
      <c r="G551" t="inlineStr"/>
      <c r="H551" t="n">
        <v>2223.8809</v>
      </c>
      <c r="I551" t="inlineStr"/>
      <c r="J551" t="n">
        <v>20876.9168</v>
      </c>
      <c r="K551" t="n">
        <v>2020</v>
      </c>
      <c r="L551" t="n">
        <v>2040</v>
      </c>
      <c r="M551" t="n">
        <v>0.6136</v>
      </c>
      <c r="N551" t="n">
        <v>0.3724</v>
      </c>
      <c r="O551" t="n">
        <v>2019</v>
      </c>
      <c r="P551" t="n">
        <v>2035</v>
      </c>
      <c r="Q551" t="n">
        <v>0.5229</v>
      </c>
      <c r="R551" t="n">
        <v>506.3191</v>
      </c>
      <c r="S551" t="n">
        <v>0.00100149</v>
      </c>
      <c r="T551" t="n">
        <v>0.00047124</v>
      </c>
      <c r="U551" t="n">
        <v>32673.8266</v>
      </c>
      <c r="V551" t="inlineStr">
        <is>
          <t>Spend-Based Estimate</t>
        </is>
      </c>
      <c r="W551" t="b">
        <v>1</v>
      </c>
      <c r="X551" t="inlineStr">
        <is>
          <t>Medium</t>
        </is>
      </c>
      <c r="Y551" t="inlineStr">
        <is>
          <t>Reported_Emissions; Scope_Emissions</t>
        </is>
      </c>
      <c r="Z551" t="n">
        <v>0.7</v>
      </c>
      <c r="AA551" t="inlineStr">
        <is>
          <t>Valid</t>
        </is>
      </c>
    </row>
    <row r="552">
      <c r="A552" t="inlineStr">
        <is>
          <t>SUP-0056</t>
        </is>
      </c>
      <c r="B552" t="inlineStr">
        <is>
          <t>Metals Supplier 056</t>
        </is>
      </c>
      <c r="C552" t="inlineStr">
        <is>
          <t>Metals</t>
        </is>
      </c>
      <c r="D552" t="n">
        <v>2015</v>
      </c>
      <c r="E552" t="n">
        <v>6215836.3</v>
      </c>
      <c r="F552" t="n">
        <v>40438418.99</v>
      </c>
      <c r="G552" t="n">
        <v>7451.9926</v>
      </c>
      <c r="H552" t="n">
        <v>675.471</v>
      </c>
      <c r="I552" t="n">
        <v>1649.6645</v>
      </c>
      <c r="J552" t="n">
        <v>5254.1891</v>
      </c>
      <c r="K552" t="inlineStr"/>
      <c r="L552" t="inlineStr"/>
      <c r="M552" t="inlineStr"/>
      <c r="N552" t="inlineStr"/>
      <c r="O552" t="n">
        <v>2019</v>
      </c>
      <c r="P552" t="n">
        <v>2030</v>
      </c>
      <c r="Q552" t="n">
        <v>0.3852</v>
      </c>
      <c r="R552" t="n">
        <v>158.2904</v>
      </c>
      <c r="S552" t="n">
        <v>0.00100695</v>
      </c>
      <c r="T552" t="n">
        <v>0.00065008</v>
      </c>
      <c r="U552" t="n">
        <v>7451.9926</v>
      </c>
      <c r="V552" t="inlineStr">
        <is>
          <t>Supplier Reported Emissions</t>
        </is>
      </c>
      <c r="W552" t="b">
        <v>0</v>
      </c>
      <c r="X552" t="inlineStr">
        <is>
          <t>High</t>
        </is>
      </c>
      <c r="Y552" t="inlineStr">
        <is>
          <t>None</t>
        </is>
      </c>
      <c r="Z552" t="n">
        <v>0.95</v>
      </c>
      <c r="AA552" t="inlineStr">
        <is>
          <t>Valid</t>
        </is>
      </c>
    </row>
    <row r="553">
      <c r="A553" t="inlineStr">
        <is>
          <t>SUP-0056</t>
        </is>
      </c>
      <c r="B553" t="inlineStr">
        <is>
          <t>Metals Supplier 056</t>
        </is>
      </c>
      <c r="C553" t="inlineStr">
        <is>
          <t>Metals</t>
        </is>
      </c>
      <c r="D553" t="n">
        <v>2016</v>
      </c>
      <c r="E553" t="n">
        <v>5966192.23</v>
      </c>
      <c r="F553" t="n">
        <v>40858200.99</v>
      </c>
      <c r="G553" t="n">
        <v>7481.4734</v>
      </c>
      <c r="H553" t="n">
        <v>1015.9115</v>
      </c>
      <c r="I553" t="n">
        <v>1436.0606</v>
      </c>
      <c r="J553" t="n">
        <v>5514.4151</v>
      </c>
      <c r="K553" t="inlineStr"/>
      <c r="L553" t="inlineStr"/>
      <c r="M553" t="inlineStr"/>
      <c r="N553" t="inlineStr"/>
      <c r="O553" t="n">
        <v>2019</v>
      </c>
      <c r="P553" t="n">
        <v>2030</v>
      </c>
      <c r="Q553" t="n">
        <v>0.3852</v>
      </c>
      <c r="R553" t="n">
        <v>158.2904</v>
      </c>
      <c r="S553" t="n">
        <v>0.00100695</v>
      </c>
      <c r="T553" t="n">
        <v>0.00065008</v>
      </c>
      <c r="U553" t="n">
        <v>7481.4734</v>
      </c>
      <c r="V553" t="inlineStr">
        <is>
          <t>Supplier Reported Emissions</t>
        </is>
      </c>
      <c r="W553" t="b">
        <v>0</v>
      </c>
      <c r="X553" t="inlineStr">
        <is>
          <t>High</t>
        </is>
      </c>
      <c r="Y553" t="inlineStr">
        <is>
          <t>None</t>
        </is>
      </c>
      <c r="Z553" t="n">
        <v>0.95</v>
      </c>
      <c r="AA553" t="inlineStr">
        <is>
          <t>Valid</t>
        </is>
      </c>
    </row>
    <row r="554">
      <c r="A554" t="inlineStr">
        <is>
          <t>SUP-0056</t>
        </is>
      </c>
      <c r="B554" t="inlineStr">
        <is>
          <t>Metals Supplier 056</t>
        </is>
      </c>
      <c r="C554" t="inlineStr">
        <is>
          <t>Metals</t>
        </is>
      </c>
      <c r="D554" t="n">
        <v>2017</v>
      </c>
      <c r="E554" t="n">
        <v>4857134.2</v>
      </c>
      <c r="F554" t="n">
        <v>40760766.28</v>
      </c>
      <c r="G554" t="inlineStr"/>
      <c r="H554" t="inlineStr"/>
      <c r="I554" t="inlineStr"/>
      <c r="J554" t="n">
        <v>3921.6609</v>
      </c>
      <c r="K554" t="inlineStr"/>
      <c r="L554" t="inlineStr"/>
      <c r="M554" t="inlineStr"/>
      <c r="N554" t="inlineStr"/>
      <c r="O554" t="n">
        <v>2019</v>
      </c>
      <c r="P554" t="n">
        <v>2030</v>
      </c>
      <c r="Q554" t="n">
        <v>0.3852</v>
      </c>
      <c r="R554" t="n">
        <v>158.2904</v>
      </c>
      <c r="S554" t="n">
        <v>0.00100695</v>
      </c>
      <c r="T554" t="n">
        <v>0.00065008</v>
      </c>
      <c r="U554" t="n">
        <v>4890.8913</v>
      </c>
      <c r="V554" t="inlineStr">
        <is>
          <t>Spend-Based Estimate</t>
        </is>
      </c>
      <c r="W554" t="b">
        <v>1</v>
      </c>
      <c r="X554" t="inlineStr">
        <is>
          <t>Medium</t>
        </is>
      </c>
      <c r="Y554" t="inlineStr">
        <is>
          <t>Reported_Emissions; Scope_Emissions</t>
        </is>
      </c>
      <c r="Z554" t="n">
        <v>0.7</v>
      </c>
      <c r="AA554" t="inlineStr">
        <is>
          <t>Valid</t>
        </is>
      </c>
    </row>
    <row r="555">
      <c r="A555" t="inlineStr">
        <is>
          <t>SUP-0056</t>
        </is>
      </c>
      <c r="B555" t="inlineStr">
        <is>
          <t>Metals Supplier 056</t>
        </is>
      </c>
      <c r="C555" t="inlineStr">
        <is>
          <t>Metals</t>
        </is>
      </c>
      <c r="D555" t="n">
        <v>2018</v>
      </c>
      <c r="E555" t="n">
        <v>5561599.21</v>
      </c>
      <c r="F555" t="n">
        <v>38492806.96</v>
      </c>
      <c r="G555" t="n">
        <v>5635.0021</v>
      </c>
      <c r="H555" t="n">
        <v>1553.1342</v>
      </c>
      <c r="I555" t="n">
        <v>399.6093</v>
      </c>
      <c r="J555" t="inlineStr"/>
      <c r="K555" t="inlineStr"/>
      <c r="L555" t="inlineStr"/>
      <c r="M555" t="inlineStr"/>
      <c r="N555" t="inlineStr"/>
      <c r="O555" t="n">
        <v>2019</v>
      </c>
      <c r="P555" t="n">
        <v>2030</v>
      </c>
      <c r="Q555" t="n">
        <v>0.3852</v>
      </c>
      <c r="R555" t="n">
        <v>158.2904</v>
      </c>
      <c r="S555" t="n">
        <v>0.00100695</v>
      </c>
      <c r="T555" t="n">
        <v>0.00065008</v>
      </c>
      <c r="U555" t="n">
        <v>5635.0021</v>
      </c>
      <c r="V555" t="inlineStr">
        <is>
          <t>Supplier Reported Emissions</t>
        </is>
      </c>
      <c r="W555" t="b">
        <v>0</v>
      </c>
      <c r="X555" t="inlineStr">
        <is>
          <t>High</t>
        </is>
      </c>
      <c r="Y555" t="inlineStr">
        <is>
          <t>Scope_Emissions</t>
        </is>
      </c>
      <c r="Z555" t="n">
        <v>0.95</v>
      </c>
      <c r="AA555" t="inlineStr">
        <is>
          <t>Valid</t>
        </is>
      </c>
    </row>
    <row r="556">
      <c r="A556" t="inlineStr">
        <is>
          <t>SUP-0056</t>
        </is>
      </c>
      <c r="B556" t="inlineStr">
        <is>
          <t>Metals Supplier 056</t>
        </is>
      </c>
      <c r="C556" t="inlineStr">
        <is>
          <t>Metals</t>
        </is>
      </c>
      <c r="D556" t="n">
        <v>2019</v>
      </c>
      <c r="E556" t="n">
        <v>5440093.84</v>
      </c>
      <c r="F556" t="inlineStr"/>
      <c r="G556" t="n">
        <v>6613.6582</v>
      </c>
      <c r="H556" t="inlineStr"/>
      <c r="I556" t="n">
        <v>1217.5574</v>
      </c>
      <c r="J556" t="n">
        <v>5700.857</v>
      </c>
      <c r="K556" t="inlineStr"/>
      <c r="L556" t="inlineStr"/>
      <c r="M556" t="inlineStr"/>
      <c r="N556" t="inlineStr"/>
      <c r="O556" t="n">
        <v>2019</v>
      </c>
      <c r="P556" t="n">
        <v>2030</v>
      </c>
      <c r="Q556" t="n">
        <v>0.3852</v>
      </c>
      <c r="R556" t="n">
        <v>158.2904</v>
      </c>
      <c r="S556" t="n">
        <v>0.00100695</v>
      </c>
      <c r="T556" t="n">
        <v>0.00065008</v>
      </c>
      <c r="U556" t="n">
        <v>6613.6582</v>
      </c>
      <c r="V556" t="inlineStr">
        <is>
          <t>Supplier Reported Emissions</t>
        </is>
      </c>
      <c r="W556" t="b">
        <v>0</v>
      </c>
      <c r="X556" t="inlineStr">
        <is>
          <t>High</t>
        </is>
      </c>
      <c r="Y556" t="inlineStr">
        <is>
          <t>Revenue; Scope_Emissions</t>
        </is>
      </c>
      <c r="Z556" t="n">
        <v>0.95</v>
      </c>
      <c r="AA556" t="inlineStr">
        <is>
          <t>Valid</t>
        </is>
      </c>
    </row>
    <row r="557">
      <c r="A557" t="inlineStr">
        <is>
          <t>SUP-0056</t>
        </is>
      </c>
      <c r="B557" t="inlineStr">
        <is>
          <t>Metals Supplier 056</t>
        </is>
      </c>
      <c r="C557" t="inlineStr">
        <is>
          <t>Metals</t>
        </is>
      </c>
      <c r="D557" t="n">
        <v>2020</v>
      </c>
      <c r="E557" t="n">
        <v>4878093.04</v>
      </c>
      <c r="F557" t="n">
        <v>34205514.74</v>
      </c>
      <c r="G557" t="n">
        <v>5172.4735</v>
      </c>
      <c r="H557" t="n">
        <v>1354.2973</v>
      </c>
      <c r="I557" t="n">
        <v>979.5555000000001</v>
      </c>
      <c r="J557" t="n">
        <v>3162.3375</v>
      </c>
      <c r="K557" t="inlineStr"/>
      <c r="L557" t="inlineStr"/>
      <c r="M557" t="inlineStr"/>
      <c r="N557" t="inlineStr"/>
      <c r="O557" t="n">
        <v>2019</v>
      </c>
      <c r="P557" t="n">
        <v>2030</v>
      </c>
      <c r="Q557" t="n">
        <v>0.3852</v>
      </c>
      <c r="R557" t="n">
        <v>158.2904</v>
      </c>
      <c r="S557" t="n">
        <v>0.00100695</v>
      </c>
      <c r="T557" t="n">
        <v>0.00065008</v>
      </c>
      <c r="U557" t="n">
        <v>5172.4735</v>
      </c>
      <c r="V557" t="inlineStr">
        <is>
          <t>Supplier Reported Emissions</t>
        </is>
      </c>
      <c r="W557" t="b">
        <v>0</v>
      </c>
      <c r="X557" t="inlineStr">
        <is>
          <t>High</t>
        </is>
      </c>
      <c r="Y557" t="inlineStr">
        <is>
          <t>None</t>
        </is>
      </c>
      <c r="Z557" t="n">
        <v>0.95</v>
      </c>
      <c r="AA557" t="inlineStr">
        <is>
          <t>Valid</t>
        </is>
      </c>
    </row>
    <row r="558">
      <c r="A558" t="inlineStr">
        <is>
          <t>SUP-0056</t>
        </is>
      </c>
      <c r="B558" t="inlineStr">
        <is>
          <t>Metals Supplier 056</t>
        </is>
      </c>
      <c r="C558" t="inlineStr">
        <is>
          <t>Metals</t>
        </is>
      </c>
      <c r="D558" t="n">
        <v>2021</v>
      </c>
      <c r="E558" t="inlineStr"/>
      <c r="F558" t="n">
        <v>30759353.45</v>
      </c>
      <c r="G558" t="n">
        <v>5418.8158</v>
      </c>
      <c r="H558" t="n">
        <v>752.8858</v>
      </c>
      <c r="I558" t="n">
        <v>628.7341</v>
      </c>
      <c r="J558" t="n">
        <v>4511.5027</v>
      </c>
      <c r="K558" t="inlineStr"/>
      <c r="L558" t="inlineStr"/>
      <c r="M558" t="inlineStr"/>
      <c r="N558" t="inlineStr"/>
      <c r="O558" t="n">
        <v>2019</v>
      </c>
      <c r="P558" t="n">
        <v>2030</v>
      </c>
      <c r="Q558" t="n">
        <v>0.3852</v>
      </c>
      <c r="R558" t="n">
        <v>158.2904</v>
      </c>
      <c r="S558" t="n">
        <v>0.00100695</v>
      </c>
      <c r="T558" t="n">
        <v>0.00065008</v>
      </c>
      <c r="U558" t="n">
        <v>5418.8158</v>
      </c>
      <c r="V558" t="inlineStr">
        <is>
          <t>Supplier Reported Emissions</t>
        </is>
      </c>
      <c r="W558" t="b">
        <v>0</v>
      </c>
      <c r="X558" t="inlineStr">
        <is>
          <t>High</t>
        </is>
      </c>
      <c r="Y558" t="inlineStr">
        <is>
          <t>Gross_Spend</t>
        </is>
      </c>
      <c r="Z558" t="n">
        <v>0.95</v>
      </c>
      <c r="AA558" t="inlineStr">
        <is>
          <t>Valid</t>
        </is>
      </c>
    </row>
    <row r="559">
      <c r="A559" t="inlineStr">
        <is>
          <t>SUP-0056</t>
        </is>
      </c>
      <c r="B559" t="inlineStr">
        <is>
          <t>Metals Supplier 056</t>
        </is>
      </c>
      <c r="C559" t="inlineStr">
        <is>
          <t>Metals</t>
        </is>
      </c>
      <c r="D559" t="n">
        <v>2022</v>
      </c>
      <c r="E559" t="n">
        <v>5012110.65</v>
      </c>
      <c r="F559" t="n">
        <v>31704278.73</v>
      </c>
      <c r="G559" t="n">
        <v>5921.3848</v>
      </c>
      <c r="H559" t="n">
        <v>1060.2087</v>
      </c>
      <c r="I559" t="n">
        <v>445.1121</v>
      </c>
      <c r="J559" t="n">
        <v>4503.3676</v>
      </c>
      <c r="K559" t="inlineStr"/>
      <c r="L559" t="inlineStr"/>
      <c r="M559" t="inlineStr"/>
      <c r="N559" t="inlineStr"/>
      <c r="O559" t="n">
        <v>2019</v>
      </c>
      <c r="P559" t="n">
        <v>2030</v>
      </c>
      <c r="Q559" t="n">
        <v>0.3852</v>
      </c>
      <c r="R559" t="n">
        <v>158.2904</v>
      </c>
      <c r="S559" t="n">
        <v>0.00100695</v>
      </c>
      <c r="T559" t="n">
        <v>0.00065008</v>
      </c>
      <c r="U559" t="n">
        <v>5921.3848</v>
      </c>
      <c r="V559" t="inlineStr">
        <is>
          <t>Supplier Reported Emissions</t>
        </is>
      </c>
      <c r="W559" t="b">
        <v>0</v>
      </c>
      <c r="X559" t="inlineStr">
        <is>
          <t>High</t>
        </is>
      </c>
      <c r="Y559" t="inlineStr">
        <is>
          <t>None</t>
        </is>
      </c>
      <c r="Z559" t="n">
        <v>0.95</v>
      </c>
      <c r="AA559" t="inlineStr">
        <is>
          <t>Valid</t>
        </is>
      </c>
    </row>
    <row r="560">
      <c r="A560" t="inlineStr">
        <is>
          <t>SUP-0056</t>
        </is>
      </c>
      <c r="B560" t="inlineStr">
        <is>
          <t>Metals Supplier 056</t>
        </is>
      </c>
      <c r="C560" t="inlineStr">
        <is>
          <t>Metals</t>
        </is>
      </c>
      <c r="D560" t="n">
        <v>2023</v>
      </c>
      <c r="E560" t="n">
        <v>5064281.89</v>
      </c>
      <c r="F560" t="n">
        <v>23955365.4</v>
      </c>
      <c r="G560" t="n">
        <v>5146.5322</v>
      </c>
      <c r="H560" t="n">
        <v>423.4718</v>
      </c>
      <c r="I560" t="n">
        <v>978.4056</v>
      </c>
      <c r="J560" t="n">
        <v>3758.5867</v>
      </c>
      <c r="K560" t="inlineStr"/>
      <c r="L560" t="inlineStr"/>
      <c r="M560" t="inlineStr"/>
      <c r="N560" t="inlineStr"/>
      <c r="O560" t="n">
        <v>2019</v>
      </c>
      <c r="P560" t="n">
        <v>2030</v>
      </c>
      <c r="Q560" t="n">
        <v>0.3852</v>
      </c>
      <c r="R560" t="n">
        <v>158.2904</v>
      </c>
      <c r="S560" t="n">
        <v>0.00100695</v>
      </c>
      <c r="T560" t="n">
        <v>0.00065008</v>
      </c>
      <c r="U560" t="n">
        <v>5146.5322</v>
      </c>
      <c r="V560" t="inlineStr">
        <is>
          <t>Supplier Reported Emissions</t>
        </is>
      </c>
      <c r="W560" t="b">
        <v>0</v>
      </c>
      <c r="X560" t="inlineStr">
        <is>
          <t>High</t>
        </is>
      </c>
      <c r="Y560" t="inlineStr">
        <is>
          <t>None</t>
        </is>
      </c>
      <c r="Z560" t="n">
        <v>0.95</v>
      </c>
      <c r="AA560" t="inlineStr">
        <is>
          <t>Valid</t>
        </is>
      </c>
    </row>
    <row r="561">
      <c r="A561" t="inlineStr">
        <is>
          <t>SUP-0056</t>
        </is>
      </c>
      <c r="B561" t="inlineStr">
        <is>
          <t>Metals Supplier 056</t>
        </is>
      </c>
      <c r="C561" t="inlineStr">
        <is>
          <t>Metals</t>
        </is>
      </c>
      <c r="D561" t="n">
        <v>2024</v>
      </c>
      <c r="E561" t="n">
        <v>5090864.96</v>
      </c>
      <c r="F561" t="n">
        <v>29346554.29</v>
      </c>
      <c r="G561" t="n">
        <v>6263.882</v>
      </c>
      <c r="H561" t="inlineStr"/>
      <c r="I561" t="n">
        <v>552.8304000000001</v>
      </c>
      <c r="J561" t="n">
        <v>4955.6678</v>
      </c>
      <c r="K561" t="inlineStr"/>
      <c r="L561" t="inlineStr"/>
      <c r="M561" t="inlineStr"/>
      <c r="N561" t="inlineStr"/>
      <c r="O561" t="n">
        <v>2019</v>
      </c>
      <c r="P561" t="n">
        <v>2030</v>
      </c>
      <c r="Q561" t="n">
        <v>0.3852</v>
      </c>
      <c r="R561" t="n">
        <v>158.2904</v>
      </c>
      <c r="S561" t="n">
        <v>0.00100695</v>
      </c>
      <c r="T561" t="n">
        <v>0.00065008</v>
      </c>
      <c r="U561" t="n">
        <v>6263.882</v>
      </c>
      <c r="V561" t="inlineStr">
        <is>
          <t>Supplier Reported Emissions</t>
        </is>
      </c>
      <c r="W561" t="b">
        <v>0</v>
      </c>
      <c r="X561" t="inlineStr">
        <is>
          <t>High</t>
        </is>
      </c>
      <c r="Y561" t="inlineStr">
        <is>
          <t>Scope_Emissions</t>
        </is>
      </c>
      <c r="Z561" t="n">
        <v>0.95</v>
      </c>
      <c r="AA561" t="inlineStr">
        <is>
          <t>Valid</t>
        </is>
      </c>
    </row>
    <row r="562">
      <c r="A562" t="inlineStr">
        <is>
          <t>SUP-0057</t>
        </is>
      </c>
      <c r="B562" t="inlineStr">
        <is>
          <t>Logistics Supplier 057</t>
        </is>
      </c>
      <c r="C562" t="inlineStr">
        <is>
          <t>Logistics</t>
        </is>
      </c>
      <c r="D562" t="n">
        <v>2015</v>
      </c>
      <c r="E562" t="n">
        <v>8514829.720000001</v>
      </c>
      <c r="F562" t="n">
        <v>49536838.99</v>
      </c>
      <c r="G562" t="n">
        <v>1317.7511</v>
      </c>
      <c r="H562" t="n">
        <v>384.7177</v>
      </c>
      <c r="I562" t="n">
        <v>204.2193</v>
      </c>
      <c r="J562" t="n">
        <v>811.3868</v>
      </c>
      <c r="K562" t="inlineStr"/>
      <c r="L562" t="inlineStr"/>
      <c r="M562" t="inlineStr"/>
      <c r="N562" t="inlineStr"/>
      <c r="O562" t="n">
        <v>2019</v>
      </c>
      <c r="P562" t="n">
        <v>2040</v>
      </c>
      <c r="Q562" t="n">
        <v>0.4616</v>
      </c>
      <c r="R562" t="n">
        <v>591.6386</v>
      </c>
      <c r="S562" t="n">
        <v>0.00022349</v>
      </c>
      <c r="T562" t="n">
        <v>0.00047787</v>
      </c>
      <c r="U562" t="n">
        <v>1317.7511</v>
      </c>
      <c r="V562" t="inlineStr">
        <is>
          <t>Supplier Reported Emissions</t>
        </is>
      </c>
      <c r="W562" t="b">
        <v>0</v>
      </c>
      <c r="X562" t="inlineStr">
        <is>
          <t>High</t>
        </is>
      </c>
      <c r="Y562" t="inlineStr">
        <is>
          <t>None</t>
        </is>
      </c>
      <c r="Z562" t="n">
        <v>0.95</v>
      </c>
      <c r="AA562" t="inlineStr">
        <is>
          <t>Valid</t>
        </is>
      </c>
    </row>
    <row r="563">
      <c r="A563" t="inlineStr">
        <is>
          <t>SUP-0057</t>
        </is>
      </c>
      <c r="B563" t="inlineStr">
        <is>
          <t>Logistics Supplier 057</t>
        </is>
      </c>
      <c r="C563" t="inlineStr">
        <is>
          <t>Logistics</t>
        </is>
      </c>
      <c r="D563" t="n">
        <v>2016</v>
      </c>
      <c r="E563" t="n">
        <v>9651283.359999999</v>
      </c>
      <c r="F563" t="n">
        <v>44972022.6</v>
      </c>
      <c r="G563" t="n">
        <v>1440.4778</v>
      </c>
      <c r="H563" t="inlineStr"/>
      <c r="I563" t="n">
        <v>207.9016</v>
      </c>
      <c r="J563" t="n">
        <v>1077.0369</v>
      </c>
      <c r="K563" t="inlineStr"/>
      <c r="L563" t="inlineStr"/>
      <c r="M563" t="inlineStr"/>
      <c r="N563" t="inlineStr"/>
      <c r="O563" t="n">
        <v>2019</v>
      </c>
      <c r="P563" t="n">
        <v>2040</v>
      </c>
      <c r="Q563" t="n">
        <v>0.4616</v>
      </c>
      <c r="R563" t="n">
        <v>591.6386</v>
      </c>
      <c r="S563" t="n">
        <v>0.00022349</v>
      </c>
      <c r="T563" t="n">
        <v>0.00047787</v>
      </c>
      <c r="U563" t="n">
        <v>1440.4778</v>
      </c>
      <c r="V563" t="inlineStr">
        <is>
          <t>Supplier Reported Emissions</t>
        </is>
      </c>
      <c r="W563" t="b">
        <v>0</v>
      </c>
      <c r="X563" t="inlineStr">
        <is>
          <t>High</t>
        </is>
      </c>
      <c r="Y563" t="inlineStr">
        <is>
          <t>Scope_Emissions</t>
        </is>
      </c>
      <c r="Z563" t="n">
        <v>0.95</v>
      </c>
      <c r="AA563" t="inlineStr">
        <is>
          <t>Valid</t>
        </is>
      </c>
    </row>
    <row r="564">
      <c r="A564" t="inlineStr">
        <is>
          <t>SUP-0057</t>
        </is>
      </c>
      <c r="B564" t="inlineStr">
        <is>
          <t>Logistics Supplier 057</t>
        </is>
      </c>
      <c r="C564" t="inlineStr">
        <is>
          <t>Logistics</t>
        </is>
      </c>
      <c r="D564" t="n">
        <v>2017</v>
      </c>
      <c r="E564" t="n">
        <v>9389641.77</v>
      </c>
      <c r="F564" t="n">
        <v>48984289.32</v>
      </c>
      <c r="G564" t="inlineStr"/>
      <c r="H564" t="n">
        <v>392.0034</v>
      </c>
      <c r="I564" t="n">
        <v>112.5463</v>
      </c>
      <c r="J564" t="n">
        <v>964.6495</v>
      </c>
      <c r="K564" t="inlineStr"/>
      <c r="L564" t="inlineStr"/>
      <c r="M564" t="inlineStr"/>
      <c r="N564" t="inlineStr"/>
      <c r="O564" t="n">
        <v>2019</v>
      </c>
      <c r="P564" t="n">
        <v>2040</v>
      </c>
      <c r="Q564" t="n">
        <v>0.4616</v>
      </c>
      <c r="R564" t="n">
        <v>591.6386</v>
      </c>
      <c r="S564" t="n">
        <v>0.00022349</v>
      </c>
      <c r="T564" t="n">
        <v>0.00047787</v>
      </c>
      <c r="U564" t="n">
        <v>1469.1992</v>
      </c>
      <c r="V564" t="inlineStr">
        <is>
          <t>Scope 1 + Scope 2 + Scope 3</t>
        </is>
      </c>
      <c r="W564" t="b">
        <v>1</v>
      </c>
      <c r="X564" t="inlineStr">
        <is>
          <t>High</t>
        </is>
      </c>
      <c r="Y564" t="inlineStr">
        <is>
          <t>Reported_Emissions</t>
        </is>
      </c>
      <c r="Z564" t="n">
        <v>0.88</v>
      </c>
      <c r="AA564" t="inlineStr">
        <is>
          <t>Valid</t>
        </is>
      </c>
    </row>
    <row r="565">
      <c r="A565" t="inlineStr">
        <is>
          <t>SUP-0057</t>
        </is>
      </c>
      <c r="B565" t="inlineStr">
        <is>
          <t>Logistics Supplier 057</t>
        </is>
      </c>
      <c r="C565" t="inlineStr">
        <is>
          <t>Logistics</t>
        </is>
      </c>
      <c r="D565" t="n">
        <v>2018</v>
      </c>
      <c r="E565" t="n">
        <v>10469040.39</v>
      </c>
      <c r="F565" t="n">
        <v>56052563.1</v>
      </c>
      <c r="G565" t="n">
        <v>1634.544</v>
      </c>
      <c r="H565" t="n">
        <v>302.2853</v>
      </c>
      <c r="I565" t="n">
        <v>293.8921</v>
      </c>
      <c r="J565" t="inlineStr"/>
      <c r="K565" t="inlineStr"/>
      <c r="L565" t="inlineStr"/>
      <c r="M565" t="inlineStr"/>
      <c r="N565" t="inlineStr"/>
      <c r="O565" t="n">
        <v>2019</v>
      </c>
      <c r="P565" t="n">
        <v>2040</v>
      </c>
      <c r="Q565" t="n">
        <v>0.4616</v>
      </c>
      <c r="R565" t="n">
        <v>591.6386</v>
      </c>
      <c r="S565" t="n">
        <v>0.00022349</v>
      </c>
      <c r="T565" t="n">
        <v>0.00047787</v>
      </c>
      <c r="U565" t="n">
        <v>1634.544</v>
      </c>
      <c r="V565" t="inlineStr">
        <is>
          <t>Supplier Reported Emissions</t>
        </is>
      </c>
      <c r="W565" t="b">
        <v>0</v>
      </c>
      <c r="X565" t="inlineStr">
        <is>
          <t>High</t>
        </is>
      </c>
      <c r="Y565" t="inlineStr">
        <is>
          <t>Scope_Emissions</t>
        </is>
      </c>
      <c r="Z565" t="n">
        <v>0.95</v>
      </c>
      <c r="AA565" t="inlineStr">
        <is>
          <t>Valid</t>
        </is>
      </c>
    </row>
    <row r="566">
      <c r="A566" t="inlineStr">
        <is>
          <t>SUP-0057</t>
        </is>
      </c>
      <c r="B566" t="inlineStr">
        <is>
          <t>Logistics Supplier 057</t>
        </is>
      </c>
      <c r="C566" t="inlineStr">
        <is>
          <t>Logistics</t>
        </is>
      </c>
      <c r="D566" t="n">
        <v>2019</v>
      </c>
      <c r="E566" t="n">
        <v>9288661.060000001</v>
      </c>
      <c r="F566" t="n">
        <v>47519891.95</v>
      </c>
      <c r="G566" t="n">
        <v>1239.7368</v>
      </c>
      <c r="H566" t="n">
        <v>218.4663</v>
      </c>
      <c r="I566" t="inlineStr"/>
      <c r="J566" t="inlineStr"/>
      <c r="K566" t="inlineStr"/>
      <c r="L566" t="inlineStr"/>
      <c r="M566" t="inlineStr"/>
      <c r="N566" t="inlineStr"/>
      <c r="O566" t="n">
        <v>2019</v>
      </c>
      <c r="P566" t="n">
        <v>2040</v>
      </c>
      <c r="Q566" t="n">
        <v>0.4616</v>
      </c>
      <c r="R566" t="n">
        <v>591.6386</v>
      </c>
      <c r="S566" t="n">
        <v>0.00022349</v>
      </c>
      <c r="T566" t="n">
        <v>0.00047787</v>
      </c>
      <c r="U566" t="n">
        <v>1239.7368</v>
      </c>
      <c r="V566" t="inlineStr">
        <is>
          <t>Supplier Reported Emissions</t>
        </is>
      </c>
      <c r="W566" t="b">
        <v>0</v>
      </c>
      <c r="X566" t="inlineStr">
        <is>
          <t>High</t>
        </is>
      </c>
      <c r="Y566" t="inlineStr">
        <is>
          <t>Scope_Emissions</t>
        </is>
      </c>
      <c r="Z566" t="n">
        <v>0.95</v>
      </c>
      <c r="AA566" t="inlineStr">
        <is>
          <t>Valid</t>
        </is>
      </c>
    </row>
    <row r="567">
      <c r="A567" t="inlineStr">
        <is>
          <t>SUP-0057</t>
        </is>
      </c>
      <c r="B567" t="inlineStr">
        <is>
          <t>Logistics Supplier 057</t>
        </is>
      </c>
      <c r="C567" t="inlineStr">
        <is>
          <t>Logistics</t>
        </is>
      </c>
      <c r="D567" t="n">
        <v>2020</v>
      </c>
      <c r="E567" t="n">
        <v>11027219.47</v>
      </c>
      <c r="F567" t="n">
        <v>48521757.14</v>
      </c>
      <c r="G567" t="inlineStr"/>
      <c r="H567" t="n">
        <v>128.1792</v>
      </c>
      <c r="I567" t="n">
        <v>208.1508</v>
      </c>
      <c r="J567" t="n">
        <v>1028.5482</v>
      </c>
      <c r="K567" t="inlineStr"/>
      <c r="L567" t="inlineStr"/>
      <c r="M567" t="inlineStr"/>
      <c r="N567" t="inlineStr"/>
      <c r="O567" t="n">
        <v>2019</v>
      </c>
      <c r="P567" t="n">
        <v>2040</v>
      </c>
      <c r="Q567" t="n">
        <v>0.4616</v>
      </c>
      <c r="R567" t="n">
        <v>591.6386</v>
      </c>
      <c r="S567" t="n">
        <v>0.00022349</v>
      </c>
      <c r="T567" t="n">
        <v>0.00047787</v>
      </c>
      <c r="U567" t="n">
        <v>1364.8782</v>
      </c>
      <c r="V567" t="inlineStr">
        <is>
          <t>Scope 1 + Scope 2 + Scope 3</t>
        </is>
      </c>
      <c r="W567" t="b">
        <v>1</v>
      </c>
      <c r="X567" t="inlineStr">
        <is>
          <t>High</t>
        </is>
      </c>
      <c r="Y567" t="inlineStr">
        <is>
          <t>Reported_Emissions</t>
        </is>
      </c>
      <c r="Z567" t="n">
        <v>0.88</v>
      </c>
      <c r="AA567" t="inlineStr">
        <is>
          <t>Valid</t>
        </is>
      </c>
    </row>
    <row r="568">
      <c r="A568" t="inlineStr">
        <is>
          <t>SUP-0057</t>
        </is>
      </c>
      <c r="B568" t="inlineStr">
        <is>
          <t>Logistics Supplier 057</t>
        </is>
      </c>
      <c r="C568" t="inlineStr">
        <is>
          <t>Logistics</t>
        </is>
      </c>
      <c r="D568" t="n">
        <v>2021</v>
      </c>
      <c r="E568" t="n">
        <v>12260337.9</v>
      </c>
      <c r="F568" t="n">
        <v>52432537.32</v>
      </c>
      <c r="G568" t="n">
        <v>1655.614</v>
      </c>
      <c r="H568" t="n">
        <v>362.0376</v>
      </c>
      <c r="I568" t="n">
        <v>238.77</v>
      </c>
      <c r="J568" t="inlineStr"/>
      <c r="K568" t="inlineStr"/>
      <c r="L568" t="inlineStr"/>
      <c r="M568" t="inlineStr"/>
      <c r="N568" t="inlineStr"/>
      <c r="O568" t="n">
        <v>2019</v>
      </c>
      <c r="P568" t="n">
        <v>2040</v>
      </c>
      <c r="Q568" t="n">
        <v>0.4616</v>
      </c>
      <c r="R568" t="n">
        <v>591.6386</v>
      </c>
      <c r="S568" t="n">
        <v>0.00022349</v>
      </c>
      <c r="T568" t="n">
        <v>0.00047787</v>
      </c>
      <c r="U568" t="n">
        <v>1655.614</v>
      </c>
      <c r="V568" t="inlineStr">
        <is>
          <t>Supplier Reported Emissions</t>
        </is>
      </c>
      <c r="W568" t="b">
        <v>0</v>
      </c>
      <c r="X568" t="inlineStr">
        <is>
          <t>High</t>
        </is>
      </c>
      <c r="Y568" t="inlineStr">
        <is>
          <t>Scope_Emissions</t>
        </is>
      </c>
      <c r="Z568" t="n">
        <v>0.95</v>
      </c>
      <c r="AA568" t="inlineStr">
        <is>
          <t>Valid</t>
        </is>
      </c>
    </row>
    <row r="569">
      <c r="A569" t="inlineStr">
        <is>
          <t>SUP-0057</t>
        </is>
      </c>
      <c r="B569" t="inlineStr">
        <is>
          <t>Logistics Supplier 057</t>
        </is>
      </c>
      <c r="C569" t="inlineStr">
        <is>
          <t>Logistics</t>
        </is>
      </c>
      <c r="D569" t="n">
        <v>2022</v>
      </c>
      <c r="E569" t="n">
        <v>12613539.25</v>
      </c>
      <c r="F569" t="n">
        <v>66100635.42</v>
      </c>
      <c r="G569" t="n">
        <v>1229.3976</v>
      </c>
      <c r="H569" t="n">
        <v>252.8044</v>
      </c>
      <c r="I569" t="n">
        <v>77.2253</v>
      </c>
      <c r="J569" t="n">
        <v>794.5312</v>
      </c>
      <c r="K569" t="inlineStr"/>
      <c r="L569" t="inlineStr"/>
      <c r="M569" t="inlineStr"/>
      <c r="N569" t="inlineStr"/>
      <c r="O569" t="n">
        <v>2019</v>
      </c>
      <c r="P569" t="n">
        <v>2040</v>
      </c>
      <c r="Q569" t="n">
        <v>0.4616</v>
      </c>
      <c r="R569" t="n">
        <v>591.6386</v>
      </c>
      <c r="S569" t="n">
        <v>0.00022349</v>
      </c>
      <c r="T569" t="n">
        <v>0.00047787</v>
      </c>
      <c r="U569" t="n">
        <v>1229.3976</v>
      </c>
      <c r="V569" t="inlineStr">
        <is>
          <t>Supplier Reported Emissions</t>
        </is>
      </c>
      <c r="W569" t="b">
        <v>0</v>
      </c>
      <c r="X569" t="inlineStr">
        <is>
          <t>High</t>
        </is>
      </c>
      <c r="Y569" t="inlineStr">
        <is>
          <t>None</t>
        </is>
      </c>
      <c r="Z569" t="n">
        <v>0.95</v>
      </c>
      <c r="AA569" t="inlineStr">
        <is>
          <t>Valid</t>
        </is>
      </c>
    </row>
    <row r="570">
      <c r="A570" t="inlineStr">
        <is>
          <t>SUP-0057</t>
        </is>
      </c>
      <c r="B570" t="inlineStr">
        <is>
          <t>Logistics Supplier 057</t>
        </is>
      </c>
      <c r="C570" t="inlineStr">
        <is>
          <t>Logistics</t>
        </is>
      </c>
      <c r="D570" t="n">
        <v>2023</v>
      </c>
      <c r="E570" t="n">
        <v>11208042.8</v>
      </c>
      <c r="F570" t="n">
        <v>75765075.17</v>
      </c>
      <c r="G570" t="n">
        <v>957.3416999999999</v>
      </c>
      <c r="H570" t="n">
        <v>143.1019</v>
      </c>
      <c r="I570" t="n">
        <v>109.1186</v>
      </c>
      <c r="J570" t="inlineStr"/>
      <c r="K570" t="inlineStr"/>
      <c r="L570" t="inlineStr"/>
      <c r="M570" t="inlineStr"/>
      <c r="N570" t="inlineStr"/>
      <c r="O570" t="n">
        <v>2019</v>
      </c>
      <c r="P570" t="n">
        <v>2040</v>
      </c>
      <c r="Q570" t="n">
        <v>0.4616</v>
      </c>
      <c r="R570" t="n">
        <v>591.6386</v>
      </c>
      <c r="S570" t="n">
        <v>0.00022349</v>
      </c>
      <c r="T570" t="n">
        <v>0.00047787</v>
      </c>
      <c r="U570" t="n">
        <v>957.3416999999999</v>
      </c>
      <c r="V570" t="inlineStr">
        <is>
          <t>Supplier Reported Emissions</t>
        </is>
      </c>
      <c r="W570" t="b">
        <v>0</v>
      </c>
      <c r="X570" t="inlineStr">
        <is>
          <t>High</t>
        </is>
      </c>
      <c r="Y570" t="inlineStr">
        <is>
          <t>Scope_Emissions</t>
        </is>
      </c>
      <c r="Z570" t="n">
        <v>0.95</v>
      </c>
      <c r="AA570" t="inlineStr">
        <is>
          <t>Valid</t>
        </is>
      </c>
    </row>
    <row r="571">
      <c r="A571" t="inlineStr">
        <is>
          <t>SUP-0057</t>
        </is>
      </c>
      <c r="B571" t="inlineStr">
        <is>
          <t>Logistics Supplier 057</t>
        </is>
      </c>
      <c r="C571" t="inlineStr">
        <is>
          <t>Logistics</t>
        </is>
      </c>
      <c r="D571" t="n">
        <v>2024</v>
      </c>
      <c r="E571" t="n">
        <v>14118857.58</v>
      </c>
      <c r="F571" t="n">
        <v>75357958.47</v>
      </c>
      <c r="G571" t="n">
        <v>1525.2634</v>
      </c>
      <c r="H571" t="n">
        <v>419.5206</v>
      </c>
      <c r="I571" t="n">
        <v>124.3128</v>
      </c>
      <c r="J571" t="n">
        <v>1060.4006</v>
      </c>
      <c r="K571" t="inlineStr"/>
      <c r="L571" t="inlineStr"/>
      <c r="M571" t="inlineStr"/>
      <c r="N571" t="inlineStr"/>
      <c r="O571" t="n">
        <v>2019</v>
      </c>
      <c r="P571" t="n">
        <v>2040</v>
      </c>
      <c r="Q571" t="n">
        <v>0.4616</v>
      </c>
      <c r="R571" t="n">
        <v>591.6386</v>
      </c>
      <c r="S571" t="n">
        <v>0.00022349</v>
      </c>
      <c r="T571" t="n">
        <v>0.00047787</v>
      </c>
      <c r="U571" t="n">
        <v>1525.2634</v>
      </c>
      <c r="V571" t="inlineStr">
        <is>
          <t>Supplier Reported Emissions</t>
        </is>
      </c>
      <c r="W571" t="b">
        <v>0</v>
      </c>
      <c r="X571" t="inlineStr">
        <is>
          <t>High</t>
        </is>
      </c>
      <c r="Y571" t="inlineStr">
        <is>
          <t>None</t>
        </is>
      </c>
      <c r="Z571" t="n">
        <v>0.95</v>
      </c>
      <c r="AA571" t="inlineStr">
        <is>
          <t>Valid</t>
        </is>
      </c>
    </row>
    <row r="572">
      <c r="A572" t="inlineStr">
        <is>
          <t>SUP-0058</t>
        </is>
      </c>
      <c r="B572" t="inlineStr">
        <is>
          <t>Textiles Supplier 058</t>
        </is>
      </c>
      <c r="C572" t="inlineStr">
        <is>
          <t>Textiles</t>
        </is>
      </c>
      <c r="D572" t="n">
        <v>2015</v>
      </c>
      <c r="E572" t="n">
        <v>1227849.22</v>
      </c>
      <c r="F572" t="n">
        <v>1670481.98</v>
      </c>
      <c r="G572" t="n">
        <v>531.5453</v>
      </c>
      <c r="H572" t="n">
        <v>76.9145</v>
      </c>
      <c r="I572" t="n">
        <v>83.9149</v>
      </c>
      <c r="J572" t="n">
        <v>325.9441</v>
      </c>
      <c r="K572" t="inlineStr"/>
      <c r="L572" t="inlineStr"/>
      <c r="M572" t="inlineStr"/>
      <c r="N572" t="inlineStr"/>
      <c r="O572" t="n">
        <v>2019</v>
      </c>
      <c r="P572" t="n">
        <v>2030</v>
      </c>
      <c r="Q572" t="n">
        <v>0.3171</v>
      </c>
      <c r="R572" t="n">
        <v>401.7335</v>
      </c>
      <c r="S572" t="n">
        <v>0.00029221</v>
      </c>
      <c r="T572" t="n">
        <v>0.00017343</v>
      </c>
      <c r="U572" t="n">
        <v>531.5453</v>
      </c>
      <c r="V572" t="inlineStr">
        <is>
          <t>Supplier Reported Emissions</t>
        </is>
      </c>
      <c r="W572" t="b">
        <v>0</v>
      </c>
      <c r="X572" t="inlineStr">
        <is>
          <t>High</t>
        </is>
      </c>
      <c r="Y572" t="inlineStr">
        <is>
          <t>None</t>
        </is>
      </c>
      <c r="Z572" t="n">
        <v>0.95</v>
      </c>
      <c r="AA572" t="inlineStr">
        <is>
          <t>Valid</t>
        </is>
      </c>
    </row>
    <row r="573">
      <c r="A573" t="inlineStr">
        <is>
          <t>SUP-0058</t>
        </is>
      </c>
      <c r="B573" t="inlineStr">
        <is>
          <t>Textiles Supplier 058</t>
        </is>
      </c>
      <c r="C573" t="inlineStr">
        <is>
          <t>Textiles</t>
        </is>
      </c>
      <c r="D573" t="n">
        <v>2016</v>
      </c>
      <c r="E573" t="n">
        <v>1445821.81</v>
      </c>
      <c r="F573" t="n">
        <v>1641895.89</v>
      </c>
      <c r="G573" t="n">
        <v>566.7562</v>
      </c>
      <c r="H573" t="n">
        <v>56.6941</v>
      </c>
      <c r="I573" t="n">
        <v>121.2684</v>
      </c>
      <c r="J573" t="inlineStr"/>
      <c r="K573" t="inlineStr"/>
      <c r="L573" t="inlineStr"/>
      <c r="M573" t="inlineStr"/>
      <c r="N573" t="inlineStr"/>
      <c r="O573" t="n">
        <v>2019</v>
      </c>
      <c r="P573" t="n">
        <v>2030</v>
      </c>
      <c r="Q573" t="n">
        <v>0.3171</v>
      </c>
      <c r="R573" t="n">
        <v>401.7335</v>
      </c>
      <c r="S573" t="n">
        <v>0.00029221</v>
      </c>
      <c r="T573" t="n">
        <v>0.00017343</v>
      </c>
      <c r="U573" t="n">
        <v>566.7562</v>
      </c>
      <c r="V573" t="inlineStr">
        <is>
          <t>Supplier Reported Emissions</t>
        </is>
      </c>
      <c r="W573" t="b">
        <v>0</v>
      </c>
      <c r="X573" t="inlineStr">
        <is>
          <t>High</t>
        </is>
      </c>
      <c r="Y573" t="inlineStr">
        <is>
          <t>Scope_Emissions</t>
        </is>
      </c>
      <c r="Z573" t="n">
        <v>0.95</v>
      </c>
      <c r="AA573" t="inlineStr">
        <is>
          <t>Valid</t>
        </is>
      </c>
    </row>
    <row r="574">
      <c r="A574" t="inlineStr">
        <is>
          <t>SUP-0058</t>
        </is>
      </c>
      <c r="B574" t="inlineStr">
        <is>
          <t>Textiles Supplier 058</t>
        </is>
      </c>
      <c r="C574" t="inlineStr">
        <is>
          <t>Textiles</t>
        </is>
      </c>
      <c r="D574" t="n">
        <v>2017</v>
      </c>
      <c r="E574" t="n">
        <v>1214680.9</v>
      </c>
      <c r="F574" t="n">
        <v>1642067.43</v>
      </c>
      <c r="G574" t="n">
        <v>479.8785</v>
      </c>
      <c r="H574" t="n">
        <v>121.4016</v>
      </c>
      <c r="I574" t="n">
        <v>71.58880000000001</v>
      </c>
      <c r="J574" t="inlineStr"/>
      <c r="K574" t="inlineStr"/>
      <c r="L574" t="inlineStr"/>
      <c r="M574" t="inlineStr"/>
      <c r="N574" t="inlineStr"/>
      <c r="O574" t="n">
        <v>2019</v>
      </c>
      <c r="P574" t="n">
        <v>2030</v>
      </c>
      <c r="Q574" t="n">
        <v>0.3171</v>
      </c>
      <c r="R574" t="n">
        <v>401.7335</v>
      </c>
      <c r="S574" t="n">
        <v>0.00029221</v>
      </c>
      <c r="T574" t="n">
        <v>0.00017343</v>
      </c>
      <c r="U574" t="n">
        <v>479.8785</v>
      </c>
      <c r="V574" t="inlineStr">
        <is>
          <t>Supplier Reported Emissions</t>
        </is>
      </c>
      <c r="W574" t="b">
        <v>0</v>
      </c>
      <c r="X574" t="inlineStr">
        <is>
          <t>High</t>
        </is>
      </c>
      <c r="Y574" t="inlineStr">
        <is>
          <t>Scope_Emissions</t>
        </is>
      </c>
      <c r="Z574" t="n">
        <v>0.95</v>
      </c>
      <c r="AA574" t="inlineStr">
        <is>
          <t>Valid</t>
        </is>
      </c>
    </row>
    <row r="575">
      <c r="A575" t="inlineStr">
        <is>
          <t>SUP-0058</t>
        </is>
      </c>
      <c r="B575" t="inlineStr">
        <is>
          <t>Textiles Supplier 058</t>
        </is>
      </c>
      <c r="C575" t="inlineStr">
        <is>
          <t>Textiles</t>
        </is>
      </c>
      <c r="D575" t="n">
        <v>2018</v>
      </c>
      <c r="E575" t="n">
        <v>1145996.34</v>
      </c>
      <c r="F575" t="n">
        <v>1628824.36</v>
      </c>
      <c r="G575" t="n">
        <v>421.255</v>
      </c>
      <c r="H575" t="n">
        <v>42.3739</v>
      </c>
      <c r="I575" t="n">
        <v>71.4927</v>
      </c>
      <c r="J575" t="n">
        <v>315.9999</v>
      </c>
      <c r="K575" t="inlineStr"/>
      <c r="L575" t="inlineStr"/>
      <c r="M575" t="inlineStr"/>
      <c r="N575" t="inlineStr"/>
      <c r="O575" t="n">
        <v>2019</v>
      </c>
      <c r="P575" t="n">
        <v>2030</v>
      </c>
      <c r="Q575" t="n">
        <v>0.3171</v>
      </c>
      <c r="R575" t="n">
        <v>401.7335</v>
      </c>
      <c r="S575" t="n">
        <v>0.00029221</v>
      </c>
      <c r="T575" t="n">
        <v>0.00017343</v>
      </c>
      <c r="U575" t="n">
        <v>421.255</v>
      </c>
      <c r="V575" t="inlineStr">
        <is>
          <t>Supplier Reported Emissions</t>
        </is>
      </c>
      <c r="W575" t="b">
        <v>0</v>
      </c>
      <c r="X575" t="inlineStr">
        <is>
          <t>High</t>
        </is>
      </c>
      <c r="Y575" t="inlineStr">
        <is>
          <t>None</t>
        </is>
      </c>
      <c r="Z575" t="n">
        <v>0.95</v>
      </c>
      <c r="AA575" t="inlineStr">
        <is>
          <t>Valid</t>
        </is>
      </c>
    </row>
    <row r="576">
      <c r="A576" t="inlineStr">
        <is>
          <t>SUP-0058</t>
        </is>
      </c>
      <c r="B576" t="inlineStr">
        <is>
          <t>Textiles Supplier 058</t>
        </is>
      </c>
      <c r="C576" t="inlineStr">
        <is>
          <t>Textiles</t>
        </is>
      </c>
      <c r="D576" t="n">
        <v>2019</v>
      </c>
      <c r="E576" t="n">
        <v>1264080.22</v>
      </c>
      <c r="F576" t="n">
        <v>1680354.56</v>
      </c>
      <c r="G576" t="inlineStr"/>
      <c r="H576" t="n">
        <v>34.6152</v>
      </c>
      <c r="I576" t="n">
        <v>69.6782</v>
      </c>
      <c r="J576" t="n">
        <v>333.6774</v>
      </c>
      <c r="K576" t="inlineStr"/>
      <c r="L576" t="inlineStr"/>
      <c r="M576" t="inlineStr"/>
      <c r="N576" t="inlineStr"/>
      <c r="O576" t="n">
        <v>2019</v>
      </c>
      <c r="P576" t="n">
        <v>2030</v>
      </c>
      <c r="Q576" t="n">
        <v>0.3171</v>
      </c>
      <c r="R576" t="n">
        <v>401.7335</v>
      </c>
      <c r="S576" t="n">
        <v>0.00029221</v>
      </c>
      <c r="T576" t="n">
        <v>0.00017343</v>
      </c>
      <c r="U576" t="n">
        <v>437.9708</v>
      </c>
      <c r="V576" t="inlineStr">
        <is>
          <t>Scope 1 + Scope 2 + Scope 3</t>
        </is>
      </c>
      <c r="W576" t="b">
        <v>1</v>
      </c>
      <c r="X576" t="inlineStr">
        <is>
          <t>High</t>
        </is>
      </c>
      <c r="Y576" t="inlineStr">
        <is>
          <t>Reported_Emissions</t>
        </is>
      </c>
      <c r="Z576" t="n">
        <v>0.88</v>
      </c>
      <c r="AA576" t="inlineStr">
        <is>
          <t>Valid</t>
        </is>
      </c>
    </row>
    <row r="577">
      <c r="A577" t="inlineStr">
        <is>
          <t>SUP-0058</t>
        </is>
      </c>
      <c r="B577" t="inlineStr">
        <is>
          <t>Textiles Supplier 058</t>
        </is>
      </c>
      <c r="C577" t="inlineStr">
        <is>
          <t>Textiles</t>
        </is>
      </c>
      <c r="D577" t="n">
        <v>2020</v>
      </c>
      <c r="E577" t="n">
        <v>1157754.04</v>
      </c>
      <c r="F577" t="n">
        <v>1714969.92</v>
      </c>
      <c r="G577" t="n">
        <v>479.3154</v>
      </c>
      <c r="H577" t="n">
        <v>44.6531</v>
      </c>
      <c r="I577" t="n">
        <v>57.0148</v>
      </c>
      <c r="J577" t="inlineStr"/>
      <c r="K577" t="inlineStr"/>
      <c r="L577" t="inlineStr"/>
      <c r="M577" t="inlineStr"/>
      <c r="N577" t="inlineStr"/>
      <c r="O577" t="n">
        <v>2019</v>
      </c>
      <c r="P577" t="n">
        <v>2030</v>
      </c>
      <c r="Q577" t="n">
        <v>0.3171</v>
      </c>
      <c r="R577" t="n">
        <v>401.7335</v>
      </c>
      <c r="S577" t="n">
        <v>0.00029221</v>
      </c>
      <c r="T577" t="n">
        <v>0.00017343</v>
      </c>
      <c r="U577" t="n">
        <v>479.3154</v>
      </c>
      <c r="V577" t="inlineStr">
        <is>
          <t>Supplier Reported Emissions</t>
        </is>
      </c>
      <c r="W577" t="b">
        <v>0</v>
      </c>
      <c r="X577" t="inlineStr">
        <is>
          <t>High</t>
        </is>
      </c>
      <c r="Y577" t="inlineStr">
        <is>
          <t>Scope_Emissions</t>
        </is>
      </c>
      <c r="Z577" t="n">
        <v>0.95</v>
      </c>
      <c r="AA577" t="inlineStr">
        <is>
          <t>Valid</t>
        </is>
      </c>
    </row>
    <row r="578">
      <c r="A578" t="inlineStr">
        <is>
          <t>SUP-0058</t>
        </is>
      </c>
      <c r="B578" t="inlineStr">
        <is>
          <t>Textiles Supplier 058</t>
        </is>
      </c>
      <c r="C578" t="inlineStr">
        <is>
          <t>Textiles</t>
        </is>
      </c>
      <c r="D578" t="n">
        <v>2021</v>
      </c>
      <c r="E578" t="n">
        <v>1376073.68</v>
      </c>
      <c r="F578" t="n">
        <v>2212705.78</v>
      </c>
      <c r="G578" t="n">
        <v>442.7429</v>
      </c>
      <c r="H578" t="n">
        <v>62.9552</v>
      </c>
      <c r="I578" t="n">
        <v>79.3699</v>
      </c>
      <c r="J578" t="n">
        <v>292.2016</v>
      </c>
      <c r="K578" t="inlineStr"/>
      <c r="L578" t="inlineStr"/>
      <c r="M578" t="inlineStr"/>
      <c r="N578" t="inlineStr"/>
      <c r="O578" t="n">
        <v>2019</v>
      </c>
      <c r="P578" t="n">
        <v>2030</v>
      </c>
      <c r="Q578" t="n">
        <v>0.3171</v>
      </c>
      <c r="R578" t="n">
        <v>401.7335</v>
      </c>
      <c r="S578" t="n">
        <v>0.00029221</v>
      </c>
      <c r="T578" t="n">
        <v>0.00017343</v>
      </c>
      <c r="U578" t="n">
        <v>442.7429</v>
      </c>
      <c r="V578" t="inlineStr">
        <is>
          <t>Supplier Reported Emissions</t>
        </is>
      </c>
      <c r="W578" t="b">
        <v>0</v>
      </c>
      <c r="X578" t="inlineStr">
        <is>
          <t>High</t>
        </is>
      </c>
      <c r="Y578" t="inlineStr">
        <is>
          <t>None</t>
        </is>
      </c>
      <c r="Z578" t="n">
        <v>0.95</v>
      </c>
      <c r="AA578" t="inlineStr">
        <is>
          <t>Valid</t>
        </is>
      </c>
    </row>
    <row r="579">
      <c r="A579" t="inlineStr">
        <is>
          <t>SUP-0058</t>
        </is>
      </c>
      <c r="B579" t="inlineStr">
        <is>
          <t>Textiles Supplier 058</t>
        </is>
      </c>
      <c r="C579" t="inlineStr">
        <is>
          <t>Textiles</t>
        </is>
      </c>
      <c r="D579" t="n">
        <v>2022</v>
      </c>
      <c r="E579" t="n">
        <v>1426808.46</v>
      </c>
      <c r="F579" t="n">
        <v>1736362.76</v>
      </c>
      <c r="G579" t="n">
        <v>524.8819999999999</v>
      </c>
      <c r="H579" t="n">
        <v>126.088</v>
      </c>
      <c r="I579" t="n">
        <v>105.1051</v>
      </c>
      <c r="J579" t="n">
        <v>270.7648</v>
      </c>
      <c r="K579" t="inlineStr"/>
      <c r="L579" t="inlineStr"/>
      <c r="M579" t="inlineStr"/>
      <c r="N579" t="inlineStr"/>
      <c r="O579" t="n">
        <v>2019</v>
      </c>
      <c r="P579" t="n">
        <v>2030</v>
      </c>
      <c r="Q579" t="n">
        <v>0.3171</v>
      </c>
      <c r="R579" t="n">
        <v>401.7335</v>
      </c>
      <c r="S579" t="n">
        <v>0.00029221</v>
      </c>
      <c r="T579" t="n">
        <v>0.00017343</v>
      </c>
      <c r="U579" t="n">
        <v>524.8819999999999</v>
      </c>
      <c r="V579" t="inlineStr">
        <is>
          <t>Supplier Reported Emissions</t>
        </is>
      </c>
      <c r="W579" t="b">
        <v>0</v>
      </c>
      <c r="X579" t="inlineStr">
        <is>
          <t>High</t>
        </is>
      </c>
      <c r="Y579" t="inlineStr">
        <is>
          <t>None</t>
        </is>
      </c>
      <c r="Z579" t="n">
        <v>0.95</v>
      </c>
      <c r="AA579" t="inlineStr">
        <is>
          <t>Valid</t>
        </is>
      </c>
    </row>
    <row r="580">
      <c r="A580" t="inlineStr">
        <is>
          <t>SUP-0058</t>
        </is>
      </c>
      <c r="B580" t="inlineStr">
        <is>
          <t>Textiles Supplier 058</t>
        </is>
      </c>
      <c r="C580" t="inlineStr">
        <is>
          <t>Textiles</t>
        </is>
      </c>
      <c r="D580" t="n">
        <v>2023</v>
      </c>
      <c r="E580" t="n">
        <v>1314112.87</v>
      </c>
      <c r="F580" t="n">
        <v>1409749.34</v>
      </c>
      <c r="G580" t="n">
        <v>479.5763</v>
      </c>
      <c r="H580" t="n">
        <v>119.1872</v>
      </c>
      <c r="I580" t="inlineStr"/>
      <c r="J580" t="inlineStr"/>
      <c r="K580" t="inlineStr"/>
      <c r="L580" t="inlineStr"/>
      <c r="M580" t="inlineStr"/>
      <c r="N580" t="inlineStr"/>
      <c r="O580" t="n">
        <v>2019</v>
      </c>
      <c r="P580" t="n">
        <v>2030</v>
      </c>
      <c r="Q580" t="n">
        <v>0.3171</v>
      </c>
      <c r="R580" t="n">
        <v>401.7335</v>
      </c>
      <c r="S580" t="n">
        <v>0.00029221</v>
      </c>
      <c r="T580" t="n">
        <v>0.00017343</v>
      </c>
      <c r="U580" t="n">
        <v>479.5763</v>
      </c>
      <c r="V580" t="inlineStr">
        <is>
          <t>Supplier Reported Emissions</t>
        </is>
      </c>
      <c r="W580" t="b">
        <v>0</v>
      </c>
      <c r="X580" t="inlineStr">
        <is>
          <t>High</t>
        </is>
      </c>
      <c r="Y580" t="inlineStr">
        <is>
          <t>Scope_Emissions</t>
        </is>
      </c>
      <c r="Z580" t="n">
        <v>0.95</v>
      </c>
      <c r="AA580" t="inlineStr">
        <is>
          <t>Valid</t>
        </is>
      </c>
    </row>
    <row r="581">
      <c r="A581" t="inlineStr">
        <is>
          <t>SUP-0058</t>
        </is>
      </c>
      <c r="B581" t="inlineStr">
        <is>
          <t>Textiles Supplier 058</t>
        </is>
      </c>
      <c r="C581" t="inlineStr">
        <is>
          <t>Textiles</t>
        </is>
      </c>
      <c r="D581" t="n">
        <v>2024</v>
      </c>
      <c r="E581" t="n">
        <v>1403243.17</v>
      </c>
      <c r="F581" t="n">
        <v>1673627.42</v>
      </c>
      <c r="G581" t="n">
        <v>526.2491</v>
      </c>
      <c r="H581" t="n">
        <v>132.188</v>
      </c>
      <c r="I581" t="n">
        <v>63.6001</v>
      </c>
      <c r="J581" t="n">
        <v>348.878</v>
      </c>
      <c r="K581" t="inlineStr"/>
      <c r="L581" t="inlineStr"/>
      <c r="M581" t="inlineStr"/>
      <c r="N581" t="inlineStr"/>
      <c r="O581" t="n">
        <v>2019</v>
      </c>
      <c r="P581" t="n">
        <v>2030</v>
      </c>
      <c r="Q581" t="n">
        <v>0.3171</v>
      </c>
      <c r="R581" t="n">
        <v>401.7335</v>
      </c>
      <c r="S581" t="n">
        <v>0.00029221</v>
      </c>
      <c r="T581" t="n">
        <v>0.00017343</v>
      </c>
      <c r="U581" t="n">
        <v>526.2491</v>
      </c>
      <c r="V581" t="inlineStr">
        <is>
          <t>Supplier Reported Emissions</t>
        </is>
      </c>
      <c r="W581" t="b">
        <v>0</v>
      </c>
      <c r="X581" t="inlineStr">
        <is>
          <t>High</t>
        </is>
      </c>
      <c r="Y581" t="inlineStr">
        <is>
          <t>None</t>
        </is>
      </c>
      <c r="Z581" t="n">
        <v>0.95</v>
      </c>
      <c r="AA581" t="inlineStr">
        <is>
          <t>Valid</t>
        </is>
      </c>
    </row>
    <row r="582">
      <c r="A582" t="inlineStr">
        <is>
          <t>SUP-0059</t>
        </is>
      </c>
      <c r="B582" t="inlineStr">
        <is>
          <t>Agriculture Supplier 059</t>
        </is>
      </c>
      <c r="C582" t="inlineStr">
        <is>
          <t>Agriculture</t>
        </is>
      </c>
      <c r="D582" t="n">
        <v>2015</v>
      </c>
      <c r="E582" t="n">
        <v>13057260.47</v>
      </c>
      <c r="F582" t="inlineStr"/>
      <c r="G582" t="n">
        <v>6186.6844</v>
      </c>
      <c r="H582" t="n">
        <v>1404.8658</v>
      </c>
      <c r="I582" t="n">
        <v>1226.8663</v>
      </c>
      <c r="J582" t="n">
        <v>3462.0025</v>
      </c>
      <c r="K582" t="n">
        <v>2021</v>
      </c>
      <c r="L582" t="n">
        <v>2030</v>
      </c>
      <c r="M582" t="n">
        <v>0.495</v>
      </c>
      <c r="N582" t="n">
        <v>0.1874</v>
      </c>
      <c r="O582" t="n">
        <v>2018</v>
      </c>
      <c r="P582" t="inlineStr"/>
      <c r="Q582" t="inlineStr"/>
      <c r="R582" t="n">
        <v>529.8294</v>
      </c>
      <c r="S582" t="n">
        <v>0.00091413</v>
      </c>
      <c r="T582" t="n">
        <v>0.00096913</v>
      </c>
      <c r="U582" t="n">
        <v>6186.6844</v>
      </c>
      <c r="V582" t="inlineStr">
        <is>
          <t>Supplier Reported Emissions</t>
        </is>
      </c>
      <c r="W582" t="b">
        <v>0</v>
      </c>
      <c r="X582" t="inlineStr">
        <is>
          <t>High</t>
        </is>
      </c>
      <c r="Y582" t="inlineStr">
        <is>
          <t>Revenue</t>
        </is>
      </c>
      <c r="Z582" t="n">
        <v>0.95</v>
      </c>
      <c r="AA582" t="inlineStr">
        <is>
          <t>Valid</t>
        </is>
      </c>
    </row>
    <row r="583">
      <c r="A583" t="inlineStr">
        <is>
          <t>SUP-0059</t>
        </is>
      </c>
      <c r="B583" t="inlineStr">
        <is>
          <t>Agriculture Supplier 059</t>
        </is>
      </c>
      <c r="C583" t="inlineStr">
        <is>
          <t>Agriculture</t>
        </is>
      </c>
      <c r="D583" t="n">
        <v>2016</v>
      </c>
      <c r="E583" t="n">
        <v>14826426.81</v>
      </c>
      <c r="F583" t="n">
        <v>63346855.07</v>
      </c>
      <c r="G583" t="n">
        <v>9854.3478</v>
      </c>
      <c r="H583" t="n">
        <v>1611.9842</v>
      </c>
      <c r="I583" t="n">
        <v>1956.3647</v>
      </c>
      <c r="J583" t="n">
        <v>6676.3723</v>
      </c>
      <c r="K583" t="n">
        <v>2021</v>
      </c>
      <c r="L583" t="n">
        <v>2030</v>
      </c>
      <c r="M583" t="n">
        <v>0.495</v>
      </c>
      <c r="N583" t="n">
        <v>0.1874</v>
      </c>
      <c r="O583" t="n">
        <v>2018</v>
      </c>
      <c r="P583" t="inlineStr"/>
      <c r="Q583" t="inlineStr"/>
      <c r="R583" t="n">
        <v>529.8294</v>
      </c>
      <c r="S583" t="n">
        <v>0.00091413</v>
      </c>
      <c r="T583" t="n">
        <v>0.00096913</v>
      </c>
      <c r="U583" t="n">
        <v>9854.3478</v>
      </c>
      <c r="V583" t="inlineStr">
        <is>
          <t>Supplier Reported Emissions</t>
        </is>
      </c>
      <c r="W583" t="b">
        <v>0</v>
      </c>
      <c r="X583" t="inlineStr">
        <is>
          <t>High</t>
        </is>
      </c>
      <c r="Y583" t="inlineStr">
        <is>
          <t>None</t>
        </is>
      </c>
      <c r="Z583" t="n">
        <v>0.95</v>
      </c>
      <c r="AA583" t="inlineStr">
        <is>
          <t>Valid</t>
        </is>
      </c>
    </row>
    <row r="584">
      <c r="A584" t="inlineStr">
        <is>
          <t>SUP-0059</t>
        </is>
      </c>
      <c r="B584" t="inlineStr">
        <is>
          <t>Agriculture Supplier 059</t>
        </is>
      </c>
      <c r="C584" t="inlineStr">
        <is>
          <t>Agriculture</t>
        </is>
      </c>
      <c r="D584" t="n">
        <v>2017</v>
      </c>
      <c r="E584" t="n">
        <v>14307894.14</v>
      </c>
      <c r="F584" t="n">
        <v>81395770.33</v>
      </c>
      <c r="G584" t="n">
        <v>7986.537</v>
      </c>
      <c r="H584" t="n">
        <v>1661.3986</v>
      </c>
      <c r="I584" t="n">
        <v>1196.5359</v>
      </c>
      <c r="J584" t="n">
        <v>5409.6274</v>
      </c>
      <c r="K584" t="n">
        <v>2021</v>
      </c>
      <c r="L584" t="n">
        <v>2030</v>
      </c>
      <c r="M584" t="n">
        <v>0.495</v>
      </c>
      <c r="N584" t="n">
        <v>0.1874</v>
      </c>
      <c r="O584" t="n">
        <v>2018</v>
      </c>
      <c r="P584" t="inlineStr"/>
      <c r="Q584" t="inlineStr"/>
      <c r="R584" t="n">
        <v>529.8294</v>
      </c>
      <c r="S584" t="n">
        <v>0.00091413</v>
      </c>
      <c r="T584" t="n">
        <v>0.00096913</v>
      </c>
      <c r="U584" t="n">
        <v>7986.537</v>
      </c>
      <c r="V584" t="inlineStr">
        <is>
          <t>Supplier Reported Emissions</t>
        </is>
      </c>
      <c r="W584" t="b">
        <v>0</v>
      </c>
      <c r="X584" t="inlineStr">
        <is>
          <t>High</t>
        </is>
      </c>
      <c r="Y584" t="inlineStr">
        <is>
          <t>None</t>
        </is>
      </c>
      <c r="Z584" t="n">
        <v>0.95</v>
      </c>
      <c r="AA584" t="inlineStr">
        <is>
          <t>Valid</t>
        </is>
      </c>
    </row>
    <row r="585">
      <c r="A585" t="inlineStr">
        <is>
          <t>SUP-0059</t>
        </is>
      </c>
      <c r="B585" t="inlineStr">
        <is>
          <t>Agriculture Supplier 059</t>
        </is>
      </c>
      <c r="C585" t="inlineStr">
        <is>
          <t>Agriculture</t>
        </is>
      </c>
      <c r="D585" t="n">
        <v>2018</v>
      </c>
      <c r="E585" t="n">
        <v>17276876.2</v>
      </c>
      <c r="F585" t="n">
        <v>73367187.56</v>
      </c>
      <c r="G585" t="inlineStr"/>
      <c r="H585" t="inlineStr"/>
      <c r="I585" t="inlineStr"/>
      <c r="J585" t="n">
        <v>10921.5183</v>
      </c>
      <c r="K585" t="n">
        <v>2021</v>
      </c>
      <c r="L585" t="n">
        <v>2030</v>
      </c>
      <c r="M585" t="n">
        <v>0.495</v>
      </c>
      <c r="N585" t="n">
        <v>0.1874</v>
      </c>
      <c r="O585" t="n">
        <v>2018</v>
      </c>
      <c r="P585" t="inlineStr"/>
      <c r="Q585" t="inlineStr"/>
      <c r="R585" t="n">
        <v>529.8294</v>
      </c>
      <c r="S585" t="n">
        <v>0.00091413</v>
      </c>
      <c r="T585" t="n">
        <v>0.00096913</v>
      </c>
      <c r="U585" t="n">
        <v>15793.3108</v>
      </c>
      <c r="V585" t="inlineStr">
        <is>
          <t>Spend-Based Estimate</t>
        </is>
      </c>
      <c r="W585" t="b">
        <v>1</v>
      </c>
      <c r="X585" t="inlineStr">
        <is>
          <t>Medium</t>
        </is>
      </c>
      <c r="Y585" t="inlineStr">
        <is>
          <t>Reported_Emissions; Scope_Emissions</t>
        </is>
      </c>
      <c r="Z585" t="n">
        <v>0.7</v>
      </c>
      <c r="AA585" t="inlineStr">
        <is>
          <t>Valid</t>
        </is>
      </c>
    </row>
    <row r="586">
      <c r="A586" t="inlineStr">
        <is>
          <t>SUP-0059</t>
        </is>
      </c>
      <c r="B586" t="inlineStr">
        <is>
          <t>Agriculture Supplier 059</t>
        </is>
      </c>
      <c r="C586" t="inlineStr">
        <is>
          <t>Agriculture</t>
        </is>
      </c>
      <c r="D586" t="n">
        <v>2019</v>
      </c>
      <c r="E586" t="n">
        <v>18668989.41</v>
      </c>
      <c r="F586" t="n">
        <v>84068259.39</v>
      </c>
      <c r="G586" t="n">
        <v>12911.6515</v>
      </c>
      <c r="H586" t="n">
        <v>2878.5588</v>
      </c>
      <c r="I586" t="inlineStr"/>
      <c r="J586" t="inlineStr"/>
      <c r="K586" t="n">
        <v>2021</v>
      </c>
      <c r="L586" t="n">
        <v>2030</v>
      </c>
      <c r="M586" t="n">
        <v>0.495</v>
      </c>
      <c r="N586" t="n">
        <v>0.1874</v>
      </c>
      <c r="O586" t="n">
        <v>2018</v>
      </c>
      <c r="P586" t="inlineStr"/>
      <c r="Q586" t="inlineStr"/>
      <c r="R586" t="n">
        <v>529.8294</v>
      </c>
      <c r="S586" t="n">
        <v>0.00091413</v>
      </c>
      <c r="T586" t="n">
        <v>0.00096913</v>
      </c>
      <c r="U586" t="n">
        <v>12911.6515</v>
      </c>
      <c r="V586" t="inlineStr">
        <is>
          <t>Supplier Reported Emissions</t>
        </is>
      </c>
      <c r="W586" t="b">
        <v>0</v>
      </c>
      <c r="X586" t="inlineStr">
        <is>
          <t>High</t>
        </is>
      </c>
      <c r="Y586" t="inlineStr">
        <is>
          <t>Scope_Emissions</t>
        </is>
      </c>
      <c r="Z586" t="n">
        <v>0.95</v>
      </c>
      <c r="AA586" t="inlineStr">
        <is>
          <t>Valid</t>
        </is>
      </c>
    </row>
    <row r="587">
      <c r="A587" t="inlineStr">
        <is>
          <t>SUP-0059</t>
        </is>
      </c>
      <c r="B587" t="inlineStr">
        <is>
          <t>Agriculture Supplier 059</t>
        </is>
      </c>
      <c r="C587" t="inlineStr">
        <is>
          <t>Agriculture</t>
        </is>
      </c>
      <c r="D587" t="n">
        <v>2020</v>
      </c>
      <c r="E587" t="n">
        <v>21002416.37</v>
      </c>
      <c r="F587" t="n">
        <v>102699102</v>
      </c>
      <c r="G587" t="n">
        <v>15799.2089</v>
      </c>
      <c r="H587" t="n">
        <v>1472.4642</v>
      </c>
      <c r="I587" t="n">
        <v>2061.8156</v>
      </c>
      <c r="J587" t="inlineStr"/>
      <c r="K587" t="n">
        <v>2021</v>
      </c>
      <c r="L587" t="n">
        <v>2030</v>
      </c>
      <c r="M587" t="n">
        <v>0.495</v>
      </c>
      <c r="N587" t="n">
        <v>0.1874</v>
      </c>
      <c r="O587" t="n">
        <v>2018</v>
      </c>
      <c r="P587" t="inlineStr"/>
      <c r="Q587" t="inlineStr"/>
      <c r="R587" t="n">
        <v>529.8294</v>
      </c>
      <c r="S587" t="n">
        <v>0.00091413</v>
      </c>
      <c r="T587" t="n">
        <v>0.00096913</v>
      </c>
      <c r="U587" t="n">
        <v>15799.2089</v>
      </c>
      <c r="V587" t="inlineStr">
        <is>
          <t>Supplier Reported Emissions</t>
        </is>
      </c>
      <c r="W587" t="b">
        <v>0</v>
      </c>
      <c r="X587" t="inlineStr">
        <is>
          <t>High</t>
        </is>
      </c>
      <c r="Y587" t="inlineStr">
        <is>
          <t>Scope_Emissions</t>
        </is>
      </c>
      <c r="Z587" t="n">
        <v>0.95</v>
      </c>
      <c r="AA587" t="inlineStr">
        <is>
          <t>Valid</t>
        </is>
      </c>
    </row>
    <row r="588">
      <c r="A588" t="inlineStr">
        <is>
          <t>SUP-0059</t>
        </is>
      </c>
      <c r="B588" t="inlineStr">
        <is>
          <t>Agriculture Supplier 059</t>
        </is>
      </c>
      <c r="C588" t="inlineStr">
        <is>
          <t>Agriculture</t>
        </is>
      </c>
      <c r="D588" t="n">
        <v>2021</v>
      </c>
      <c r="E588" t="n">
        <v>20507854.69</v>
      </c>
      <c r="F588" t="n">
        <v>95556345.13</v>
      </c>
      <c r="G588" t="inlineStr"/>
      <c r="H588" t="n">
        <v>1418.5902</v>
      </c>
      <c r="I588" t="inlineStr"/>
      <c r="J588" t="inlineStr"/>
      <c r="K588" t="n">
        <v>2021</v>
      </c>
      <c r="L588" t="n">
        <v>2030</v>
      </c>
      <c r="M588" t="n">
        <v>0.495</v>
      </c>
      <c r="N588" t="n">
        <v>0.1874</v>
      </c>
      <c r="O588" t="n">
        <v>2018</v>
      </c>
      <c r="P588" t="inlineStr"/>
      <c r="Q588" t="inlineStr"/>
      <c r="R588" t="n">
        <v>529.8294</v>
      </c>
      <c r="S588" t="n">
        <v>0.00091413</v>
      </c>
      <c r="T588" t="n">
        <v>0.00096913</v>
      </c>
      <c r="U588" t="n">
        <v>18746.8452</v>
      </c>
      <c r="V588" t="inlineStr">
        <is>
          <t>Spend-Based Estimate</t>
        </is>
      </c>
      <c r="W588" t="b">
        <v>1</v>
      </c>
      <c r="X588" t="inlineStr">
        <is>
          <t>Medium</t>
        </is>
      </c>
      <c r="Y588" t="inlineStr">
        <is>
          <t>Reported_Emissions; Scope_Emissions</t>
        </is>
      </c>
      <c r="Z588" t="n">
        <v>0.7</v>
      </c>
      <c r="AA588" t="inlineStr">
        <is>
          <t>Valid</t>
        </is>
      </c>
    </row>
    <row r="589">
      <c r="A589" t="inlineStr">
        <is>
          <t>SUP-0059</t>
        </is>
      </c>
      <c r="B589" t="inlineStr">
        <is>
          <t>Agriculture Supplier 059</t>
        </is>
      </c>
      <c r="C589" t="inlineStr">
        <is>
          <t>Agriculture</t>
        </is>
      </c>
      <c r="D589" t="n">
        <v>2022</v>
      </c>
      <c r="E589" t="n">
        <v>22583129.7</v>
      </c>
      <c r="F589" t="n">
        <v>105838378.87</v>
      </c>
      <c r="G589" t="n">
        <v>16274.9719</v>
      </c>
      <c r="H589" t="n">
        <v>2420.7897</v>
      </c>
      <c r="I589" t="n">
        <v>2316.606</v>
      </c>
      <c r="J589" t="n">
        <v>9831.978499999999</v>
      </c>
      <c r="K589" t="n">
        <v>2021</v>
      </c>
      <c r="L589" t="n">
        <v>2030</v>
      </c>
      <c r="M589" t="n">
        <v>0.495</v>
      </c>
      <c r="N589" t="n">
        <v>0.1874</v>
      </c>
      <c r="O589" t="n">
        <v>2018</v>
      </c>
      <c r="P589" t="inlineStr"/>
      <c r="Q589" t="inlineStr"/>
      <c r="R589" t="n">
        <v>529.8294</v>
      </c>
      <c r="S589" t="n">
        <v>0.00091413</v>
      </c>
      <c r="T589" t="n">
        <v>0.00096913</v>
      </c>
      <c r="U589" t="n">
        <v>16274.9719</v>
      </c>
      <c r="V589" t="inlineStr">
        <is>
          <t>Supplier Reported Emissions</t>
        </is>
      </c>
      <c r="W589" t="b">
        <v>0</v>
      </c>
      <c r="X589" t="inlineStr">
        <is>
          <t>High</t>
        </is>
      </c>
      <c r="Y589" t="inlineStr">
        <is>
          <t>None</t>
        </is>
      </c>
      <c r="Z589" t="n">
        <v>0.95</v>
      </c>
      <c r="AA589" t="inlineStr">
        <is>
          <t>Valid</t>
        </is>
      </c>
    </row>
    <row r="590">
      <c r="A590" t="inlineStr">
        <is>
          <t>SUP-0059</t>
        </is>
      </c>
      <c r="B590" t="inlineStr">
        <is>
          <t>Agriculture Supplier 059</t>
        </is>
      </c>
      <c r="C590" t="inlineStr">
        <is>
          <t>Agriculture</t>
        </is>
      </c>
      <c r="D590" t="n">
        <v>2023</v>
      </c>
      <c r="E590" t="n">
        <v>23093411.06</v>
      </c>
      <c r="F590" t="n">
        <v>94190359.14</v>
      </c>
      <c r="G590" t="n">
        <v>13648.5647</v>
      </c>
      <c r="H590" t="n">
        <v>2416.0492</v>
      </c>
      <c r="I590" t="n">
        <v>954.2789</v>
      </c>
      <c r="J590" t="inlineStr"/>
      <c r="K590" t="n">
        <v>2021</v>
      </c>
      <c r="L590" t="n">
        <v>2030</v>
      </c>
      <c r="M590" t="n">
        <v>0.495</v>
      </c>
      <c r="N590" t="n">
        <v>0.1874</v>
      </c>
      <c r="O590" t="n">
        <v>2018</v>
      </c>
      <c r="P590" t="inlineStr"/>
      <c r="Q590" t="inlineStr"/>
      <c r="R590" t="n">
        <v>529.8294</v>
      </c>
      <c r="S590" t="n">
        <v>0.00091413</v>
      </c>
      <c r="T590" t="n">
        <v>0.00096913</v>
      </c>
      <c r="U590" t="n">
        <v>13648.5647</v>
      </c>
      <c r="V590" t="inlineStr">
        <is>
          <t>Supplier Reported Emissions</t>
        </is>
      </c>
      <c r="W590" t="b">
        <v>0</v>
      </c>
      <c r="X590" t="inlineStr">
        <is>
          <t>High</t>
        </is>
      </c>
      <c r="Y590" t="inlineStr">
        <is>
          <t>Scope_Emissions</t>
        </is>
      </c>
      <c r="Z590" t="n">
        <v>0.95</v>
      </c>
      <c r="AA590" t="inlineStr">
        <is>
          <t>Valid</t>
        </is>
      </c>
    </row>
    <row r="591">
      <c r="A591" t="inlineStr">
        <is>
          <t>SUP-0059</t>
        </is>
      </c>
      <c r="B591" t="inlineStr">
        <is>
          <t>Agriculture Supplier 059</t>
        </is>
      </c>
      <c r="C591" t="inlineStr">
        <is>
          <t>Agriculture</t>
        </is>
      </c>
      <c r="D591" t="n">
        <v>2024</v>
      </c>
      <c r="E591" t="n">
        <v>25054136.73</v>
      </c>
      <c r="F591" t="n">
        <v>119475178.82</v>
      </c>
      <c r="G591" t="n">
        <v>16745.9256</v>
      </c>
      <c r="H591" t="n">
        <v>4802.5456</v>
      </c>
      <c r="I591" t="n">
        <v>3057.7625</v>
      </c>
      <c r="J591" t="n">
        <v>9738.0509</v>
      </c>
      <c r="K591" t="n">
        <v>2021</v>
      </c>
      <c r="L591" t="n">
        <v>2030</v>
      </c>
      <c r="M591" t="n">
        <v>0.495</v>
      </c>
      <c r="N591" t="n">
        <v>0.1874</v>
      </c>
      <c r="O591" t="n">
        <v>2018</v>
      </c>
      <c r="P591" t="inlineStr"/>
      <c r="Q591" t="inlineStr"/>
      <c r="R591" t="n">
        <v>529.8294</v>
      </c>
      <c r="S591" t="n">
        <v>0.00091413</v>
      </c>
      <c r="T591" t="n">
        <v>0.00096913</v>
      </c>
      <c r="U591" t="n">
        <v>16745.9256</v>
      </c>
      <c r="V591" t="inlineStr">
        <is>
          <t>Supplier Reported Emissions</t>
        </is>
      </c>
      <c r="W591" t="b">
        <v>0</v>
      </c>
      <c r="X591" t="inlineStr">
        <is>
          <t>High</t>
        </is>
      </c>
      <c r="Y591" t="inlineStr">
        <is>
          <t>None</t>
        </is>
      </c>
      <c r="Z591" t="n">
        <v>0.95</v>
      </c>
      <c r="AA591" t="inlineStr">
        <is>
          <t>Valid</t>
        </is>
      </c>
    </row>
    <row r="592">
      <c r="A592" t="inlineStr">
        <is>
          <t>SUP-0060</t>
        </is>
      </c>
      <c r="B592" t="inlineStr">
        <is>
          <t>Electronics Supplier 060</t>
        </is>
      </c>
      <c r="C592" t="inlineStr">
        <is>
          <t>Electronics</t>
        </is>
      </c>
      <c r="D592" t="n">
        <v>2015</v>
      </c>
      <c r="E592" t="n">
        <v>17966286.89</v>
      </c>
      <c r="F592" t="n">
        <v>134760825.22</v>
      </c>
      <c r="G592" t="inlineStr"/>
      <c r="H592" t="n">
        <v>1527.6644</v>
      </c>
      <c r="I592" t="n">
        <v>3192.3425</v>
      </c>
      <c r="J592" t="n">
        <v>12341.2127</v>
      </c>
      <c r="K592" t="n">
        <v>2020</v>
      </c>
      <c r="L592" t="n">
        <v>2040</v>
      </c>
      <c r="M592" t="n">
        <v>0.5996</v>
      </c>
      <c r="N592" t="n">
        <v>0.2984</v>
      </c>
      <c r="O592" t="n">
        <v>2018</v>
      </c>
      <c r="P592" t="n">
        <v>2040</v>
      </c>
      <c r="Q592" t="n">
        <v>0.3424</v>
      </c>
      <c r="R592" t="n">
        <v>635.1588</v>
      </c>
      <c r="S592" t="n">
        <v>0.00086105</v>
      </c>
      <c r="T592" t="n">
        <v>0.00013947</v>
      </c>
      <c r="U592" t="n">
        <v>17061.2196</v>
      </c>
      <c r="V592" t="inlineStr">
        <is>
          <t>Scope 1 + Scope 2 + Scope 3</t>
        </is>
      </c>
      <c r="W592" t="b">
        <v>1</v>
      </c>
      <c r="X592" t="inlineStr">
        <is>
          <t>High</t>
        </is>
      </c>
      <c r="Y592" t="inlineStr">
        <is>
          <t>Reported_Emissions</t>
        </is>
      </c>
      <c r="Z592" t="n">
        <v>0.88</v>
      </c>
      <c r="AA592" t="inlineStr">
        <is>
          <t>Valid</t>
        </is>
      </c>
    </row>
    <row r="593">
      <c r="A593" t="inlineStr">
        <is>
          <t>SUP-0060</t>
        </is>
      </c>
      <c r="B593" t="inlineStr">
        <is>
          <t>Electronics Supplier 060</t>
        </is>
      </c>
      <c r="C593" t="inlineStr">
        <is>
          <t>Electronics</t>
        </is>
      </c>
      <c r="D593" t="n">
        <v>2016</v>
      </c>
      <c r="E593" t="n">
        <v>18259198.15</v>
      </c>
      <c r="F593" t="inlineStr"/>
      <c r="G593" t="n">
        <v>16198.9684</v>
      </c>
      <c r="H593" t="n">
        <v>3642.5102</v>
      </c>
      <c r="I593" t="n">
        <v>2932.7513</v>
      </c>
      <c r="J593" t="n">
        <v>10519.4697</v>
      </c>
      <c r="K593" t="n">
        <v>2020</v>
      </c>
      <c r="L593" t="n">
        <v>2040</v>
      </c>
      <c r="M593" t="n">
        <v>0.5996</v>
      </c>
      <c r="N593" t="n">
        <v>0.2984</v>
      </c>
      <c r="O593" t="n">
        <v>2018</v>
      </c>
      <c r="P593" t="n">
        <v>2040</v>
      </c>
      <c r="Q593" t="n">
        <v>0.3424</v>
      </c>
      <c r="R593" t="n">
        <v>635.1588</v>
      </c>
      <c r="S593" t="n">
        <v>0.00086105</v>
      </c>
      <c r="T593" t="n">
        <v>0.00013947</v>
      </c>
      <c r="U593" t="n">
        <v>16198.9684</v>
      </c>
      <c r="V593" t="inlineStr">
        <is>
          <t>Supplier Reported Emissions</t>
        </is>
      </c>
      <c r="W593" t="b">
        <v>0</v>
      </c>
      <c r="X593" t="inlineStr">
        <is>
          <t>High</t>
        </is>
      </c>
      <c r="Y593" t="inlineStr">
        <is>
          <t>Revenue</t>
        </is>
      </c>
      <c r="Z593" t="n">
        <v>0.95</v>
      </c>
      <c r="AA593" t="inlineStr">
        <is>
          <t>Valid</t>
        </is>
      </c>
    </row>
    <row r="594">
      <c r="A594" t="inlineStr">
        <is>
          <t>SUP-0060</t>
        </is>
      </c>
      <c r="B594" t="inlineStr">
        <is>
          <t>Electronics Supplier 060</t>
        </is>
      </c>
      <c r="C594" t="inlineStr">
        <is>
          <t>Electronics</t>
        </is>
      </c>
      <c r="D594" t="n">
        <v>2017</v>
      </c>
      <c r="E594" t="n">
        <v>19032494.48</v>
      </c>
      <c r="F594" t="n">
        <v>122301023.06</v>
      </c>
      <c r="G594" t="n">
        <v>17243.2045</v>
      </c>
      <c r="H594" t="n">
        <v>2597.4547</v>
      </c>
      <c r="I594" t="n">
        <v>3499.5283</v>
      </c>
      <c r="J594" t="inlineStr"/>
      <c r="K594" t="n">
        <v>2020</v>
      </c>
      <c r="L594" t="n">
        <v>2040</v>
      </c>
      <c r="M594" t="n">
        <v>0.5996</v>
      </c>
      <c r="N594" t="n">
        <v>0.2984</v>
      </c>
      <c r="O594" t="n">
        <v>2018</v>
      </c>
      <c r="P594" t="n">
        <v>2040</v>
      </c>
      <c r="Q594" t="n">
        <v>0.3424</v>
      </c>
      <c r="R594" t="n">
        <v>635.1588</v>
      </c>
      <c r="S594" t="n">
        <v>0.00086105</v>
      </c>
      <c r="T594" t="n">
        <v>0.00013947</v>
      </c>
      <c r="U594" t="n">
        <v>17243.2045</v>
      </c>
      <c r="V594" t="inlineStr">
        <is>
          <t>Supplier Reported Emissions</t>
        </is>
      </c>
      <c r="W594" t="b">
        <v>0</v>
      </c>
      <c r="X594" t="inlineStr">
        <is>
          <t>High</t>
        </is>
      </c>
      <c r="Y594" t="inlineStr">
        <is>
          <t>Scope_Emissions</t>
        </is>
      </c>
      <c r="Z594" t="n">
        <v>0.95</v>
      </c>
      <c r="AA594" t="inlineStr">
        <is>
          <t>Valid</t>
        </is>
      </c>
    </row>
    <row r="595">
      <c r="A595" t="inlineStr">
        <is>
          <t>SUP-0060</t>
        </is>
      </c>
      <c r="B595" t="inlineStr">
        <is>
          <t>Electronics Supplier 060</t>
        </is>
      </c>
      <c r="C595" t="inlineStr">
        <is>
          <t>Electronics</t>
        </is>
      </c>
      <c r="D595" t="n">
        <v>2018</v>
      </c>
      <c r="E595" t="n">
        <v>17131985.49</v>
      </c>
      <c r="F595" t="n">
        <v>114713863.99</v>
      </c>
      <c r="G595" t="n">
        <v>15812.1073</v>
      </c>
      <c r="H595" t="n">
        <v>2854.0217</v>
      </c>
      <c r="I595" t="n">
        <v>2624.5088</v>
      </c>
      <c r="J595" t="n">
        <v>9886.148499999999</v>
      </c>
      <c r="K595" t="n">
        <v>2020</v>
      </c>
      <c r="L595" t="n">
        <v>2040</v>
      </c>
      <c r="M595" t="n">
        <v>0.5996</v>
      </c>
      <c r="N595" t="n">
        <v>0.2984</v>
      </c>
      <c r="O595" t="n">
        <v>2018</v>
      </c>
      <c r="P595" t="n">
        <v>2040</v>
      </c>
      <c r="Q595" t="n">
        <v>0.3424</v>
      </c>
      <c r="R595" t="n">
        <v>635.1588</v>
      </c>
      <c r="S595" t="n">
        <v>0.00086105</v>
      </c>
      <c r="T595" t="n">
        <v>0.00013947</v>
      </c>
      <c r="U595" t="n">
        <v>15812.1073</v>
      </c>
      <c r="V595" t="inlineStr">
        <is>
          <t>Supplier Reported Emissions</t>
        </is>
      </c>
      <c r="W595" t="b">
        <v>0</v>
      </c>
      <c r="X595" t="inlineStr">
        <is>
          <t>High</t>
        </is>
      </c>
      <c r="Y595" t="inlineStr">
        <is>
          <t>None</t>
        </is>
      </c>
      <c r="Z595" t="n">
        <v>0.95</v>
      </c>
      <c r="AA595" t="inlineStr">
        <is>
          <t>Valid</t>
        </is>
      </c>
    </row>
    <row r="596">
      <c r="A596" t="inlineStr">
        <is>
          <t>SUP-0060</t>
        </is>
      </c>
      <c r="B596" t="inlineStr">
        <is>
          <t>Electronics Supplier 060</t>
        </is>
      </c>
      <c r="C596" t="inlineStr">
        <is>
          <t>Electronics</t>
        </is>
      </c>
      <c r="D596" t="n">
        <v>2019</v>
      </c>
      <c r="E596" t="n">
        <v>16449336.23</v>
      </c>
      <c r="F596" t="n">
        <v>110745981.21</v>
      </c>
      <c r="G596" t="inlineStr"/>
      <c r="H596" t="n">
        <v>3313.0211</v>
      </c>
      <c r="I596" t="inlineStr"/>
      <c r="J596" t="n">
        <v>8302.4084</v>
      </c>
      <c r="K596" t="n">
        <v>2020</v>
      </c>
      <c r="L596" t="n">
        <v>2040</v>
      </c>
      <c r="M596" t="n">
        <v>0.5996</v>
      </c>
      <c r="N596" t="n">
        <v>0.2984</v>
      </c>
      <c r="O596" t="n">
        <v>2018</v>
      </c>
      <c r="P596" t="n">
        <v>2040</v>
      </c>
      <c r="Q596" t="n">
        <v>0.3424</v>
      </c>
      <c r="R596" t="n">
        <v>635.1588</v>
      </c>
      <c r="S596" t="n">
        <v>0.00086105</v>
      </c>
      <c r="T596" t="n">
        <v>0.00013947</v>
      </c>
      <c r="U596" t="n">
        <v>14163.701</v>
      </c>
      <c r="V596" t="inlineStr">
        <is>
          <t>Spend-Based Estimate</t>
        </is>
      </c>
      <c r="W596" t="b">
        <v>1</v>
      </c>
      <c r="X596" t="inlineStr">
        <is>
          <t>Medium</t>
        </is>
      </c>
      <c r="Y596" t="inlineStr">
        <is>
          <t>Reported_Emissions; Scope_Emissions</t>
        </is>
      </c>
      <c r="Z596" t="n">
        <v>0.7</v>
      </c>
      <c r="AA596" t="inlineStr">
        <is>
          <t>Valid</t>
        </is>
      </c>
    </row>
    <row r="597">
      <c r="A597" t="inlineStr">
        <is>
          <t>SUP-0060</t>
        </is>
      </c>
      <c r="B597" t="inlineStr">
        <is>
          <t>Electronics Supplier 060</t>
        </is>
      </c>
      <c r="C597" t="inlineStr">
        <is>
          <t>Electronics</t>
        </is>
      </c>
      <c r="D597" t="n">
        <v>2020</v>
      </c>
      <c r="E597" t="n">
        <v>15814474.45</v>
      </c>
      <c r="F597" t="n">
        <v>123066338.61</v>
      </c>
      <c r="G597" t="n">
        <v>14058.0951</v>
      </c>
      <c r="H597" t="n">
        <v>2529.7186</v>
      </c>
      <c r="I597" t="n">
        <v>2575.7219</v>
      </c>
      <c r="J597" t="n">
        <v>8438.3923</v>
      </c>
      <c r="K597" t="n">
        <v>2020</v>
      </c>
      <c r="L597" t="n">
        <v>2040</v>
      </c>
      <c r="M597" t="n">
        <v>0.5996</v>
      </c>
      <c r="N597" t="n">
        <v>0.2984</v>
      </c>
      <c r="O597" t="n">
        <v>2018</v>
      </c>
      <c r="P597" t="n">
        <v>2040</v>
      </c>
      <c r="Q597" t="n">
        <v>0.3424</v>
      </c>
      <c r="R597" t="n">
        <v>635.1588</v>
      </c>
      <c r="S597" t="n">
        <v>0.00086105</v>
      </c>
      <c r="T597" t="n">
        <v>0.00013947</v>
      </c>
      <c r="U597" t="n">
        <v>14058.0951</v>
      </c>
      <c r="V597" t="inlineStr">
        <is>
          <t>Supplier Reported Emissions</t>
        </is>
      </c>
      <c r="W597" t="b">
        <v>0</v>
      </c>
      <c r="X597" t="inlineStr">
        <is>
          <t>High</t>
        </is>
      </c>
      <c r="Y597" t="inlineStr">
        <is>
          <t>None</t>
        </is>
      </c>
      <c r="Z597" t="n">
        <v>0.95</v>
      </c>
      <c r="AA597" t="inlineStr">
        <is>
          <t>Valid</t>
        </is>
      </c>
    </row>
    <row r="598">
      <c r="A598" t="inlineStr">
        <is>
          <t>SUP-0060</t>
        </is>
      </c>
      <c r="B598" t="inlineStr">
        <is>
          <t>Electronics Supplier 060</t>
        </is>
      </c>
      <c r="C598" t="inlineStr">
        <is>
          <t>Electronics</t>
        </is>
      </c>
      <c r="D598" t="n">
        <v>2021</v>
      </c>
      <c r="E598" t="n">
        <v>17937197.43</v>
      </c>
      <c r="F598" t="n">
        <v>123394522.54</v>
      </c>
      <c r="G598" t="n">
        <v>12683.5697</v>
      </c>
      <c r="H598" t="n">
        <v>2053.8322</v>
      </c>
      <c r="I598" t="n">
        <v>1268.3194</v>
      </c>
      <c r="J598" t="n">
        <v>9454.9228</v>
      </c>
      <c r="K598" t="n">
        <v>2020</v>
      </c>
      <c r="L598" t="n">
        <v>2040</v>
      </c>
      <c r="M598" t="n">
        <v>0.5996</v>
      </c>
      <c r="N598" t="n">
        <v>0.2984</v>
      </c>
      <c r="O598" t="n">
        <v>2018</v>
      </c>
      <c r="P598" t="n">
        <v>2040</v>
      </c>
      <c r="Q598" t="n">
        <v>0.3424</v>
      </c>
      <c r="R598" t="n">
        <v>635.1588</v>
      </c>
      <c r="S598" t="n">
        <v>0.00086105</v>
      </c>
      <c r="T598" t="n">
        <v>0.00013947</v>
      </c>
      <c r="U598" t="n">
        <v>12683.5697</v>
      </c>
      <c r="V598" t="inlineStr">
        <is>
          <t>Supplier Reported Emissions</t>
        </is>
      </c>
      <c r="W598" t="b">
        <v>0</v>
      </c>
      <c r="X598" t="inlineStr">
        <is>
          <t>High</t>
        </is>
      </c>
      <c r="Y598" t="inlineStr">
        <is>
          <t>None</t>
        </is>
      </c>
      <c r="Z598" t="n">
        <v>0.95</v>
      </c>
      <c r="AA598" t="inlineStr">
        <is>
          <t>Valid</t>
        </is>
      </c>
    </row>
    <row r="599">
      <c r="A599" t="inlineStr">
        <is>
          <t>SUP-0060</t>
        </is>
      </c>
      <c r="B599" t="inlineStr">
        <is>
          <t>Electronics Supplier 060</t>
        </is>
      </c>
      <c r="C599" t="inlineStr">
        <is>
          <t>Electronics</t>
        </is>
      </c>
      <c r="D599" t="n">
        <v>2022</v>
      </c>
      <c r="E599" t="n">
        <v>15165573.85</v>
      </c>
      <c r="F599" t="n">
        <v>101905745.69</v>
      </c>
      <c r="G599" t="n">
        <v>12835.0862</v>
      </c>
      <c r="H599" t="n">
        <v>2062.0759</v>
      </c>
      <c r="I599" t="n">
        <v>2352.3677</v>
      </c>
      <c r="J599" t="n">
        <v>8369.7536</v>
      </c>
      <c r="K599" t="n">
        <v>2020</v>
      </c>
      <c r="L599" t="n">
        <v>2040</v>
      </c>
      <c r="M599" t="n">
        <v>0.5996</v>
      </c>
      <c r="N599" t="n">
        <v>0.2984</v>
      </c>
      <c r="O599" t="n">
        <v>2018</v>
      </c>
      <c r="P599" t="n">
        <v>2040</v>
      </c>
      <c r="Q599" t="n">
        <v>0.3424</v>
      </c>
      <c r="R599" t="n">
        <v>635.1588</v>
      </c>
      <c r="S599" t="n">
        <v>0.00086105</v>
      </c>
      <c r="T599" t="n">
        <v>0.00013947</v>
      </c>
      <c r="U599" t="n">
        <v>12835.0862</v>
      </c>
      <c r="V599" t="inlineStr">
        <is>
          <t>Supplier Reported Emissions</t>
        </is>
      </c>
      <c r="W599" t="b">
        <v>0</v>
      </c>
      <c r="X599" t="inlineStr">
        <is>
          <t>High</t>
        </is>
      </c>
      <c r="Y599" t="inlineStr">
        <is>
          <t>None</t>
        </is>
      </c>
      <c r="Z599" t="n">
        <v>0.95</v>
      </c>
      <c r="AA599" t="inlineStr">
        <is>
          <t>Valid</t>
        </is>
      </c>
    </row>
    <row r="600">
      <c r="A600" t="inlineStr">
        <is>
          <t>SUP-0060</t>
        </is>
      </c>
      <c r="B600" t="inlineStr">
        <is>
          <t>Electronics Supplier 060</t>
        </is>
      </c>
      <c r="C600" t="inlineStr">
        <is>
          <t>Electronics</t>
        </is>
      </c>
      <c r="D600" t="n">
        <v>2023</v>
      </c>
      <c r="E600" t="n">
        <v>13649393.37</v>
      </c>
      <c r="F600" t="n">
        <v>134001840.17</v>
      </c>
      <c r="G600" t="n">
        <v>9131.9954</v>
      </c>
      <c r="H600" t="n">
        <v>2106.4475</v>
      </c>
      <c r="I600" t="n">
        <v>796.9501</v>
      </c>
      <c r="J600" t="n">
        <v>5762.5283</v>
      </c>
      <c r="K600" t="n">
        <v>2020</v>
      </c>
      <c r="L600" t="n">
        <v>2040</v>
      </c>
      <c r="M600" t="n">
        <v>0.5996</v>
      </c>
      <c r="N600" t="n">
        <v>0.2984</v>
      </c>
      <c r="O600" t="n">
        <v>2018</v>
      </c>
      <c r="P600" t="n">
        <v>2040</v>
      </c>
      <c r="Q600" t="n">
        <v>0.3424</v>
      </c>
      <c r="R600" t="n">
        <v>635.1588</v>
      </c>
      <c r="S600" t="n">
        <v>0.00086105</v>
      </c>
      <c r="T600" t="n">
        <v>0.00013947</v>
      </c>
      <c r="U600" t="n">
        <v>9131.9954</v>
      </c>
      <c r="V600" t="inlineStr">
        <is>
          <t>Supplier Reported Emissions</t>
        </is>
      </c>
      <c r="W600" t="b">
        <v>0</v>
      </c>
      <c r="X600" t="inlineStr">
        <is>
          <t>High</t>
        </is>
      </c>
      <c r="Y600" t="inlineStr">
        <is>
          <t>None</t>
        </is>
      </c>
      <c r="Z600" t="n">
        <v>0.95</v>
      </c>
      <c r="AA600" t="inlineStr">
        <is>
          <t>Valid</t>
        </is>
      </c>
    </row>
    <row r="601">
      <c r="A601" t="inlineStr">
        <is>
          <t>SUP-0060</t>
        </is>
      </c>
      <c r="B601" t="inlineStr">
        <is>
          <t>Electronics Supplier 060</t>
        </is>
      </c>
      <c r="C601" t="inlineStr">
        <is>
          <t>Electronics</t>
        </is>
      </c>
      <c r="D601" t="n">
        <v>2024</v>
      </c>
      <c r="E601" t="n">
        <v>16079452.31</v>
      </c>
      <c r="F601" t="n">
        <v>113406260.09</v>
      </c>
      <c r="G601" t="n">
        <v>12011.7951</v>
      </c>
      <c r="H601" t="n">
        <v>2604.7591</v>
      </c>
      <c r="I601" t="n">
        <v>1268.3672</v>
      </c>
      <c r="J601" t="n">
        <v>8862.726199999999</v>
      </c>
      <c r="K601" t="n">
        <v>2020</v>
      </c>
      <c r="L601" t="n">
        <v>2040</v>
      </c>
      <c r="M601" t="n">
        <v>0.5996</v>
      </c>
      <c r="N601" t="n">
        <v>0.2984</v>
      </c>
      <c r="O601" t="n">
        <v>2018</v>
      </c>
      <c r="P601" t="n">
        <v>2040</v>
      </c>
      <c r="Q601" t="n">
        <v>0.3424</v>
      </c>
      <c r="R601" t="n">
        <v>635.1588</v>
      </c>
      <c r="S601" t="n">
        <v>0.00086105</v>
      </c>
      <c r="T601" t="n">
        <v>0.00013947</v>
      </c>
      <c r="U601" t="n">
        <v>12011.7951</v>
      </c>
      <c r="V601" t="inlineStr">
        <is>
          <t>Supplier Reported Emissions</t>
        </is>
      </c>
      <c r="W601" t="b">
        <v>0</v>
      </c>
      <c r="X601" t="inlineStr">
        <is>
          <t>High</t>
        </is>
      </c>
      <c r="Y601" t="inlineStr">
        <is>
          <t>None</t>
        </is>
      </c>
      <c r="Z601" t="n">
        <v>0.95</v>
      </c>
      <c r="AA601" t="inlineStr">
        <is>
          <t>Valid</t>
        </is>
      </c>
    </row>
    <row r="602">
      <c r="A602" t="inlineStr">
        <is>
          <t>SUP-0061</t>
        </is>
      </c>
      <c r="B602" t="inlineStr">
        <is>
          <t>Metals Supplier 061</t>
        </is>
      </c>
      <c r="C602" t="inlineStr">
        <is>
          <t>Metals</t>
        </is>
      </c>
      <c r="D602" t="n">
        <v>2015</v>
      </c>
      <c r="E602" t="n">
        <v>23011980.8</v>
      </c>
      <c r="F602" t="n">
        <v>110758175.64</v>
      </c>
      <c r="G602" t="n">
        <v>22438.5786</v>
      </c>
      <c r="H602" t="inlineStr"/>
      <c r="I602" t="n">
        <v>4154.0976</v>
      </c>
      <c r="J602" t="n">
        <v>14171.7745</v>
      </c>
      <c r="K602" t="n">
        <v>2018</v>
      </c>
      <c r="L602" t="n">
        <v>2040</v>
      </c>
      <c r="M602" t="n">
        <v>0.342</v>
      </c>
      <c r="N602" t="n">
        <v>0.2056</v>
      </c>
      <c r="O602" t="n">
        <v>2019</v>
      </c>
      <c r="P602" t="n">
        <v>2030</v>
      </c>
      <c r="Q602" t="n">
        <v>0.3852</v>
      </c>
      <c r="R602" t="n">
        <v>158.2904</v>
      </c>
      <c r="S602" t="n">
        <v>0.00100695</v>
      </c>
      <c r="T602" t="n">
        <v>0.00065008</v>
      </c>
      <c r="U602" t="n">
        <v>22438.5786</v>
      </c>
      <c r="V602" t="inlineStr">
        <is>
          <t>Supplier Reported Emissions</t>
        </is>
      </c>
      <c r="W602" t="b">
        <v>0</v>
      </c>
      <c r="X602" t="inlineStr">
        <is>
          <t>High</t>
        </is>
      </c>
      <c r="Y602" t="inlineStr">
        <is>
          <t>Scope_Emissions</t>
        </is>
      </c>
      <c r="Z602" t="n">
        <v>0.95</v>
      </c>
      <c r="AA602" t="inlineStr">
        <is>
          <t>Valid</t>
        </is>
      </c>
    </row>
    <row r="603">
      <c r="A603" t="inlineStr">
        <is>
          <t>SUP-0061</t>
        </is>
      </c>
      <c r="B603" t="inlineStr">
        <is>
          <t>Metals Supplier 061</t>
        </is>
      </c>
      <c r="C603" t="inlineStr">
        <is>
          <t>Metals</t>
        </is>
      </c>
      <c r="D603" t="n">
        <v>2016</v>
      </c>
      <c r="E603" t="n">
        <v>25783653.32</v>
      </c>
      <c r="F603" t="n">
        <v>116349947.01</v>
      </c>
      <c r="G603" t="inlineStr"/>
      <c r="H603" t="inlineStr"/>
      <c r="I603" t="inlineStr"/>
      <c r="J603" t="n">
        <v>9768.9494</v>
      </c>
      <c r="K603" t="n">
        <v>2018</v>
      </c>
      <c r="L603" t="n">
        <v>2040</v>
      </c>
      <c r="M603" t="n">
        <v>0.342</v>
      </c>
      <c r="N603" t="n">
        <v>0.2056</v>
      </c>
      <c r="O603" t="n">
        <v>2019</v>
      </c>
      <c r="P603" t="n">
        <v>2030</v>
      </c>
      <c r="Q603" t="n">
        <v>0.3852</v>
      </c>
      <c r="R603" t="n">
        <v>158.2904</v>
      </c>
      <c r="S603" t="n">
        <v>0.00100695</v>
      </c>
      <c r="T603" t="n">
        <v>0.00065008</v>
      </c>
      <c r="U603" t="n">
        <v>25962.8497</v>
      </c>
      <c r="V603" t="inlineStr">
        <is>
          <t>Spend-Based Estimate</t>
        </is>
      </c>
      <c r="W603" t="b">
        <v>1</v>
      </c>
      <c r="X603" t="inlineStr">
        <is>
          <t>Medium</t>
        </is>
      </c>
      <c r="Y603" t="inlineStr">
        <is>
          <t>Reported_Emissions; Scope_Emissions</t>
        </is>
      </c>
      <c r="Z603" t="n">
        <v>0.7</v>
      </c>
      <c r="AA603" t="inlineStr">
        <is>
          <t>Valid</t>
        </is>
      </c>
    </row>
    <row r="604">
      <c r="A604" t="inlineStr">
        <is>
          <t>SUP-0061</t>
        </is>
      </c>
      <c r="B604" t="inlineStr">
        <is>
          <t>Metals Supplier 061</t>
        </is>
      </c>
      <c r="C604" t="inlineStr">
        <is>
          <t>Metals</t>
        </is>
      </c>
      <c r="D604" t="n">
        <v>2017</v>
      </c>
      <c r="E604" t="n">
        <v>27168506.76</v>
      </c>
      <c r="F604" t="n">
        <v>139085597.08</v>
      </c>
      <c r="G604" t="n">
        <v>21867.3354</v>
      </c>
      <c r="H604" t="n">
        <v>2108.5532</v>
      </c>
      <c r="I604" t="n">
        <v>2825.0927</v>
      </c>
      <c r="J604" t="n">
        <v>16901.9794</v>
      </c>
      <c r="K604" t="n">
        <v>2018</v>
      </c>
      <c r="L604" t="n">
        <v>2040</v>
      </c>
      <c r="M604" t="n">
        <v>0.342</v>
      </c>
      <c r="N604" t="n">
        <v>0.2056</v>
      </c>
      <c r="O604" t="n">
        <v>2019</v>
      </c>
      <c r="P604" t="n">
        <v>2030</v>
      </c>
      <c r="Q604" t="n">
        <v>0.3852</v>
      </c>
      <c r="R604" t="n">
        <v>158.2904</v>
      </c>
      <c r="S604" t="n">
        <v>0.00100695</v>
      </c>
      <c r="T604" t="n">
        <v>0.00065008</v>
      </c>
      <c r="U604" t="n">
        <v>21867.3354</v>
      </c>
      <c r="V604" t="inlineStr">
        <is>
          <t>Supplier Reported Emissions</t>
        </is>
      </c>
      <c r="W604" t="b">
        <v>0</v>
      </c>
      <c r="X604" t="inlineStr">
        <is>
          <t>High</t>
        </is>
      </c>
      <c r="Y604" t="inlineStr">
        <is>
          <t>None</t>
        </is>
      </c>
      <c r="Z604" t="n">
        <v>0.95</v>
      </c>
      <c r="AA604" t="inlineStr">
        <is>
          <t>Valid</t>
        </is>
      </c>
    </row>
    <row r="605">
      <c r="A605" t="inlineStr">
        <is>
          <t>SUP-0061</t>
        </is>
      </c>
      <c r="B605" t="inlineStr">
        <is>
          <t>Metals Supplier 061</t>
        </is>
      </c>
      <c r="C605" t="inlineStr">
        <is>
          <t>Metals</t>
        </is>
      </c>
      <c r="D605" t="n">
        <v>2018</v>
      </c>
      <c r="E605" t="n">
        <v>27736620.21</v>
      </c>
      <c r="F605" t="n">
        <v>122787940.63</v>
      </c>
      <c r="G605" t="inlineStr"/>
      <c r="H605" t="n">
        <v>3475.1274</v>
      </c>
      <c r="I605" t="inlineStr"/>
      <c r="J605" t="n">
        <v>13485.5991</v>
      </c>
      <c r="K605" t="n">
        <v>2018</v>
      </c>
      <c r="L605" t="n">
        <v>2040</v>
      </c>
      <c r="M605" t="n">
        <v>0.342</v>
      </c>
      <c r="N605" t="n">
        <v>0.2056</v>
      </c>
      <c r="O605" t="n">
        <v>2019</v>
      </c>
      <c r="P605" t="n">
        <v>2030</v>
      </c>
      <c r="Q605" t="n">
        <v>0.3852</v>
      </c>
      <c r="R605" t="n">
        <v>158.2904</v>
      </c>
      <c r="S605" t="n">
        <v>0.00100695</v>
      </c>
      <c r="T605" t="n">
        <v>0.00065008</v>
      </c>
      <c r="U605" t="n">
        <v>27929.3897</v>
      </c>
      <c r="V605" t="inlineStr">
        <is>
          <t>Spend-Based Estimate</t>
        </is>
      </c>
      <c r="W605" t="b">
        <v>1</v>
      </c>
      <c r="X605" t="inlineStr">
        <is>
          <t>Medium</t>
        </is>
      </c>
      <c r="Y605" t="inlineStr">
        <is>
          <t>Reported_Emissions; Scope_Emissions</t>
        </is>
      </c>
      <c r="Z605" t="n">
        <v>0.7</v>
      </c>
      <c r="AA605" t="inlineStr">
        <is>
          <t>Valid</t>
        </is>
      </c>
    </row>
    <row r="606">
      <c r="A606" t="inlineStr">
        <is>
          <t>SUP-0061</t>
        </is>
      </c>
      <c r="B606" t="inlineStr">
        <is>
          <t>Metals Supplier 061</t>
        </is>
      </c>
      <c r="C606" t="inlineStr">
        <is>
          <t>Metals</t>
        </is>
      </c>
      <c r="D606" t="n">
        <v>2019</v>
      </c>
      <c r="E606" t="inlineStr"/>
      <c r="F606" t="n">
        <v>157428570.2</v>
      </c>
      <c r="G606" t="inlineStr"/>
      <c r="H606" t="n">
        <v>3857.1341</v>
      </c>
      <c r="I606" t="inlineStr"/>
      <c r="J606" t="n">
        <v>15368.1091</v>
      </c>
      <c r="K606" t="n">
        <v>2018</v>
      </c>
      <c r="L606" t="n">
        <v>2040</v>
      </c>
      <c r="M606" t="n">
        <v>0.342</v>
      </c>
      <c r="N606" t="n">
        <v>0.2056</v>
      </c>
      <c r="O606" t="n">
        <v>2019</v>
      </c>
      <c r="P606" t="n">
        <v>2030</v>
      </c>
      <c r="Q606" t="n">
        <v>0.3852</v>
      </c>
      <c r="R606" t="n">
        <v>158.2904</v>
      </c>
      <c r="S606" t="n">
        <v>0.00100695</v>
      </c>
      <c r="T606" t="n">
        <v>0.00065008</v>
      </c>
      <c r="U606" t="n">
        <v>102341.1649</v>
      </c>
      <c r="V606" t="inlineStr">
        <is>
          <t>Revenue-Based Estimate</t>
        </is>
      </c>
      <c r="W606" t="b">
        <v>1</v>
      </c>
      <c r="X606" t="inlineStr">
        <is>
          <t>Medium-Low</t>
        </is>
      </c>
      <c r="Y606" t="inlineStr">
        <is>
          <t>Gross_Spend; Reported_Emissions; Scope_Emissions</t>
        </is>
      </c>
      <c r="Z606" t="n">
        <v>0.6</v>
      </c>
      <c r="AA606" t="inlineStr">
        <is>
          <t>Valid</t>
        </is>
      </c>
    </row>
    <row r="607">
      <c r="A607" t="inlineStr">
        <is>
          <t>SUP-0061</t>
        </is>
      </c>
      <c r="B607" t="inlineStr">
        <is>
          <t>Metals Supplier 061</t>
        </is>
      </c>
      <c r="C607" t="inlineStr">
        <is>
          <t>Metals</t>
        </is>
      </c>
      <c r="D607" t="n">
        <v>2020</v>
      </c>
      <c r="E607" t="n">
        <v>32878451.81</v>
      </c>
      <c r="F607" t="n">
        <v>123549193.72</v>
      </c>
      <c r="G607" t="inlineStr"/>
      <c r="H607" t="n">
        <v>6206.4084</v>
      </c>
      <c r="I607" t="n">
        <v>5255.7147</v>
      </c>
      <c r="J607" t="n">
        <v>14415.7519</v>
      </c>
      <c r="K607" t="n">
        <v>2018</v>
      </c>
      <c r="L607" t="n">
        <v>2040</v>
      </c>
      <c r="M607" t="n">
        <v>0.342</v>
      </c>
      <c r="N607" t="n">
        <v>0.2056</v>
      </c>
      <c r="O607" t="n">
        <v>2019</v>
      </c>
      <c r="P607" t="n">
        <v>2030</v>
      </c>
      <c r="Q607" t="n">
        <v>0.3852</v>
      </c>
      <c r="R607" t="n">
        <v>158.2904</v>
      </c>
      <c r="S607" t="n">
        <v>0.00100695</v>
      </c>
      <c r="T607" t="n">
        <v>0.00065008</v>
      </c>
      <c r="U607" t="n">
        <v>25877.875</v>
      </c>
      <c r="V607" t="inlineStr">
        <is>
          <t>Scope 1 + Scope 2 + Scope 3</t>
        </is>
      </c>
      <c r="W607" t="b">
        <v>1</v>
      </c>
      <c r="X607" t="inlineStr">
        <is>
          <t>High</t>
        </is>
      </c>
      <c r="Y607" t="inlineStr">
        <is>
          <t>Reported_Emissions</t>
        </is>
      </c>
      <c r="Z607" t="n">
        <v>0.88</v>
      </c>
      <c r="AA607" t="inlineStr">
        <is>
          <t>Valid</t>
        </is>
      </c>
    </row>
    <row r="608">
      <c r="A608" t="inlineStr">
        <is>
          <t>SUP-0061</t>
        </is>
      </c>
      <c r="B608" t="inlineStr">
        <is>
          <t>Metals Supplier 061</t>
        </is>
      </c>
      <c r="C608" t="inlineStr">
        <is>
          <t>Metals</t>
        </is>
      </c>
      <c r="D608" t="n">
        <v>2021</v>
      </c>
      <c r="E608" t="n">
        <v>30128173.79</v>
      </c>
      <c r="F608" t="n">
        <v>145618658.01</v>
      </c>
      <c r="G608" t="n">
        <v>19322.5564</v>
      </c>
      <c r="H608" t="n">
        <v>4868.9773</v>
      </c>
      <c r="I608" t="n">
        <v>2631.1657</v>
      </c>
      <c r="J608" t="inlineStr"/>
      <c r="K608" t="n">
        <v>2018</v>
      </c>
      <c r="L608" t="n">
        <v>2040</v>
      </c>
      <c r="M608" t="n">
        <v>0.342</v>
      </c>
      <c r="N608" t="n">
        <v>0.2056</v>
      </c>
      <c r="O608" t="n">
        <v>2019</v>
      </c>
      <c r="P608" t="n">
        <v>2030</v>
      </c>
      <c r="Q608" t="n">
        <v>0.3852</v>
      </c>
      <c r="R608" t="n">
        <v>158.2904</v>
      </c>
      <c r="S608" t="n">
        <v>0.00100695</v>
      </c>
      <c r="T608" t="n">
        <v>0.00065008</v>
      </c>
      <c r="U608" t="n">
        <v>19322.5564</v>
      </c>
      <c r="V608" t="inlineStr">
        <is>
          <t>Supplier Reported Emissions</t>
        </is>
      </c>
      <c r="W608" t="b">
        <v>0</v>
      </c>
      <c r="X608" t="inlineStr">
        <is>
          <t>High</t>
        </is>
      </c>
      <c r="Y608" t="inlineStr">
        <is>
          <t>Scope_Emissions</t>
        </is>
      </c>
      <c r="Z608" t="n">
        <v>0.95</v>
      </c>
      <c r="AA608" t="inlineStr">
        <is>
          <t>Valid</t>
        </is>
      </c>
    </row>
    <row r="609">
      <c r="A609" t="inlineStr">
        <is>
          <t>SUP-0061</t>
        </is>
      </c>
      <c r="B609" t="inlineStr">
        <is>
          <t>Metals Supplier 061</t>
        </is>
      </c>
      <c r="C609" t="inlineStr">
        <is>
          <t>Metals</t>
        </is>
      </c>
      <c r="D609" t="n">
        <v>2022</v>
      </c>
      <c r="E609" t="inlineStr"/>
      <c r="F609" t="n">
        <v>180089018.02</v>
      </c>
      <c r="G609" t="inlineStr"/>
      <c r="H609" t="n">
        <v>2672.3114</v>
      </c>
      <c r="I609" t="n">
        <v>3820.747</v>
      </c>
      <c r="J609" t="n">
        <v>17120.8929</v>
      </c>
      <c r="K609" t="n">
        <v>2018</v>
      </c>
      <c r="L609" t="n">
        <v>2040</v>
      </c>
      <c r="M609" t="n">
        <v>0.342</v>
      </c>
      <c r="N609" t="n">
        <v>0.2056</v>
      </c>
      <c r="O609" t="n">
        <v>2019</v>
      </c>
      <c r="P609" t="n">
        <v>2030</v>
      </c>
      <c r="Q609" t="n">
        <v>0.3852</v>
      </c>
      <c r="R609" t="n">
        <v>158.2904</v>
      </c>
      <c r="S609" t="n">
        <v>0.00100695</v>
      </c>
      <c r="T609" t="n">
        <v>0.00065008</v>
      </c>
      <c r="U609" t="n">
        <v>23613.9513</v>
      </c>
      <c r="V609" t="inlineStr">
        <is>
          <t>Scope 1 + Scope 2 + Scope 3</t>
        </is>
      </c>
      <c r="W609" t="b">
        <v>1</v>
      </c>
      <c r="X609" t="inlineStr">
        <is>
          <t>High</t>
        </is>
      </c>
      <c r="Y609" t="inlineStr">
        <is>
          <t>Gross_Spend; Reported_Emissions</t>
        </is>
      </c>
      <c r="Z609" t="n">
        <v>0.88</v>
      </c>
      <c r="AA609" t="inlineStr">
        <is>
          <t>Valid</t>
        </is>
      </c>
    </row>
    <row r="610">
      <c r="A610" t="inlineStr">
        <is>
          <t>SUP-0061</t>
        </is>
      </c>
      <c r="B610" t="inlineStr">
        <is>
          <t>Metals Supplier 061</t>
        </is>
      </c>
      <c r="C610" t="inlineStr">
        <is>
          <t>Metals</t>
        </is>
      </c>
      <c r="D610" t="n">
        <v>2023</v>
      </c>
      <c r="E610" t="n">
        <v>35779447.06</v>
      </c>
      <c r="F610" t="n">
        <v>174705015.43</v>
      </c>
      <c r="G610" t="inlineStr"/>
      <c r="H610" t="n">
        <v>4951.1517</v>
      </c>
      <c r="I610" t="n">
        <v>2507.257</v>
      </c>
      <c r="J610" t="n">
        <v>11886.1525</v>
      </c>
      <c r="K610" t="n">
        <v>2018</v>
      </c>
      <c r="L610" t="n">
        <v>2040</v>
      </c>
      <c r="M610" t="n">
        <v>0.342</v>
      </c>
      <c r="N610" t="n">
        <v>0.2056</v>
      </c>
      <c r="O610" t="n">
        <v>2019</v>
      </c>
      <c r="P610" t="n">
        <v>2030</v>
      </c>
      <c r="Q610" t="n">
        <v>0.3852</v>
      </c>
      <c r="R610" t="n">
        <v>158.2904</v>
      </c>
      <c r="S610" t="n">
        <v>0.00100695</v>
      </c>
      <c r="T610" t="n">
        <v>0.00065008</v>
      </c>
      <c r="U610" t="n">
        <v>19344.5612</v>
      </c>
      <c r="V610" t="inlineStr">
        <is>
          <t>Scope 1 + Scope 2 + Scope 3</t>
        </is>
      </c>
      <c r="W610" t="b">
        <v>1</v>
      </c>
      <c r="X610" t="inlineStr">
        <is>
          <t>High</t>
        </is>
      </c>
      <c r="Y610" t="inlineStr">
        <is>
          <t>Reported_Emissions</t>
        </is>
      </c>
      <c r="Z610" t="n">
        <v>0.88</v>
      </c>
      <c r="AA610" t="inlineStr">
        <is>
          <t>Valid</t>
        </is>
      </c>
    </row>
    <row r="611">
      <c r="A611" t="inlineStr">
        <is>
          <t>SUP-0061</t>
        </is>
      </c>
      <c r="B611" t="inlineStr">
        <is>
          <t>Metals Supplier 061</t>
        </is>
      </c>
      <c r="C611" t="inlineStr">
        <is>
          <t>Metals</t>
        </is>
      </c>
      <c r="D611" t="n">
        <v>2024</v>
      </c>
      <c r="E611" t="n">
        <v>33827325.5</v>
      </c>
      <c r="F611" t="inlineStr"/>
      <c r="G611" t="n">
        <v>17695.9231</v>
      </c>
      <c r="H611" t="n">
        <v>3153.7341</v>
      </c>
      <c r="I611" t="inlineStr"/>
      <c r="J611" t="n">
        <v>10641.7766</v>
      </c>
      <c r="K611" t="n">
        <v>2018</v>
      </c>
      <c r="L611" t="n">
        <v>2040</v>
      </c>
      <c r="M611" t="n">
        <v>0.342</v>
      </c>
      <c r="N611" t="n">
        <v>0.2056</v>
      </c>
      <c r="O611" t="n">
        <v>2019</v>
      </c>
      <c r="P611" t="n">
        <v>2030</v>
      </c>
      <c r="Q611" t="n">
        <v>0.3852</v>
      </c>
      <c r="R611" t="n">
        <v>158.2904</v>
      </c>
      <c r="S611" t="n">
        <v>0.00100695</v>
      </c>
      <c r="T611" t="n">
        <v>0.00065008</v>
      </c>
      <c r="U611" t="n">
        <v>17695.9231</v>
      </c>
      <c r="V611" t="inlineStr">
        <is>
          <t>Supplier Reported Emissions</t>
        </is>
      </c>
      <c r="W611" t="b">
        <v>0</v>
      </c>
      <c r="X611" t="inlineStr">
        <is>
          <t>High</t>
        </is>
      </c>
      <c r="Y611" t="inlineStr">
        <is>
          <t>Revenue; Scope_Emissions</t>
        </is>
      </c>
      <c r="Z611" t="n">
        <v>0.95</v>
      </c>
      <c r="AA611" t="inlineStr">
        <is>
          <t>Valid</t>
        </is>
      </c>
    </row>
    <row r="612">
      <c r="A612" t="inlineStr">
        <is>
          <t>SUP-0062</t>
        </is>
      </c>
      <c r="B612" t="inlineStr">
        <is>
          <t>Textiles Supplier 062</t>
        </is>
      </c>
      <c r="C612" t="inlineStr">
        <is>
          <t>Textiles</t>
        </is>
      </c>
      <c r="D612" t="n">
        <v>2015</v>
      </c>
      <c r="E612" t="n">
        <v>14025845.1</v>
      </c>
      <c r="F612" t="n">
        <v>60426584.99</v>
      </c>
      <c r="G612" t="n">
        <v>3347.5465</v>
      </c>
      <c r="H612" t="n">
        <v>761.5024</v>
      </c>
      <c r="I612" t="inlineStr"/>
      <c r="J612" t="inlineStr"/>
      <c r="K612" t="n">
        <v>2018</v>
      </c>
      <c r="L612" t="n">
        <v>2030</v>
      </c>
      <c r="M612" t="n">
        <v>0.5281</v>
      </c>
      <c r="N612" t="n">
        <v>0.1906</v>
      </c>
      <c r="O612" t="n">
        <v>2019</v>
      </c>
      <c r="P612" t="n">
        <v>2030</v>
      </c>
      <c r="Q612" t="n">
        <v>0.3171</v>
      </c>
      <c r="R612" t="n">
        <v>401.7335</v>
      </c>
      <c r="S612" t="n">
        <v>0.00029221</v>
      </c>
      <c r="T612" t="n">
        <v>0.00017343</v>
      </c>
      <c r="U612" t="n">
        <v>3347.5465</v>
      </c>
      <c r="V612" t="inlineStr">
        <is>
          <t>Supplier Reported Emissions</t>
        </is>
      </c>
      <c r="W612" t="b">
        <v>0</v>
      </c>
      <c r="X612" t="inlineStr">
        <is>
          <t>High</t>
        </is>
      </c>
      <c r="Y612" t="inlineStr">
        <is>
          <t>Scope_Emissions</t>
        </is>
      </c>
      <c r="Z612" t="n">
        <v>0.95</v>
      </c>
      <c r="AA612" t="inlineStr">
        <is>
          <t>Valid</t>
        </is>
      </c>
    </row>
    <row r="613">
      <c r="A613" t="inlineStr">
        <is>
          <t>SUP-0062</t>
        </is>
      </c>
      <c r="B613" t="inlineStr">
        <is>
          <t>Textiles Supplier 062</t>
        </is>
      </c>
      <c r="C613" t="inlineStr">
        <is>
          <t>Textiles</t>
        </is>
      </c>
      <c r="D613" t="n">
        <v>2016</v>
      </c>
      <c r="E613" t="n">
        <v>12244758.15</v>
      </c>
      <c r="F613" t="n">
        <v>69124157.34</v>
      </c>
      <c r="G613" t="inlineStr"/>
      <c r="H613" t="n">
        <v>606.1922</v>
      </c>
      <c r="I613" t="n">
        <v>669.9041</v>
      </c>
      <c r="J613" t="inlineStr"/>
      <c r="K613" t="n">
        <v>2018</v>
      </c>
      <c r="L613" t="n">
        <v>2030</v>
      </c>
      <c r="M613" t="n">
        <v>0.5281</v>
      </c>
      <c r="N613" t="n">
        <v>0.1906</v>
      </c>
      <c r="O613" t="n">
        <v>2019</v>
      </c>
      <c r="P613" t="n">
        <v>2030</v>
      </c>
      <c r="Q613" t="n">
        <v>0.3171</v>
      </c>
      <c r="R613" t="n">
        <v>401.7335</v>
      </c>
      <c r="S613" t="n">
        <v>0.00029221</v>
      </c>
      <c r="T613" t="n">
        <v>0.00017343</v>
      </c>
      <c r="U613" t="n">
        <v>3578.0408</v>
      </c>
      <c r="V613" t="inlineStr">
        <is>
          <t>Spend-Based Estimate</t>
        </is>
      </c>
      <c r="W613" t="b">
        <v>1</v>
      </c>
      <c r="X613" t="inlineStr">
        <is>
          <t>Medium</t>
        </is>
      </c>
      <c r="Y613" t="inlineStr">
        <is>
          <t>Reported_Emissions; Scope_Emissions</t>
        </is>
      </c>
      <c r="Z613" t="n">
        <v>0.7</v>
      </c>
      <c r="AA613" t="inlineStr">
        <is>
          <t>Valid</t>
        </is>
      </c>
    </row>
    <row r="614">
      <c r="A614" t="inlineStr">
        <is>
          <t>SUP-0062</t>
        </is>
      </c>
      <c r="B614" t="inlineStr">
        <is>
          <t>Textiles Supplier 062</t>
        </is>
      </c>
      <c r="C614" t="inlineStr">
        <is>
          <t>Textiles</t>
        </is>
      </c>
      <c r="D614" t="n">
        <v>2017</v>
      </c>
      <c r="E614" t="n">
        <v>11987523.63</v>
      </c>
      <c r="F614" t="n">
        <v>76748555.02</v>
      </c>
      <c r="G614" t="n">
        <v>3597.8019</v>
      </c>
      <c r="H614" t="n">
        <v>901.2523</v>
      </c>
      <c r="I614" t="n">
        <v>617.3089</v>
      </c>
      <c r="J614" t="n">
        <v>1990.8938</v>
      </c>
      <c r="K614" t="n">
        <v>2018</v>
      </c>
      <c r="L614" t="n">
        <v>2030</v>
      </c>
      <c r="M614" t="n">
        <v>0.5281</v>
      </c>
      <c r="N614" t="n">
        <v>0.1906</v>
      </c>
      <c r="O614" t="n">
        <v>2019</v>
      </c>
      <c r="P614" t="n">
        <v>2030</v>
      </c>
      <c r="Q614" t="n">
        <v>0.3171</v>
      </c>
      <c r="R614" t="n">
        <v>401.7335</v>
      </c>
      <c r="S614" t="n">
        <v>0.00029221</v>
      </c>
      <c r="T614" t="n">
        <v>0.00017343</v>
      </c>
      <c r="U614" t="n">
        <v>3597.8019</v>
      </c>
      <c r="V614" t="inlineStr">
        <is>
          <t>Supplier Reported Emissions</t>
        </is>
      </c>
      <c r="W614" t="b">
        <v>0</v>
      </c>
      <c r="X614" t="inlineStr">
        <is>
          <t>High</t>
        </is>
      </c>
      <c r="Y614" t="inlineStr">
        <is>
          <t>None</t>
        </is>
      </c>
      <c r="Z614" t="n">
        <v>0.95</v>
      </c>
      <c r="AA614" t="inlineStr">
        <is>
          <t>Valid</t>
        </is>
      </c>
    </row>
    <row r="615">
      <c r="A615" t="inlineStr">
        <is>
          <t>SUP-0062</t>
        </is>
      </c>
      <c r="B615" t="inlineStr">
        <is>
          <t>Textiles Supplier 062</t>
        </is>
      </c>
      <c r="C615" t="inlineStr">
        <is>
          <t>Textiles</t>
        </is>
      </c>
      <c r="D615" t="n">
        <v>2018</v>
      </c>
      <c r="E615" t="n">
        <v>15127900.46</v>
      </c>
      <c r="F615" t="n">
        <v>87966525.38</v>
      </c>
      <c r="G615" t="inlineStr"/>
      <c r="H615" t="n">
        <v>890.7066</v>
      </c>
      <c r="I615" t="n">
        <v>454.0585</v>
      </c>
      <c r="J615" t="n">
        <v>2639.8763</v>
      </c>
      <c r="K615" t="n">
        <v>2018</v>
      </c>
      <c r="L615" t="n">
        <v>2030</v>
      </c>
      <c r="M615" t="n">
        <v>0.5281</v>
      </c>
      <c r="N615" t="n">
        <v>0.1906</v>
      </c>
      <c r="O615" t="n">
        <v>2019</v>
      </c>
      <c r="P615" t="n">
        <v>2030</v>
      </c>
      <c r="Q615" t="n">
        <v>0.3171</v>
      </c>
      <c r="R615" t="n">
        <v>401.7335</v>
      </c>
      <c r="S615" t="n">
        <v>0.00029221</v>
      </c>
      <c r="T615" t="n">
        <v>0.00017343</v>
      </c>
      <c r="U615" t="n">
        <v>3984.6414</v>
      </c>
      <c r="V615" t="inlineStr">
        <is>
          <t>Scope 1 + Scope 2 + Scope 3</t>
        </is>
      </c>
      <c r="W615" t="b">
        <v>1</v>
      </c>
      <c r="X615" t="inlineStr">
        <is>
          <t>High</t>
        </is>
      </c>
      <c r="Y615" t="inlineStr">
        <is>
          <t>Reported_Emissions</t>
        </is>
      </c>
      <c r="Z615" t="n">
        <v>0.88</v>
      </c>
      <c r="AA615" t="inlineStr">
        <is>
          <t>Valid</t>
        </is>
      </c>
    </row>
    <row r="616">
      <c r="A616" t="inlineStr">
        <is>
          <t>SUP-0062</t>
        </is>
      </c>
      <c r="B616" t="inlineStr">
        <is>
          <t>Textiles Supplier 062</t>
        </is>
      </c>
      <c r="C616" t="inlineStr">
        <is>
          <t>Textiles</t>
        </is>
      </c>
      <c r="D616" t="n">
        <v>2019</v>
      </c>
      <c r="E616" t="inlineStr"/>
      <c r="F616" t="n">
        <v>80691855.39</v>
      </c>
      <c r="G616" t="inlineStr"/>
      <c r="H616" t="n">
        <v>570.1550999999999</v>
      </c>
      <c r="I616" t="n">
        <v>350.3033</v>
      </c>
      <c r="J616" t="n">
        <v>2331.6743</v>
      </c>
      <c r="K616" t="n">
        <v>2018</v>
      </c>
      <c r="L616" t="n">
        <v>2030</v>
      </c>
      <c r="M616" t="n">
        <v>0.5281</v>
      </c>
      <c r="N616" t="n">
        <v>0.1906</v>
      </c>
      <c r="O616" t="n">
        <v>2019</v>
      </c>
      <c r="P616" t="n">
        <v>2030</v>
      </c>
      <c r="Q616" t="n">
        <v>0.3171</v>
      </c>
      <c r="R616" t="n">
        <v>401.7335</v>
      </c>
      <c r="S616" t="n">
        <v>0.00029221</v>
      </c>
      <c r="T616" t="n">
        <v>0.00017343</v>
      </c>
      <c r="U616" t="n">
        <v>3252.1327</v>
      </c>
      <c r="V616" t="inlineStr">
        <is>
          <t>Scope 1 + Scope 2 + Scope 3</t>
        </is>
      </c>
      <c r="W616" t="b">
        <v>1</v>
      </c>
      <c r="X616" t="inlineStr">
        <is>
          <t>High</t>
        </is>
      </c>
      <c r="Y616" t="inlineStr">
        <is>
          <t>Gross_Spend; Reported_Emissions</t>
        </is>
      </c>
      <c r="Z616" t="n">
        <v>0.88</v>
      </c>
      <c r="AA616" t="inlineStr">
        <is>
          <t>Valid</t>
        </is>
      </c>
    </row>
    <row r="617">
      <c r="A617" t="inlineStr">
        <is>
          <t>SUP-0062</t>
        </is>
      </c>
      <c r="B617" t="inlineStr">
        <is>
          <t>Textiles Supplier 062</t>
        </is>
      </c>
      <c r="C617" t="inlineStr">
        <is>
          <t>Textiles</t>
        </is>
      </c>
      <c r="D617" t="n">
        <v>2020</v>
      </c>
      <c r="E617" t="inlineStr"/>
      <c r="F617" t="n">
        <v>100241001.25</v>
      </c>
      <c r="G617" t="n">
        <v>3975.1238</v>
      </c>
      <c r="H617" t="n">
        <v>1074.4968</v>
      </c>
      <c r="I617" t="n">
        <v>427.0431</v>
      </c>
      <c r="J617" t="n">
        <v>2533.2659</v>
      </c>
      <c r="K617" t="n">
        <v>2018</v>
      </c>
      <c r="L617" t="n">
        <v>2030</v>
      </c>
      <c r="M617" t="n">
        <v>0.5281</v>
      </c>
      <c r="N617" t="n">
        <v>0.1906</v>
      </c>
      <c r="O617" t="n">
        <v>2019</v>
      </c>
      <c r="P617" t="n">
        <v>2030</v>
      </c>
      <c r="Q617" t="n">
        <v>0.3171</v>
      </c>
      <c r="R617" t="n">
        <v>401.7335</v>
      </c>
      <c r="S617" t="n">
        <v>0.00029221</v>
      </c>
      <c r="T617" t="n">
        <v>0.00017343</v>
      </c>
      <c r="U617" t="n">
        <v>3975.1238</v>
      </c>
      <c r="V617" t="inlineStr">
        <is>
          <t>Supplier Reported Emissions</t>
        </is>
      </c>
      <c r="W617" t="b">
        <v>0</v>
      </c>
      <c r="X617" t="inlineStr">
        <is>
          <t>High</t>
        </is>
      </c>
      <c r="Y617" t="inlineStr">
        <is>
          <t>Gross_Spend</t>
        </is>
      </c>
      <c r="Z617" t="n">
        <v>0.95</v>
      </c>
      <c r="AA617" t="inlineStr">
        <is>
          <t>Valid</t>
        </is>
      </c>
    </row>
    <row r="618">
      <c r="A618" t="inlineStr">
        <is>
          <t>SUP-0062</t>
        </is>
      </c>
      <c r="B618" t="inlineStr">
        <is>
          <t>Textiles Supplier 062</t>
        </is>
      </c>
      <c r="C618" t="inlineStr">
        <is>
          <t>Textiles</t>
        </is>
      </c>
      <c r="D618" t="n">
        <v>2021</v>
      </c>
      <c r="E618" t="n">
        <v>15201834.63</v>
      </c>
      <c r="F618" t="n">
        <v>84211455.25</v>
      </c>
      <c r="G618" t="n">
        <v>4206.9034</v>
      </c>
      <c r="H618" t="n">
        <v>814.4355</v>
      </c>
      <c r="I618" t="inlineStr"/>
      <c r="J618" t="n">
        <v>2476.4337</v>
      </c>
      <c r="K618" t="n">
        <v>2018</v>
      </c>
      <c r="L618" t="n">
        <v>2030</v>
      </c>
      <c r="M618" t="n">
        <v>0.5281</v>
      </c>
      <c r="N618" t="n">
        <v>0.1906</v>
      </c>
      <c r="O618" t="n">
        <v>2019</v>
      </c>
      <c r="P618" t="n">
        <v>2030</v>
      </c>
      <c r="Q618" t="n">
        <v>0.3171</v>
      </c>
      <c r="R618" t="n">
        <v>401.7335</v>
      </c>
      <c r="S618" t="n">
        <v>0.00029221</v>
      </c>
      <c r="T618" t="n">
        <v>0.00017343</v>
      </c>
      <c r="U618" t="n">
        <v>4206.9034</v>
      </c>
      <c r="V618" t="inlineStr">
        <is>
          <t>Supplier Reported Emissions</t>
        </is>
      </c>
      <c r="W618" t="b">
        <v>0</v>
      </c>
      <c r="X618" t="inlineStr">
        <is>
          <t>High</t>
        </is>
      </c>
      <c r="Y618" t="inlineStr">
        <is>
          <t>Scope_Emissions</t>
        </is>
      </c>
      <c r="Z618" t="n">
        <v>0.95</v>
      </c>
      <c r="AA618" t="inlineStr">
        <is>
          <t>Valid</t>
        </is>
      </c>
    </row>
    <row r="619">
      <c r="A619" t="inlineStr">
        <is>
          <t>SUP-0062</t>
        </is>
      </c>
      <c r="B619" t="inlineStr">
        <is>
          <t>Textiles Supplier 062</t>
        </is>
      </c>
      <c r="C619" t="inlineStr">
        <is>
          <t>Textiles</t>
        </is>
      </c>
      <c r="D619" t="n">
        <v>2022</v>
      </c>
      <c r="E619" t="n">
        <v>13541908.89</v>
      </c>
      <c r="F619" t="n">
        <v>83845542.34999999</v>
      </c>
      <c r="G619" t="n">
        <v>2968.2389</v>
      </c>
      <c r="H619" t="n">
        <v>709.6574000000001</v>
      </c>
      <c r="I619" t="inlineStr"/>
      <c r="J619" t="n">
        <v>1542.8151</v>
      </c>
      <c r="K619" t="n">
        <v>2018</v>
      </c>
      <c r="L619" t="n">
        <v>2030</v>
      </c>
      <c r="M619" t="n">
        <v>0.5281</v>
      </c>
      <c r="N619" t="n">
        <v>0.1906</v>
      </c>
      <c r="O619" t="n">
        <v>2019</v>
      </c>
      <c r="P619" t="n">
        <v>2030</v>
      </c>
      <c r="Q619" t="n">
        <v>0.3171</v>
      </c>
      <c r="R619" t="n">
        <v>401.7335</v>
      </c>
      <c r="S619" t="n">
        <v>0.00029221</v>
      </c>
      <c r="T619" t="n">
        <v>0.00017343</v>
      </c>
      <c r="U619" t="n">
        <v>2968.2389</v>
      </c>
      <c r="V619" t="inlineStr">
        <is>
          <t>Supplier Reported Emissions</t>
        </is>
      </c>
      <c r="W619" t="b">
        <v>0</v>
      </c>
      <c r="X619" t="inlineStr">
        <is>
          <t>High</t>
        </is>
      </c>
      <c r="Y619" t="inlineStr">
        <is>
          <t>Scope_Emissions</t>
        </is>
      </c>
      <c r="Z619" t="n">
        <v>0.95</v>
      </c>
      <c r="AA619" t="inlineStr">
        <is>
          <t>Valid</t>
        </is>
      </c>
    </row>
    <row r="620">
      <c r="A620" t="inlineStr">
        <is>
          <t>SUP-0062</t>
        </is>
      </c>
      <c r="B620" t="inlineStr">
        <is>
          <t>Textiles Supplier 062</t>
        </is>
      </c>
      <c r="C620" t="inlineStr">
        <is>
          <t>Textiles</t>
        </is>
      </c>
      <c r="D620" t="n">
        <v>2023</v>
      </c>
      <c r="E620" t="n">
        <v>13780534.29</v>
      </c>
      <c r="F620" t="n">
        <v>91786210.48</v>
      </c>
      <c r="G620" t="inlineStr"/>
      <c r="H620" t="n">
        <v>473.4247</v>
      </c>
      <c r="I620" t="n">
        <v>614.5122</v>
      </c>
      <c r="J620" t="n">
        <v>1714.4504</v>
      </c>
      <c r="K620" t="n">
        <v>2018</v>
      </c>
      <c r="L620" t="n">
        <v>2030</v>
      </c>
      <c r="M620" t="n">
        <v>0.5281</v>
      </c>
      <c r="N620" t="n">
        <v>0.1906</v>
      </c>
      <c r="O620" t="n">
        <v>2019</v>
      </c>
      <c r="P620" t="n">
        <v>2030</v>
      </c>
      <c r="Q620" t="n">
        <v>0.3171</v>
      </c>
      <c r="R620" t="n">
        <v>401.7335</v>
      </c>
      <c r="S620" t="n">
        <v>0.00029221</v>
      </c>
      <c r="T620" t="n">
        <v>0.00017343</v>
      </c>
      <c r="U620" t="n">
        <v>2802.3873</v>
      </c>
      <c r="V620" t="inlineStr">
        <is>
          <t>Scope 1 + Scope 2 + Scope 3</t>
        </is>
      </c>
      <c r="W620" t="b">
        <v>1</v>
      </c>
      <c r="X620" t="inlineStr">
        <is>
          <t>High</t>
        </is>
      </c>
      <c r="Y620" t="inlineStr">
        <is>
          <t>Reported_Emissions</t>
        </is>
      </c>
      <c r="Z620" t="n">
        <v>0.88</v>
      </c>
      <c r="AA620" t="inlineStr">
        <is>
          <t>Valid</t>
        </is>
      </c>
    </row>
    <row r="621">
      <c r="A621" t="inlineStr">
        <is>
          <t>SUP-0062</t>
        </is>
      </c>
      <c r="B621" t="inlineStr">
        <is>
          <t>Textiles Supplier 062</t>
        </is>
      </c>
      <c r="C621" t="inlineStr">
        <is>
          <t>Textiles</t>
        </is>
      </c>
      <c r="D621" t="n">
        <v>2024</v>
      </c>
      <c r="E621" t="n">
        <v>13738661.39</v>
      </c>
      <c r="F621" t="n">
        <v>94674571.62</v>
      </c>
      <c r="G621" t="inlineStr"/>
      <c r="H621" t="n">
        <v>812.8335</v>
      </c>
      <c r="I621" t="n">
        <v>264.4192</v>
      </c>
      <c r="J621" t="n">
        <v>1830.3096</v>
      </c>
      <c r="K621" t="n">
        <v>2018</v>
      </c>
      <c r="L621" t="n">
        <v>2030</v>
      </c>
      <c r="M621" t="n">
        <v>0.5281</v>
      </c>
      <c r="N621" t="n">
        <v>0.1906</v>
      </c>
      <c r="O621" t="n">
        <v>2019</v>
      </c>
      <c r="P621" t="n">
        <v>2030</v>
      </c>
      <c r="Q621" t="n">
        <v>0.3171</v>
      </c>
      <c r="R621" t="n">
        <v>401.7335</v>
      </c>
      <c r="S621" t="n">
        <v>0.00029221</v>
      </c>
      <c r="T621" t="n">
        <v>0.00017343</v>
      </c>
      <c r="U621" t="n">
        <v>2907.5623</v>
      </c>
      <c r="V621" t="inlineStr">
        <is>
          <t>Scope 1 + Scope 2 + Scope 3</t>
        </is>
      </c>
      <c r="W621" t="b">
        <v>1</v>
      </c>
      <c r="X621" t="inlineStr">
        <is>
          <t>High</t>
        </is>
      </c>
      <c r="Y621" t="inlineStr">
        <is>
          <t>Reported_Emissions</t>
        </is>
      </c>
      <c r="Z621" t="n">
        <v>0.88</v>
      </c>
      <c r="AA621" t="inlineStr">
        <is>
          <t>Valid</t>
        </is>
      </c>
    </row>
    <row r="622">
      <c r="A622" t="inlineStr">
        <is>
          <t>SUP-0063</t>
        </is>
      </c>
      <c r="B622" t="inlineStr">
        <is>
          <t>Chemicals Supplier 063</t>
        </is>
      </c>
      <c r="C622" t="inlineStr">
        <is>
          <t>Chemicals</t>
        </is>
      </c>
      <c r="D622" t="n">
        <v>2015</v>
      </c>
      <c r="E622" t="n">
        <v>24219529.5</v>
      </c>
      <c r="F622" t="n">
        <v>171060225.81</v>
      </c>
      <c r="G622" t="inlineStr"/>
      <c r="H622" t="n">
        <v>3087.4729</v>
      </c>
      <c r="I622" t="n">
        <v>2146.1473</v>
      </c>
      <c r="J622" t="n">
        <v>15054.9103</v>
      </c>
      <c r="K622" t="n">
        <v>2020</v>
      </c>
      <c r="L622" t="n">
        <v>2030</v>
      </c>
      <c r="M622" t="n">
        <v>0.5004</v>
      </c>
      <c r="N622" t="n">
        <v>0.1931</v>
      </c>
      <c r="O622" t="n">
        <v>2019</v>
      </c>
      <c r="P622" t="n">
        <v>2035</v>
      </c>
      <c r="Q622" t="n">
        <v>0.5229</v>
      </c>
      <c r="R622" t="n">
        <v>506.3191</v>
      </c>
      <c r="S622" t="n">
        <v>0.00100149</v>
      </c>
      <c r="T622" t="n">
        <v>0.00047124</v>
      </c>
      <c r="U622" t="n">
        <v>20288.5305</v>
      </c>
      <c r="V622" t="inlineStr">
        <is>
          <t>Scope 1 + Scope 2 + Scope 3</t>
        </is>
      </c>
      <c r="W622" t="b">
        <v>1</v>
      </c>
      <c r="X622" t="inlineStr">
        <is>
          <t>High</t>
        </is>
      </c>
      <c r="Y622" t="inlineStr">
        <is>
          <t>Reported_Emissions</t>
        </is>
      </c>
      <c r="Z622" t="n">
        <v>0.88</v>
      </c>
      <c r="AA622" t="inlineStr">
        <is>
          <t>Valid</t>
        </is>
      </c>
    </row>
    <row r="623">
      <c r="A623" t="inlineStr">
        <is>
          <t>SUP-0063</t>
        </is>
      </c>
      <c r="B623" t="inlineStr">
        <is>
          <t>Chemicals Supplier 063</t>
        </is>
      </c>
      <c r="C623" t="inlineStr">
        <is>
          <t>Chemicals</t>
        </is>
      </c>
      <c r="D623" t="n">
        <v>2016</v>
      </c>
      <c r="E623" t="n">
        <v>23400622.18</v>
      </c>
      <c r="F623" t="n">
        <v>144429915.64</v>
      </c>
      <c r="G623" t="n">
        <v>18742.4425</v>
      </c>
      <c r="H623" t="n">
        <v>2832.9801</v>
      </c>
      <c r="I623" t="n">
        <v>3488.0682</v>
      </c>
      <c r="J623" t="inlineStr"/>
      <c r="K623" t="n">
        <v>2020</v>
      </c>
      <c r="L623" t="n">
        <v>2030</v>
      </c>
      <c r="M623" t="n">
        <v>0.5004</v>
      </c>
      <c r="N623" t="n">
        <v>0.1931</v>
      </c>
      <c r="O623" t="n">
        <v>2019</v>
      </c>
      <c r="P623" t="n">
        <v>2035</v>
      </c>
      <c r="Q623" t="n">
        <v>0.5229</v>
      </c>
      <c r="R623" t="n">
        <v>506.3191</v>
      </c>
      <c r="S623" t="n">
        <v>0.00100149</v>
      </c>
      <c r="T623" t="n">
        <v>0.00047124</v>
      </c>
      <c r="U623" t="n">
        <v>18742.4425</v>
      </c>
      <c r="V623" t="inlineStr">
        <is>
          <t>Supplier Reported Emissions</t>
        </is>
      </c>
      <c r="W623" t="b">
        <v>0</v>
      </c>
      <c r="X623" t="inlineStr">
        <is>
          <t>High</t>
        </is>
      </c>
      <c r="Y623" t="inlineStr">
        <is>
          <t>Scope_Emissions</t>
        </is>
      </c>
      <c r="Z623" t="n">
        <v>0.95</v>
      </c>
      <c r="AA623" t="inlineStr">
        <is>
          <t>Valid</t>
        </is>
      </c>
    </row>
    <row r="624">
      <c r="A624" t="inlineStr">
        <is>
          <t>SUP-0063</t>
        </is>
      </c>
      <c r="B624" t="inlineStr">
        <is>
          <t>Chemicals Supplier 063</t>
        </is>
      </c>
      <c r="C624" t="inlineStr">
        <is>
          <t>Chemicals</t>
        </is>
      </c>
      <c r="D624" t="n">
        <v>2017</v>
      </c>
      <c r="E624" t="n">
        <v>23995147.72</v>
      </c>
      <c r="F624" t="n">
        <v>147853634.46</v>
      </c>
      <c r="G624" t="inlineStr"/>
      <c r="H624" t="n">
        <v>6078.4951</v>
      </c>
      <c r="I624" t="n">
        <v>2836.1108</v>
      </c>
      <c r="J624" t="n">
        <v>18739.3814</v>
      </c>
      <c r="K624" t="n">
        <v>2020</v>
      </c>
      <c r="L624" t="n">
        <v>2030</v>
      </c>
      <c r="M624" t="n">
        <v>0.5004</v>
      </c>
      <c r="N624" t="n">
        <v>0.1931</v>
      </c>
      <c r="O624" t="n">
        <v>2019</v>
      </c>
      <c r="P624" t="n">
        <v>2035</v>
      </c>
      <c r="Q624" t="n">
        <v>0.5229</v>
      </c>
      <c r="R624" t="n">
        <v>506.3191</v>
      </c>
      <c r="S624" t="n">
        <v>0.00100149</v>
      </c>
      <c r="T624" t="n">
        <v>0.00047124</v>
      </c>
      <c r="U624" t="n">
        <v>27653.9873</v>
      </c>
      <c r="V624" t="inlineStr">
        <is>
          <t>Scope 1 + Scope 2 + Scope 3</t>
        </is>
      </c>
      <c r="W624" t="b">
        <v>1</v>
      </c>
      <c r="X624" t="inlineStr">
        <is>
          <t>High</t>
        </is>
      </c>
      <c r="Y624" t="inlineStr">
        <is>
          <t>Reported_Emissions</t>
        </is>
      </c>
      <c r="Z624" t="n">
        <v>0.88</v>
      </c>
      <c r="AA624" t="inlineStr">
        <is>
          <t>Valid</t>
        </is>
      </c>
    </row>
    <row r="625">
      <c r="A625" t="inlineStr">
        <is>
          <t>SUP-0063</t>
        </is>
      </c>
      <c r="B625" t="inlineStr">
        <is>
          <t>Chemicals Supplier 063</t>
        </is>
      </c>
      <c r="C625" t="inlineStr">
        <is>
          <t>Chemicals</t>
        </is>
      </c>
      <c r="D625" t="n">
        <v>2018</v>
      </c>
      <c r="E625" t="n">
        <v>26498914.45</v>
      </c>
      <c r="F625" t="n">
        <v>205021976.93</v>
      </c>
      <c r="G625" t="n">
        <v>26524.8468</v>
      </c>
      <c r="H625" t="n">
        <v>4830.5298</v>
      </c>
      <c r="I625" t="n">
        <v>5706.3054</v>
      </c>
      <c r="J625" t="n">
        <v>17004.2502</v>
      </c>
      <c r="K625" t="n">
        <v>2020</v>
      </c>
      <c r="L625" t="n">
        <v>2030</v>
      </c>
      <c r="M625" t="n">
        <v>0.5004</v>
      </c>
      <c r="N625" t="n">
        <v>0.1931</v>
      </c>
      <c r="O625" t="n">
        <v>2019</v>
      </c>
      <c r="P625" t="n">
        <v>2035</v>
      </c>
      <c r="Q625" t="n">
        <v>0.5229</v>
      </c>
      <c r="R625" t="n">
        <v>506.3191</v>
      </c>
      <c r="S625" t="n">
        <v>0.00100149</v>
      </c>
      <c r="T625" t="n">
        <v>0.00047124</v>
      </c>
      <c r="U625" t="n">
        <v>26524.8468</v>
      </c>
      <c r="V625" t="inlineStr">
        <is>
          <t>Supplier Reported Emissions</t>
        </is>
      </c>
      <c r="W625" t="b">
        <v>0</v>
      </c>
      <c r="X625" t="inlineStr">
        <is>
          <t>High</t>
        </is>
      </c>
      <c r="Y625" t="inlineStr">
        <is>
          <t>None</t>
        </is>
      </c>
      <c r="Z625" t="n">
        <v>0.95</v>
      </c>
      <c r="AA625" t="inlineStr">
        <is>
          <t>Valid</t>
        </is>
      </c>
    </row>
    <row r="626">
      <c r="A626" t="inlineStr">
        <is>
          <t>SUP-0063</t>
        </is>
      </c>
      <c r="B626" t="inlineStr">
        <is>
          <t>Chemicals Supplier 063</t>
        </is>
      </c>
      <c r="C626" t="inlineStr">
        <is>
          <t>Chemicals</t>
        </is>
      </c>
      <c r="D626" t="n">
        <v>2019</v>
      </c>
      <c r="E626" t="n">
        <v>28379430.16</v>
      </c>
      <c r="F626" t="n">
        <v>131953920.57</v>
      </c>
      <c r="G626" t="inlineStr"/>
      <c r="H626" t="n">
        <v>5149.8342</v>
      </c>
      <c r="I626" t="n">
        <v>4904.7155</v>
      </c>
      <c r="J626" t="n">
        <v>14674.0515</v>
      </c>
      <c r="K626" t="n">
        <v>2020</v>
      </c>
      <c r="L626" t="n">
        <v>2030</v>
      </c>
      <c r="M626" t="n">
        <v>0.5004</v>
      </c>
      <c r="N626" t="n">
        <v>0.1931</v>
      </c>
      <c r="O626" t="n">
        <v>2019</v>
      </c>
      <c r="P626" t="n">
        <v>2035</v>
      </c>
      <c r="Q626" t="n">
        <v>0.5229</v>
      </c>
      <c r="R626" t="n">
        <v>506.3191</v>
      </c>
      <c r="S626" t="n">
        <v>0.00100149</v>
      </c>
      <c r="T626" t="n">
        <v>0.00047124</v>
      </c>
      <c r="U626" t="n">
        <v>24728.6012</v>
      </c>
      <c r="V626" t="inlineStr">
        <is>
          <t>Scope 1 + Scope 2 + Scope 3</t>
        </is>
      </c>
      <c r="W626" t="b">
        <v>1</v>
      </c>
      <c r="X626" t="inlineStr">
        <is>
          <t>High</t>
        </is>
      </c>
      <c r="Y626" t="inlineStr">
        <is>
          <t>Reported_Emissions</t>
        </is>
      </c>
      <c r="Z626" t="n">
        <v>0.88</v>
      </c>
      <c r="AA626" t="inlineStr">
        <is>
          <t>Valid</t>
        </is>
      </c>
    </row>
    <row r="627">
      <c r="A627" t="inlineStr">
        <is>
          <t>SUP-0063</t>
        </is>
      </c>
      <c r="B627" t="inlineStr">
        <is>
          <t>Chemicals Supplier 063</t>
        </is>
      </c>
      <c r="C627" t="inlineStr">
        <is>
          <t>Chemicals</t>
        </is>
      </c>
      <c r="D627" t="n">
        <v>2020</v>
      </c>
      <c r="E627" t="n">
        <v>27419403.16</v>
      </c>
      <c r="F627" t="n">
        <v>215777161.3</v>
      </c>
      <c r="G627" t="n">
        <v>23254.7308</v>
      </c>
      <c r="H627" t="n">
        <v>3759.0268</v>
      </c>
      <c r="I627" t="n">
        <v>3623.5858</v>
      </c>
      <c r="J627" t="n">
        <v>16245.5145</v>
      </c>
      <c r="K627" t="n">
        <v>2020</v>
      </c>
      <c r="L627" t="n">
        <v>2030</v>
      </c>
      <c r="M627" t="n">
        <v>0.5004</v>
      </c>
      <c r="N627" t="n">
        <v>0.1931</v>
      </c>
      <c r="O627" t="n">
        <v>2019</v>
      </c>
      <c r="P627" t="n">
        <v>2035</v>
      </c>
      <c r="Q627" t="n">
        <v>0.5229</v>
      </c>
      <c r="R627" t="n">
        <v>506.3191</v>
      </c>
      <c r="S627" t="n">
        <v>0.00100149</v>
      </c>
      <c r="T627" t="n">
        <v>0.00047124</v>
      </c>
      <c r="U627" t="n">
        <v>23254.7308</v>
      </c>
      <c r="V627" t="inlineStr">
        <is>
          <t>Supplier Reported Emissions</t>
        </is>
      </c>
      <c r="W627" t="b">
        <v>0</v>
      </c>
      <c r="X627" t="inlineStr">
        <is>
          <t>High</t>
        </is>
      </c>
      <c r="Y627" t="inlineStr">
        <is>
          <t>None</t>
        </is>
      </c>
      <c r="Z627" t="n">
        <v>0.95</v>
      </c>
      <c r="AA627" t="inlineStr">
        <is>
          <t>Valid</t>
        </is>
      </c>
    </row>
    <row r="628">
      <c r="A628" t="inlineStr">
        <is>
          <t>SUP-0063</t>
        </is>
      </c>
      <c r="B628" t="inlineStr">
        <is>
          <t>Chemicals Supplier 063</t>
        </is>
      </c>
      <c r="C628" t="inlineStr">
        <is>
          <t>Chemicals</t>
        </is>
      </c>
      <c r="D628" t="n">
        <v>2021</v>
      </c>
      <c r="E628" t="n">
        <v>26449072.67</v>
      </c>
      <c r="F628" t="n">
        <v>174295588.51</v>
      </c>
      <c r="G628" t="inlineStr"/>
      <c r="H628" t="n">
        <v>2821.8807</v>
      </c>
      <c r="I628" t="n">
        <v>3946.6889</v>
      </c>
      <c r="J628" t="n">
        <v>21401.7747</v>
      </c>
      <c r="K628" t="n">
        <v>2020</v>
      </c>
      <c r="L628" t="n">
        <v>2030</v>
      </c>
      <c r="M628" t="n">
        <v>0.5004</v>
      </c>
      <c r="N628" t="n">
        <v>0.1931</v>
      </c>
      <c r="O628" t="n">
        <v>2019</v>
      </c>
      <c r="P628" t="n">
        <v>2035</v>
      </c>
      <c r="Q628" t="n">
        <v>0.5229</v>
      </c>
      <c r="R628" t="n">
        <v>506.3191</v>
      </c>
      <c r="S628" t="n">
        <v>0.00100149</v>
      </c>
      <c r="T628" t="n">
        <v>0.00047124</v>
      </c>
      <c r="U628" t="n">
        <v>28170.3443</v>
      </c>
      <c r="V628" t="inlineStr">
        <is>
          <t>Scope 1 + Scope 2 + Scope 3</t>
        </is>
      </c>
      <c r="W628" t="b">
        <v>1</v>
      </c>
      <c r="X628" t="inlineStr">
        <is>
          <t>High</t>
        </is>
      </c>
      <c r="Y628" t="inlineStr">
        <is>
          <t>Reported_Emissions</t>
        </is>
      </c>
      <c r="Z628" t="n">
        <v>0.88</v>
      </c>
      <c r="AA628" t="inlineStr">
        <is>
          <t>Valid</t>
        </is>
      </c>
    </row>
    <row r="629">
      <c r="A629" t="inlineStr">
        <is>
          <t>SUP-0063</t>
        </is>
      </c>
      <c r="B629" t="inlineStr">
        <is>
          <t>Chemicals Supplier 063</t>
        </is>
      </c>
      <c r="C629" t="inlineStr">
        <is>
          <t>Chemicals</t>
        </is>
      </c>
      <c r="D629" t="n">
        <v>2022</v>
      </c>
      <c r="E629" t="n">
        <v>27562156.17</v>
      </c>
      <c r="F629" t="n">
        <v>191232438.82</v>
      </c>
      <c r="G629" t="inlineStr"/>
      <c r="H629" t="n">
        <v>3937.5463</v>
      </c>
      <c r="I629" t="n">
        <v>2198.9643</v>
      </c>
      <c r="J629" t="inlineStr"/>
      <c r="K629" t="n">
        <v>2020</v>
      </c>
      <c r="L629" t="n">
        <v>2030</v>
      </c>
      <c r="M629" t="n">
        <v>0.5004</v>
      </c>
      <c r="N629" t="n">
        <v>0.1931</v>
      </c>
      <c r="O629" t="n">
        <v>2019</v>
      </c>
      <c r="P629" t="n">
        <v>2035</v>
      </c>
      <c r="Q629" t="n">
        <v>0.5229</v>
      </c>
      <c r="R629" t="n">
        <v>506.3191</v>
      </c>
      <c r="S629" t="n">
        <v>0.00100149</v>
      </c>
      <c r="T629" t="n">
        <v>0.00047124</v>
      </c>
      <c r="U629" t="n">
        <v>27603.2238</v>
      </c>
      <c r="V629" t="inlineStr">
        <is>
          <t>Spend-Based Estimate</t>
        </is>
      </c>
      <c r="W629" t="b">
        <v>1</v>
      </c>
      <c r="X629" t="inlineStr">
        <is>
          <t>Medium</t>
        </is>
      </c>
      <c r="Y629" t="inlineStr">
        <is>
          <t>Reported_Emissions; Scope_Emissions</t>
        </is>
      </c>
      <c r="Z629" t="n">
        <v>0.7</v>
      </c>
      <c r="AA629" t="inlineStr">
        <is>
          <t>Valid</t>
        </is>
      </c>
    </row>
    <row r="630">
      <c r="A630" t="inlineStr">
        <is>
          <t>SUP-0063</t>
        </is>
      </c>
      <c r="B630" t="inlineStr">
        <is>
          <t>Chemicals Supplier 063</t>
        </is>
      </c>
      <c r="C630" t="inlineStr">
        <is>
          <t>Chemicals</t>
        </is>
      </c>
      <c r="D630" t="n">
        <v>2023</v>
      </c>
      <c r="E630" t="n">
        <v>31804065.31</v>
      </c>
      <c r="F630" t="n">
        <v>198317977.3</v>
      </c>
      <c r="G630" t="n">
        <v>34325.9246</v>
      </c>
      <c r="H630" t="n">
        <v>5522.3173</v>
      </c>
      <c r="I630" t="inlineStr"/>
      <c r="J630" t="n">
        <v>22990.8061</v>
      </c>
      <c r="K630" t="n">
        <v>2020</v>
      </c>
      <c r="L630" t="n">
        <v>2030</v>
      </c>
      <c r="M630" t="n">
        <v>0.5004</v>
      </c>
      <c r="N630" t="n">
        <v>0.1931</v>
      </c>
      <c r="O630" t="n">
        <v>2019</v>
      </c>
      <c r="P630" t="n">
        <v>2035</v>
      </c>
      <c r="Q630" t="n">
        <v>0.5229</v>
      </c>
      <c r="R630" t="n">
        <v>506.3191</v>
      </c>
      <c r="S630" t="n">
        <v>0.00100149</v>
      </c>
      <c r="T630" t="n">
        <v>0.00047124</v>
      </c>
      <c r="U630" t="n">
        <v>34325.9246</v>
      </c>
      <c r="V630" t="inlineStr">
        <is>
          <t>Supplier Reported Emissions</t>
        </is>
      </c>
      <c r="W630" t="b">
        <v>0</v>
      </c>
      <c r="X630" t="inlineStr">
        <is>
          <t>High</t>
        </is>
      </c>
      <c r="Y630" t="inlineStr">
        <is>
          <t>Scope_Emissions</t>
        </is>
      </c>
      <c r="Z630" t="n">
        <v>0.95</v>
      </c>
      <c r="AA630" t="inlineStr">
        <is>
          <t>Valid</t>
        </is>
      </c>
    </row>
    <row r="631">
      <c r="A631" t="inlineStr">
        <is>
          <t>SUP-0063</t>
        </is>
      </c>
      <c r="B631" t="inlineStr">
        <is>
          <t>Chemicals Supplier 063</t>
        </is>
      </c>
      <c r="C631" t="inlineStr">
        <is>
          <t>Chemicals</t>
        </is>
      </c>
      <c r="D631" t="n">
        <v>2024</v>
      </c>
      <c r="E631" t="n">
        <v>30605767</v>
      </c>
      <c r="F631" t="n">
        <v>286220134.32</v>
      </c>
      <c r="G631" t="inlineStr"/>
      <c r="H631" t="n">
        <v>8519.0365</v>
      </c>
      <c r="I631" t="inlineStr"/>
      <c r="J631" t="n">
        <v>20099.7406</v>
      </c>
      <c r="K631" t="n">
        <v>2020</v>
      </c>
      <c r="L631" t="n">
        <v>2030</v>
      </c>
      <c r="M631" t="n">
        <v>0.5004</v>
      </c>
      <c r="N631" t="n">
        <v>0.1931</v>
      </c>
      <c r="O631" t="n">
        <v>2019</v>
      </c>
      <c r="P631" t="n">
        <v>2035</v>
      </c>
      <c r="Q631" t="n">
        <v>0.5229</v>
      </c>
      <c r="R631" t="n">
        <v>506.3191</v>
      </c>
      <c r="S631" t="n">
        <v>0.00100149</v>
      </c>
      <c r="T631" t="n">
        <v>0.00047124</v>
      </c>
      <c r="U631" t="n">
        <v>30651.3696</v>
      </c>
      <c r="V631" t="inlineStr">
        <is>
          <t>Spend-Based Estimate</t>
        </is>
      </c>
      <c r="W631" t="b">
        <v>1</v>
      </c>
      <c r="X631" t="inlineStr">
        <is>
          <t>Medium</t>
        </is>
      </c>
      <c r="Y631" t="inlineStr">
        <is>
          <t>Reported_Emissions; Scope_Emissions</t>
        </is>
      </c>
      <c r="Z631" t="n">
        <v>0.7</v>
      </c>
      <c r="AA631" t="inlineStr">
        <is>
          <t>Valid</t>
        </is>
      </c>
    </row>
    <row r="632">
      <c r="A632" t="inlineStr">
        <is>
          <t>SUP-0064</t>
        </is>
      </c>
      <c r="B632" t="inlineStr">
        <is>
          <t>Metals Supplier 064</t>
        </is>
      </c>
      <c r="C632" t="inlineStr">
        <is>
          <t>Metals</t>
        </is>
      </c>
      <c r="D632" t="n">
        <v>2015</v>
      </c>
      <c r="E632" t="inlineStr"/>
      <c r="F632" t="n">
        <v>154530235.85</v>
      </c>
      <c r="G632" t="inlineStr"/>
      <c r="H632" t="n">
        <v>4286.0594</v>
      </c>
      <c r="I632" t="n">
        <v>1678.1585</v>
      </c>
      <c r="J632" t="inlineStr"/>
      <c r="K632" t="inlineStr"/>
      <c r="L632" t="inlineStr"/>
      <c r="M632" t="inlineStr"/>
      <c r="N632" t="inlineStr"/>
      <c r="O632" t="n">
        <v>2019</v>
      </c>
      <c r="P632" t="n">
        <v>2030</v>
      </c>
      <c r="Q632" t="n">
        <v>0.3852</v>
      </c>
      <c r="R632" t="n">
        <v>158.2904</v>
      </c>
      <c r="S632" t="n">
        <v>0.00100695</v>
      </c>
      <c r="T632" t="n">
        <v>0.00065008</v>
      </c>
      <c r="U632" t="n">
        <v>100457.0157</v>
      </c>
      <c r="V632" t="inlineStr">
        <is>
          <t>Revenue-Based Estimate</t>
        </is>
      </c>
      <c r="W632" t="b">
        <v>1</v>
      </c>
      <c r="X632" t="inlineStr">
        <is>
          <t>Medium-Low</t>
        </is>
      </c>
      <c r="Y632" t="inlineStr">
        <is>
          <t>Gross_Spend; Reported_Emissions; Scope_Emissions</t>
        </is>
      </c>
      <c r="Z632" t="n">
        <v>0.6</v>
      </c>
      <c r="AA632" t="inlineStr">
        <is>
          <t>Valid</t>
        </is>
      </c>
    </row>
    <row r="633">
      <c r="A633" t="inlineStr">
        <is>
          <t>SUP-0064</t>
        </is>
      </c>
      <c r="B633" t="inlineStr">
        <is>
          <t>Metals Supplier 064</t>
        </is>
      </c>
      <c r="C633" t="inlineStr">
        <is>
          <t>Metals</t>
        </is>
      </c>
      <c r="D633" t="n">
        <v>2016</v>
      </c>
      <c r="E633" t="n">
        <v>20035486.24</v>
      </c>
      <c r="F633" t="n">
        <v>154865873.71</v>
      </c>
      <c r="G633" t="n">
        <v>22873.5197</v>
      </c>
      <c r="H633" t="n">
        <v>5215.2291</v>
      </c>
      <c r="I633" t="n">
        <v>2224.3237</v>
      </c>
      <c r="J633" t="inlineStr"/>
      <c r="K633" t="inlineStr"/>
      <c r="L633" t="inlineStr"/>
      <c r="M633" t="inlineStr"/>
      <c r="N633" t="inlineStr"/>
      <c r="O633" t="n">
        <v>2019</v>
      </c>
      <c r="P633" t="n">
        <v>2030</v>
      </c>
      <c r="Q633" t="n">
        <v>0.3852</v>
      </c>
      <c r="R633" t="n">
        <v>158.2904</v>
      </c>
      <c r="S633" t="n">
        <v>0.00100695</v>
      </c>
      <c r="T633" t="n">
        <v>0.00065008</v>
      </c>
      <c r="U633" t="n">
        <v>22873.5197</v>
      </c>
      <c r="V633" t="inlineStr">
        <is>
          <t>Supplier Reported Emissions</t>
        </is>
      </c>
      <c r="W633" t="b">
        <v>0</v>
      </c>
      <c r="X633" t="inlineStr">
        <is>
          <t>High</t>
        </is>
      </c>
      <c r="Y633" t="inlineStr">
        <is>
          <t>Scope_Emissions</t>
        </is>
      </c>
      <c r="Z633" t="n">
        <v>0.95</v>
      </c>
      <c r="AA633" t="inlineStr">
        <is>
          <t>Valid</t>
        </is>
      </c>
    </row>
    <row r="634">
      <c r="A634" t="inlineStr">
        <is>
          <t>SUP-0064</t>
        </is>
      </c>
      <c r="B634" t="inlineStr">
        <is>
          <t>Metals Supplier 064</t>
        </is>
      </c>
      <c r="C634" t="inlineStr">
        <is>
          <t>Metals</t>
        </is>
      </c>
      <c r="D634" t="n">
        <v>2017</v>
      </c>
      <c r="E634" t="n">
        <v>19108316.55</v>
      </c>
      <c r="F634" t="n">
        <v>161729508.3</v>
      </c>
      <c r="G634" t="n">
        <v>21403.8</v>
      </c>
      <c r="H634" t="inlineStr"/>
      <c r="I634" t="n">
        <v>4658.0214</v>
      </c>
      <c r="J634" t="n">
        <v>12629.2008</v>
      </c>
      <c r="K634" t="inlineStr"/>
      <c r="L634" t="inlineStr"/>
      <c r="M634" t="inlineStr"/>
      <c r="N634" t="inlineStr"/>
      <c r="O634" t="n">
        <v>2019</v>
      </c>
      <c r="P634" t="n">
        <v>2030</v>
      </c>
      <c r="Q634" t="n">
        <v>0.3852</v>
      </c>
      <c r="R634" t="n">
        <v>158.2904</v>
      </c>
      <c r="S634" t="n">
        <v>0.00100695</v>
      </c>
      <c r="T634" t="n">
        <v>0.00065008</v>
      </c>
      <c r="U634" t="n">
        <v>21403.8</v>
      </c>
      <c r="V634" t="inlineStr">
        <is>
          <t>Supplier Reported Emissions</t>
        </is>
      </c>
      <c r="W634" t="b">
        <v>0</v>
      </c>
      <c r="X634" t="inlineStr">
        <is>
          <t>High</t>
        </is>
      </c>
      <c r="Y634" t="inlineStr">
        <is>
          <t>Scope_Emissions</t>
        </is>
      </c>
      <c r="Z634" t="n">
        <v>0.95</v>
      </c>
      <c r="AA634" t="inlineStr">
        <is>
          <t>Valid</t>
        </is>
      </c>
    </row>
    <row r="635">
      <c r="A635" t="inlineStr">
        <is>
          <t>SUP-0064</t>
        </is>
      </c>
      <c r="B635" t="inlineStr">
        <is>
          <t>Metals Supplier 064</t>
        </is>
      </c>
      <c r="C635" t="inlineStr">
        <is>
          <t>Metals</t>
        </is>
      </c>
      <c r="D635" t="n">
        <v>2018</v>
      </c>
      <c r="E635" t="n">
        <v>21623136.43</v>
      </c>
      <c r="F635" t="n">
        <v>181044907.41</v>
      </c>
      <c r="G635" t="inlineStr"/>
      <c r="H635" t="n">
        <v>3705.0532</v>
      </c>
      <c r="I635" t="inlineStr"/>
      <c r="J635" t="n">
        <v>12378.0447</v>
      </c>
      <c r="K635" t="inlineStr"/>
      <c r="L635" t="inlineStr"/>
      <c r="M635" t="inlineStr"/>
      <c r="N635" t="inlineStr"/>
      <c r="O635" t="n">
        <v>2019</v>
      </c>
      <c r="P635" t="n">
        <v>2030</v>
      </c>
      <c r="Q635" t="n">
        <v>0.3852</v>
      </c>
      <c r="R635" t="n">
        <v>158.2904</v>
      </c>
      <c r="S635" t="n">
        <v>0.00100695</v>
      </c>
      <c r="T635" t="n">
        <v>0.00065008</v>
      </c>
      <c r="U635" t="n">
        <v>21773.4172</v>
      </c>
      <c r="V635" t="inlineStr">
        <is>
          <t>Spend-Based Estimate</t>
        </is>
      </c>
      <c r="W635" t="b">
        <v>1</v>
      </c>
      <c r="X635" t="inlineStr">
        <is>
          <t>Medium</t>
        </is>
      </c>
      <c r="Y635" t="inlineStr">
        <is>
          <t>Reported_Emissions; Scope_Emissions</t>
        </is>
      </c>
      <c r="Z635" t="n">
        <v>0.7</v>
      </c>
      <c r="AA635" t="inlineStr">
        <is>
          <t>Valid</t>
        </is>
      </c>
    </row>
    <row r="636">
      <c r="A636" t="inlineStr">
        <is>
          <t>SUP-0064</t>
        </is>
      </c>
      <c r="B636" t="inlineStr">
        <is>
          <t>Metals Supplier 064</t>
        </is>
      </c>
      <c r="C636" t="inlineStr">
        <is>
          <t>Metals</t>
        </is>
      </c>
      <c r="D636" t="n">
        <v>2019</v>
      </c>
      <c r="E636" t="n">
        <v>20821922.06</v>
      </c>
      <c r="F636" t="n">
        <v>166429613.16</v>
      </c>
      <c r="G636" t="inlineStr"/>
      <c r="H636" t="n">
        <v>1668.0088</v>
      </c>
      <c r="I636" t="n">
        <v>2608.989</v>
      </c>
      <c r="J636" t="n">
        <v>12088.6005</v>
      </c>
      <c r="K636" t="inlineStr"/>
      <c r="L636" t="inlineStr"/>
      <c r="M636" t="inlineStr"/>
      <c r="N636" t="inlineStr"/>
      <c r="O636" t="n">
        <v>2019</v>
      </c>
      <c r="P636" t="n">
        <v>2030</v>
      </c>
      <c r="Q636" t="n">
        <v>0.3852</v>
      </c>
      <c r="R636" t="n">
        <v>158.2904</v>
      </c>
      <c r="S636" t="n">
        <v>0.00100695</v>
      </c>
      <c r="T636" t="n">
        <v>0.00065008</v>
      </c>
      <c r="U636" t="n">
        <v>16365.5983</v>
      </c>
      <c r="V636" t="inlineStr">
        <is>
          <t>Scope 1 + Scope 2 + Scope 3</t>
        </is>
      </c>
      <c r="W636" t="b">
        <v>1</v>
      </c>
      <c r="X636" t="inlineStr">
        <is>
          <t>High</t>
        </is>
      </c>
      <c r="Y636" t="inlineStr">
        <is>
          <t>Reported_Emissions</t>
        </is>
      </c>
      <c r="Z636" t="n">
        <v>0.88</v>
      </c>
      <c r="AA636" t="inlineStr">
        <is>
          <t>Valid</t>
        </is>
      </c>
    </row>
    <row r="637">
      <c r="A637" t="inlineStr">
        <is>
          <t>SUP-0064</t>
        </is>
      </c>
      <c r="B637" t="inlineStr">
        <is>
          <t>Metals Supplier 064</t>
        </is>
      </c>
      <c r="C637" t="inlineStr">
        <is>
          <t>Metals</t>
        </is>
      </c>
      <c r="D637" t="n">
        <v>2020</v>
      </c>
      <c r="E637" t="n">
        <v>18312292.48</v>
      </c>
      <c r="F637" t="n">
        <v>177437983.5</v>
      </c>
      <c r="G637" t="n">
        <v>20838.0997</v>
      </c>
      <c r="H637" t="inlineStr"/>
      <c r="I637" t="n">
        <v>2246.556</v>
      </c>
      <c r="J637" t="n">
        <v>17314.4928</v>
      </c>
      <c r="K637" t="inlineStr"/>
      <c r="L637" t="inlineStr"/>
      <c r="M637" t="inlineStr"/>
      <c r="N637" t="inlineStr"/>
      <c r="O637" t="n">
        <v>2019</v>
      </c>
      <c r="P637" t="n">
        <v>2030</v>
      </c>
      <c r="Q637" t="n">
        <v>0.3852</v>
      </c>
      <c r="R637" t="n">
        <v>158.2904</v>
      </c>
      <c r="S637" t="n">
        <v>0.00100695</v>
      </c>
      <c r="T637" t="n">
        <v>0.00065008</v>
      </c>
      <c r="U637" t="n">
        <v>20838.0997</v>
      </c>
      <c r="V637" t="inlineStr">
        <is>
          <t>Supplier Reported Emissions</t>
        </is>
      </c>
      <c r="W637" t="b">
        <v>0</v>
      </c>
      <c r="X637" t="inlineStr">
        <is>
          <t>High</t>
        </is>
      </c>
      <c r="Y637" t="inlineStr">
        <is>
          <t>Scope_Emissions</t>
        </is>
      </c>
      <c r="Z637" t="n">
        <v>0.95</v>
      </c>
      <c r="AA637" t="inlineStr">
        <is>
          <t>Valid</t>
        </is>
      </c>
    </row>
    <row r="638">
      <c r="A638" t="inlineStr">
        <is>
          <t>SUP-0064</t>
        </is>
      </c>
      <c r="B638" t="inlineStr">
        <is>
          <t>Metals Supplier 064</t>
        </is>
      </c>
      <c r="C638" t="inlineStr">
        <is>
          <t>Metals</t>
        </is>
      </c>
      <c r="D638" t="n">
        <v>2021</v>
      </c>
      <c r="E638" t="n">
        <v>16977456.01</v>
      </c>
      <c r="F638" t="n">
        <v>155821683.02</v>
      </c>
      <c r="G638" t="n">
        <v>19039.5857</v>
      </c>
      <c r="H638" t="n">
        <v>1688.2864</v>
      </c>
      <c r="I638" t="n">
        <v>2412.6671</v>
      </c>
      <c r="J638" t="n">
        <v>13146.2249</v>
      </c>
      <c r="K638" t="inlineStr"/>
      <c r="L638" t="inlineStr"/>
      <c r="M638" t="inlineStr"/>
      <c r="N638" t="inlineStr"/>
      <c r="O638" t="n">
        <v>2019</v>
      </c>
      <c r="P638" t="n">
        <v>2030</v>
      </c>
      <c r="Q638" t="n">
        <v>0.3852</v>
      </c>
      <c r="R638" t="n">
        <v>158.2904</v>
      </c>
      <c r="S638" t="n">
        <v>0.00100695</v>
      </c>
      <c r="T638" t="n">
        <v>0.00065008</v>
      </c>
      <c r="U638" t="n">
        <v>19039.5857</v>
      </c>
      <c r="V638" t="inlineStr">
        <is>
          <t>Supplier Reported Emissions</t>
        </is>
      </c>
      <c r="W638" t="b">
        <v>0</v>
      </c>
      <c r="X638" t="inlineStr">
        <is>
          <t>High</t>
        </is>
      </c>
      <c r="Y638" t="inlineStr">
        <is>
          <t>None</t>
        </is>
      </c>
      <c r="Z638" t="n">
        <v>0.95</v>
      </c>
      <c r="AA638" t="inlineStr">
        <is>
          <t>Valid</t>
        </is>
      </c>
    </row>
    <row r="639">
      <c r="A639" t="inlineStr">
        <is>
          <t>SUP-0064</t>
        </is>
      </c>
      <c r="B639" t="inlineStr">
        <is>
          <t>Metals Supplier 064</t>
        </is>
      </c>
      <c r="C639" t="inlineStr">
        <is>
          <t>Metals</t>
        </is>
      </c>
      <c r="D639" t="n">
        <v>2022</v>
      </c>
      <c r="E639" t="n">
        <v>20913405.69</v>
      </c>
      <c r="F639" t="inlineStr"/>
      <c r="G639" t="n">
        <v>20834.4189</v>
      </c>
      <c r="H639" t="inlineStr"/>
      <c r="I639" t="inlineStr"/>
      <c r="J639" t="n">
        <v>15241.0457</v>
      </c>
      <c r="K639" t="inlineStr"/>
      <c r="L639" t="inlineStr"/>
      <c r="M639" t="inlineStr"/>
      <c r="N639" t="inlineStr"/>
      <c r="O639" t="n">
        <v>2019</v>
      </c>
      <c r="P639" t="n">
        <v>2030</v>
      </c>
      <c r="Q639" t="n">
        <v>0.3852</v>
      </c>
      <c r="R639" t="n">
        <v>158.2904</v>
      </c>
      <c r="S639" t="n">
        <v>0.00100695</v>
      </c>
      <c r="T639" t="n">
        <v>0.00065008</v>
      </c>
      <c r="U639" t="n">
        <v>20834.4189</v>
      </c>
      <c r="V639" t="inlineStr">
        <is>
          <t>Supplier Reported Emissions</t>
        </is>
      </c>
      <c r="W639" t="b">
        <v>0</v>
      </c>
      <c r="X639" t="inlineStr">
        <is>
          <t>High</t>
        </is>
      </c>
      <c r="Y639" t="inlineStr">
        <is>
          <t>Revenue; Scope_Emissions</t>
        </is>
      </c>
      <c r="Z639" t="n">
        <v>0.95</v>
      </c>
      <c r="AA639" t="inlineStr">
        <is>
          <t>Valid</t>
        </is>
      </c>
    </row>
    <row r="640">
      <c r="A640" t="inlineStr">
        <is>
          <t>SUP-0064</t>
        </is>
      </c>
      <c r="B640" t="inlineStr">
        <is>
          <t>Metals Supplier 064</t>
        </is>
      </c>
      <c r="C640" t="inlineStr">
        <is>
          <t>Metals</t>
        </is>
      </c>
      <c r="D640" t="n">
        <v>2023</v>
      </c>
      <c r="E640" t="n">
        <v>20473773.08</v>
      </c>
      <c r="F640" t="n">
        <v>141069918.86</v>
      </c>
      <c r="G640" t="n">
        <v>21593.0856</v>
      </c>
      <c r="H640" t="inlineStr"/>
      <c r="I640" t="n">
        <v>1514.7362</v>
      </c>
      <c r="J640" t="n">
        <v>17613.2061</v>
      </c>
      <c r="K640" t="inlineStr"/>
      <c r="L640" t="inlineStr"/>
      <c r="M640" t="inlineStr"/>
      <c r="N640" t="inlineStr"/>
      <c r="O640" t="n">
        <v>2019</v>
      </c>
      <c r="P640" t="n">
        <v>2030</v>
      </c>
      <c r="Q640" t="n">
        <v>0.3852</v>
      </c>
      <c r="R640" t="n">
        <v>158.2904</v>
      </c>
      <c r="S640" t="n">
        <v>0.00100695</v>
      </c>
      <c r="T640" t="n">
        <v>0.00065008</v>
      </c>
      <c r="U640" t="n">
        <v>21593.0856</v>
      </c>
      <c r="V640" t="inlineStr">
        <is>
          <t>Supplier Reported Emissions</t>
        </is>
      </c>
      <c r="W640" t="b">
        <v>0</v>
      </c>
      <c r="X640" t="inlineStr">
        <is>
          <t>High</t>
        </is>
      </c>
      <c r="Y640" t="inlineStr">
        <is>
          <t>Scope_Emissions</t>
        </is>
      </c>
      <c r="Z640" t="n">
        <v>0.95</v>
      </c>
      <c r="AA640" t="inlineStr">
        <is>
          <t>Valid</t>
        </is>
      </c>
    </row>
    <row r="641">
      <c r="A641" t="inlineStr">
        <is>
          <t>SUP-0064</t>
        </is>
      </c>
      <c r="B641" t="inlineStr">
        <is>
          <t>Metals Supplier 064</t>
        </is>
      </c>
      <c r="C641" t="inlineStr">
        <is>
          <t>Metals</t>
        </is>
      </c>
      <c r="D641" t="n">
        <v>2024</v>
      </c>
      <c r="E641" t="n">
        <v>19059648.02</v>
      </c>
      <c r="F641" t="n">
        <v>199927239.31</v>
      </c>
      <c r="G641" t="n">
        <v>18512.3188</v>
      </c>
      <c r="H641" t="n">
        <v>2048.6314</v>
      </c>
      <c r="I641" t="n">
        <v>3300.836</v>
      </c>
      <c r="J641" t="n">
        <v>11675.9642</v>
      </c>
      <c r="K641" t="inlineStr"/>
      <c r="L641" t="inlineStr"/>
      <c r="M641" t="inlineStr"/>
      <c r="N641" t="inlineStr"/>
      <c r="O641" t="n">
        <v>2019</v>
      </c>
      <c r="P641" t="n">
        <v>2030</v>
      </c>
      <c r="Q641" t="n">
        <v>0.3852</v>
      </c>
      <c r="R641" t="n">
        <v>158.2904</v>
      </c>
      <c r="S641" t="n">
        <v>0.00100695</v>
      </c>
      <c r="T641" t="n">
        <v>0.00065008</v>
      </c>
      <c r="U641" t="n">
        <v>18512.3188</v>
      </c>
      <c r="V641" t="inlineStr">
        <is>
          <t>Supplier Reported Emissions</t>
        </is>
      </c>
      <c r="W641" t="b">
        <v>0</v>
      </c>
      <c r="X641" t="inlineStr">
        <is>
          <t>High</t>
        </is>
      </c>
      <c r="Y641" t="inlineStr">
        <is>
          <t>None</t>
        </is>
      </c>
      <c r="Z641" t="n">
        <v>0.95</v>
      </c>
      <c r="AA641" t="inlineStr">
        <is>
          <t>Valid</t>
        </is>
      </c>
    </row>
    <row r="642">
      <c r="A642" t="inlineStr">
        <is>
          <t>SUP-0065</t>
        </is>
      </c>
      <c r="B642" t="inlineStr">
        <is>
          <t>Agriculture Supplier 065</t>
        </is>
      </c>
      <c r="C642" t="inlineStr">
        <is>
          <t>Agriculture</t>
        </is>
      </c>
      <c r="D642" t="n">
        <v>2015</v>
      </c>
      <c r="E642" t="n">
        <v>24681724.95</v>
      </c>
      <c r="F642" t="n">
        <v>194813161.03</v>
      </c>
      <c r="G642" t="n">
        <v>35744.9202</v>
      </c>
      <c r="H642" t="inlineStr"/>
      <c r="I642" t="n">
        <v>5251.7765</v>
      </c>
      <c r="J642" t="n">
        <v>24078.3132</v>
      </c>
      <c r="K642" t="n">
        <v>2018</v>
      </c>
      <c r="L642" t="n">
        <v>2035</v>
      </c>
      <c r="M642" t="n">
        <v>0.42</v>
      </c>
      <c r="N642" t="n">
        <v>0.2167</v>
      </c>
      <c r="O642" t="n">
        <v>2018</v>
      </c>
      <c r="P642" t="inlineStr"/>
      <c r="Q642" t="inlineStr"/>
      <c r="R642" t="n">
        <v>529.8294</v>
      </c>
      <c r="S642" t="n">
        <v>0.00091413</v>
      </c>
      <c r="T642" t="n">
        <v>0.00096913</v>
      </c>
      <c r="U642" t="n">
        <v>35744.9202</v>
      </c>
      <c r="V642" t="inlineStr">
        <is>
          <t>Supplier Reported Emissions</t>
        </is>
      </c>
      <c r="W642" t="b">
        <v>0</v>
      </c>
      <c r="X642" t="inlineStr">
        <is>
          <t>High</t>
        </is>
      </c>
      <c r="Y642" t="inlineStr">
        <is>
          <t>Scope_Emissions</t>
        </is>
      </c>
      <c r="Z642" t="n">
        <v>0.95</v>
      </c>
      <c r="AA642" t="inlineStr">
        <is>
          <t>Valid</t>
        </is>
      </c>
    </row>
    <row r="643">
      <c r="A643" t="inlineStr">
        <is>
          <t>SUP-0065</t>
        </is>
      </c>
      <c r="B643" t="inlineStr">
        <is>
          <t>Agriculture Supplier 065</t>
        </is>
      </c>
      <c r="C643" t="inlineStr">
        <is>
          <t>Agriculture</t>
        </is>
      </c>
      <c r="D643" t="n">
        <v>2016</v>
      </c>
      <c r="E643" t="n">
        <v>32609131.11</v>
      </c>
      <c r="F643" t="n">
        <v>209602826.24</v>
      </c>
      <c r="G643" t="n">
        <v>35011.0918</v>
      </c>
      <c r="H643" t="n">
        <v>7324.9886</v>
      </c>
      <c r="I643" t="inlineStr"/>
      <c r="J643" t="inlineStr"/>
      <c r="K643" t="n">
        <v>2018</v>
      </c>
      <c r="L643" t="n">
        <v>2035</v>
      </c>
      <c r="M643" t="n">
        <v>0.42</v>
      </c>
      <c r="N643" t="n">
        <v>0.2167</v>
      </c>
      <c r="O643" t="n">
        <v>2018</v>
      </c>
      <c r="P643" t="inlineStr"/>
      <c r="Q643" t="inlineStr"/>
      <c r="R643" t="n">
        <v>529.8294</v>
      </c>
      <c r="S643" t="n">
        <v>0.00091413</v>
      </c>
      <c r="T643" t="n">
        <v>0.00096913</v>
      </c>
      <c r="U643" t="n">
        <v>35011.0918</v>
      </c>
      <c r="V643" t="inlineStr">
        <is>
          <t>Supplier Reported Emissions</t>
        </is>
      </c>
      <c r="W643" t="b">
        <v>0</v>
      </c>
      <c r="X643" t="inlineStr">
        <is>
          <t>High</t>
        </is>
      </c>
      <c r="Y643" t="inlineStr">
        <is>
          <t>Scope_Emissions</t>
        </is>
      </c>
      <c r="Z643" t="n">
        <v>0.95</v>
      </c>
      <c r="AA643" t="inlineStr">
        <is>
          <t>Valid</t>
        </is>
      </c>
    </row>
    <row r="644">
      <c r="A644" t="inlineStr">
        <is>
          <t>SUP-0065</t>
        </is>
      </c>
      <c r="B644" t="inlineStr">
        <is>
          <t>Agriculture Supplier 065</t>
        </is>
      </c>
      <c r="C644" t="inlineStr">
        <is>
          <t>Agriculture</t>
        </is>
      </c>
      <c r="D644" t="n">
        <v>2017</v>
      </c>
      <c r="E644" t="inlineStr"/>
      <c r="F644" t="n">
        <v>242623371.63</v>
      </c>
      <c r="G644" t="n">
        <v>33876.7693</v>
      </c>
      <c r="H644" t="n">
        <v>4864.8661</v>
      </c>
      <c r="I644" t="inlineStr"/>
      <c r="J644" t="n">
        <v>27691.3422</v>
      </c>
      <c r="K644" t="n">
        <v>2018</v>
      </c>
      <c r="L644" t="n">
        <v>2035</v>
      </c>
      <c r="M644" t="n">
        <v>0.42</v>
      </c>
      <c r="N644" t="n">
        <v>0.2167</v>
      </c>
      <c r="O644" t="n">
        <v>2018</v>
      </c>
      <c r="P644" t="inlineStr"/>
      <c r="Q644" t="inlineStr"/>
      <c r="R644" t="n">
        <v>529.8294</v>
      </c>
      <c r="S644" t="n">
        <v>0.00091413</v>
      </c>
      <c r="T644" t="n">
        <v>0.00096913</v>
      </c>
      <c r="U644" t="n">
        <v>33876.7693</v>
      </c>
      <c r="V644" t="inlineStr">
        <is>
          <t>Supplier Reported Emissions</t>
        </is>
      </c>
      <c r="W644" t="b">
        <v>0</v>
      </c>
      <c r="X644" t="inlineStr">
        <is>
          <t>High</t>
        </is>
      </c>
      <c r="Y644" t="inlineStr">
        <is>
          <t>Gross_Spend; Scope_Emissions</t>
        </is>
      </c>
      <c r="Z644" t="n">
        <v>0.95</v>
      </c>
      <c r="AA644" t="inlineStr">
        <is>
          <t>Valid</t>
        </is>
      </c>
    </row>
    <row r="645">
      <c r="A645" t="inlineStr">
        <is>
          <t>SUP-0065</t>
        </is>
      </c>
      <c r="B645" t="inlineStr">
        <is>
          <t>Agriculture Supplier 065</t>
        </is>
      </c>
      <c r="C645" t="inlineStr">
        <is>
          <t>Agriculture</t>
        </is>
      </c>
      <c r="D645" t="n">
        <v>2018</v>
      </c>
      <c r="E645" t="n">
        <v>28380840.96</v>
      </c>
      <c r="F645" t="n">
        <v>219236410.32</v>
      </c>
      <c r="G645" t="n">
        <v>31748.1602</v>
      </c>
      <c r="H645" t="n">
        <v>4087.2161</v>
      </c>
      <c r="I645" t="inlineStr"/>
      <c r="J645" t="n">
        <v>26021.2271</v>
      </c>
      <c r="K645" t="n">
        <v>2018</v>
      </c>
      <c r="L645" t="n">
        <v>2035</v>
      </c>
      <c r="M645" t="n">
        <v>0.42</v>
      </c>
      <c r="N645" t="n">
        <v>0.2167</v>
      </c>
      <c r="O645" t="n">
        <v>2018</v>
      </c>
      <c r="P645" t="inlineStr"/>
      <c r="Q645" t="inlineStr"/>
      <c r="R645" t="n">
        <v>529.8294</v>
      </c>
      <c r="S645" t="n">
        <v>0.00091413</v>
      </c>
      <c r="T645" t="n">
        <v>0.00096913</v>
      </c>
      <c r="U645" t="n">
        <v>31748.1602</v>
      </c>
      <c r="V645" t="inlineStr">
        <is>
          <t>Supplier Reported Emissions</t>
        </is>
      </c>
      <c r="W645" t="b">
        <v>0</v>
      </c>
      <c r="X645" t="inlineStr">
        <is>
          <t>High</t>
        </is>
      </c>
      <c r="Y645" t="inlineStr">
        <is>
          <t>Scope_Emissions</t>
        </is>
      </c>
      <c r="Z645" t="n">
        <v>0.95</v>
      </c>
      <c r="AA645" t="inlineStr">
        <is>
          <t>Valid</t>
        </is>
      </c>
    </row>
    <row r="646">
      <c r="A646" t="inlineStr">
        <is>
          <t>SUP-0065</t>
        </is>
      </c>
      <c r="B646" t="inlineStr">
        <is>
          <t>Agriculture Supplier 065</t>
        </is>
      </c>
      <c r="C646" t="inlineStr">
        <is>
          <t>Agriculture</t>
        </is>
      </c>
      <c r="D646" t="n">
        <v>2019</v>
      </c>
      <c r="E646" t="n">
        <v>33750510.99</v>
      </c>
      <c r="F646" t="n">
        <v>269007327.8</v>
      </c>
      <c r="G646" t="n">
        <v>32336.4747</v>
      </c>
      <c r="H646" t="n">
        <v>3077.4832</v>
      </c>
      <c r="I646" t="n">
        <v>2362.1481</v>
      </c>
      <c r="J646" t="n">
        <v>26449.8103</v>
      </c>
      <c r="K646" t="n">
        <v>2018</v>
      </c>
      <c r="L646" t="n">
        <v>2035</v>
      </c>
      <c r="M646" t="n">
        <v>0.42</v>
      </c>
      <c r="N646" t="n">
        <v>0.2167</v>
      </c>
      <c r="O646" t="n">
        <v>2018</v>
      </c>
      <c r="P646" t="inlineStr"/>
      <c r="Q646" t="inlineStr"/>
      <c r="R646" t="n">
        <v>529.8294</v>
      </c>
      <c r="S646" t="n">
        <v>0.00091413</v>
      </c>
      <c r="T646" t="n">
        <v>0.00096913</v>
      </c>
      <c r="U646" t="n">
        <v>32336.4747</v>
      </c>
      <c r="V646" t="inlineStr">
        <is>
          <t>Supplier Reported Emissions</t>
        </is>
      </c>
      <c r="W646" t="b">
        <v>0</v>
      </c>
      <c r="X646" t="inlineStr">
        <is>
          <t>High</t>
        </is>
      </c>
      <c r="Y646" t="inlineStr">
        <is>
          <t>None</t>
        </is>
      </c>
      <c r="Z646" t="n">
        <v>0.95</v>
      </c>
      <c r="AA646" t="inlineStr">
        <is>
          <t>Valid</t>
        </is>
      </c>
    </row>
    <row r="647">
      <c r="A647" t="inlineStr">
        <is>
          <t>SUP-0065</t>
        </is>
      </c>
      <c r="B647" t="inlineStr">
        <is>
          <t>Agriculture Supplier 065</t>
        </is>
      </c>
      <c r="C647" t="inlineStr">
        <is>
          <t>Agriculture</t>
        </is>
      </c>
      <c r="D647" t="n">
        <v>2020</v>
      </c>
      <c r="E647" t="n">
        <v>31242710.84</v>
      </c>
      <c r="F647" t="n">
        <v>267213125.17</v>
      </c>
      <c r="G647" t="n">
        <v>34379.1504</v>
      </c>
      <c r="H647" t="n">
        <v>4901.4652</v>
      </c>
      <c r="I647" t="inlineStr"/>
      <c r="J647" t="n">
        <v>24106.5839</v>
      </c>
      <c r="K647" t="n">
        <v>2018</v>
      </c>
      <c r="L647" t="n">
        <v>2035</v>
      </c>
      <c r="M647" t="n">
        <v>0.42</v>
      </c>
      <c r="N647" t="n">
        <v>0.2167</v>
      </c>
      <c r="O647" t="n">
        <v>2018</v>
      </c>
      <c r="P647" t="inlineStr"/>
      <c r="Q647" t="inlineStr"/>
      <c r="R647" t="n">
        <v>529.8294</v>
      </c>
      <c r="S647" t="n">
        <v>0.00091413</v>
      </c>
      <c r="T647" t="n">
        <v>0.00096913</v>
      </c>
      <c r="U647" t="n">
        <v>34379.1504</v>
      </c>
      <c r="V647" t="inlineStr">
        <is>
          <t>Supplier Reported Emissions</t>
        </is>
      </c>
      <c r="W647" t="b">
        <v>0</v>
      </c>
      <c r="X647" t="inlineStr">
        <is>
          <t>High</t>
        </is>
      </c>
      <c r="Y647" t="inlineStr">
        <is>
          <t>Scope_Emissions</t>
        </is>
      </c>
      <c r="Z647" t="n">
        <v>0.95</v>
      </c>
      <c r="AA647" t="inlineStr">
        <is>
          <t>Valid</t>
        </is>
      </c>
    </row>
    <row r="648">
      <c r="A648" t="inlineStr">
        <is>
          <t>SUP-0065</t>
        </is>
      </c>
      <c r="B648" t="inlineStr">
        <is>
          <t>Agriculture Supplier 065</t>
        </is>
      </c>
      <c r="C648" t="inlineStr">
        <is>
          <t>Agriculture</t>
        </is>
      </c>
      <c r="D648" t="n">
        <v>2021</v>
      </c>
      <c r="E648" t="n">
        <v>36854792.8</v>
      </c>
      <c r="F648" t="n">
        <v>325785939.5</v>
      </c>
      <c r="G648" t="n">
        <v>34167.6465</v>
      </c>
      <c r="H648" t="n">
        <v>7652.8155</v>
      </c>
      <c r="I648" t="n">
        <v>4061.3637</v>
      </c>
      <c r="J648" t="n">
        <v>23258.8211</v>
      </c>
      <c r="K648" t="n">
        <v>2018</v>
      </c>
      <c r="L648" t="n">
        <v>2035</v>
      </c>
      <c r="M648" t="n">
        <v>0.42</v>
      </c>
      <c r="N648" t="n">
        <v>0.2167</v>
      </c>
      <c r="O648" t="n">
        <v>2018</v>
      </c>
      <c r="P648" t="inlineStr"/>
      <c r="Q648" t="inlineStr"/>
      <c r="R648" t="n">
        <v>529.8294</v>
      </c>
      <c r="S648" t="n">
        <v>0.00091413</v>
      </c>
      <c r="T648" t="n">
        <v>0.00096913</v>
      </c>
      <c r="U648" t="n">
        <v>34167.6465</v>
      </c>
      <c r="V648" t="inlineStr">
        <is>
          <t>Supplier Reported Emissions</t>
        </is>
      </c>
      <c r="W648" t="b">
        <v>0</v>
      </c>
      <c r="X648" t="inlineStr">
        <is>
          <t>High</t>
        </is>
      </c>
      <c r="Y648" t="inlineStr">
        <is>
          <t>None</t>
        </is>
      </c>
      <c r="Z648" t="n">
        <v>0.95</v>
      </c>
      <c r="AA648" t="inlineStr">
        <is>
          <t>Valid</t>
        </is>
      </c>
    </row>
    <row r="649">
      <c r="A649" t="inlineStr">
        <is>
          <t>SUP-0065</t>
        </is>
      </c>
      <c r="B649" t="inlineStr">
        <is>
          <t>Agriculture Supplier 065</t>
        </is>
      </c>
      <c r="C649" t="inlineStr">
        <is>
          <t>Agriculture</t>
        </is>
      </c>
      <c r="D649" t="n">
        <v>2022</v>
      </c>
      <c r="E649" t="n">
        <v>36587235.06</v>
      </c>
      <c r="F649" t="n">
        <v>319793624.81</v>
      </c>
      <c r="G649" t="inlineStr"/>
      <c r="H649" t="n">
        <v>8309.758099999999</v>
      </c>
      <c r="I649" t="inlineStr"/>
      <c r="J649" t="inlineStr"/>
      <c r="K649" t="n">
        <v>2018</v>
      </c>
      <c r="L649" t="n">
        <v>2035</v>
      </c>
      <c r="M649" t="n">
        <v>0.42</v>
      </c>
      <c r="N649" t="n">
        <v>0.2167</v>
      </c>
      <c r="O649" t="n">
        <v>2018</v>
      </c>
      <c r="P649" t="inlineStr"/>
      <c r="Q649" t="inlineStr"/>
      <c r="R649" t="n">
        <v>529.8294</v>
      </c>
      <c r="S649" t="n">
        <v>0.00091413</v>
      </c>
      <c r="T649" t="n">
        <v>0.00096913</v>
      </c>
      <c r="U649" t="n">
        <v>33445.4892</v>
      </c>
      <c r="V649" t="inlineStr">
        <is>
          <t>Spend-Based Estimate</t>
        </is>
      </c>
      <c r="W649" t="b">
        <v>1</v>
      </c>
      <c r="X649" t="inlineStr">
        <is>
          <t>Medium</t>
        </is>
      </c>
      <c r="Y649" t="inlineStr">
        <is>
          <t>Reported_Emissions; Scope_Emissions</t>
        </is>
      </c>
      <c r="Z649" t="n">
        <v>0.7</v>
      </c>
      <c r="AA649" t="inlineStr">
        <is>
          <t>Valid</t>
        </is>
      </c>
    </row>
    <row r="650">
      <c r="A650" t="inlineStr">
        <is>
          <t>SUP-0065</t>
        </is>
      </c>
      <c r="B650" t="inlineStr">
        <is>
          <t>Agriculture Supplier 065</t>
        </is>
      </c>
      <c r="C650" t="inlineStr">
        <is>
          <t>Agriculture</t>
        </is>
      </c>
      <c r="D650" t="n">
        <v>2023</v>
      </c>
      <c r="E650" t="n">
        <v>42907875.15</v>
      </c>
      <c r="F650" t="n">
        <v>287301131.36</v>
      </c>
      <c r="G650" t="n">
        <v>36624.249</v>
      </c>
      <c r="H650" t="inlineStr"/>
      <c r="I650" t="n">
        <v>7385.4784</v>
      </c>
      <c r="J650" t="n">
        <v>21540.7794</v>
      </c>
      <c r="K650" t="n">
        <v>2018</v>
      </c>
      <c r="L650" t="n">
        <v>2035</v>
      </c>
      <c r="M650" t="n">
        <v>0.42</v>
      </c>
      <c r="N650" t="n">
        <v>0.2167</v>
      </c>
      <c r="O650" t="n">
        <v>2018</v>
      </c>
      <c r="P650" t="inlineStr"/>
      <c r="Q650" t="inlineStr"/>
      <c r="R650" t="n">
        <v>529.8294</v>
      </c>
      <c r="S650" t="n">
        <v>0.00091413</v>
      </c>
      <c r="T650" t="n">
        <v>0.00096913</v>
      </c>
      <c r="U650" t="n">
        <v>36624.249</v>
      </c>
      <c r="V650" t="inlineStr">
        <is>
          <t>Supplier Reported Emissions</t>
        </is>
      </c>
      <c r="W650" t="b">
        <v>0</v>
      </c>
      <c r="X650" t="inlineStr">
        <is>
          <t>High</t>
        </is>
      </c>
      <c r="Y650" t="inlineStr">
        <is>
          <t>Scope_Emissions</t>
        </is>
      </c>
      <c r="Z650" t="n">
        <v>0.95</v>
      </c>
      <c r="AA650" t="inlineStr">
        <is>
          <t>Valid</t>
        </is>
      </c>
    </row>
    <row r="651">
      <c r="A651" t="inlineStr">
        <is>
          <t>SUP-0065</t>
        </is>
      </c>
      <c r="B651" t="inlineStr">
        <is>
          <t>Agriculture Supplier 065</t>
        </is>
      </c>
      <c r="C651" t="inlineStr">
        <is>
          <t>Agriculture</t>
        </is>
      </c>
      <c r="D651" t="n">
        <v>2024</v>
      </c>
      <c r="E651" t="n">
        <v>44281266.89</v>
      </c>
      <c r="F651" t="n">
        <v>213728746.93</v>
      </c>
      <c r="G651" t="n">
        <v>38736.1091</v>
      </c>
      <c r="H651" t="n">
        <v>9246.0502</v>
      </c>
      <c r="I651" t="n">
        <v>2428.4262</v>
      </c>
      <c r="J651" t="n">
        <v>26965.3392</v>
      </c>
      <c r="K651" t="n">
        <v>2018</v>
      </c>
      <c r="L651" t="n">
        <v>2035</v>
      </c>
      <c r="M651" t="n">
        <v>0.42</v>
      </c>
      <c r="N651" t="n">
        <v>0.2167</v>
      </c>
      <c r="O651" t="n">
        <v>2018</v>
      </c>
      <c r="P651" t="inlineStr"/>
      <c r="Q651" t="inlineStr"/>
      <c r="R651" t="n">
        <v>529.8294</v>
      </c>
      <c r="S651" t="n">
        <v>0.00091413</v>
      </c>
      <c r="T651" t="n">
        <v>0.00096913</v>
      </c>
      <c r="U651" t="n">
        <v>38736.1091</v>
      </c>
      <c r="V651" t="inlineStr">
        <is>
          <t>Supplier Reported Emissions</t>
        </is>
      </c>
      <c r="W651" t="b">
        <v>0</v>
      </c>
      <c r="X651" t="inlineStr">
        <is>
          <t>High</t>
        </is>
      </c>
      <c r="Y651" t="inlineStr">
        <is>
          <t>None</t>
        </is>
      </c>
      <c r="Z651" t="n">
        <v>0.95</v>
      </c>
      <c r="AA651" t="inlineStr">
        <is>
          <t>Valid</t>
        </is>
      </c>
    </row>
    <row r="652">
      <c r="A652" t="inlineStr">
        <is>
          <t>SUP-0066</t>
        </is>
      </c>
      <c r="B652" t="inlineStr">
        <is>
          <t>Electronics Supplier 066</t>
        </is>
      </c>
      <c r="C652" t="inlineStr">
        <is>
          <t>Electronics</t>
        </is>
      </c>
      <c r="D652" t="n">
        <v>2015</v>
      </c>
      <c r="E652" t="n">
        <v>11554730.44</v>
      </c>
      <c r="F652" t="n">
        <v>42614548.35</v>
      </c>
      <c r="G652" t="n">
        <v>13588.5387</v>
      </c>
      <c r="H652" t="inlineStr"/>
      <c r="I652" t="n">
        <v>1211.6505</v>
      </c>
      <c r="J652" t="n">
        <v>11648.0784</v>
      </c>
      <c r="K652" t="n">
        <v>2020</v>
      </c>
      <c r="L652" t="n">
        <v>2030</v>
      </c>
      <c r="M652" t="n">
        <v>0.339</v>
      </c>
      <c r="N652" t="n">
        <v>0.1901</v>
      </c>
      <c r="O652" t="n">
        <v>2018</v>
      </c>
      <c r="P652" t="n">
        <v>2040</v>
      </c>
      <c r="Q652" t="n">
        <v>0.3424</v>
      </c>
      <c r="R652" t="n">
        <v>635.1588</v>
      </c>
      <c r="S652" t="n">
        <v>0.00086105</v>
      </c>
      <c r="T652" t="n">
        <v>0.00013947</v>
      </c>
      <c r="U652" t="n">
        <v>13588.5387</v>
      </c>
      <c r="V652" t="inlineStr">
        <is>
          <t>Supplier Reported Emissions</t>
        </is>
      </c>
      <c r="W652" t="b">
        <v>0</v>
      </c>
      <c r="X652" t="inlineStr">
        <is>
          <t>High</t>
        </is>
      </c>
      <c r="Y652" t="inlineStr">
        <is>
          <t>Scope_Emissions</t>
        </is>
      </c>
      <c r="Z652" t="n">
        <v>0.95</v>
      </c>
      <c r="AA652" t="inlineStr">
        <is>
          <t>Valid</t>
        </is>
      </c>
    </row>
    <row r="653">
      <c r="A653" t="inlineStr">
        <is>
          <t>SUP-0066</t>
        </is>
      </c>
      <c r="B653" t="inlineStr">
        <is>
          <t>Electronics Supplier 066</t>
        </is>
      </c>
      <c r="C653" t="inlineStr">
        <is>
          <t>Electronics</t>
        </is>
      </c>
      <c r="D653" t="n">
        <v>2016</v>
      </c>
      <c r="E653" t="n">
        <v>9737306.35</v>
      </c>
      <c r="F653" t="n">
        <v>50226560.95</v>
      </c>
      <c r="G653" t="n">
        <v>11198.0815</v>
      </c>
      <c r="H653" t="n">
        <v>965.0353</v>
      </c>
      <c r="I653" t="n">
        <v>686.662</v>
      </c>
      <c r="J653" t="n">
        <v>9240.9409</v>
      </c>
      <c r="K653" t="n">
        <v>2020</v>
      </c>
      <c r="L653" t="n">
        <v>2030</v>
      </c>
      <c r="M653" t="n">
        <v>0.339</v>
      </c>
      <c r="N653" t="n">
        <v>0.1901</v>
      </c>
      <c r="O653" t="n">
        <v>2018</v>
      </c>
      <c r="P653" t="n">
        <v>2040</v>
      </c>
      <c r="Q653" t="n">
        <v>0.3424</v>
      </c>
      <c r="R653" t="n">
        <v>635.1588</v>
      </c>
      <c r="S653" t="n">
        <v>0.00086105</v>
      </c>
      <c r="T653" t="n">
        <v>0.00013947</v>
      </c>
      <c r="U653" t="n">
        <v>11198.0815</v>
      </c>
      <c r="V653" t="inlineStr">
        <is>
          <t>Supplier Reported Emissions</t>
        </is>
      </c>
      <c r="W653" t="b">
        <v>0</v>
      </c>
      <c r="X653" t="inlineStr">
        <is>
          <t>High</t>
        </is>
      </c>
      <c r="Y653" t="inlineStr">
        <is>
          <t>None</t>
        </is>
      </c>
      <c r="Z653" t="n">
        <v>0.95</v>
      </c>
      <c r="AA653" t="inlineStr">
        <is>
          <t>Valid</t>
        </is>
      </c>
    </row>
    <row r="654">
      <c r="A654" t="inlineStr">
        <is>
          <t>SUP-0066</t>
        </is>
      </c>
      <c r="B654" t="inlineStr">
        <is>
          <t>Electronics Supplier 066</t>
        </is>
      </c>
      <c r="C654" t="inlineStr">
        <is>
          <t>Electronics</t>
        </is>
      </c>
      <c r="D654" t="n">
        <v>2017</v>
      </c>
      <c r="E654" t="n">
        <v>12400353.25</v>
      </c>
      <c r="F654" t="n">
        <v>40981863.54</v>
      </c>
      <c r="G654" t="inlineStr"/>
      <c r="H654" t="n">
        <v>922.2618</v>
      </c>
      <c r="I654" t="n">
        <v>2191.2904</v>
      </c>
      <c r="J654" t="n">
        <v>7591.5745</v>
      </c>
      <c r="K654" t="n">
        <v>2020</v>
      </c>
      <c r="L654" t="n">
        <v>2030</v>
      </c>
      <c r="M654" t="n">
        <v>0.339</v>
      </c>
      <c r="N654" t="n">
        <v>0.1901</v>
      </c>
      <c r="O654" t="n">
        <v>2018</v>
      </c>
      <c r="P654" t="n">
        <v>2040</v>
      </c>
      <c r="Q654" t="n">
        <v>0.3424</v>
      </c>
      <c r="R654" t="n">
        <v>635.1588</v>
      </c>
      <c r="S654" t="n">
        <v>0.00086105</v>
      </c>
      <c r="T654" t="n">
        <v>0.00013947</v>
      </c>
      <c r="U654" t="n">
        <v>10705.1267</v>
      </c>
      <c r="V654" t="inlineStr">
        <is>
          <t>Scope 1 + Scope 2 + Scope 3</t>
        </is>
      </c>
      <c r="W654" t="b">
        <v>1</v>
      </c>
      <c r="X654" t="inlineStr">
        <is>
          <t>High</t>
        </is>
      </c>
      <c r="Y654" t="inlineStr">
        <is>
          <t>Reported_Emissions</t>
        </is>
      </c>
      <c r="Z654" t="n">
        <v>0.88</v>
      </c>
      <c r="AA654" t="inlineStr">
        <is>
          <t>Valid</t>
        </is>
      </c>
    </row>
    <row r="655">
      <c r="A655" t="inlineStr">
        <is>
          <t>SUP-0066</t>
        </is>
      </c>
      <c r="B655" t="inlineStr">
        <is>
          <t>Electronics Supplier 066</t>
        </is>
      </c>
      <c r="C655" t="inlineStr">
        <is>
          <t>Electronics</t>
        </is>
      </c>
      <c r="D655" t="n">
        <v>2018</v>
      </c>
      <c r="E655" t="n">
        <v>13348008.22</v>
      </c>
      <c r="F655" t="n">
        <v>52743566.72</v>
      </c>
      <c r="G655" t="n">
        <v>11319.7375</v>
      </c>
      <c r="H655" t="n">
        <v>966.9108</v>
      </c>
      <c r="I655" t="inlineStr"/>
      <c r="J655" t="inlineStr"/>
      <c r="K655" t="n">
        <v>2020</v>
      </c>
      <c r="L655" t="n">
        <v>2030</v>
      </c>
      <c r="M655" t="n">
        <v>0.339</v>
      </c>
      <c r="N655" t="n">
        <v>0.1901</v>
      </c>
      <c r="O655" t="n">
        <v>2018</v>
      </c>
      <c r="P655" t="n">
        <v>2040</v>
      </c>
      <c r="Q655" t="n">
        <v>0.3424</v>
      </c>
      <c r="R655" t="n">
        <v>635.1588</v>
      </c>
      <c r="S655" t="n">
        <v>0.00086105</v>
      </c>
      <c r="T655" t="n">
        <v>0.00013947</v>
      </c>
      <c r="U655" t="n">
        <v>11319.7375</v>
      </c>
      <c r="V655" t="inlineStr">
        <is>
          <t>Supplier Reported Emissions</t>
        </is>
      </c>
      <c r="W655" t="b">
        <v>0</v>
      </c>
      <c r="X655" t="inlineStr">
        <is>
          <t>High</t>
        </is>
      </c>
      <c r="Y655" t="inlineStr">
        <is>
          <t>Scope_Emissions</t>
        </is>
      </c>
      <c r="Z655" t="n">
        <v>0.95</v>
      </c>
      <c r="AA655" t="inlineStr">
        <is>
          <t>Valid</t>
        </is>
      </c>
    </row>
    <row r="656">
      <c r="A656" t="inlineStr">
        <is>
          <t>SUP-0066</t>
        </is>
      </c>
      <c r="B656" t="inlineStr">
        <is>
          <t>Electronics Supplier 066</t>
        </is>
      </c>
      <c r="C656" t="inlineStr">
        <is>
          <t>Electronics</t>
        </is>
      </c>
      <c r="D656" t="n">
        <v>2019</v>
      </c>
      <c r="E656" t="n">
        <v>14663017.95</v>
      </c>
      <c r="F656" t="n">
        <v>46597499.43</v>
      </c>
      <c r="G656" t="n">
        <v>17626.2855</v>
      </c>
      <c r="H656" t="n">
        <v>4228.7014</v>
      </c>
      <c r="I656" t="n">
        <v>1210.7835</v>
      </c>
      <c r="J656" t="n">
        <v>12272.6767</v>
      </c>
      <c r="K656" t="n">
        <v>2020</v>
      </c>
      <c r="L656" t="n">
        <v>2030</v>
      </c>
      <c r="M656" t="n">
        <v>0.339</v>
      </c>
      <c r="N656" t="n">
        <v>0.1901</v>
      </c>
      <c r="O656" t="n">
        <v>2018</v>
      </c>
      <c r="P656" t="n">
        <v>2040</v>
      </c>
      <c r="Q656" t="n">
        <v>0.3424</v>
      </c>
      <c r="R656" t="n">
        <v>635.1588</v>
      </c>
      <c r="S656" t="n">
        <v>0.00086105</v>
      </c>
      <c r="T656" t="n">
        <v>0.00013947</v>
      </c>
      <c r="U656" t="n">
        <v>17626.2855</v>
      </c>
      <c r="V656" t="inlineStr">
        <is>
          <t>Supplier Reported Emissions</t>
        </is>
      </c>
      <c r="W656" t="b">
        <v>0</v>
      </c>
      <c r="X656" t="inlineStr">
        <is>
          <t>High</t>
        </is>
      </c>
      <c r="Y656" t="inlineStr">
        <is>
          <t>None</t>
        </is>
      </c>
      <c r="Z656" t="n">
        <v>0.95</v>
      </c>
      <c r="AA656" t="inlineStr">
        <is>
          <t>Valid</t>
        </is>
      </c>
    </row>
    <row r="657">
      <c r="A657" t="inlineStr">
        <is>
          <t>SUP-0066</t>
        </is>
      </c>
      <c r="B657" t="inlineStr">
        <is>
          <t>Electronics Supplier 066</t>
        </is>
      </c>
      <c r="C657" t="inlineStr">
        <is>
          <t>Electronics</t>
        </is>
      </c>
      <c r="D657" t="n">
        <v>2020</v>
      </c>
      <c r="E657" t="n">
        <v>13326730.83</v>
      </c>
      <c r="F657" t="n">
        <v>59157334.19</v>
      </c>
      <c r="G657" t="n">
        <v>14330.0069</v>
      </c>
      <c r="H657" t="n">
        <v>1876.6735</v>
      </c>
      <c r="I657" t="inlineStr"/>
      <c r="J657" t="n">
        <v>9426.6695</v>
      </c>
      <c r="K657" t="n">
        <v>2020</v>
      </c>
      <c r="L657" t="n">
        <v>2030</v>
      </c>
      <c r="M657" t="n">
        <v>0.339</v>
      </c>
      <c r="N657" t="n">
        <v>0.1901</v>
      </c>
      <c r="O657" t="n">
        <v>2018</v>
      </c>
      <c r="P657" t="n">
        <v>2040</v>
      </c>
      <c r="Q657" t="n">
        <v>0.3424</v>
      </c>
      <c r="R657" t="n">
        <v>635.1588</v>
      </c>
      <c r="S657" t="n">
        <v>0.00086105</v>
      </c>
      <c r="T657" t="n">
        <v>0.00013947</v>
      </c>
      <c r="U657" t="n">
        <v>14330.0069</v>
      </c>
      <c r="V657" t="inlineStr">
        <is>
          <t>Supplier Reported Emissions</t>
        </is>
      </c>
      <c r="W657" t="b">
        <v>0</v>
      </c>
      <c r="X657" t="inlineStr">
        <is>
          <t>High</t>
        </is>
      </c>
      <c r="Y657" t="inlineStr">
        <is>
          <t>Scope_Emissions</t>
        </is>
      </c>
      <c r="Z657" t="n">
        <v>0.95</v>
      </c>
      <c r="AA657" t="inlineStr">
        <is>
          <t>Valid</t>
        </is>
      </c>
    </row>
    <row r="658">
      <c r="A658" t="inlineStr">
        <is>
          <t>SUP-0066</t>
        </is>
      </c>
      <c r="B658" t="inlineStr">
        <is>
          <t>Electronics Supplier 066</t>
        </is>
      </c>
      <c r="C658" t="inlineStr">
        <is>
          <t>Electronics</t>
        </is>
      </c>
      <c r="D658" t="n">
        <v>2021</v>
      </c>
      <c r="E658" t="n">
        <v>17205286.57</v>
      </c>
      <c r="F658" t="n">
        <v>65397722.56</v>
      </c>
      <c r="G658" t="n">
        <v>12422.9688</v>
      </c>
      <c r="H658" t="n">
        <v>1710.4388</v>
      </c>
      <c r="I658" t="n">
        <v>2404.479</v>
      </c>
      <c r="J658" t="n">
        <v>7536.226</v>
      </c>
      <c r="K658" t="n">
        <v>2020</v>
      </c>
      <c r="L658" t="n">
        <v>2030</v>
      </c>
      <c r="M658" t="n">
        <v>0.339</v>
      </c>
      <c r="N658" t="n">
        <v>0.1901</v>
      </c>
      <c r="O658" t="n">
        <v>2018</v>
      </c>
      <c r="P658" t="n">
        <v>2040</v>
      </c>
      <c r="Q658" t="n">
        <v>0.3424</v>
      </c>
      <c r="R658" t="n">
        <v>635.1588</v>
      </c>
      <c r="S658" t="n">
        <v>0.00086105</v>
      </c>
      <c r="T658" t="n">
        <v>0.00013947</v>
      </c>
      <c r="U658" t="n">
        <v>12422.9688</v>
      </c>
      <c r="V658" t="inlineStr">
        <is>
          <t>Supplier Reported Emissions</t>
        </is>
      </c>
      <c r="W658" t="b">
        <v>0</v>
      </c>
      <c r="X658" t="inlineStr">
        <is>
          <t>High</t>
        </is>
      </c>
      <c r="Y658" t="inlineStr">
        <is>
          <t>None</t>
        </is>
      </c>
      <c r="Z658" t="n">
        <v>0.95</v>
      </c>
      <c r="AA658" t="inlineStr">
        <is>
          <t>Valid</t>
        </is>
      </c>
    </row>
    <row r="659">
      <c r="A659" t="inlineStr">
        <is>
          <t>SUP-0066</t>
        </is>
      </c>
      <c r="B659" t="inlineStr">
        <is>
          <t>Electronics Supplier 066</t>
        </is>
      </c>
      <c r="C659" t="inlineStr">
        <is>
          <t>Electronics</t>
        </is>
      </c>
      <c r="D659" t="n">
        <v>2022</v>
      </c>
      <c r="E659" t="n">
        <v>14404001.76</v>
      </c>
      <c r="F659" t="n">
        <v>44114535.17</v>
      </c>
      <c r="G659" t="n">
        <v>19074.9408</v>
      </c>
      <c r="H659" t="n">
        <v>1914.703</v>
      </c>
      <c r="I659" t="n">
        <v>1826.3404</v>
      </c>
      <c r="J659" t="n">
        <v>15007.7074</v>
      </c>
      <c r="K659" t="n">
        <v>2020</v>
      </c>
      <c r="L659" t="n">
        <v>2030</v>
      </c>
      <c r="M659" t="n">
        <v>0.339</v>
      </c>
      <c r="N659" t="n">
        <v>0.1901</v>
      </c>
      <c r="O659" t="n">
        <v>2018</v>
      </c>
      <c r="P659" t="n">
        <v>2040</v>
      </c>
      <c r="Q659" t="n">
        <v>0.3424</v>
      </c>
      <c r="R659" t="n">
        <v>635.1588</v>
      </c>
      <c r="S659" t="n">
        <v>0.00086105</v>
      </c>
      <c r="T659" t="n">
        <v>0.00013947</v>
      </c>
      <c r="U659" t="n">
        <v>19074.9408</v>
      </c>
      <c r="V659" t="inlineStr">
        <is>
          <t>Supplier Reported Emissions</t>
        </is>
      </c>
      <c r="W659" t="b">
        <v>0</v>
      </c>
      <c r="X659" t="inlineStr">
        <is>
          <t>High</t>
        </is>
      </c>
      <c r="Y659" t="inlineStr">
        <is>
          <t>None</t>
        </is>
      </c>
      <c r="Z659" t="n">
        <v>0.95</v>
      </c>
      <c r="AA659" t="inlineStr">
        <is>
          <t>Valid</t>
        </is>
      </c>
    </row>
    <row r="660">
      <c r="A660" t="inlineStr">
        <is>
          <t>SUP-0066</t>
        </is>
      </c>
      <c r="B660" t="inlineStr">
        <is>
          <t>Electronics Supplier 066</t>
        </is>
      </c>
      <c r="C660" t="inlineStr">
        <is>
          <t>Electronics</t>
        </is>
      </c>
      <c r="D660" t="n">
        <v>2023</v>
      </c>
      <c r="E660" t="n">
        <v>17527289.07</v>
      </c>
      <c r="F660" t="n">
        <v>72702022.97</v>
      </c>
      <c r="G660" t="inlineStr"/>
      <c r="H660" t="n">
        <v>1628.248</v>
      </c>
      <c r="I660" t="n">
        <v>1066.3018</v>
      </c>
      <c r="J660" t="n">
        <v>10889.6079</v>
      </c>
      <c r="K660" t="n">
        <v>2020</v>
      </c>
      <c r="L660" t="n">
        <v>2030</v>
      </c>
      <c r="M660" t="n">
        <v>0.339</v>
      </c>
      <c r="N660" t="n">
        <v>0.1901</v>
      </c>
      <c r="O660" t="n">
        <v>2018</v>
      </c>
      <c r="P660" t="n">
        <v>2040</v>
      </c>
      <c r="Q660" t="n">
        <v>0.3424</v>
      </c>
      <c r="R660" t="n">
        <v>635.1588</v>
      </c>
      <c r="S660" t="n">
        <v>0.00086105</v>
      </c>
      <c r="T660" t="n">
        <v>0.00013947</v>
      </c>
      <c r="U660" t="n">
        <v>13584.1577</v>
      </c>
      <c r="V660" t="inlineStr">
        <is>
          <t>Scope 1 + Scope 2 + Scope 3</t>
        </is>
      </c>
      <c r="W660" t="b">
        <v>1</v>
      </c>
      <c r="X660" t="inlineStr">
        <is>
          <t>High</t>
        </is>
      </c>
      <c r="Y660" t="inlineStr">
        <is>
          <t>Reported_Emissions</t>
        </is>
      </c>
      <c r="Z660" t="n">
        <v>0.88</v>
      </c>
      <c r="AA660" t="inlineStr">
        <is>
          <t>Valid</t>
        </is>
      </c>
    </row>
    <row r="661">
      <c r="A661" t="inlineStr">
        <is>
          <t>SUP-0066</t>
        </is>
      </c>
      <c r="B661" t="inlineStr">
        <is>
          <t>Electronics Supplier 066</t>
        </is>
      </c>
      <c r="C661" t="inlineStr">
        <is>
          <t>Electronics</t>
        </is>
      </c>
      <c r="D661" t="n">
        <v>2024</v>
      </c>
      <c r="E661" t="n">
        <v>18221953.51</v>
      </c>
      <c r="F661" t="n">
        <v>74041728.31999999</v>
      </c>
      <c r="G661" t="inlineStr"/>
      <c r="H661" t="n">
        <v>4979.1041</v>
      </c>
      <c r="I661" t="n">
        <v>2553.9998</v>
      </c>
      <c r="J661" t="n">
        <v>14364.8108</v>
      </c>
      <c r="K661" t="n">
        <v>2020</v>
      </c>
      <c r="L661" t="n">
        <v>2030</v>
      </c>
      <c r="M661" t="n">
        <v>0.339</v>
      </c>
      <c r="N661" t="n">
        <v>0.1901</v>
      </c>
      <c r="O661" t="n">
        <v>2018</v>
      </c>
      <c r="P661" t="n">
        <v>2040</v>
      </c>
      <c r="Q661" t="n">
        <v>0.3424</v>
      </c>
      <c r="R661" t="n">
        <v>635.1588</v>
      </c>
      <c r="S661" t="n">
        <v>0.00086105</v>
      </c>
      <c r="T661" t="n">
        <v>0.00013947</v>
      </c>
      <c r="U661" t="n">
        <v>21897.9147</v>
      </c>
      <c r="V661" t="inlineStr">
        <is>
          <t>Scope 1 + Scope 2 + Scope 3</t>
        </is>
      </c>
      <c r="W661" t="b">
        <v>1</v>
      </c>
      <c r="X661" t="inlineStr">
        <is>
          <t>High</t>
        </is>
      </c>
      <c r="Y661" t="inlineStr">
        <is>
          <t>Reported_Emissions</t>
        </is>
      </c>
      <c r="Z661" t="n">
        <v>0.88</v>
      </c>
      <c r="AA661" t="inlineStr">
        <is>
          <t>Valid</t>
        </is>
      </c>
    </row>
    <row r="662">
      <c r="A662" t="inlineStr">
        <is>
          <t>SUP-0067</t>
        </is>
      </c>
      <c r="B662" t="inlineStr">
        <is>
          <t>Professional Supplier 067</t>
        </is>
      </c>
      <c r="C662" t="inlineStr">
        <is>
          <t>Professional Services</t>
        </is>
      </c>
      <c r="D662" t="n">
        <v>2015</v>
      </c>
      <c r="E662" t="n">
        <v>5519782.83</v>
      </c>
      <c r="F662" t="n">
        <v>11420493.9</v>
      </c>
      <c r="G662" t="n">
        <v>604.8328</v>
      </c>
      <c r="H662" t="n">
        <v>55.5247</v>
      </c>
      <c r="I662" t="n">
        <v>76.41</v>
      </c>
      <c r="J662" t="n">
        <v>499.8633</v>
      </c>
      <c r="K662" t="inlineStr"/>
      <c r="L662" t="inlineStr"/>
      <c r="M662" t="inlineStr"/>
      <c r="N662" t="inlineStr"/>
      <c r="O662" t="n">
        <v>2020</v>
      </c>
      <c r="P662" t="inlineStr"/>
      <c r="Q662" t="inlineStr"/>
      <c r="R662" t="n">
        <v>400.0326</v>
      </c>
      <c r="S662" t="n">
        <v>0.00012906</v>
      </c>
      <c r="T662" t="n">
        <v>0.00019658</v>
      </c>
      <c r="U662" t="n">
        <v>604.8328</v>
      </c>
      <c r="V662" t="inlineStr">
        <is>
          <t>Supplier Reported Emissions</t>
        </is>
      </c>
      <c r="W662" t="b">
        <v>0</v>
      </c>
      <c r="X662" t="inlineStr">
        <is>
          <t>High</t>
        </is>
      </c>
      <c r="Y662" t="inlineStr">
        <is>
          <t>None</t>
        </is>
      </c>
      <c r="Z662" t="n">
        <v>0.95</v>
      </c>
      <c r="AA662" t="inlineStr">
        <is>
          <t>Valid</t>
        </is>
      </c>
    </row>
    <row r="663">
      <c r="A663" t="inlineStr">
        <is>
          <t>SUP-0067</t>
        </is>
      </c>
      <c r="B663" t="inlineStr">
        <is>
          <t>Professional Supplier 067</t>
        </is>
      </c>
      <c r="C663" t="inlineStr">
        <is>
          <t>Professional Services</t>
        </is>
      </c>
      <c r="D663" t="n">
        <v>2016</v>
      </c>
      <c r="E663" t="n">
        <v>6571879.91</v>
      </c>
      <c r="F663" t="n">
        <v>11807796.68</v>
      </c>
      <c r="G663" t="n">
        <v>953.8691</v>
      </c>
      <c r="H663" t="n">
        <v>191.1756</v>
      </c>
      <c r="I663" t="n">
        <v>77.3205</v>
      </c>
      <c r="J663" t="n">
        <v>649.5927</v>
      </c>
      <c r="K663" t="inlineStr"/>
      <c r="L663" t="inlineStr"/>
      <c r="M663" t="inlineStr"/>
      <c r="N663" t="inlineStr"/>
      <c r="O663" t="n">
        <v>2020</v>
      </c>
      <c r="P663" t="inlineStr"/>
      <c r="Q663" t="inlineStr"/>
      <c r="R663" t="n">
        <v>400.0326</v>
      </c>
      <c r="S663" t="n">
        <v>0.00012906</v>
      </c>
      <c r="T663" t="n">
        <v>0.00019658</v>
      </c>
      <c r="U663" t="n">
        <v>953.8691</v>
      </c>
      <c r="V663" t="inlineStr">
        <is>
          <t>Supplier Reported Emissions</t>
        </is>
      </c>
      <c r="W663" t="b">
        <v>0</v>
      </c>
      <c r="X663" t="inlineStr">
        <is>
          <t>High</t>
        </is>
      </c>
      <c r="Y663" t="inlineStr">
        <is>
          <t>None</t>
        </is>
      </c>
      <c r="Z663" t="n">
        <v>0.95</v>
      </c>
      <c r="AA663" t="inlineStr">
        <is>
          <t>Valid</t>
        </is>
      </c>
    </row>
    <row r="664">
      <c r="A664" t="inlineStr">
        <is>
          <t>SUP-0067</t>
        </is>
      </c>
      <c r="B664" t="inlineStr">
        <is>
          <t>Professional Supplier 067</t>
        </is>
      </c>
      <c r="C664" t="inlineStr">
        <is>
          <t>Professional Services</t>
        </is>
      </c>
      <c r="D664" t="n">
        <v>2017</v>
      </c>
      <c r="E664" t="n">
        <v>6140750.99</v>
      </c>
      <c r="F664" t="n">
        <v>13582408.66</v>
      </c>
      <c r="G664" t="n">
        <v>747.1117</v>
      </c>
      <c r="H664" t="n">
        <v>62.8544</v>
      </c>
      <c r="I664" t="n">
        <v>78.1066</v>
      </c>
      <c r="J664" t="n">
        <v>662.0241</v>
      </c>
      <c r="K664" t="inlineStr"/>
      <c r="L664" t="inlineStr"/>
      <c r="M664" t="inlineStr"/>
      <c r="N664" t="inlineStr"/>
      <c r="O664" t="n">
        <v>2020</v>
      </c>
      <c r="P664" t="inlineStr"/>
      <c r="Q664" t="inlineStr"/>
      <c r="R664" t="n">
        <v>400.0326</v>
      </c>
      <c r="S664" t="n">
        <v>0.00012906</v>
      </c>
      <c r="T664" t="n">
        <v>0.00019658</v>
      </c>
      <c r="U664" t="n">
        <v>747.1117</v>
      </c>
      <c r="V664" t="inlineStr">
        <is>
          <t>Supplier Reported Emissions</t>
        </is>
      </c>
      <c r="W664" t="b">
        <v>0</v>
      </c>
      <c r="X664" t="inlineStr">
        <is>
          <t>High</t>
        </is>
      </c>
      <c r="Y664" t="inlineStr">
        <is>
          <t>None</t>
        </is>
      </c>
      <c r="Z664" t="n">
        <v>0.95</v>
      </c>
      <c r="AA664" t="inlineStr">
        <is>
          <t>Valid</t>
        </is>
      </c>
    </row>
    <row r="665">
      <c r="A665" t="inlineStr">
        <is>
          <t>SUP-0067</t>
        </is>
      </c>
      <c r="B665" t="inlineStr">
        <is>
          <t>Professional Supplier 067</t>
        </is>
      </c>
      <c r="C665" t="inlineStr">
        <is>
          <t>Professional Services</t>
        </is>
      </c>
      <c r="D665" t="n">
        <v>2018</v>
      </c>
      <c r="E665" t="n">
        <v>6453009.8</v>
      </c>
      <c r="F665" t="n">
        <v>15534674.41</v>
      </c>
      <c r="G665" t="n">
        <v>787.4761999999999</v>
      </c>
      <c r="H665" t="n">
        <v>94.39100000000001</v>
      </c>
      <c r="I665" t="n">
        <v>147.6041</v>
      </c>
      <c r="J665" t="n">
        <v>579.7769</v>
      </c>
      <c r="K665" t="inlineStr"/>
      <c r="L665" t="inlineStr"/>
      <c r="M665" t="inlineStr"/>
      <c r="N665" t="inlineStr"/>
      <c r="O665" t="n">
        <v>2020</v>
      </c>
      <c r="P665" t="inlineStr"/>
      <c r="Q665" t="inlineStr"/>
      <c r="R665" t="n">
        <v>400.0326</v>
      </c>
      <c r="S665" t="n">
        <v>0.00012906</v>
      </c>
      <c r="T665" t="n">
        <v>0.00019658</v>
      </c>
      <c r="U665" t="n">
        <v>787.4761999999999</v>
      </c>
      <c r="V665" t="inlineStr">
        <is>
          <t>Supplier Reported Emissions</t>
        </is>
      </c>
      <c r="W665" t="b">
        <v>0</v>
      </c>
      <c r="X665" t="inlineStr">
        <is>
          <t>High</t>
        </is>
      </c>
      <c r="Y665" t="inlineStr">
        <is>
          <t>None</t>
        </is>
      </c>
      <c r="Z665" t="n">
        <v>0.95</v>
      </c>
      <c r="AA665" t="inlineStr">
        <is>
          <t>Valid</t>
        </is>
      </c>
    </row>
    <row r="666">
      <c r="A666" t="inlineStr">
        <is>
          <t>SUP-0067</t>
        </is>
      </c>
      <c r="B666" t="inlineStr">
        <is>
          <t>Professional Supplier 067</t>
        </is>
      </c>
      <c r="C666" t="inlineStr">
        <is>
          <t>Professional Services</t>
        </is>
      </c>
      <c r="D666" t="n">
        <v>2019</v>
      </c>
      <c r="E666" t="n">
        <v>6568523.5</v>
      </c>
      <c r="F666" t="n">
        <v>17689258.3</v>
      </c>
      <c r="G666" t="inlineStr"/>
      <c r="H666" t="n">
        <v>149.4942</v>
      </c>
      <c r="I666" t="n">
        <v>58.5556</v>
      </c>
      <c r="J666" t="n">
        <v>548.9559</v>
      </c>
      <c r="K666" t="inlineStr"/>
      <c r="L666" t="inlineStr"/>
      <c r="M666" t="inlineStr"/>
      <c r="N666" t="inlineStr"/>
      <c r="O666" t="n">
        <v>2020</v>
      </c>
      <c r="P666" t="inlineStr"/>
      <c r="Q666" t="inlineStr"/>
      <c r="R666" t="n">
        <v>400.0326</v>
      </c>
      <c r="S666" t="n">
        <v>0.00012906</v>
      </c>
      <c r="T666" t="n">
        <v>0.00019658</v>
      </c>
      <c r="U666" t="n">
        <v>757.0057</v>
      </c>
      <c r="V666" t="inlineStr">
        <is>
          <t>Scope 1 + Scope 2 + Scope 3</t>
        </is>
      </c>
      <c r="W666" t="b">
        <v>1</v>
      </c>
      <c r="X666" t="inlineStr">
        <is>
          <t>High</t>
        </is>
      </c>
      <c r="Y666" t="inlineStr">
        <is>
          <t>Reported_Emissions</t>
        </is>
      </c>
      <c r="Z666" t="n">
        <v>0.88</v>
      </c>
      <c r="AA666" t="inlineStr">
        <is>
          <t>Valid</t>
        </is>
      </c>
    </row>
    <row r="667">
      <c r="A667" t="inlineStr">
        <is>
          <t>SUP-0067</t>
        </is>
      </c>
      <c r="B667" t="inlineStr">
        <is>
          <t>Professional Supplier 067</t>
        </is>
      </c>
      <c r="C667" t="inlineStr">
        <is>
          <t>Professional Services</t>
        </is>
      </c>
      <c r="D667" t="n">
        <v>2020</v>
      </c>
      <c r="E667" t="n">
        <v>7928239.48</v>
      </c>
      <c r="F667" t="n">
        <v>13090446.06</v>
      </c>
      <c r="G667" t="n">
        <v>801.7508</v>
      </c>
      <c r="H667" t="n">
        <v>154.4144</v>
      </c>
      <c r="I667" t="n">
        <v>83.98180000000001</v>
      </c>
      <c r="J667" t="n">
        <v>565.4527</v>
      </c>
      <c r="K667" t="inlineStr"/>
      <c r="L667" t="inlineStr"/>
      <c r="M667" t="inlineStr"/>
      <c r="N667" t="inlineStr"/>
      <c r="O667" t="n">
        <v>2020</v>
      </c>
      <c r="P667" t="inlineStr"/>
      <c r="Q667" t="inlineStr"/>
      <c r="R667" t="n">
        <v>400.0326</v>
      </c>
      <c r="S667" t="n">
        <v>0.00012906</v>
      </c>
      <c r="T667" t="n">
        <v>0.00019658</v>
      </c>
      <c r="U667" t="n">
        <v>801.7508</v>
      </c>
      <c r="V667" t="inlineStr">
        <is>
          <t>Supplier Reported Emissions</t>
        </is>
      </c>
      <c r="W667" t="b">
        <v>0</v>
      </c>
      <c r="X667" t="inlineStr">
        <is>
          <t>High</t>
        </is>
      </c>
      <c r="Y667" t="inlineStr">
        <is>
          <t>None</t>
        </is>
      </c>
      <c r="Z667" t="n">
        <v>0.95</v>
      </c>
      <c r="AA667" t="inlineStr">
        <is>
          <t>Valid</t>
        </is>
      </c>
    </row>
    <row r="668">
      <c r="A668" t="inlineStr">
        <is>
          <t>SUP-0067</t>
        </is>
      </c>
      <c r="B668" t="inlineStr">
        <is>
          <t>Professional Supplier 067</t>
        </is>
      </c>
      <c r="C668" t="inlineStr">
        <is>
          <t>Professional Services</t>
        </is>
      </c>
      <c r="D668" t="n">
        <v>2021</v>
      </c>
      <c r="E668" t="n">
        <v>6315773.03</v>
      </c>
      <c r="F668" t="n">
        <v>11035494.5</v>
      </c>
      <c r="G668" t="n">
        <v>586.5358</v>
      </c>
      <c r="H668" t="inlineStr"/>
      <c r="I668" t="n">
        <v>72.9413</v>
      </c>
      <c r="J668" t="n">
        <v>386.7516</v>
      </c>
      <c r="K668" t="inlineStr"/>
      <c r="L668" t="inlineStr"/>
      <c r="M668" t="inlineStr"/>
      <c r="N668" t="inlineStr"/>
      <c r="O668" t="n">
        <v>2020</v>
      </c>
      <c r="P668" t="inlineStr"/>
      <c r="Q668" t="inlineStr"/>
      <c r="R668" t="n">
        <v>400.0326</v>
      </c>
      <c r="S668" t="n">
        <v>0.00012906</v>
      </c>
      <c r="T668" t="n">
        <v>0.00019658</v>
      </c>
      <c r="U668" t="n">
        <v>586.5358</v>
      </c>
      <c r="V668" t="inlineStr">
        <is>
          <t>Supplier Reported Emissions</t>
        </is>
      </c>
      <c r="W668" t="b">
        <v>0</v>
      </c>
      <c r="X668" t="inlineStr">
        <is>
          <t>High</t>
        </is>
      </c>
      <c r="Y668" t="inlineStr">
        <is>
          <t>Scope_Emissions</t>
        </is>
      </c>
      <c r="Z668" t="n">
        <v>0.95</v>
      </c>
      <c r="AA668" t="inlineStr">
        <is>
          <t>Valid</t>
        </is>
      </c>
    </row>
    <row r="669">
      <c r="A669" t="inlineStr">
        <is>
          <t>SUP-0067</t>
        </is>
      </c>
      <c r="B669" t="inlineStr">
        <is>
          <t>Professional Supplier 067</t>
        </is>
      </c>
      <c r="C669" t="inlineStr">
        <is>
          <t>Professional Services</t>
        </is>
      </c>
      <c r="D669" t="n">
        <v>2022</v>
      </c>
      <c r="E669" t="n">
        <v>7444648.01</v>
      </c>
      <c r="F669" t="n">
        <v>13038403.11</v>
      </c>
      <c r="G669" t="inlineStr"/>
      <c r="H669" t="inlineStr"/>
      <c r="I669" t="n">
        <v>93.8408</v>
      </c>
      <c r="J669" t="inlineStr"/>
      <c r="K669" t="inlineStr"/>
      <c r="L669" t="inlineStr"/>
      <c r="M669" t="inlineStr"/>
      <c r="N669" t="inlineStr"/>
      <c r="O669" t="n">
        <v>2020</v>
      </c>
      <c r="P669" t="inlineStr"/>
      <c r="Q669" t="inlineStr"/>
      <c r="R669" t="n">
        <v>400.0326</v>
      </c>
      <c r="S669" t="n">
        <v>0.00012906</v>
      </c>
      <c r="T669" t="n">
        <v>0.00019658</v>
      </c>
      <c r="U669" t="n">
        <v>960.8063</v>
      </c>
      <c r="V669" t="inlineStr">
        <is>
          <t>Spend-Based Estimate</t>
        </is>
      </c>
      <c r="W669" t="b">
        <v>1</v>
      </c>
      <c r="X669" t="inlineStr">
        <is>
          <t>Medium</t>
        </is>
      </c>
      <c r="Y669" t="inlineStr">
        <is>
          <t>Reported_Emissions; Scope_Emissions</t>
        </is>
      </c>
      <c r="Z669" t="n">
        <v>0.7</v>
      </c>
      <c r="AA669" t="inlineStr">
        <is>
          <t>Valid</t>
        </is>
      </c>
    </row>
    <row r="670">
      <c r="A670" t="inlineStr">
        <is>
          <t>SUP-0067</t>
        </is>
      </c>
      <c r="B670" t="inlineStr">
        <is>
          <t>Professional Supplier 067</t>
        </is>
      </c>
      <c r="C670" t="inlineStr">
        <is>
          <t>Professional Services</t>
        </is>
      </c>
      <c r="D670" t="n">
        <v>2023</v>
      </c>
      <c r="E670" t="n">
        <v>8406250.460000001</v>
      </c>
      <c r="F670" t="n">
        <v>16453118.98</v>
      </c>
      <c r="G670" t="n">
        <v>879.5649</v>
      </c>
      <c r="H670" t="n">
        <v>118.5125</v>
      </c>
      <c r="I670" t="inlineStr"/>
      <c r="J670" t="n">
        <v>562.8231</v>
      </c>
      <c r="K670" t="inlineStr"/>
      <c r="L670" t="inlineStr"/>
      <c r="M670" t="inlineStr"/>
      <c r="N670" t="inlineStr"/>
      <c r="O670" t="n">
        <v>2020</v>
      </c>
      <c r="P670" t="inlineStr"/>
      <c r="Q670" t="inlineStr"/>
      <c r="R670" t="n">
        <v>400.0326</v>
      </c>
      <c r="S670" t="n">
        <v>0.00012906</v>
      </c>
      <c r="T670" t="n">
        <v>0.00019658</v>
      </c>
      <c r="U670" t="n">
        <v>879.5649</v>
      </c>
      <c r="V670" t="inlineStr">
        <is>
          <t>Supplier Reported Emissions</t>
        </is>
      </c>
      <c r="W670" t="b">
        <v>0</v>
      </c>
      <c r="X670" t="inlineStr">
        <is>
          <t>High</t>
        </is>
      </c>
      <c r="Y670" t="inlineStr">
        <is>
          <t>Scope_Emissions</t>
        </is>
      </c>
      <c r="Z670" t="n">
        <v>0.95</v>
      </c>
      <c r="AA670" t="inlineStr">
        <is>
          <t>Valid</t>
        </is>
      </c>
    </row>
    <row r="671">
      <c r="A671" t="inlineStr">
        <is>
          <t>SUP-0067</t>
        </is>
      </c>
      <c r="B671" t="inlineStr">
        <is>
          <t>Professional Supplier 067</t>
        </is>
      </c>
      <c r="C671" t="inlineStr">
        <is>
          <t>Professional Services</t>
        </is>
      </c>
      <c r="D671" t="n">
        <v>2024</v>
      </c>
      <c r="E671" t="n">
        <v>7629416.26</v>
      </c>
      <c r="F671" t="n">
        <v>17989140.65</v>
      </c>
      <c r="G671" t="n">
        <v>651.9724</v>
      </c>
      <c r="H671" t="n">
        <v>153.9712</v>
      </c>
      <c r="I671" t="n">
        <v>56.952</v>
      </c>
      <c r="J671" t="n">
        <v>421.5212</v>
      </c>
      <c r="K671" t="inlineStr"/>
      <c r="L671" t="inlineStr"/>
      <c r="M671" t="inlineStr"/>
      <c r="N671" t="inlineStr"/>
      <c r="O671" t="n">
        <v>2020</v>
      </c>
      <c r="P671" t="inlineStr"/>
      <c r="Q671" t="inlineStr"/>
      <c r="R671" t="n">
        <v>400.0326</v>
      </c>
      <c r="S671" t="n">
        <v>0.00012906</v>
      </c>
      <c r="T671" t="n">
        <v>0.00019658</v>
      </c>
      <c r="U671" t="n">
        <v>651.9724</v>
      </c>
      <c r="V671" t="inlineStr">
        <is>
          <t>Supplier Reported Emissions</t>
        </is>
      </c>
      <c r="W671" t="b">
        <v>0</v>
      </c>
      <c r="X671" t="inlineStr">
        <is>
          <t>High</t>
        </is>
      </c>
      <c r="Y671" t="inlineStr">
        <is>
          <t>None</t>
        </is>
      </c>
      <c r="Z671" t="n">
        <v>0.95</v>
      </c>
      <c r="AA671" t="inlineStr">
        <is>
          <t>Valid</t>
        </is>
      </c>
    </row>
    <row r="672">
      <c r="A672" t="inlineStr">
        <is>
          <t>SUP-0068</t>
        </is>
      </c>
      <c r="B672" t="inlineStr">
        <is>
          <t>Agriculture Supplier 068</t>
        </is>
      </c>
      <c r="C672" t="inlineStr">
        <is>
          <t>Agriculture</t>
        </is>
      </c>
      <c r="D672" t="n">
        <v>2015</v>
      </c>
      <c r="E672" t="n">
        <v>22012855.62</v>
      </c>
      <c r="F672" t="n">
        <v>76959276.72</v>
      </c>
      <c r="G672" t="n">
        <v>22220.7311</v>
      </c>
      <c r="H672" t="n">
        <v>5555.2486</v>
      </c>
      <c r="I672" t="n">
        <v>4678.0531</v>
      </c>
      <c r="J672" t="inlineStr"/>
      <c r="K672" t="inlineStr"/>
      <c r="L672" t="inlineStr"/>
      <c r="M672" t="inlineStr"/>
      <c r="N672" t="inlineStr"/>
      <c r="O672" t="n">
        <v>2018</v>
      </c>
      <c r="P672" t="inlineStr"/>
      <c r="Q672" t="inlineStr"/>
      <c r="R672" t="n">
        <v>529.8294</v>
      </c>
      <c r="S672" t="n">
        <v>0.00091413</v>
      </c>
      <c r="T672" t="n">
        <v>0.00096913</v>
      </c>
      <c r="U672" t="n">
        <v>22220.7311</v>
      </c>
      <c r="V672" t="inlineStr">
        <is>
          <t>Supplier Reported Emissions</t>
        </is>
      </c>
      <c r="W672" t="b">
        <v>0</v>
      </c>
      <c r="X672" t="inlineStr">
        <is>
          <t>High</t>
        </is>
      </c>
      <c r="Y672" t="inlineStr">
        <is>
          <t>Scope_Emissions</t>
        </is>
      </c>
      <c r="Z672" t="n">
        <v>0.95</v>
      </c>
      <c r="AA672" t="inlineStr">
        <is>
          <t>Valid</t>
        </is>
      </c>
    </row>
    <row r="673">
      <c r="A673" t="inlineStr">
        <is>
          <t>SUP-0068</t>
        </is>
      </c>
      <c r="B673" t="inlineStr">
        <is>
          <t>Agriculture Supplier 068</t>
        </is>
      </c>
      <c r="C673" t="inlineStr">
        <is>
          <t>Agriculture</t>
        </is>
      </c>
      <c r="D673" t="n">
        <v>2016</v>
      </c>
      <c r="E673" t="n">
        <v>19921828.59</v>
      </c>
      <c r="F673" t="n">
        <v>80479058.55</v>
      </c>
      <c r="G673" t="n">
        <v>21997.8004</v>
      </c>
      <c r="H673" t="n">
        <v>3198.9062</v>
      </c>
      <c r="I673" t="n">
        <v>3007.4282</v>
      </c>
      <c r="J673" t="n">
        <v>16416.0658</v>
      </c>
      <c r="K673" t="inlineStr"/>
      <c r="L673" t="inlineStr"/>
      <c r="M673" t="inlineStr"/>
      <c r="N673" t="inlineStr"/>
      <c r="O673" t="n">
        <v>2018</v>
      </c>
      <c r="P673" t="inlineStr"/>
      <c r="Q673" t="inlineStr"/>
      <c r="R673" t="n">
        <v>529.8294</v>
      </c>
      <c r="S673" t="n">
        <v>0.00091413</v>
      </c>
      <c r="T673" t="n">
        <v>0.00096913</v>
      </c>
      <c r="U673" t="n">
        <v>21997.8004</v>
      </c>
      <c r="V673" t="inlineStr">
        <is>
          <t>Supplier Reported Emissions</t>
        </is>
      </c>
      <c r="W673" t="b">
        <v>0</v>
      </c>
      <c r="X673" t="inlineStr">
        <is>
          <t>High</t>
        </is>
      </c>
      <c r="Y673" t="inlineStr">
        <is>
          <t>None</t>
        </is>
      </c>
      <c r="Z673" t="n">
        <v>0.95</v>
      </c>
      <c r="AA673" t="inlineStr">
        <is>
          <t>Valid</t>
        </is>
      </c>
    </row>
    <row r="674">
      <c r="A674" t="inlineStr">
        <is>
          <t>SUP-0068</t>
        </is>
      </c>
      <c r="B674" t="inlineStr">
        <is>
          <t>Agriculture Supplier 068</t>
        </is>
      </c>
      <c r="C674" t="inlineStr">
        <is>
          <t>Agriculture</t>
        </is>
      </c>
      <c r="D674" t="n">
        <v>2017</v>
      </c>
      <c r="E674" t="n">
        <v>21634735.8</v>
      </c>
      <c r="F674" t="n">
        <v>88643463.42</v>
      </c>
      <c r="G674" t="inlineStr"/>
      <c r="H674" t="inlineStr"/>
      <c r="I674" t="inlineStr"/>
      <c r="J674" t="n">
        <v>15672.263</v>
      </c>
      <c r="K674" t="inlineStr"/>
      <c r="L674" t="inlineStr"/>
      <c r="M674" t="inlineStr"/>
      <c r="N674" t="inlineStr"/>
      <c r="O674" t="n">
        <v>2018</v>
      </c>
      <c r="P674" t="inlineStr"/>
      <c r="Q674" t="inlineStr"/>
      <c r="R674" t="n">
        <v>529.8294</v>
      </c>
      <c r="S674" t="n">
        <v>0.00091413</v>
      </c>
      <c r="T674" t="n">
        <v>0.00096913</v>
      </c>
      <c r="U674" t="n">
        <v>19776.961</v>
      </c>
      <c r="V674" t="inlineStr">
        <is>
          <t>Spend-Based Estimate</t>
        </is>
      </c>
      <c r="W674" t="b">
        <v>1</v>
      </c>
      <c r="X674" t="inlineStr">
        <is>
          <t>Medium</t>
        </is>
      </c>
      <c r="Y674" t="inlineStr">
        <is>
          <t>Reported_Emissions; Scope_Emissions</t>
        </is>
      </c>
      <c r="Z674" t="n">
        <v>0.7</v>
      </c>
      <c r="AA674" t="inlineStr">
        <is>
          <t>Valid</t>
        </is>
      </c>
    </row>
    <row r="675">
      <c r="A675" t="inlineStr">
        <is>
          <t>SUP-0068</t>
        </is>
      </c>
      <c r="B675" t="inlineStr">
        <is>
          <t>Agriculture Supplier 068</t>
        </is>
      </c>
      <c r="C675" t="inlineStr">
        <is>
          <t>Agriculture</t>
        </is>
      </c>
      <c r="D675" t="n">
        <v>2018</v>
      </c>
      <c r="E675" t="inlineStr"/>
      <c r="F675" t="n">
        <v>90972881.84</v>
      </c>
      <c r="G675" t="n">
        <v>29018.1928</v>
      </c>
      <c r="H675" t="n">
        <v>5903.952</v>
      </c>
      <c r="I675" t="inlineStr"/>
      <c r="J675" t="inlineStr"/>
      <c r="K675" t="inlineStr"/>
      <c r="L675" t="inlineStr"/>
      <c r="M675" t="inlineStr"/>
      <c r="N675" t="inlineStr"/>
      <c r="O675" t="n">
        <v>2018</v>
      </c>
      <c r="P675" t="inlineStr"/>
      <c r="Q675" t="inlineStr"/>
      <c r="R675" t="n">
        <v>529.8294</v>
      </c>
      <c r="S675" t="n">
        <v>0.00091413</v>
      </c>
      <c r="T675" t="n">
        <v>0.00096913</v>
      </c>
      <c r="U675" t="n">
        <v>29018.1928</v>
      </c>
      <c r="V675" t="inlineStr">
        <is>
          <t>Supplier Reported Emissions</t>
        </is>
      </c>
      <c r="W675" t="b">
        <v>0</v>
      </c>
      <c r="X675" t="inlineStr">
        <is>
          <t>High</t>
        </is>
      </c>
      <c r="Y675" t="inlineStr">
        <is>
          <t>Gross_Spend; Scope_Emissions</t>
        </is>
      </c>
      <c r="Z675" t="n">
        <v>0.95</v>
      </c>
      <c r="AA675" t="inlineStr">
        <is>
          <t>Valid</t>
        </is>
      </c>
    </row>
    <row r="676">
      <c r="A676" t="inlineStr">
        <is>
          <t>SUP-0068</t>
        </is>
      </c>
      <c r="B676" t="inlineStr">
        <is>
          <t>Agriculture Supplier 068</t>
        </is>
      </c>
      <c r="C676" t="inlineStr">
        <is>
          <t>Agriculture</t>
        </is>
      </c>
      <c r="D676" t="n">
        <v>2019</v>
      </c>
      <c r="E676" t="n">
        <v>23933988.56</v>
      </c>
      <c r="F676" t="n">
        <v>105272221.58</v>
      </c>
      <c r="G676" t="n">
        <v>22070.4387</v>
      </c>
      <c r="H676" t="n">
        <v>5398.8204</v>
      </c>
      <c r="I676" t="n">
        <v>1463.2315</v>
      </c>
      <c r="J676" t="n">
        <v>15796.7271</v>
      </c>
      <c r="K676" t="inlineStr"/>
      <c r="L676" t="inlineStr"/>
      <c r="M676" t="inlineStr"/>
      <c r="N676" t="inlineStr"/>
      <c r="O676" t="n">
        <v>2018</v>
      </c>
      <c r="P676" t="inlineStr"/>
      <c r="Q676" t="inlineStr"/>
      <c r="R676" t="n">
        <v>529.8294</v>
      </c>
      <c r="S676" t="n">
        <v>0.00091413</v>
      </c>
      <c r="T676" t="n">
        <v>0.00096913</v>
      </c>
      <c r="U676" t="n">
        <v>22070.4387</v>
      </c>
      <c r="V676" t="inlineStr">
        <is>
          <t>Supplier Reported Emissions</t>
        </is>
      </c>
      <c r="W676" t="b">
        <v>0</v>
      </c>
      <c r="X676" t="inlineStr">
        <is>
          <t>High</t>
        </is>
      </c>
      <c r="Y676" t="inlineStr">
        <is>
          <t>None</t>
        </is>
      </c>
      <c r="Z676" t="n">
        <v>0.95</v>
      </c>
      <c r="AA676" t="inlineStr">
        <is>
          <t>Valid</t>
        </is>
      </c>
    </row>
    <row r="677">
      <c r="A677" t="inlineStr">
        <is>
          <t>SUP-0068</t>
        </is>
      </c>
      <c r="B677" t="inlineStr">
        <is>
          <t>Agriculture Supplier 068</t>
        </is>
      </c>
      <c r="C677" t="inlineStr">
        <is>
          <t>Agriculture</t>
        </is>
      </c>
      <c r="D677" t="n">
        <v>2020</v>
      </c>
      <c r="E677" t="n">
        <v>25673417.89</v>
      </c>
      <c r="F677" t="n">
        <v>119409255.6</v>
      </c>
      <c r="G677" t="n">
        <v>24710.3582</v>
      </c>
      <c r="H677" t="inlineStr"/>
      <c r="I677" t="n">
        <v>4664.7115</v>
      </c>
      <c r="J677" t="n">
        <v>15228.4024</v>
      </c>
      <c r="K677" t="inlineStr"/>
      <c r="L677" t="inlineStr"/>
      <c r="M677" t="inlineStr"/>
      <c r="N677" t="inlineStr"/>
      <c r="O677" t="n">
        <v>2018</v>
      </c>
      <c r="P677" t="inlineStr"/>
      <c r="Q677" t="inlineStr"/>
      <c r="R677" t="n">
        <v>529.8294</v>
      </c>
      <c r="S677" t="n">
        <v>0.00091413</v>
      </c>
      <c r="T677" t="n">
        <v>0.00096913</v>
      </c>
      <c r="U677" t="n">
        <v>24710.3582</v>
      </c>
      <c r="V677" t="inlineStr">
        <is>
          <t>Supplier Reported Emissions</t>
        </is>
      </c>
      <c r="W677" t="b">
        <v>0</v>
      </c>
      <c r="X677" t="inlineStr">
        <is>
          <t>High</t>
        </is>
      </c>
      <c r="Y677" t="inlineStr">
        <is>
          <t>Scope_Emissions</t>
        </is>
      </c>
      <c r="Z677" t="n">
        <v>0.95</v>
      </c>
      <c r="AA677" t="inlineStr">
        <is>
          <t>Valid</t>
        </is>
      </c>
    </row>
    <row r="678">
      <c r="A678" t="inlineStr">
        <is>
          <t>SUP-0068</t>
        </is>
      </c>
      <c r="B678" t="inlineStr">
        <is>
          <t>Agriculture Supplier 068</t>
        </is>
      </c>
      <c r="C678" t="inlineStr">
        <is>
          <t>Agriculture</t>
        </is>
      </c>
      <c r="D678" t="n">
        <v>2021</v>
      </c>
      <c r="E678" t="n">
        <v>22930072.1</v>
      </c>
      <c r="F678" t="n">
        <v>91536825.40000001</v>
      </c>
      <c r="G678" t="n">
        <v>18328.6477</v>
      </c>
      <c r="H678" t="n">
        <v>4122.5582</v>
      </c>
      <c r="I678" t="n">
        <v>4117.3304</v>
      </c>
      <c r="J678" t="n">
        <v>11740.9056</v>
      </c>
      <c r="K678" t="inlineStr"/>
      <c r="L678" t="inlineStr"/>
      <c r="M678" t="inlineStr"/>
      <c r="N678" t="inlineStr"/>
      <c r="O678" t="n">
        <v>2018</v>
      </c>
      <c r="P678" t="inlineStr"/>
      <c r="Q678" t="inlineStr"/>
      <c r="R678" t="n">
        <v>529.8294</v>
      </c>
      <c r="S678" t="n">
        <v>0.00091413</v>
      </c>
      <c r="T678" t="n">
        <v>0.00096913</v>
      </c>
      <c r="U678" t="n">
        <v>18328.6477</v>
      </c>
      <c r="V678" t="inlineStr">
        <is>
          <t>Supplier Reported Emissions</t>
        </is>
      </c>
      <c r="W678" t="b">
        <v>0</v>
      </c>
      <c r="X678" t="inlineStr">
        <is>
          <t>High</t>
        </is>
      </c>
      <c r="Y678" t="inlineStr">
        <is>
          <t>None</t>
        </is>
      </c>
      <c r="Z678" t="n">
        <v>0.95</v>
      </c>
      <c r="AA678" t="inlineStr">
        <is>
          <t>Valid</t>
        </is>
      </c>
    </row>
    <row r="679">
      <c r="A679" t="inlineStr">
        <is>
          <t>SUP-0068</t>
        </is>
      </c>
      <c r="B679" t="inlineStr">
        <is>
          <t>Agriculture Supplier 068</t>
        </is>
      </c>
      <c r="C679" t="inlineStr">
        <is>
          <t>Agriculture</t>
        </is>
      </c>
      <c r="D679" t="n">
        <v>2022</v>
      </c>
      <c r="E679" t="n">
        <v>29650813.88</v>
      </c>
      <c r="F679" t="n">
        <v>103894786.1</v>
      </c>
      <c r="G679" t="n">
        <v>21502.9929</v>
      </c>
      <c r="H679" t="inlineStr"/>
      <c r="I679" t="n">
        <v>2749.9322</v>
      </c>
      <c r="J679" t="n">
        <v>15846.338</v>
      </c>
      <c r="K679" t="inlineStr"/>
      <c r="L679" t="inlineStr"/>
      <c r="M679" t="inlineStr"/>
      <c r="N679" t="inlineStr"/>
      <c r="O679" t="n">
        <v>2018</v>
      </c>
      <c r="P679" t="inlineStr"/>
      <c r="Q679" t="inlineStr"/>
      <c r="R679" t="n">
        <v>529.8294</v>
      </c>
      <c r="S679" t="n">
        <v>0.00091413</v>
      </c>
      <c r="T679" t="n">
        <v>0.00096913</v>
      </c>
      <c r="U679" t="n">
        <v>21502.9929</v>
      </c>
      <c r="V679" t="inlineStr">
        <is>
          <t>Supplier Reported Emissions</t>
        </is>
      </c>
      <c r="W679" t="b">
        <v>0</v>
      </c>
      <c r="X679" t="inlineStr">
        <is>
          <t>High</t>
        </is>
      </c>
      <c r="Y679" t="inlineStr">
        <is>
          <t>Scope_Emissions</t>
        </is>
      </c>
      <c r="Z679" t="n">
        <v>0.95</v>
      </c>
      <c r="AA679" t="inlineStr">
        <is>
          <t>Valid</t>
        </is>
      </c>
    </row>
    <row r="680">
      <c r="A680" t="inlineStr">
        <is>
          <t>SUP-0068</t>
        </is>
      </c>
      <c r="B680" t="inlineStr">
        <is>
          <t>Agriculture Supplier 068</t>
        </is>
      </c>
      <c r="C680" t="inlineStr">
        <is>
          <t>Agriculture</t>
        </is>
      </c>
      <c r="D680" t="n">
        <v>2023</v>
      </c>
      <c r="E680" t="n">
        <v>28453819.83</v>
      </c>
      <c r="F680" t="n">
        <v>104281606.85</v>
      </c>
      <c r="G680" t="n">
        <v>29507.5695</v>
      </c>
      <c r="H680" t="n">
        <v>3870.8777</v>
      </c>
      <c r="I680" t="n">
        <v>2652.42</v>
      </c>
      <c r="J680" t="inlineStr"/>
      <c r="K680" t="inlineStr"/>
      <c r="L680" t="inlineStr"/>
      <c r="M680" t="inlineStr"/>
      <c r="N680" t="inlineStr"/>
      <c r="O680" t="n">
        <v>2018</v>
      </c>
      <c r="P680" t="inlineStr"/>
      <c r="Q680" t="inlineStr"/>
      <c r="R680" t="n">
        <v>529.8294</v>
      </c>
      <c r="S680" t="n">
        <v>0.00091413</v>
      </c>
      <c r="T680" t="n">
        <v>0.00096913</v>
      </c>
      <c r="U680" t="n">
        <v>29507.5695</v>
      </c>
      <c r="V680" t="inlineStr">
        <is>
          <t>Supplier Reported Emissions</t>
        </is>
      </c>
      <c r="W680" t="b">
        <v>0</v>
      </c>
      <c r="X680" t="inlineStr">
        <is>
          <t>High</t>
        </is>
      </c>
      <c r="Y680" t="inlineStr">
        <is>
          <t>Scope_Emissions</t>
        </is>
      </c>
      <c r="Z680" t="n">
        <v>0.95</v>
      </c>
      <c r="AA680" t="inlineStr">
        <is>
          <t>Valid</t>
        </is>
      </c>
    </row>
    <row r="681">
      <c r="A681" t="inlineStr">
        <is>
          <t>SUP-0068</t>
        </is>
      </c>
      <c r="B681" t="inlineStr">
        <is>
          <t>Agriculture Supplier 068</t>
        </is>
      </c>
      <c r="C681" t="inlineStr">
        <is>
          <t>Agriculture</t>
        </is>
      </c>
      <c r="D681" t="n">
        <v>2024</v>
      </c>
      <c r="E681" t="n">
        <v>31870058.85</v>
      </c>
      <c r="F681" t="n">
        <v>130860369.21</v>
      </c>
      <c r="G681" t="inlineStr"/>
      <c r="H681" t="n">
        <v>3224.8132</v>
      </c>
      <c r="I681" t="n">
        <v>3640.0194</v>
      </c>
      <c r="J681" t="n">
        <v>18773.2091</v>
      </c>
      <c r="K681" t="inlineStr"/>
      <c r="L681" t="inlineStr"/>
      <c r="M681" t="inlineStr"/>
      <c r="N681" t="inlineStr"/>
      <c r="O681" t="n">
        <v>2018</v>
      </c>
      <c r="P681" t="inlineStr"/>
      <c r="Q681" t="inlineStr"/>
      <c r="R681" t="n">
        <v>529.8294</v>
      </c>
      <c r="S681" t="n">
        <v>0.00091413</v>
      </c>
      <c r="T681" t="n">
        <v>0.00096913</v>
      </c>
      <c r="U681" t="n">
        <v>25638.0417</v>
      </c>
      <c r="V681" t="inlineStr">
        <is>
          <t>Scope 1 + Scope 2 + Scope 3</t>
        </is>
      </c>
      <c r="W681" t="b">
        <v>1</v>
      </c>
      <c r="X681" t="inlineStr">
        <is>
          <t>High</t>
        </is>
      </c>
      <c r="Y681" t="inlineStr">
        <is>
          <t>Reported_Emissions</t>
        </is>
      </c>
      <c r="Z681" t="n">
        <v>0.88</v>
      </c>
      <c r="AA681" t="inlineStr">
        <is>
          <t>Valid</t>
        </is>
      </c>
    </row>
    <row r="682">
      <c r="A682" t="inlineStr">
        <is>
          <t>SUP-0069</t>
        </is>
      </c>
      <c r="B682" t="inlineStr">
        <is>
          <t>Chemicals Supplier 069</t>
        </is>
      </c>
      <c r="C682" t="inlineStr">
        <is>
          <t>Chemicals</t>
        </is>
      </c>
      <c r="D682" t="n">
        <v>2015</v>
      </c>
      <c r="E682" t="n">
        <v>6087276.37</v>
      </c>
      <c r="F682" t="n">
        <v>43884118.42</v>
      </c>
      <c r="G682" t="inlineStr"/>
      <c r="H682" t="n">
        <v>1091.756</v>
      </c>
      <c r="I682" t="n">
        <v>534.2703</v>
      </c>
      <c r="J682" t="n">
        <v>4166.4778</v>
      </c>
      <c r="K682" t="inlineStr"/>
      <c r="L682" t="inlineStr"/>
      <c r="M682" t="inlineStr"/>
      <c r="N682" t="inlineStr"/>
      <c r="O682" t="n">
        <v>2019</v>
      </c>
      <c r="P682" t="n">
        <v>2035</v>
      </c>
      <c r="Q682" t="n">
        <v>0.5229</v>
      </c>
      <c r="R682" t="n">
        <v>506.3191</v>
      </c>
      <c r="S682" t="n">
        <v>0.00100149</v>
      </c>
      <c r="T682" t="n">
        <v>0.00047124</v>
      </c>
      <c r="U682" t="n">
        <v>5792.5041</v>
      </c>
      <c r="V682" t="inlineStr">
        <is>
          <t>Scope 1 + Scope 2 + Scope 3</t>
        </is>
      </c>
      <c r="W682" t="b">
        <v>1</v>
      </c>
      <c r="X682" t="inlineStr">
        <is>
          <t>High</t>
        </is>
      </c>
      <c r="Y682" t="inlineStr">
        <is>
          <t>Reported_Emissions</t>
        </is>
      </c>
      <c r="Z682" t="n">
        <v>0.88</v>
      </c>
      <c r="AA682" t="inlineStr">
        <is>
          <t>Valid</t>
        </is>
      </c>
    </row>
    <row r="683">
      <c r="A683" t="inlineStr">
        <is>
          <t>SUP-0069</t>
        </is>
      </c>
      <c r="B683" t="inlineStr">
        <is>
          <t>Chemicals Supplier 069</t>
        </is>
      </c>
      <c r="C683" t="inlineStr">
        <is>
          <t>Chemicals</t>
        </is>
      </c>
      <c r="D683" t="n">
        <v>2016</v>
      </c>
      <c r="E683" t="n">
        <v>6733079.09</v>
      </c>
      <c r="F683" t="n">
        <v>42498445.35</v>
      </c>
      <c r="G683" t="inlineStr"/>
      <c r="H683" t="n">
        <v>626.6138</v>
      </c>
      <c r="I683" t="inlineStr"/>
      <c r="J683" t="n">
        <v>5091.5635</v>
      </c>
      <c r="K683" t="inlineStr"/>
      <c r="L683" t="inlineStr"/>
      <c r="M683" t="inlineStr"/>
      <c r="N683" t="inlineStr"/>
      <c r="O683" t="n">
        <v>2019</v>
      </c>
      <c r="P683" t="n">
        <v>2035</v>
      </c>
      <c r="Q683" t="n">
        <v>0.5229</v>
      </c>
      <c r="R683" t="n">
        <v>506.3191</v>
      </c>
      <c r="S683" t="n">
        <v>0.00100149</v>
      </c>
      <c r="T683" t="n">
        <v>0.00047124</v>
      </c>
      <c r="U683" t="n">
        <v>6743.1114</v>
      </c>
      <c r="V683" t="inlineStr">
        <is>
          <t>Spend-Based Estimate</t>
        </is>
      </c>
      <c r="W683" t="b">
        <v>1</v>
      </c>
      <c r="X683" t="inlineStr">
        <is>
          <t>Medium</t>
        </is>
      </c>
      <c r="Y683" t="inlineStr">
        <is>
          <t>Reported_Emissions; Scope_Emissions</t>
        </is>
      </c>
      <c r="Z683" t="n">
        <v>0.7</v>
      </c>
      <c r="AA683" t="inlineStr">
        <is>
          <t>Valid</t>
        </is>
      </c>
    </row>
    <row r="684">
      <c r="A684" t="inlineStr">
        <is>
          <t>SUP-0069</t>
        </is>
      </c>
      <c r="B684" t="inlineStr">
        <is>
          <t>Chemicals Supplier 069</t>
        </is>
      </c>
      <c r="C684" t="inlineStr">
        <is>
          <t>Chemicals</t>
        </is>
      </c>
      <c r="D684" t="n">
        <v>2017</v>
      </c>
      <c r="E684" t="n">
        <v>4970745.72</v>
      </c>
      <c r="F684" t="inlineStr"/>
      <c r="G684" t="n">
        <v>4270.0953</v>
      </c>
      <c r="H684" t="n">
        <v>1070.1965</v>
      </c>
      <c r="I684" t="n">
        <v>300.2114</v>
      </c>
      <c r="J684" t="n">
        <v>2991.3298</v>
      </c>
      <c r="K684" t="inlineStr"/>
      <c r="L684" t="inlineStr"/>
      <c r="M684" t="inlineStr"/>
      <c r="N684" t="inlineStr"/>
      <c r="O684" t="n">
        <v>2019</v>
      </c>
      <c r="P684" t="n">
        <v>2035</v>
      </c>
      <c r="Q684" t="n">
        <v>0.5229</v>
      </c>
      <c r="R684" t="n">
        <v>506.3191</v>
      </c>
      <c r="S684" t="n">
        <v>0.00100149</v>
      </c>
      <c r="T684" t="n">
        <v>0.00047124</v>
      </c>
      <c r="U684" t="n">
        <v>4270.0953</v>
      </c>
      <c r="V684" t="inlineStr">
        <is>
          <t>Supplier Reported Emissions</t>
        </is>
      </c>
      <c r="W684" t="b">
        <v>0</v>
      </c>
      <c r="X684" t="inlineStr">
        <is>
          <t>High</t>
        </is>
      </c>
      <c r="Y684" t="inlineStr">
        <is>
          <t>Revenue</t>
        </is>
      </c>
      <c r="Z684" t="n">
        <v>0.95</v>
      </c>
      <c r="AA684" t="inlineStr">
        <is>
          <t>Valid</t>
        </is>
      </c>
    </row>
    <row r="685">
      <c r="A685" t="inlineStr">
        <is>
          <t>SUP-0069</t>
        </is>
      </c>
      <c r="B685" t="inlineStr">
        <is>
          <t>Chemicals Supplier 069</t>
        </is>
      </c>
      <c r="C685" t="inlineStr">
        <is>
          <t>Chemicals</t>
        </is>
      </c>
      <c r="D685" t="n">
        <v>2018</v>
      </c>
      <c r="E685" t="n">
        <v>4680989.11</v>
      </c>
      <c r="F685" t="n">
        <v>44343240.98</v>
      </c>
      <c r="G685" t="n">
        <v>3431.4383</v>
      </c>
      <c r="H685" t="n">
        <v>490.4121</v>
      </c>
      <c r="I685" t="n">
        <v>483.0836</v>
      </c>
      <c r="J685" t="n">
        <v>2425.9731</v>
      </c>
      <c r="K685" t="inlineStr"/>
      <c r="L685" t="inlineStr"/>
      <c r="M685" t="inlineStr"/>
      <c r="N685" t="inlineStr"/>
      <c r="O685" t="n">
        <v>2019</v>
      </c>
      <c r="P685" t="n">
        <v>2035</v>
      </c>
      <c r="Q685" t="n">
        <v>0.5229</v>
      </c>
      <c r="R685" t="n">
        <v>506.3191</v>
      </c>
      <c r="S685" t="n">
        <v>0.00100149</v>
      </c>
      <c r="T685" t="n">
        <v>0.00047124</v>
      </c>
      <c r="U685" t="n">
        <v>3431.4383</v>
      </c>
      <c r="V685" t="inlineStr">
        <is>
          <t>Supplier Reported Emissions</t>
        </is>
      </c>
      <c r="W685" t="b">
        <v>0</v>
      </c>
      <c r="X685" t="inlineStr">
        <is>
          <t>High</t>
        </is>
      </c>
      <c r="Y685" t="inlineStr">
        <is>
          <t>None</t>
        </is>
      </c>
      <c r="Z685" t="n">
        <v>0.95</v>
      </c>
      <c r="AA685" t="inlineStr">
        <is>
          <t>Valid</t>
        </is>
      </c>
    </row>
    <row r="686">
      <c r="A686" t="inlineStr">
        <is>
          <t>SUP-0069</t>
        </is>
      </c>
      <c r="B686" t="inlineStr">
        <is>
          <t>Chemicals Supplier 069</t>
        </is>
      </c>
      <c r="C686" t="inlineStr">
        <is>
          <t>Chemicals</t>
        </is>
      </c>
      <c r="D686" t="n">
        <v>2019</v>
      </c>
      <c r="E686" t="n">
        <v>5801137.67</v>
      </c>
      <c r="F686" t="n">
        <v>41578509.35</v>
      </c>
      <c r="G686" t="n">
        <v>4663.903</v>
      </c>
      <c r="H686" t="inlineStr"/>
      <c r="I686" t="inlineStr"/>
      <c r="J686" t="n">
        <v>3549.5771</v>
      </c>
      <c r="K686" t="inlineStr"/>
      <c r="L686" t="inlineStr"/>
      <c r="M686" t="inlineStr"/>
      <c r="N686" t="inlineStr"/>
      <c r="O686" t="n">
        <v>2019</v>
      </c>
      <c r="P686" t="n">
        <v>2035</v>
      </c>
      <c r="Q686" t="n">
        <v>0.5229</v>
      </c>
      <c r="R686" t="n">
        <v>506.3191</v>
      </c>
      <c r="S686" t="n">
        <v>0.00100149</v>
      </c>
      <c r="T686" t="n">
        <v>0.00047124</v>
      </c>
      <c r="U686" t="n">
        <v>4663.903</v>
      </c>
      <c r="V686" t="inlineStr">
        <is>
          <t>Supplier Reported Emissions</t>
        </is>
      </c>
      <c r="W686" t="b">
        <v>0</v>
      </c>
      <c r="X686" t="inlineStr">
        <is>
          <t>High</t>
        </is>
      </c>
      <c r="Y686" t="inlineStr">
        <is>
          <t>Scope_Emissions</t>
        </is>
      </c>
      <c r="Z686" t="n">
        <v>0.95</v>
      </c>
      <c r="AA686" t="inlineStr">
        <is>
          <t>Valid</t>
        </is>
      </c>
    </row>
    <row r="687">
      <c r="A687" t="inlineStr">
        <is>
          <t>SUP-0069</t>
        </is>
      </c>
      <c r="B687" t="inlineStr">
        <is>
          <t>Chemicals Supplier 069</t>
        </is>
      </c>
      <c r="C687" t="inlineStr">
        <is>
          <t>Chemicals</t>
        </is>
      </c>
      <c r="D687" t="n">
        <v>2020</v>
      </c>
      <c r="E687" t="n">
        <v>5512809.01</v>
      </c>
      <c r="F687" t="n">
        <v>36615300.49</v>
      </c>
      <c r="G687" t="inlineStr"/>
      <c r="H687" t="n">
        <v>481.2538</v>
      </c>
      <c r="I687" t="inlineStr"/>
      <c r="J687" t="n">
        <v>3546.157</v>
      </c>
      <c r="K687" t="inlineStr"/>
      <c r="L687" t="inlineStr"/>
      <c r="M687" t="inlineStr"/>
      <c r="N687" t="inlineStr"/>
      <c r="O687" t="n">
        <v>2019</v>
      </c>
      <c r="P687" t="n">
        <v>2035</v>
      </c>
      <c r="Q687" t="n">
        <v>0.5229</v>
      </c>
      <c r="R687" t="n">
        <v>506.3191</v>
      </c>
      <c r="S687" t="n">
        <v>0.00100149</v>
      </c>
      <c r="T687" t="n">
        <v>0.00047124</v>
      </c>
      <c r="U687" t="n">
        <v>5521.0231</v>
      </c>
      <c r="V687" t="inlineStr">
        <is>
          <t>Spend-Based Estimate</t>
        </is>
      </c>
      <c r="W687" t="b">
        <v>1</v>
      </c>
      <c r="X687" t="inlineStr">
        <is>
          <t>Medium</t>
        </is>
      </c>
      <c r="Y687" t="inlineStr">
        <is>
          <t>Reported_Emissions; Scope_Emissions</t>
        </is>
      </c>
      <c r="Z687" t="n">
        <v>0.7</v>
      </c>
      <c r="AA687" t="inlineStr">
        <is>
          <t>Valid</t>
        </is>
      </c>
    </row>
    <row r="688">
      <c r="A688" t="inlineStr">
        <is>
          <t>SUP-0069</t>
        </is>
      </c>
      <c r="B688" t="inlineStr">
        <is>
          <t>Chemicals Supplier 069</t>
        </is>
      </c>
      <c r="C688" t="inlineStr">
        <is>
          <t>Chemicals</t>
        </is>
      </c>
      <c r="D688" t="n">
        <v>2021</v>
      </c>
      <c r="E688" t="n">
        <v>5065639.05</v>
      </c>
      <c r="F688" t="n">
        <v>32056905.54</v>
      </c>
      <c r="G688" t="n">
        <v>3738.3949</v>
      </c>
      <c r="H688" t="n">
        <v>620.4656</v>
      </c>
      <c r="I688" t="n">
        <v>809.6198000000001</v>
      </c>
      <c r="J688" t="n">
        <v>2333.3026</v>
      </c>
      <c r="K688" t="inlineStr"/>
      <c r="L688" t="inlineStr"/>
      <c r="M688" t="inlineStr"/>
      <c r="N688" t="inlineStr"/>
      <c r="O688" t="n">
        <v>2019</v>
      </c>
      <c r="P688" t="n">
        <v>2035</v>
      </c>
      <c r="Q688" t="n">
        <v>0.5229</v>
      </c>
      <c r="R688" t="n">
        <v>506.3191</v>
      </c>
      <c r="S688" t="n">
        <v>0.00100149</v>
      </c>
      <c r="T688" t="n">
        <v>0.00047124</v>
      </c>
      <c r="U688" t="n">
        <v>3738.3949</v>
      </c>
      <c r="V688" t="inlineStr">
        <is>
          <t>Supplier Reported Emissions</t>
        </is>
      </c>
      <c r="W688" t="b">
        <v>0</v>
      </c>
      <c r="X688" t="inlineStr">
        <is>
          <t>High</t>
        </is>
      </c>
      <c r="Y688" t="inlineStr">
        <is>
          <t>None</t>
        </is>
      </c>
      <c r="Z688" t="n">
        <v>0.95</v>
      </c>
      <c r="AA688" t="inlineStr">
        <is>
          <t>Valid</t>
        </is>
      </c>
    </row>
    <row r="689">
      <c r="A689" t="inlineStr">
        <is>
          <t>SUP-0069</t>
        </is>
      </c>
      <c r="B689" t="inlineStr">
        <is>
          <t>Chemicals Supplier 069</t>
        </is>
      </c>
      <c r="C689" t="inlineStr">
        <is>
          <t>Chemicals</t>
        </is>
      </c>
      <c r="D689" t="n">
        <v>2022</v>
      </c>
      <c r="E689" t="n">
        <v>5376695.46</v>
      </c>
      <c r="F689" t="n">
        <v>33003692.98</v>
      </c>
      <c r="G689" t="n">
        <v>5891.5566</v>
      </c>
      <c r="H689" t="n">
        <v>921.98</v>
      </c>
      <c r="I689" t="inlineStr"/>
      <c r="J689" t="n">
        <v>4521.8421</v>
      </c>
      <c r="K689" t="inlineStr"/>
      <c r="L689" t="inlineStr"/>
      <c r="M689" t="inlineStr"/>
      <c r="N689" t="inlineStr"/>
      <c r="O689" t="n">
        <v>2019</v>
      </c>
      <c r="P689" t="n">
        <v>2035</v>
      </c>
      <c r="Q689" t="n">
        <v>0.5229</v>
      </c>
      <c r="R689" t="n">
        <v>506.3191</v>
      </c>
      <c r="S689" t="n">
        <v>0.00100149</v>
      </c>
      <c r="T689" t="n">
        <v>0.00047124</v>
      </c>
      <c r="U689" t="n">
        <v>5891.5566</v>
      </c>
      <c r="V689" t="inlineStr">
        <is>
          <t>Supplier Reported Emissions</t>
        </is>
      </c>
      <c r="W689" t="b">
        <v>0</v>
      </c>
      <c r="X689" t="inlineStr">
        <is>
          <t>High</t>
        </is>
      </c>
      <c r="Y689" t="inlineStr">
        <is>
          <t>Scope_Emissions</t>
        </is>
      </c>
      <c r="Z689" t="n">
        <v>0.95</v>
      </c>
      <c r="AA689" t="inlineStr">
        <is>
          <t>Valid</t>
        </is>
      </c>
    </row>
    <row r="690">
      <c r="A690" t="inlineStr">
        <is>
          <t>SUP-0069</t>
        </is>
      </c>
      <c r="B690" t="inlineStr">
        <is>
          <t>Chemicals Supplier 069</t>
        </is>
      </c>
      <c r="C690" t="inlineStr">
        <is>
          <t>Chemicals</t>
        </is>
      </c>
      <c r="D690" t="n">
        <v>2023</v>
      </c>
      <c r="E690" t="n">
        <v>4904025.52</v>
      </c>
      <c r="F690" t="n">
        <v>42306513.17</v>
      </c>
      <c r="G690" t="n">
        <v>5034.9492</v>
      </c>
      <c r="H690" t="n">
        <v>708.0733</v>
      </c>
      <c r="I690" t="n">
        <v>311.892</v>
      </c>
      <c r="J690" t="n">
        <v>3643.4952</v>
      </c>
      <c r="K690" t="inlineStr"/>
      <c r="L690" t="inlineStr"/>
      <c r="M690" t="inlineStr"/>
      <c r="N690" t="inlineStr"/>
      <c r="O690" t="n">
        <v>2019</v>
      </c>
      <c r="P690" t="n">
        <v>2035</v>
      </c>
      <c r="Q690" t="n">
        <v>0.5229</v>
      </c>
      <c r="R690" t="n">
        <v>506.3191</v>
      </c>
      <c r="S690" t="n">
        <v>0.00100149</v>
      </c>
      <c r="T690" t="n">
        <v>0.00047124</v>
      </c>
      <c r="U690" t="n">
        <v>5034.9492</v>
      </c>
      <c r="V690" t="inlineStr">
        <is>
          <t>Supplier Reported Emissions</t>
        </is>
      </c>
      <c r="W690" t="b">
        <v>0</v>
      </c>
      <c r="X690" t="inlineStr">
        <is>
          <t>High</t>
        </is>
      </c>
      <c r="Y690" t="inlineStr">
        <is>
          <t>None</t>
        </is>
      </c>
      <c r="Z690" t="n">
        <v>0.95</v>
      </c>
      <c r="AA690" t="inlineStr">
        <is>
          <t>Valid</t>
        </is>
      </c>
    </row>
    <row r="691">
      <c r="A691" t="inlineStr">
        <is>
          <t>SUP-0069</t>
        </is>
      </c>
      <c r="B691" t="inlineStr">
        <is>
          <t>Chemicals Supplier 069</t>
        </is>
      </c>
      <c r="C691" t="inlineStr">
        <is>
          <t>Chemicals</t>
        </is>
      </c>
      <c r="D691" t="n">
        <v>2024</v>
      </c>
      <c r="E691" t="n">
        <v>4989127.78</v>
      </c>
      <c r="F691" t="n">
        <v>41403627.46</v>
      </c>
      <c r="G691" t="inlineStr"/>
      <c r="H691" t="n">
        <v>934.7424</v>
      </c>
      <c r="I691" t="n">
        <v>405.3859</v>
      </c>
      <c r="J691" t="n">
        <v>2409.031</v>
      </c>
      <c r="K691" t="inlineStr"/>
      <c r="L691" t="inlineStr"/>
      <c r="M691" t="inlineStr"/>
      <c r="N691" t="inlineStr"/>
      <c r="O691" t="n">
        <v>2019</v>
      </c>
      <c r="P691" t="n">
        <v>2035</v>
      </c>
      <c r="Q691" t="n">
        <v>0.5229</v>
      </c>
      <c r="R691" t="n">
        <v>506.3191</v>
      </c>
      <c r="S691" t="n">
        <v>0.00100149</v>
      </c>
      <c r="T691" t="n">
        <v>0.00047124</v>
      </c>
      <c r="U691" t="n">
        <v>3749.1593</v>
      </c>
      <c r="V691" t="inlineStr">
        <is>
          <t>Scope 1 + Scope 2 + Scope 3</t>
        </is>
      </c>
      <c r="W691" t="b">
        <v>1</v>
      </c>
      <c r="X691" t="inlineStr">
        <is>
          <t>High</t>
        </is>
      </c>
      <c r="Y691" t="inlineStr">
        <is>
          <t>Reported_Emissions</t>
        </is>
      </c>
      <c r="Z691" t="n">
        <v>0.88</v>
      </c>
      <c r="AA691" t="inlineStr">
        <is>
          <t>Valid</t>
        </is>
      </c>
    </row>
    <row r="692">
      <c r="A692" t="inlineStr">
        <is>
          <t>SUP-0070</t>
        </is>
      </c>
      <c r="B692" t="inlineStr">
        <is>
          <t>Agriculture Supplier 070</t>
        </is>
      </c>
      <c r="C692" t="inlineStr">
        <is>
          <t>Agriculture</t>
        </is>
      </c>
      <c r="D692" t="n">
        <v>2015</v>
      </c>
      <c r="E692" t="n">
        <v>19395262.94</v>
      </c>
      <c r="F692" t="n">
        <v>130269975.15</v>
      </c>
      <c r="G692" t="n">
        <v>24461.7334</v>
      </c>
      <c r="H692" t="n">
        <v>4131.291</v>
      </c>
      <c r="I692" t="n">
        <v>4506.9951</v>
      </c>
      <c r="J692" t="inlineStr"/>
      <c r="K692" t="n">
        <v>2020</v>
      </c>
      <c r="L692" t="n">
        <v>2035</v>
      </c>
      <c r="M692" t="n">
        <v>0.5262</v>
      </c>
      <c r="N692" t="n">
        <v>0.2341</v>
      </c>
      <c r="O692" t="n">
        <v>2018</v>
      </c>
      <c r="P692" t="inlineStr"/>
      <c r="Q692" t="inlineStr"/>
      <c r="R692" t="n">
        <v>529.8294</v>
      </c>
      <c r="S692" t="n">
        <v>0.00091413</v>
      </c>
      <c r="T692" t="n">
        <v>0.00096913</v>
      </c>
      <c r="U692" t="n">
        <v>24461.7334</v>
      </c>
      <c r="V692" t="inlineStr">
        <is>
          <t>Supplier Reported Emissions</t>
        </is>
      </c>
      <c r="W692" t="b">
        <v>0</v>
      </c>
      <c r="X692" t="inlineStr">
        <is>
          <t>High</t>
        </is>
      </c>
      <c r="Y692" t="inlineStr">
        <is>
          <t>Scope_Emissions</t>
        </is>
      </c>
      <c r="Z692" t="n">
        <v>0.95</v>
      </c>
      <c r="AA692" t="inlineStr">
        <is>
          <t>Valid</t>
        </is>
      </c>
    </row>
    <row r="693">
      <c r="A693" t="inlineStr">
        <is>
          <t>SUP-0070</t>
        </is>
      </c>
      <c r="B693" t="inlineStr">
        <is>
          <t>Agriculture Supplier 070</t>
        </is>
      </c>
      <c r="C693" t="inlineStr">
        <is>
          <t>Agriculture</t>
        </is>
      </c>
      <c r="D693" t="n">
        <v>2016</v>
      </c>
      <c r="E693" t="n">
        <v>16936218.68</v>
      </c>
      <c r="F693" t="n">
        <v>123280443.97</v>
      </c>
      <c r="G693" t="inlineStr"/>
      <c r="H693" t="n">
        <v>2248.921</v>
      </c>
      <c r="I693" t="n">
        <v>3543.4012</v>
      </c>
      <c r="J693" t="n">
        <v>14027.048</v>
      </c>
      <c r="K693" t="n">
        <v>2020</v>
      </c>
      <c r="L693" t="n">
        <v>2035</v>
      </c>
      <c r="M693" t="n">
        <v>0.5262</v>
      </c>
      <c r="N693" t="n">
        <v>0.2341</v>
      </c>
      <c r="O693" t="n">
        <v>2018</v>
      </c>
      <c r="P693" t="inlineStr"/>
      <c r="Q693" t="inlineStr"/>
      <c r="R693" t="n">
        <v>529.8294</v>
      </c>
      <c r="S693" t="n">
        <v>0.00091413</v>
      </c>
      <c r="T693" t="n">
        <v>0.00096913</v>
      </c>
      <c r="U693" t="n">
        <v>19819.3702</v>
      </c>
      <c r="V693" t="inlineStr">
        <is>
          <t>Scope 1 + Scope 2 + Scope 3</t>
        </is>
      </c>
      <c r="W693" t="b">
        <v>1</v>
      </c>
      <c r="X693" t="inlineStr">
        <is>
          <t>High</t>
        </is>
      </c>
      <c r="Y693" t="inlineStr">
        <is>
          <t>Reported_Emissions</t>
        </is>
      </c>
      <c r="Z693" t="n">
        <v>0.88</v>
      </c>
      <c r="AA693" t="inlineStr">
        <is>
          <t>Valid</t>
        </is>
      </c>
    </row>
    <row r="694">
      <c r="A694" t="inlineStr">
        <is>
          <t>SUP-0070</t>
        </is>
      </c>
      <c r="B694" t="inlineStr">
        <is>
          <t>Agriculture Supplier 070</t>
        </is>
      </c>
      <c r="C694" t="inlineStr">
        <is>
          <t>Agriculture</t>
        </is>
      </c>
      <c r="D694" t="n">
        <v>2017</v>
      </c>
      <c r="E694" t="n">
        <v>21240569.64</v>
      </c>
      <c r="F694" t="n">
        <v>127182717.81</v>
      </c>
      <c r="G694" t="n">
        <v>22341.1294</v>
      </c>
      <c r="H694" t="n">
        <v>3367.6473</v>
      </c>
      <c r="I694" t="inlineStr"/>
      <c r="J694" t="inlineStr"/>
      <c r="K694" t="n">
        <v>2020</v>
      </c>
      <c r="L694" t="n">
        <v>2035</v>
      </c>
      <c r="M694" t="n">
        <v>0.5262</v>
      </c>
      <c r="N694" t="n">
        <v>0.2341</v>
      </c>
      <c r="O694" t="n">
        <v>2018</v>
      </c>
      <c r="P694" t="inlineStr"/>
      <c r="Q694" t="inlineStr"/>
      <c r="R694" t="n">
        <v>529.8294</v>
      </c>
      <c r="S694" t="n">
        <v>0.00091413</v>
      </c>
      <c r="T694" t="n">
        <v>0.00096913</v>
      </c>
      <c r="U694" t="n">
        <v>22341.1294</v>
      </c>
      <c r="V694" t="inlineStr">
        <is>
          <t>Supplier Reported Emissions</t>
        </is>
      </c>
      <c r="W694" t="b">
        <v>0</v>
      </c>
      <c r="X694" t="inlineStr">
        <is>
          <t>High</t>
        </is>
      </c>
      <c r="Y694" t="inlineStr">
        <is>
          <t>Scope_Emissions</t>
        </is>
      </c>
      <c r="Z694" t="n">
        <v>0.95</v>
      </c>
      <c r="AA694" t="inlineStr">
        <is>
          <t>Valid</t>
        </is>
      </c>
    </row>
    <row r="695">
      <c r="A695" t="inlineStr">
        <is>
          <t>SUP-0070</t>
        </is>
      </c>
      <c r="B695" t="inlineStr">
        <is>
          <t>Agriculture Supplier 070</t>
        </is>
      </c>
      <c r="C695" t="inlineStr">
        <is>
          <t>Agriculture</t>
        </is>
      </c>
      <c r="D695" t="n">
        <v>2018</v>
      </c>
      <c r="E695" t="n">
        <v>19326059.81</v>
      </c>
      <c r="F695" t="n">
        <v>113328465.47</v>
      </c>
      <c r="G695" t="n">
        <v>19991.8502</v>
      </c>
      <c r="H695" t="n">
        <v>2622.9707</v>
      </c>
      <c r="I695" t="n">
        <v>1676.6589</v>
      </c>
      <c r="J695" t="n">
        <v>15590.0871</v>
      </c>
      <c r="K695" t="n">
        <v>2020</v>
      </c>
      <c r="L695" t="n">
        <v>2035</v>
      </c>
      <c r="M695" t="n">
        <v>0.5262</v>
      </c>
      <c r="N695" t="n">
        <v>0.2341</v>
      </c>
      <c r="O695" t="n">
        <v>2018</v>
      </c>
      <c r="P695" t="inlineStr"/>
      <c r="Q695" t="inlineStr"/>
      <c r="R695" t="n">
        <v>529.8294</v>
      </c>
      <c r="S695" t="n">
        <v>0.00091413</v>
      </c>
      <c r="T695" t="n">
        <v>0.00096913</v>
      </c>
      <c r="U695" t="n">
        <v>19991.8502</v>
      </c>
      <c r="V695" t="inlineStr">
        <is>
          <t>Supplier Reported Emissions</t>
        </is>
      </c>
      <c r="W695" t="b">
        <v>0</v>
      </c>
      <c r="X695" t="inlineStr">
        <is>
          <t>High</t>
        </is>
      </c>
      <c r="Y695" t="inlineStr">
        <is>
          <t>None</t>
        </is>
      </c>
      <c r="Z695" t="n">
        <v>0.95</v>
      </c>
      <c r="AA695" t="inlineStr">
        <is>
          <t>Valid</t>
        </is>
      </c>
    </row>
    <row r="696">
      <c r="A696" t="inlineStr">
        <is>
          <t>SUP-0070</t>
        </is>
      </c>
      <c r="B696" t="inlineStr">
        <is>
          <t>Agriculture Supplier 070</t>
        </is>
      </c>
      <c r="C696" t="inlineStr">
        <is>
          <t>Agriculture</t>
        </is>
      </c>
      <c r="D696" t="n">
        <v>2019</v>
      </c>
      <c r="E696" t="n">
        <v>23932031.71</v>
      </c>
      <c r="F696" t="n">
        <v>135840358.84</v>
      </c>
      <c r="G696" t="n">
        <v>22948.0164</v>
      </c>
      <c r="H696" t="n">
        <v>2179.8962</v>
      </c>
      <c r="I696" t="n">
        <v>3857.8225</v>
      </c>
      <c r="J696" t="n">
        <v>17081.9953</v>
      </c>
      <c r="K696" t="n">
        <v>2020</v>
      </c>
      <c r="L696" t="n">
        <v>2035</v>
      </c>
      <c r="M696" t="n">
        <v>0.5262</v>
      </c>
      <c r="N696" t="n">
        <v>0.2341</v>
      </c>
      <c r="O696" t="n">
        <v>2018</v>
      </c>
      <c r="P696" t="inlineStr"/>
      <c r="Q696" t="inlineStr"/>
      <c r="R696" t="n">
        <v>529.8294</v>
      </c>
      <c r="S696" t="n">
        <v>0.00091413</v>
      </c>
      <c r="T696" t="n">
        <v>0.00096913</v>
      </c>
      <c r="U696" t="n">
        <v>22948.0164</v>
      </c>
      <c r="V696" t="inlineStr">
        <is>
          <t>Supplier Reported Emissions</t>
        </is>
      </c>
      <c r="W696" t="b">
        <v>0</v>
      </c>
      <c r="X696" t="inlineStr">
        <is>
          <t>High</t>
        </is>
      </c>
      <c r="Y696" t="inlineStr">
        <is>
          <t>None</t>
        </is>
      </c>
      <c r="Z696" t="n">
        <v>0.95</v>
      </c>
      <c r="AA696" t="inlineStr">
        <is>
          <t>Valid</t>
        </is>
      </c>
    </row>
    <row r="697">
      <c r="A697" t="inlineStr">
        <is>
          <t>SUP-0070</t>
        </is>
      </c>
      <c r="B697" t="inlineStr">
        <is>
          <t>Agriculture Supplier 070</t>
        </is>
      </c>
      <c r="C697" t="inlineStr">
        <is>
          <t>Agriculture</t>
        </is>
      </c>
      <c r="D697" t="n">
        <v>2020</v>
      </c>
      <c r="E697" t="n">
        <v>21226253.26</v>
      </c>
      <c r="F697" t="n">
        <v>180647163.17</v>
      </c>
      <c r="G697" t="inlineStr"/>
      <c r="H697" t="n">
        <v>3921.3942</v>
      </c>
      <c r="I697" t="n">
        <v>4122.3014</v>
      </c>
      <c r="J697" t="n">
        <v>12479.4447</v>
      </c>
      <c r="K697" t="n">
        <v>2020</v>
      </c>
      <c r="L697" t="n">
        <v>2035</v>
      </c>
      <c r="M697" t="n">
        <v>0.5262</v>
      </c>
      <c r="N697" t="n">
        <v>0.2341</v>
      </c>
      <c r="O697" t="n">
        <v>2018</v>
      </c>
      <c r="P697" t="inlineStr"/>
      <c r="Q697" t="inlineStr"/>
      <c r="R697" t="n">
        <v>529.8294</v>
      </c>
      <c r="S697" t="n">
        <v>0.00091413</v>
      </c>
      <c r="T697" t="n">
        <v>0.00096913</v>
      </c>
      <c r="U697" t="n">
        <v>20523.1403</v>
      </c>
      <c r="V697" t="inlineStr">
        <is>
          <t>Scope 1 + Scope 2 + Scope 3</t>
        </is>
      </c>
      <c r="W697" t="b">
        <v>1</v>
      </c>
      <c r="X697" t="inlineStr">
        <is>
          <t>High</t>
        </is>
      </c>
      <c r="Y697" t="inlineStr">
        <is>
          <t>Reported_Emissions</t>
        </is>
      </c>
      <c r="Z697" t="n">
        <v>0.88</v>
      </c>
      <c r="AA697" t="inlineStr">
        <is>
          <t>Valid</t>
        </is>
      </c>
    </row>
    <row r="698">
      <c r="A698" t="inlineStr">
        <is>
          <t>SUP-0070</t>
        </is>
      </c>
      <c r="B698" t="inlineStr">
        <is>
          <t>Agriculture Supplier 070</t>
        </is>
      </c>
      <c r="C698" t="inlineStr">
        <is>
          <t>Agriculture</t>
        </is>
      </c>
      <c r="D698" t="n">
        <v>2021</v>
      </c>
      <c r="E698" t="inlineStr"/>
      <c r="F698" t="inlineStr"/>
      <c r="G698" t="n">
        <v>19564.68</v>
      </c>
      <c r="H698" t="inlineStr"/>
      <c r="I698" t="inlineStr"/>
      <c r="J698" t="n">
        <v>10513.4899</v>
      </c>
      <c r="K698" t="n">
        <v>2020</v>
      </c>
      <c r="L698" t="n">
        <v>2035</v>
      </c>
      <c r="M698" t="n">
        <v>0.5262</v>
      </c>
      <c r="N698" t="n">
        <v>0.2341</v>
      </c>
      <c r="O698" t="n">
        <v>2018</v>
      </c>
      <c r="P698" t="inlineStr"/>
      <c r="Q698" t="inlineStr"/>
      <c r="R698" t="n">
        <v>529.8294</v>
      </c>
      <c r="S698" t="n">
        <v>0.00091413</v>
      </c>
      <c r="T698" t="n">
        <v>0.00096913</v>
      </c>
      <c r="U698" t="n">
        <v>19564.68</v>
      </c>
      <c r="V698" t="inlineStr">
        <is>
          <t>Supplier Reported Emissions</t>
        </is>
      </c>
      <c r="W698" t="b">
        <v>0</v>
      </c>
      <c r="X698" t="inlineStr">
        <is>
          <t>High</t>
        </is>
      </c>
      <c r="Y698" t="inlineStr">
        <is>
          <t>Gross_Spend; Revenue; Scope_Emissions</t>
        </is>
      </c>
      <c r="Z698" t="n">
        <v>0.95</v>
      </c>
      <c r="AA698" t="inlineStr">
        <is>
          <t>Valid</t>
        </is>
      </c>
    </row>
    <row r="699">
      <c r="A699" t="inlineStr">
        <is>
          <t>SUP-0070</t>
        </is>
      </c>
      <c r="B699" t="inlineStr">
        <is>
          <t>Agriculture Supplier 070</t>
        </is>
      </c>
      <c r="C699" t="inlineStr">
        <is>
          <t>Agriculture</t>
        </is>
      </c>
      <c r="D699" t="n">
        <v>2022</v>
      </c>
      <c r="E699" t="n">
        <v>22876604.92</v>
      </c>
      <c r="F699" t="n">
        <v>157272303.53</v>
      </c>
      <c r="G699" t="inlineStr"/>
      <c r="H699" t="n">
        <v>4182.2607</v>
      </c>
      <c r="I699" t="inlineStr"/>
      <c r="J699" t="inlineStr"/>
      <c r="K699" t="n">
        <v>2020</v>
      </c>
      <c r="L699" t="n">
        <v>2035</v>
      </c>
      <c r="M699" t="n">
        <v>0.5262</v>
      </c>
      <c r="N699" t="n">
        <v>0.2341</v>
      </c>
      <c r="O699" t="n">
        <v>2018</v>
      </c>
      <c r="P699" t="inlineStr"/>
      <c r="Q699" t="inlineStr"/>
      <c r="R699" t="n">
        <v>529.8294</v>
      </c>
      <c r="S699" t="n">
        <v>0.00091413</v>
      </c>
      <c r="T699" t="n">
        <v>0.00096913</v>
      </c>
      <c r="U699" t="n">
        <v>20912.1909</v>
      </c>
      <c r="V699" t="inlineStr">
        <is>
          <t>Spend-Based Estimate</t>
        </is>
      </c>
      <c r="W699" t="b">
        <v>1</v>
      </c>
      <c r="X699" t="inlineStr">
        <is>
          <t>Medium</t>
        </is>
      </c>
      <c r="Y699" t="inlineStr">
        <is>
          <t>Reported_Emissions; Scope_Emissions</t>
        </is>
      </c>
      <c r="Z699" t="n">
        <v>0.7</v>
      </c>
      <c r="AA699" t="inlineStr">
        <is>
          <t>Valid</t>
        </is>
      </c>
    </row>
    <row r="700">
      <c r="A700" t="inlineStr">
        <is>
          <t>SUP-0070</t>
        </is>
      </c>
      <c r="B700" t="inlineStr">
        <is>
          <t>Agriculture Supplier 070</t>
        </is>
      </c>
      <c r="C700" t="inlineStr">
        <is>
          <t>Agriculture</t>
        </is>
      </c>
      <c r="D700" t="n">
        <v>2023</v>
      </c>
      <c r="E700" t="n">
        <v>20859072.28</v>
      </c>
      <c r="F700" t="n">
        <v>127574943.96</v>
      </c>
      <c r="G700" t="n">
        <v>16617.9675</v>
      </c>
      <c r="H700" t="n">
        <v>2684.4446</v>
      </c>
      <c r="I700" t="n">
        <v>3421.2089</v>
      </c>
      <c r="J700" t="n">
        <v>9929.484</v>
      </c>
      <c r="K700" t="n">
        <v>2020</v>
      </c>
      <c r="L700" t="n">
        <v>2035</v>
      </c>
      <c r="M700" t="n">
        <v>0.5262</v>
      </c>
      <c r="N700" t="n">
        <v>0.2341</v>
      </c>
      <c r="O700" t="n">
        <v>2018</v>
      </c>
      <c r="P700" t="inlineStr"/>
      <c r="Q700" t="inlineStr"/>
      <c r="R700" t="n">
        <v>529.8294</v>
      </c>
      <c r="S700" t="n">
        <v>0.00091413</v>
      </c>
      <c r="T700" t="n">
        <v>0.00096913</v>
      </c>
      <c r="U700" t="n">
        <v>16617.9675</v>
      </c>
      <c r="V700" t="inlineStr">
        <is>
          <t>Supplier Reported Emissions</t>
        </is>
      </c>
      <c r="W700" t="b">
        <v>0</v>
      </c>
      <c r="X700" t="inlineStr">
        <is>
          <t>High</t>
        </is>
      </c>
      <c r="Y700" t="inlineStr">
        <is>
          <t>None</t>
        </is>
      </c>
      <c r="Z700" t="n">
        <v>0.95</v>
      </c>
      <c r="AA700" t="inlineStr">
        <is>
          <t>Valid</t>
        </is>
      </c>
    </row>
    <row r="701">
      <c r="A701" t="inlineStr">
        <is>
          <t>SUP-0070</t>
        </is>
      </c>
      <c r="B701" t="inlineStr">
        <is>
          <t>Agriculture Supplier 070</t>
        </is>
      </c>
      <c r="C701" t="inlineStr">
        <is>
          <t>Agriculture</t>
        </is>
      </c>
      <c r="D701" t="n">
        <v>2024</v>
      </c>
      <c r="E701" t="n">
        <v>20402329.13</v>
      </c>
      <c r="F701" t="n">
        <v>136165393.76</v>
      </c>
      <c r="G701" t="inlineStr"/>
      <c r="H701" t="inlineStr"/>
      <c r="I701" t="inlineStr"/>
      <c r="J701" t="n">
        <v>13301.1313</v>
      </c>
      <c r="K701" t="n">
        <v>2020</v>
      </c>
      <c r="L701" t="n">
        <v>2035</v>
      </c>
      <c r="M701" t="n">
        <v>0.5262</v>
      </c>
      <c r="N701" t="n">
        <v>0.2341</v>
      </c>
      <c r="O701" t="n">
        <v>2018</v>
      </c>
      <c r="P701" t="inlineStr"/>
      <c r="Q701" t="inlineStr"/>
      <c r="R701" t="n">
        <v>529.8294</v>
      </c>
      <c r="S701" t="n">
        <v>0.00091413</v>
      </c>
      <c r="T701" t="n">
        <v>0.00096913</v>
      </c>
      <c r="U701" t="n">
        <v>18650.3811</v>
      </c>
      <c r="V701" t="inlineStr">
        <is>
          <t>Spend-Based Estimate</t>
        </is>
      </c>
      <c r="W701" t="b">
        <v>1</v>
      </c>
      <c r="X701" t="inlineStr">
        <is>
          <t>Medium</t>
        </is>
      </c>
      <c r="Y701" t="inlineStr">
        <is>
          <t>Reported_Emissions; Scope_Emissions</t>
        </is>
      </c>
      <c r="Z701" t="n">
        <v>0.7</v>
      </c>
      <c r="AA701" t="inlineStr">
        <is>
          <t>Valid</t>
        </is>
      </c>
    </row>
    <row r="702">
      <c r="A702" t="inlineStr">
        <is>
          <t>SUP-0071</t>
        </is>
      </c>
      <c r="B702" t="inlineStr">
        <is>
          <t>Chemicals Supplier 071</t>
        </is>
      </c>
      <c r="C702" t="inlineStr">
        <is>
          <t>Chemicals</t>
        </is>
      </c>
      <c r="D702" t="n">
        <v>2015</v>
      </c>
      <c r="E702" t="n">
        <v>16291949.99</v>
      </c>
      <c r="F702" t="n">
        <v>80820761.01000001</v>
      </c>
      <c r="G702" t="n">
        <v>11565.1814</v>
      </c>
      <c r="H702" t="n">
        <v>2773.0663</v>
      </c>
      <c r="I702" t="inlineStr"/>
      <c r="J702" t="n">
        <v>8577.0934</v>
      </c>
      <c r="K702" t="n">
        <v>2021</v>
      </c>
      <c r="L702" t="n">
        <v>2040</v>
      </c>
      <c r="M702" t="n">
        <v>0.5246</v>
      </c>
      <c r="N702" t="n">
        <v>0.2891</v>
      </c>
      <c r="O702" t="n">
        <v>2019</v>
      </c>
      <c r="P702" t="n">
        <v>2035</v>
      </c>
      <c r="Q702" t="n">
        <v>0.5229</v>
      </c>
      <c r="R702" t="n">
        <v>506.3191</v>
      </c>
      <c r="S702" t="n">
        <v>0.00100149</v>
      </c>
      <c r="T702" t="n">
        <v>0.00047124</v>
      </c>
      <c r="U702" t="n">
        <v>11565.1814</v>
      </c>
      <c r="V702" t="inlineStr">
        <is>
          <t>Supplier Reported Emissions</t>
        </is>
      </c>
      <c r="W702" t="b">
        <v>0</v>
      </c>
      <c r="X702" t="inlineStr">
        <is>
          <t>High</t>
        </is>
      </c>
      <c r="Y702" t="inlineStr">
        <is>
          <t>Scope_Emissions</t>
        </is>
      </c>
      <c r="Z702" t="n">
        <v>0.95</v>
      </c>
      <c r="AA702" t="inlineStr">
        <is>
          <t>Valid</t>
        </is>
      </c>
    </row>
    <row r="703">
      <c r="A703" t="inlineStr">
        <is>
          <t>SUP-0071</t>
        </is>
      </c>
      <c r="B703" t="inlineStr">
        <is>
          <t>Chemicals Supplier 071</t>
        </is>
      </c>
      <c r="C703" t="inlineStr">
        <is>
          <t>Chemicals</t>
        </is>
      </c>
      <c r="D703" t="n">
        <v>2016</v>
      </c>
      <c r="E703" t="n">
        <v>18391853.74</v>
      </c>
      <c r="F703" t="n">
        <v>70914475.59999999</v>
      </c>
      <c r="G703" t="n">
        <v>13368.8852</v>
      </c>
      <c r="H703" t="n">
        <v>1912.9416</v>
      </c>
      <c r="I703" t="n">
        <v>2355.0294</v>
      </c>
      <c r="J703" t="n">
        <v>9960.7168</v>
      </c>
      <c r="K703" t="n">
        <v>2021</v>
      </c>
      <c r="L703" t="n">
        <v>2040</v>
      </c>
      <c r="M703" t="n">
        <v>0.5246</v>
      </c>
      <c r="N703" t="n">
        <v>0.2891</v>
      </c>
      <c r="O703" t="n">
        <v>2019</v>
      </c>
      <c r="P703" t="n">
        <v>2035</v>
      </c>
      <c r="Q703" t="n">
        <v>0.5229</v>
      </c>
      <c r="R703" t="n">
        <v>506.3191</v>
      </c>
      <c r="S703" t="n">
        <v>0.00100149</v>
      </c>
      <c r="T703" t="n">
        <v>0.00047124</v>
      </c>
      <c r="U703" t="n">
        <v>13368.8852</v>
      </c>
      <c r="V703" t="inlineStr">
        <is>
          <t>Supplier Reported Emissions</t>
        </is>
      </c>
      <c r="W703" t="b">
        <v>0</v>
      </c>
      <c r="X703" t="inlineStr">
        <is>
          <t>High</t>
        </is>
      </c>
      <c r="Y703" t="inlineStr">
        <is>
          <t>None</t>
        </is>
      </c>
      <c r="Z703" t="n">
        <v>0.95</v>
      </c>
      <c r="AA703" t="inlineStr">
        <is>
          <t>Valid</t>
        </is>
      </c>
    </row>
    <row r="704">
      <c r="A704" t="inlineStr">
        <is>
          <t>SUP-0071</t>
        </is>
      </c>
      <c r="B704" t="inlineStr">
        <is>
          <t>Chemicals Supplier 071</t>
        </is>
      </c>
      <c r="C704" t="inlineStr">
        <is>
          <t>Chemicals</t>
        </is>
      </c>
      <c r="D704" t="n">
        <v>2017</v>
      </c>
      <c r="E704" t="n">
        <v>20625713.54</v>
      </c>
      <c r="F704" t="n">
        <v>71674210.15000001</v>
      </c>
      <c r="G704" t="n">
        <v>15923.4663</v>
      </c>
      <c r="H704" t="n">
        <v>1775.6846</v>
      </c>
      <c r="I704" t="n">
        <v>3554.7134</v>
      </c>
      <c r="J704" t="n">
        <v>11251.8644</v>
      </c>
      <c r="K704" t="n">
        <v>2021</v>
      </c>
      <c r="L704" t="n">
        <v>2040</v>
      </c>
      <c r="M704" t="n">
        <v>0.5246</v>
      </c>
      <c r="N704" t="n">
        <v>0.2891</v>
      </c>
      <c r="O704" t="n">
        <v>2019</v>
      </c>
      <c r="P704" t="n">
        <v>2035</v>
      </c>
      <c r="Q704" t="n">
        <v>0.5229</v>
      </c>
      <c r="R704" t="n">
        <v>506.3191</v>
      </c>
      <c r="S704" t="n">
        <v>0.00100149</v>
      </c>
      <c r="T704" t="n">
        <v>0.00047124</v>
      </c>
      <c r="U704" t="n">
        <v>15923.4663</v>
      </c>
      <c r="V704" t="inlineStr">
        <is>
          <t>Supplier Reported Emissions</t>
        </is>
      </c>
      <c r="W704" t="b">
        <v>0</v>
      </c>
      <c r="X704" t="inlineStr">
        <is>
          <t>High</t>
        </is>
      </c>
      <c r="Y704" t="inlineStr">
        <is>
          <t>None</t>
        </is>
      </c>
      <c r="Z704" t="n">
        <v>0.95</v>
      </c>
      <c r="AA704" t="inlineStr">
        <is>
          <t>Valid</t>
        </is>
      </c>
    </row>
    <row r="705">
      <c r="A705" t="inlineStr">
        <is>
          <t>SUP-0071</t>
        </is>
      </c>
      <c r="B705" t="inlineStr">
        <is>
          <t>Chemicals Supplier 071</t>
        </is>
      </c>
      <c r="C705" t="inlineStr">
        <is>
          <t>Chemicals</t>
        </is>
      </c>
      <c r="D705" t="n">
        <v>2018</v>
      </c>
      <c r="E705" t="inlineStr"/>
      <c r="F705" t="n">
        <v>73342617.52</v>
      </c>
      <c r="G705" t="inlineStr"/>
      <c r="H705" t="n">
        <v>3615.8135</v>
      </c>
      <c r="I705" t="inlineStr"/>
      <c r="J705" t="inlineStr"/>
      <c r="K705" t="n">
        <v>2021</v>
      </c>
      <c r="L705" t="n">
        <v>2040</v>
      </c>
      <c r="M705" t="n">
        <v>0.5246</v>
      </c>
      <c r="N705" t="n">
        <v>0.2891</v>
      </c>
      <c r="O705" t="n">
        <v>2019</v>
      </c>
      <c r="P705" t="n">
        <v>2035</v>
      </c>
      <c r="Q705" t="n">
        <v>0.5229</v>
      </c>
      <c r="R705" t="n">
        <v>506.3191</v>
      </c>
      <c r="S705" t="n">
        <v>0.00100149</v>
      </c>
      <c r="T705" t="n">
        <v>0.00047124</v>
      </c>
      <c r="U705" t="n">
        <v>34561.9751</v>
      </c>
      <c r="V705" t="inlineStr">
        <is>
          <t>Revenue-Based Estimate</t>
        </is>
      </c>
      <c r="W705" t="b">
        <v>1</v>
      </c>
      <c r="X705" t="inlineStr">
        <is>
          <t>Medium-Low</t>
        </is>
      </c>
      <c r="Y705" t="inlineStr">
        <is>
          <t>Gross_Spend; Reported_Emissions; Scope_Emissions</t>
        </is>
      </c>
      <c r="Z705" t="n">
        <v>0.6</v>
      </c>
      <c r="AA705" t="inlineStr">
        <is>
          <t>Valid</t>
        </is>
      </c>
    </row>
    <row r="706">
      <c r="A706" t="inlineStr">
        <is>
          <t>SUP-0071</t>
        </is>
      </c>
      <c r="B706" t="inlineStr">
        <is>
          <t>Chemicals Supplier 071</t>
        </is>
      </c>
      <c r="C706" t="inlineStr">
        <is>
          <t>Chemicals</t>
        </is>
      </c>
      <c r="D706" t="n">
        <v>2019</v>
      </c>
      <c r="E706" t="n">
        <v>19751397.94</v>
      </c>
      <c r="F706" t="n">
        <v>68880771.25</v>
      </c>
      <c r="G706" t="n">
        <v>15583.5753</v>
      </c>
      <c r="H706" t="n">
        <v>2076.0099</v>
      </c>
      <c r="I706" t="n">
        <v>3015.7338</v>
      </c>
      <c r="J706" t="n">
        <v>11457.8471</v>
      </c>
      <c r="K706" t="n">
        <v>2021</v>
      </c>
      <c r="L706" t="n">
        <v>2040</v>
      </c>
      <c r="M706" t="n">
        <v>0.5246</v>
      </c>
      <c r="N706" t="n">
        <v>0.2891</v>
      </c>
      <c r="O706" t="n">
        <v>2019</v>
      </c>
      <c r="P706" t="n">
        <v>2035</v>
      </c>
      <c r="Q706" t="n">
        <v>0.5229</v>
      </c>
      <c r="R706" t="n">
        <v>506.3191</v>
      </c>
      <c r="S706" t="n">
        <v>0.00100149</v>
      </c>
      <c r="T706" t="n">
        <v>0.00047124</v>
      </c>
      <c r="U706" t="n">
        <v>15583.5753</v>
      </c>
      <c r="V706" t="inlineStr">
        <is>
          <t>Supplier Reported Emissions</t>
        </is>
      </c>
      <c r="W706" t="b">
        <v>0</v>
      </c>
      <c r="X706" t="inlineStr">
        <is>
          <t>High</t>
        </is>
      </c>
      <c r="Y706" t="inlineStr">
        <is>
          <t>None</t>
        </is>
      </c>
      <c r="Z706" t="n">
        <v>0.95</v>
      </c>
      <c r="AA706" t="inlineStr">
        <is>
          <t>Valid</t>
        </is>
      </c>
    </row>
    <row r="707">
      <c r="A707" t="inlineStr">
        <is>
          <t>SUP-0071</t>
        </is>
      </c>
      <c r="B707" t="inlineStr">
        <is>
          <t>Chemicals Supplier 071</t>
        </is>
      </c>
      <c r="C707" t="inlineStr">
        <is>
          <t>Chemicals</t>
        </is>
      </c>
      <c r="D707" t="n">
        <v>2020</v>
      </c>
      <c r="E707" t="n">
        <v>23580452.99</v>
      </c>
      <c r="F707" t="n">
        <v>96910142.92</v>
      </c>
      <c r="G707" t="n">
        <v>15821.2805</v>
      </c>
      <c r="H707" t="n">
        <v>2563.0061</v>
      </c>
      <c r="I707" t="n">
        <v>1545.2748</v>
      </c>
      <c r="J707" t="n">
        <v>11229.0888</v>
      </c>
      <c r="K707" t="n">
        <v>2021</v>
      </c>
      <c r="L707" t="n">
        <v>2040</v>
      </c>
      <c r="M707" t="n">
        <v>0.5246</v>
      </c>
      <c r="N707" t="n">
        <v>0.2891</v>
      </c>
      <c r="O707" t="n">
        <v>2019</v>
      </c>
      <c r="P707" t="n">
        <v>2035</v>
      </c>
      <c r="Q707" t="n">
        <v>0.5229</v>
      </c>
      <c r="R707" t="n">
        <v>506.3191</v>
      </c>
      <c r="S707" t="n">
        <v>0.00100149</v>
      </c>
      <c r="T707" t="n">
        <v>0.00047124</v>
      </c>
      <c r="U707" t="n">
        <v>15821.2805</v>
      </c>
      <c r="V707" t="inlineStr">
        <is>
          <t>Supplier Reported Emissions</t>
        </is>
      </c>
      <c r="W707" t="b">
        <v>0</v>
      </c>
      <c r="X707" t="inlineStr">
        <is>
          <t>High</t>
        </is>
      </c>
      <c r="Y707" t="inlineStr">
        <is>
          <t>None</t>
        </is>
      </c>
      <c r="Z707" t="n">
        <v>0.95</v>
      </c>
      <c r="AA707" t="inlineStr">
        <is>
          <t>Valid</t>
        </is>
      </c>
    </row>
    <row r="708">
      <c r="A708" t="inlineStr">
        <is>
          <t>SUP-0071</t>
        </is>
      </c>
      <c r="B708" t="inlineStr">
        <is>
          <t>Chemicals Supplier 071</t>
        </is>
      </c>
      <c r="C708" t="inlineStr">
        <is>
          <t>Chemicals</t>
        </is>
      </c>
      <c r="D708" t="n">
        <v>2021</v>
      </c>
      <c r="E708" t="n">
        <v>25981497.57</v>
      </c>
      <c r="F708" t="inlineStr"/>
      <c r="G708" t="n">
        <v>20288.1751</v>
      </c>
      <c r="H708" t="inlineStr"/>
      <c r="I708" t="n">
        <v>4515.1209</v>
      </c>
      <c r="J708" t="n">
        <v>10681.3642</v>
      </c>
      <c r="K708" t="n">
        <v>2021</v>
      </c>
      <c r="L708" t="n">
        <v>2040</v>
      </c>
      <c r="M708" t="n">
        <v>0.5246</v>
      </c>
      <c r="N708" t="n">
        <v>0.2891</v>
      </c>
      <c r="O708" t="n">
        <v>2019</v>
      </c>
      <c r="P708" t="n">
        <v>2035</v>
      </c>
      <c r="Q708" t="n">
        <v>0.5229</v>
      </c>
      <c r="R708" t="n">
        <v>506.3191</v>
      </c>
      <c r="S708" t="n">
        <v>0.00100149</v>
      </c>
      <c r="T708" t="n">
        <v>0.00047124</v>
      </c>
      <c r="U708" t="n">
        <v>20288.1751</v>
      </c>
      <c r="V708" t="inlineStr">
        <is>
          <t>Supplier Reported Emissions</t>
        </is>
      </c>
      <c r="W708" t="b">
        <v>0</v>
      </c>
      <c r="X708" t="inlineStr">
        <is>
          <t>High</t>
        </is>
      </c>
      <c r="Y708" t="inlineStr">
        <is>
          <t>Revenue; Scope_Emissions</t>
        </is>
      </c>
      <c r="Z708" t="n">
        <v>0.95</v>
      </c>
      <c r="AA708" t="inlineStr">
        <is>
          <t>Valid</t>
        </is>
      </c>
    </row>
    <row r="709">
      <c r="A709" t="inlineStr">
        <is>
          <t>SUP-0071</t>
        </is>
      </c>
      <c r="B709" t="inlineStr">
        <is>
          <t>Chemicals Supplier 071</t>
        </is>
      </c>
      <c r="C709" t="inlineStr">
        <is>
          <t>Chemicals</t>
        </is>
      </c>
      <c r="D709" t="n">
        <v>2022</v>
      </c>
      <c r="E709" t="n">
        <v>27167491.86</v>
      </c>
      <c r="F709" t="n">
        <v>100889970.21</v>
      </c>
      <c r="G709" t="n">
        <v>17977.059</v>
      </c>
      <c r="H709" t="n">
        <v>5342.5946</v>
      </c>
      <c r="I709" t="inlineStr"/>
      <c r="J709" t="inlineStr"/>
      <c r="K709" t="n">
        <v>2021</v>
      </c>
      <c r="L709" t="n">
        <v>2040</v>
      </c>
      <c r="M709" t="n">
        <v>0.5246</v>
      </c>
      <c r="N709" t="n">
        <v>0.2891</v>
      </c>
      <c r="O709" t="n">
        <v>2019</v>
      </c>
      <c r="P709" t="n">
        <v>2035</v>
      </c>
      <c r="Q709" t="n">
        <v>0.5229</v>
      </c>
      <c r="R709" t="n">
        <v>506.3191</v>
      </c>
      <c r="S709" t="n">
        <v>0.00100149</v>
      </c>
      <c r="T709" t="n">
        <v>0.00047124</v>
      </c>
      <c r="U709" t="n">
        <v>17977.059</v>
      </c>
      <c r="V709" t="inlineStr">
        <is>
          <t>Supplier Reported Emissions</t>
        </is>
      </c>
      <c r="W709" t="b">
        <v>0</v>
      </c>
      <c r="X709" t="inlineStr">
        <is>
          <t>High</t>
        </is>
      </c>
      <c r="Y709" t="inlineStr">
        <is>
          <t>Scope_Emissions</t>
        </is>
      </c>
      <c r="Z709" t="n">
        <v>0.95</v>
      </c>
      <c r="AA709" t="inlineStr">
        <is>
          <t>Valid</t>
        </is>
      </c>
    </row>
    <row r="710">
      <c r="A710" t="inlineStr">
        <is>
          <t>SUP-0071</t>
        </is>
      </c>
      <c r="B710" t="inlineStr">
        <is>
          <t>Chemicals Supplier 071</t>
        </is>
      </c>
      <c r="C710" t="inlineStr">
        <is>
          <t>Chemicals</t>
        </is>
      </c>
      <c r="D710" t="n">
        <v>2023</v>
      </c>
      <c r="E710" t="n">
        <v>28529757.38</v>
      </c>
      <c r="F710" t="n">
        <v>96909571.77</v>
      </c>
      <c r="G710" t="inlineStr"/>
      <c r="H710" t="n">
        <v>2656.8319</v>
      </c>
      <c r="I710" t="n">
        <v>1282.9998</v>
      </c>
      <c r="J710" t="n">
        <v>11645.9022</v>
      </c>
      <c r="K710" t="n">
        <v>2021</v>
      </c>
      <c r="L710" t="n">
        <v>2040</v>
      </c>
      <c r="M710" t="n">
        <v>0.5246</v>
      </c>
      <c r="N710" t="n">
        <v>0.2891</v>
      </c>
      <c r="O710" t="n">
        <v>2019</v>
      </c>
      <c r="P710" t="n">
        <v>2035</v>
      </c>
      <c r="Q710" t="n">
        <v>0.5229</v>
      </c>
      <c r="R710" t="n">
        <v>506.3191</v>
      </c>
      <c r="S710" t="n">
        <v>0.00100149</v>
      </c>
      <c r="T710" t="n">
        <v>0.00047124</v>
      </c>
      <c r="U710" t="n">
        <v>15585.7339</v>
      </c>
      <c r="V710" t="inlineStr">
        <is>
          <t>Scope 1 + Scope 2 + Scope 3</t>
        </is>
      </c>
      <c r="W710" t="b">
        <v>1</v>
      </c>
      <c r="X710" t="inlineStr">
        <is>
          <t>High</t>
        </is>
      </c>
      <c r="Y710" t="inlineStr">
        <is>
          <t>Reported_Emissions</t>
        </is>
      </c>
      <c r="Z710" t="n">
        <v>0.88</v>
      </c>
      <c r="AA710" t="inlineStr">
        <is>
          <t>Valid</t>
        </is>
      </c>
    </row>
    <row r="711">
      <c r="A711" t="inlineStr">
        <is>
          <t>SUP-0071</t>
        </is>
      </c>
      <c r="B711" t="inlineStr">
        <is>
          <t>Chemicals Supplier 071</t>
        </is>
      </c>
      <c r="C711" t="inlineStr">
        <is>
          <t>Chemicals</t>
        </is>
      </c>
      <c r="D711" t="n">
        <v>2024</v>
      </c>
      <c r="E711" t="n">
        <v>28905379.05</v>
      </c>
      <c r="F711" t="n">
        <v>124165340.47</v>
      </c>
      <c r="G711" t="inlineStr"/>
      <c r="H711" t="n">
        <v>3148.1573</v>
      </c>
      <c r="I711" t="n">
        <v>1669.6424</v>
      </c>
      <c r="J711" t="n">
        <v>16694.465</v>
      </c>
      <c r="K711" t="n">
        <v>2021</v>
      </c>
      <c r="L711" t="n">
        <v>2040</v>
      </c>
      <c r="M711" t="n">
        <v>0.5246</v>
      </c>
      <c r="N711" t="n">
        <v>0.2891</v>
      </c>
      <c r="O711" t="n">
        <v>2019</v>
      </c>
      <c r="P711" t="n">
        <v>2035</v>
      </c>
      <c r="Q711" t="n">
        <v>0.5229</v>
      </c>
      <c r="R711" t="n">
        <v>506.3191</v>
      </c>
      <c r="S711" t="n">
        <v>0.00100149</v>
      </c>
      <c r="T711" t="n">
        <v>0.00047124</v>
      </c>
      <c r="U711" t="n">
        <v>21512.2647</v>
      </c>
      <c r="V711" t="inlineStr">
        <is>
          <t>Scope 1 + Scope 2 + Scope 3</t>
        </is>
      </c>
      <c r="W711" t="b">
        <v>1</v>
      </c>
      <c r="X711" t="inlineStr">
        <is>
          <t>High</t>
        </is>
      </c>
      <c r="Y711" t="inlineStr">
        <is>
          <t>Reported_Emissions</t>
        </is>
      </c>
      <c r="Z711" t="n">
        <v>0.88</v>
      </c>
      <c r="AA711" t="inlineStr">
        <is>
          <t>Valid</t>
        </is>
      </c>
    </row>
    <row r="712">
      <c r="A712" t="inlineStr">
        <is>
          <t>SUP-0072</t>
        </is>
      </c>
      <c r="B712" t="inlineStr">
        <is>
          <t>Electronics Supplier 072</t>
        </is>
      </c>
      <c r="C712" t="inlineStr">
        <is>
          <t>Electronics</t>
        </is>
      </c>
      <c r="D712" t="n">
        <v>2015</v>
      </c>
      <c r="E712" t="n">
        <v>854714.88</v>
      </c>
      <c r="F712" t="n">
        <v>5658852.51</v>
      </c>
      <c r="G712" t="n">
        <v>912.7517</v>
      </c>
      <c r="H712" t="n">
        <v>95.9853</v>
      </c>
      <c r="I712" t="inlineStr"/>
      <c r="J712" t="n">
        <v>673.6884</v>
      </c>
      <c r="K712" t="n">
        <v>2018</v>
      </c>
      <c r="L712" t="n">
        <v>2040</v>
      </c>
      <c r="M712" t="n">
        <v>0.5726</v>
      </c>
      <c r="N712" t="n">
        <v>0.3086</v>
      </c>
      <c r="O712" t="n">
        <v>2018</v>
      </c>
      <c r="P712" t="n">
        <v>2040</v>
      </c>
      <c r="Q712" t="n">
        <v>0.3424</v>
      </c>
      <c r="R712" t="n">
        <v>635.1588</v>
      </c>
      <c r="S712" t="n">
        <v>0.00086105</v>
      </c>
      <c r="T712" t="n">
        <v>0.00013947</v>
      </c>
      <c r="U712" t="n">
        <v>912.7517</v>
      </c>
      <c r="V712" t="inlineStr">
        <is>
          <t>Supplier Reported Emissions</t>
        </is>
      </c>
      <c r="W712" t="b">
        <v>0</v>
      </c>
      <c r="X712" t="inlineStr">
        <is>
          <t>High</t>
        </is>
      </c>
      <c r="Y712" t="inlineStr">
        <is>
          <t>Scope_Emissions</t>
        </is>
      </c>
      <c r="Z712" t="n">
        <v>0.95</v>
      </c>
      <c r="AA712" t="inlineStr">
        <is>
          <t>Valid</t>
        </is>
      </c>
    </row>
    <row r="713">
      <c r="A713" t="inlineStr">
        <is>
          <t>SUP-0072</t>
        </is>
      </c>
      <c r="B713" t="inlineStr">
        <is>
          <t>Electronics Supplier 072</t>
        </is>
      </c>
      <c r="C713" t="inlineStr">
        <is>
          <t>Electronics</t>
        </is>
      </c>
      <c r="D713" t="n">
        <v>2016</v>
      </c>
      <c r="E713" t="n">
        <v>1100789.47</v>
      </c>
      <c r="F713" t="n">
        <v>5120720.4</v>
      </c>
      <c r="G713" t="n">
        <v>1090.1753</v>
      </c>
      <c r="H713" t="inlineStr"/>
      <c r="I713" t="n">
        <v>101.0171</v>
      </c>
      <c r="J713" t="n">
        <v>819.9851</v>
      </c>
      <c r="K713" t="n">
        <v>2018</v>
      </c>
      <c r="L713" t="n">
        <v>2040</v>
      </c>
      <c r="M713" t="n">
        <v>0.5726</v>
      </c>
      <c r="N713" t="n">
        <v>0.3086</v>
      </c>
      <c r="O713" t="n">
        <v>2018</v>
      </c>
      <c r="P713" t="n">
        <v>2040</v>
      </c>
      <c r="Q713" t="n">
        <v>0.3424</v>
      </c>
      <c r="R713" t="n">
        <v>635.1588</v>
      </c>
      <c r="S713" t="n">
        <v>0.00086105</v>
      </c>
      <c r="T713" t="n">
        <v>0.00013947</v>
      </c>
      <c r="U713" t="n">
        <v>1090.1753</v>
      </c>
      <c r="V713" t="inlineStr">
        <is>
          <t>Supplier Reported Emissions</t>
        </is>
      </c>
      <c r="W713" t="b">
        <v>0</v>
      </c>
      <c r="X713" t="inlineStr">
        <is>
          <t>High</t>
        </is>
      </c>
      <c r="Y713" t="inlineStr">
        <is>
          <t>Scope_Emissions</t>
        </is>
      </c>
      <c r="Z713" t="n">
        <v>0.95</v>
      </c>
      <c r="AA713" t="inlineStr">
        <is>
          <t>Valid</t>
        </is>
      </c>
    </row>
    <row r="714">
      <c r="A714" t="inlineStr">
        <is>
          <t>SUP-0072</t>
        </is>
      </c>
      <c r="B714" t="inlineStr">
        <is>
          <t>Electronics Supplier 072</t>
        </is>
      </c>
      <c r="C714" t="inlineStr">
        <is>
          <t>Electronics</t>
        </is>
      </c>
      <c r="D714" t="n">
        <v>2017</v>
      </c>
      <c r="E714" t="n">
        <v>1135621</v>
      </c>
      <c r="F714" t="n">
        <v>5642431.13</v>
      </c>
      <c r="G714" t="n">
        <v>999.6864</v>
      </c>
      <c r="H714" t="n">
        <v>186.661</v>
      </c>
      <c r="I714" t="n">
        <v>182.8807</v>
      </c>
      <c r="J714" t="n">
        <v>639.7144</v>
      </c>
      <c r="K714" t="n">
        <v>2018</v>
      </c>
      <c r="L714" t="n">
        <v>2040</v>
      </c>
      <c r="M714" t="n">
        <v>0.5726</v>
      </c>
      <c r="N714" t="n">
        <v>0.3086</v>
      </c>
      <c r="O714" t="n">
        <v>2018</v>
      </c>
      <c r="P714" t="n">
        <v>2040</v>
      </c>
      <c r="Q714" t="n">
        <v>0.3424</v>
      </c>
      <c r="R714" t="n">
        <v>635.1588</v>
      </c>
      <c r="S714" t="n">
        <v>0.00086105</v>
      </c>
      <c r="T714" t="n">
        <v>0.00013947</v>
      </c>
      <c r="U714" t="n">
        <v>999.6864</v>
      </c>
      <c r="V714" t="inlineStr">
        <is>
          <t>Supplier Reported Emissions</t>
        </is>
      </c>
      <c r="W714" t="b">
        <v>0</v>
      </c>
      <c r="X714" t="inlineStr">
        <is>
          <t>High</t>
        </is>
      </c>
      <c r="Y714" t="inlineStr">
        <is>
          <t>None</t>
        </is>
      </c>
      <c r="Z714" t="n">
        <v>0.95</v>
      </c>
      <c r="AA714" t="inlineStr">
        <is>
          <t>Valid</t>
        </is>
      </c>
    </row>
    <row r="715">
      <c r="A715" t="inlineStr">
        <is>
          <t>SUP-0072</t>
        </is>
      </c>
      <c r="B715" t="inlineStr">
        <is>
          <t>Electronics Supplier 072</t>
        </is>
      </c>
      <c r="C715" t="inlineStr">
        <is>
          <t>Electronics</t>
        </is>
      </c>
      <c r="D715" t="n">
        <v>2018</v>
      </c>
      <c r="E715" t="n">
        <v>1109698.95</v>
      </c>
      <c r="F715" t="n">
        <v>6154064.28</v>
      </c>
      <c r="G715" t="n">
        <v>1180.8962</v>
      </c>
      <c r="H715" t="n">
        <v>130.617</v>
      </c>
      <c r="I715" t="n">
        <v>163.8507</v>
      </c>
      <c r="J715" t="n">
        <v>820.9503</v>
      </c>
      <c r="K715" t="n">
        <v>2018</v>
      </c>
      <c r="L715" t="n">
        <v>2040</v>
      </c>
      <c r="M715" t="n">
        <v>0.5726</v>
      </c>
      <c r="N715" t="n">
        <v>0.3086</v>
      </c>
      <c r="O715" t="n">
        <v>2018</v>
      </c>
      <c r="P715" t="n">
        <v>2040</v>
      </c>
      <c r="Q715" t="n">
        <v>0.3424</v>
      </c>
      <c r="R715" t="n">
        <v>635.1588</v>
      </c>
      <c r="S715" t="n">
        <v>0.00086105</v>
      </c>
      <c r="T715" t="n">
        <v>0.00013947</v>
      </c>
      <c r="U715" t="n">
        <v>1180.8962</v>
      </c>
      <c r="V715" t="inlineStr">
        <is>
          <t>Supplier Reported Emissions</t>
        </is>
      </c>
      <c r="W715" t="b">
        <v>0</v>
      </c>
      <c r="X715" t="inlineStr">
        <is>
          <t>High</t>
        </is>
      </c>
      <c r="Y715" t="inlineStr">
        <is>
          <t>None</t>
        </is>
      </c>
      <c r="Z715" t="n">
        <v>0.95</v>
      </c>
      <c r="AA715" t="inlineStr">
        <is>
          <t>Valid</t>
        </is>
      </c>
    </row>
    <row r="716">
      <c r="A716" t="inlineStr">
        <is>
          <t>SUP-0072</t>
        </is>
      </c>
      <c r="B716" t="inlineStr">
        <is>
          <t>Electronics Supplier 072</t>
        </is>
      </c>
      <c r="C716" t="inlineStr">
        <is>
          <t>Electronics</t>
        </is>
      </c>
      <c r="D716" t="n">
        <v>2019</v>
      </c>
      <c r="E716" t="n">
        <v>1182392.99</v>
      </c>
      <c r="F716" t="n">
        <v>5948376.8</v>
      </c>
      <c r="G716" t="n">
        <v>1087.951</v>
      </c>
      <c r="H716" t="n">
        <v>286.6291</v>
      </c>
      <c r="I716" t="n">
        <v>98.81570000000001</v>
      </c>
      <c r="J716" t="n">
        <v>727.1558</v>
      </c>
      <c r="K716" t="n">
        <v>2018</v>
      </c>
      <c r="L716" t="n">
        <v>2040</v>
      </c>
      <c r="M716" t="n">
        <v>0.5726</v>
      </c>
      <c r="N716" t="n">
        <v>0.3086</v>
      </c>
      <c r="O716" t="n">
        <v>2018</v>
      </c>
      <c r="P716" t="n">
        <v>2040</v>
      </c>
      <c r="Q716" t="n">
        <v>0.3424</v>
      </c>
      <c r="R716" t="n">
        <v>635.1588</v>
      </c>
      <c r="S716" t="n">
        <v>0.00086105</v>
      </c>
      <c r="T716" t="n">
        <v>0.00013947</v>
      </c>
      <c r="U716" t="n">
        <v>1087.951</v>
      </c>
      <c r="V716" t="inlineStr">
        <is>
          <t>Supplier Reported Emissions</t>
        </is>
      </c>
      <c r="W716" t="b">
        <v>0</v>
      </c>
      <c r="X716" t="inlineStr">
        <is>
          <t>High</t>
        </is>
      </c>
      <c r="Y716" t="inlineStr">
        <is>
          <t>None</t>
        </is>
      </c>
      <c r="Z716" t="n">
        <v>0.95</v>
      </c>
      <c r="AA716" t="inlineStr">
        <is>
          <t>Valid</t>
        </is>
      </c>
    </row>
    <row r="717">
      <c r="A717" t="inlineStr">
        <is>
          <t>SUP-0072</t>
        </is>
      </c>
      <c r="B717" t="inlineStr">
        <is>
          <t>Electronics Supplier 072</t>
        </is>
      </c>
      <c r="C717" t="inlineStr">
        <is>
          <t>Electronics</t>
        </is>
      </c>
      <c r="D717" t="n">
        <v>2020</v>
      </c>
      <c r="E717" t="n">
        <v>1215276.22</v>
      </c>
      <c r="F717" t="n">
        <v>6914183.41</v>
      </c>
      <c r="G717" t="n">
        <v>1225.7189</v>
      </c>
      <c r="H717" t="n">
        <v>284.037</v>
      </c>
      <c r="I717" t="n">
        <v>269.5042</v>
      </c>
      <c r="J717" t="n">
        <v>700.5804000000001</v>
      </c>
      <c r="K717" t="n">
        <v>2018</v>
      </c>
      <c r="L717" t="n">
        <v>2040</v>
      </c>
      <c r="M717" t="n">
        <v>0.5726</v>
      </c>
      <c r="N717" t="n">
        <v>0.3086</v>
      </c>
      <c r="O717" t="n">
        <v>2018</v>
      </c>
      <c r="P717" t="n">
        <v>2040</v>
      </c>
      <c r="Q717" t="n">
        <v>0.3424</v>
      </c>
      <c r="R717" t="n">
        <v>635.1588</v>
      </c>
      <c r="S717" t="n">
        <v>0.00086105</v>
      </c>
      <c r="T717" t="n">
        <v>0.00013947</v>
      </c>
      <c r="U717" t="n">
        <v>1225.7189</v>
      </c>
      <c r="V717" t="inlineStr">
        <is>
          <t>Supplier Reported Emissions</t>
        </is>
      </c>
      <c r="W717" t="b">
        <v>0</v>
      </c>
      <c r="X717" t="inlineStr">
        <is>
          <t>High</t>
        </is>
      </c>
      <c r="Y717" t="inlineStr">
        <is>
          <t>None</t>
        </is>
      </c>
      <c r="Z717" t="n">
        <v>0.95</v>
      </c>
      <c r="AA717" t="inlineStr">
        <is>
          <t>Valid</t>
        </is>
      </c>
    </row>
    <row r="718">
      <c r="A718" t="inlineStr">
        <is>
          <t>SUP-0072</t>
        </is>
      </c>
      <c r="B718" t="inlineStr">
        <is>
          <t>Electronics Supplier 072</t>
        </is>
      </c>
      <c r="C718" t="inlineStr">
        <is>
          <t>Electronics</t>
        </is>
      </c>
      <c r="D718" t="n">
        <v>2021</v>
      </c>
      <c r="E718" t="n">
        <v>1302243.73</v>
      </c>
      <c r="F718" t="n">
        <v>5086744.22</v>
      </c>
      <c r="G718" t="n">
        <v>819.5732</v>
      </c>
      <c r="H718" t="n">
        <v>109.0972</v>
      </c>
      <c r="I718" t="inlineStr"/>
      <c r="J718" t="n">
        <v>619.4827</v>
      </c>
      <c r="K718" t="n">
        <v>2018</v>
      </c>
      <c r="L718" t="n">
        <v>2040</v>
      </c>
      <c r="M718" t="n">
        <v>0.5726</v>
      </c>
      <c r="N718" t="n">
        <v>0.3086</v>
      </c>
      <c r="O718" t="n">
        <v>2018</v>
      </c>
      <c r="P718" t="n">
        <v>2040</v>
      </c>
      <c r="Q718" t="n">
        <v>0.3424</v>
      </c>
      <c r="R718" t="n">
        <v>635.1588</v>
      </c>
      <c r="S718" t="n">
        <v>0.00086105</v>
      </c>
      <c r="T718" t="n">
        <v>0.00013947</v>
      </c>
      <c r="U718" t="n">
        <v>819.5732</v>
      </c>
      <c r="V718" t="inlineStr">
        <is>
          <t>Supplier Reported Emissions</t>
        </is>
      </c>
      <c r="W718" t="b">
        <v>0</v>
      </c>
      <c r="X718" t="inlineStr">
        <is>
          <t>High</t>
        </is>
      </c>
      <c r="Y718" t="inlineStr">
        <is>
          <t>Scope_Emissions</t>
        </is>
      </c>
      <c r="Z718" t="n">
        <v>0.95</v>
      </c>
      <c r="AA718" t="inlineStr">
        <is>
          <t>Valid</t>
        </is>
      </c>
    </row>
    <row r="719">
      <c r="A719" t="inlineStr">
        <is>
          <t>SUP-0072</t>
        </is>
      </c>
      <c r="B719" t="inlineStr">
        <is>
          <t>Electronics Supplier 072</t>
        </is>
      </c>
      <c r="C719" t="inlineStr">
        <is>
          <t>Electronics</t>
        </is>
      </c>
      <c r="D719" t="n">
        <v>2022</v>
      </c>
      <c r="E719" t="n">
        <v>1557719.56</v>
      </c>
      <c r="F719" t="n">
        <v>7005732.48</v>
      </c>
      <c r="G719" t="n">
        <v>1595.7839</v>
      </c>
      <c r="H719" t="n">
        <v>315.5732</v>
      </c>
      <c r="I719" t="n">
        <v>286.5371</v>
      </c>
      <c r="J719" t="inlineStr"/>
      <c r="K719" t="n">
        <v>2018</v>
      </c>
      <c r="L719" t="n">
        <v>2040</v>
      </c>
      <c r="M719" t="n">
        <v>0.5726</v>
      </c>
      <c r="N719" t="n">
        <v>0.3086</v>
      </c>
      <c r="O719" t="n">
        <v>2018</v>
      </c>
      <c r="P719" t="n">
        <v>2040</v>
      </c>
      <c r="Q719" t="n">
        <v>0.3424</v>
      </c>
      <c r="R719" t="n">
        <v>635.1588</v>
      </c>
      <c r="S719" t="n">
        <v>0.00086105</v>
      </c>
      <c r="T719" t="n">
        <v>0.00013947</v>
      </c>
      <c r="U719" t="n">
        <v>1595.7839</v>
      </c>
      <c r="V719" t="inlineStr">
        <is>
          <t>Supplier Reported Emissions</t>
        </is>
      </c>
      <c r="W719" t="b">
        <v>0</v>
      </c>
      <c r="X719" t="inlineStr">
        <is>
          <t>High</t>
        </is>
      </c>
      <c r="Y719" t="inlineStr">
        <is>
          <t>Scope_Emissions</t>
        </is>
      </c>
      <c r="Z719" t="n">
        <v>0.95</v>
      </c>
      <c r="AA719" t="inlineStr">
        <is>
          <t>Valid</t>
        </is>
      </c>
    </row>
    <row r="720">
      <c r="A720" t="inlineStr">
        <is>
          <t>SUP-0072</t>
        </is>
      </c>
      <c r="B720" t="inlineStr">
        <is>
          <t>Electronics Supplier 072</t>
        </is>
      </c>
      <c r="C720" t="inlineStr">
        <is>
          <t>Electronics</t>
        </is>
      </c>
      <c r="D720" t="n">
        <v>2023</v>
      </c>
      <c r="E720" t="n">
        <v>1368822.61</v>
      </c>
      <c r="F720" t="n">
        <v>6826464.75</v>
      </c>
      <c r="G720" t="n">
        <v>1258.4569</v>
      </c>
      <c r="H720" t="n">
        <v>282.1853</v>
      </c>
      <c r="I720" t="n">
        <v>121.09</v>
      </c>
      <c r="J720" t="n">
        <v>915.574</v>
      </c>
      <c r="K720" t="n">
        <v>2018</v>
      </c>
      <c r="L720" t="n">
        <v>2040</v>
      </c>
      <c r="M720" t="n">
        <v>0.5726</v>
      </c>
      <c r="N720" t="n">
        <v>0.3086</v>
      </c>
      <c r="O720" t="n">
        <v>2018</v>
      </c>
      <c r="P720" t="n">
        <v>2040</v>
      </c>
      <c r="Q720" t="n">
        <v>0.3424</v>
      </c>
      <c r="R720" t="n">
        <v>635.1588</v>
      </c>
      <c r="S720" t="n">
        <v>0.00086105</v>
      </c>
      <c r="T720" t="n">
        <v>0.00013947</v>
      </c>
      <c r="U720" t="n">
        <v>1258.4569</v>
      </c>
      <c r="V720" t="inlineStr">
        <is>
          <t>Supplier Reported Emissions</t>
        </is>
      </c>
      <c r="W720" t="b">
        <v>0</v>
      </c>
      <c r="X720" t="inlineStr">
        <is>
          <t>High</t>
        </is>
      </c>
      <c r="Y720" t="inlineStr">
        <is>
          <t>None</t>
        </is>
      </c>
      <c r="Z720" t="n">
        <v>0.95</v>
      </c>
      <c r="AA720" t="inlineStr">
        <is>
          <t>Valid</t>
        </is>
      </c>
    </row>
    <row r="721">
      <c r="A721" t="inlineStr">
        <is>
          <t>SUP-0072</t>
        </is>
      </c>
      <c r="B721" t="inlineStr">
        <is>
          <t>Electronics Supplier 072</t>
        </is>
      </c>
      <c r="C721" t="inlineStr">
        <is>
          <t>Electronics</t>
        </is>
      </c>
      <c r="D721" t="n">
        <v>2024</v>
      </c>
      <c r="E721" t="inlineStr"/>
      <c r="F721" t="n">
        <v>8856001.5</v>
      </c>
      <c r="G721" t="n">
        <v>972.736</v>
      </c>
      <c r="H721" t="n">
        <v>187.3418</v>
      </c>
      <c r="I721" t="inlineStr"/>
      <c r="J721" t="n">
        <v>717.5767</v>
      </c>
      <c r="K721" t="n">
        <v>2018</v>
      </c>
      <c r="L721" t="n">
        <v>2040</v>
      </c>
      <c r="M721" t="n">
        <v>0.5726</v>
      </c>
      <c r="N721" t="n">
        <v>0.3086</v>
      </c>
      <c r="O721" t="n">
        <v>2018</v>
      </c>
      <c r="P721" t="n">
        <v>2040</v>
      </c>
      <c r="Q721" t="n">
        <v>0.3424</v>
      </c>
      <c r="R721" t="n">
        <v>635.1588</v>
      </c>
      <c r="S721" t="n">
        <v>0.00086105</v>
      </c>
      <c r="T721" t="n">
        <v>0.00013947</v>
      </c>
      <c r="U721" t="n">
        <v>972.736</v>
      </c>
      <c r="V721" t="inlineStr">
        <is>
          <t>Supplier Reported Emissions</t>
        </is>
      </c>
      <c r="W721" t="b">
        <v>0</v>
      </c>
      <c r="X721" t="inlineStr">
        <is>
          <t>High</t>
        </is>
      </c>
      <c r="Y721" t="inlineStr">
        <is>
          <t>Gross_Spend; Scope_Emissions</t>
        </is>
      </c>
      <c r="Z721" t="n">
        <v>0.95</v>
      </c>
      <c r="AA721" t="inlineStr">
        <is>
          <t>Valid</t>
        </is>
      </c>
    </row>
    <row r="722">
      <c r="A722" t="inlineStr">
        <is>
          <t>SUP-0073</t>
        </is>
      </c>
      <c r="B722" t="inlineStr">
        <is>
          <t>Packaging Supplier 073</t>
        </is>
      </c>
      <c r="C722" t="inlineStr">
        <is>
          <t>Packaging</t>
        </is>
      </c>
      <c r="D722" t="n">
        <v>2015</v>
      </c>
      <c r="E722" t="n">
        <v>12723662.66</v>
      </c>
      <c r="F722" t="n">
        <v>60962430.47</v>
      </c>
      <c r="G722" t="n">
        <v>13975.2804</v>
      </c>
      <c r="H722" t="n">
        <v>2220.6018</v>
      </c>
      <c r="I722" t="n">
        <v>1412.7686</v>
      </c>
      <c r="J722" t="inlineStr"/>
      <c r="K722" t="n">
        <v>2021</v>
      </c>
      <c r="L722" t="n">
        <v>2030</v>
      </c>
      <c r="M722" t="n">
        <v>0.6005</v>
      </c>
      <c r="N722" t="n">
        <v>0.3773</v>
      </c>
      <c r="O722" t="n">
        <v>2018</v>
      </c>
      <c r="P722" t="n">
        <v>2040</v>
      </c>
      <c r="Q722" t="n">
        <v>0.3112</v>
      </c>
      <c r="R722" t="n">
        <v>702.4188</v>
      </c>
      <c r="S722" t="n">
        <v>0.0010803</v>
      </c>
      <c r="T722" t="n">
        <v>0.00078946</v>
      </c>
      <c r="U722" t="n">
        <v>13975.2804</v>
      </c>
      <c r="V722" t="inlineStr">
        <is>
          <t>Supplier Reported Emissions</t>
        </is>
      </c>
      <c r="W722" t="b">
        <v>0</v>
      </c>
      <c r="X722" t="inlineStr">
        <is>
          <t>High</t>
        </is>
      </c>
      <c r="Y722" t="inlineStr">
        <is>
          <t>Scope_Emissions</t>
        </is>
      </c>
      <c r="Z722" t="n">
        <v>0.95</v>
      </c>
      <c r="AA722" t="inlineStr">
        <is>
          <t>Valid</t>
        </is>
      </c>
    </row>
    <row r="723">
      <c r="A723" t="inlineStr">
        <is>
          <t>SUP-0073</t>
        </is>
      </c>
      <c r="B723" t="inlineStr">
        <is>
          <t>Packaging Supplier 073</t>
        </is>
      </c>
      <c r="C723" t="inlineStr">
        <is>
          <t>Packaging</t>
        </is>
      </c>
      <c r="D723" t="n">
        <v>2016</v>
      </c>
      <c r="E723" t="n">
        <v>12102183.55</v>
      </c>
      <c r="F723" t="n">
        <v>57031457.65</v>
      </c>
      <c r="G723" t="n">
        <v>15727.25</v>
      </c>
      <c r="H723" t="n">
        <v>3442.386</v>
      </c>
      <c r="I723" t="n">
        <v>1437.3559</v>
      </c>
      <c r="J723" t="inlineStr"/>
      <c r="K723" t="n">
        <v>2021</v>
      </c>
      <c r="L723" t="n">
        <v>2030</v>
      </c>
      <c r="M723" t="n">
        <v>0.6005</v>
      </c>
      <c r="N723" t="n">
        <v>0.3773</v>
      </c>
      <c r="O723" t="n">
        <v>2018</v>
      </c>
      <c r="P723" t="n">
        <v>2040</v>
      </c>
      <c r="Q723" t="n">
        <v>0.3112</v>
      </c>
      <c r="R723" t="n">
        <v>702.4188</v>
      </c>
      <c r="S723" t="n">
        <v>0.0010803</v>
      </c>
      <c r="T723" t="n">
        <v>0.00078946</v>
      </c>
      <c r="U723" t="n">
        <v>15727.25</v>
      </c>
      <c r="V723" t="inlineStr">
        <is>
          <t>Supplier Reported Emissions</t>
        </is>
      </c>
      <c r="W723" t="b">
        <v>0</v>
      </c>
      <c r="X723" t="inlineStr">
        <is>
          <t>High</t>
        </is>
      </c>
      <c r="Y723" t="inlineStr">
        <is>
          <t>Scope_Emissions</t>
        </is>
      </c>
      <c r="Z723" t="n">
        <v>0.95</v>
      </c>
      <c r="AA723" t="inlineStr">
        <is>
          <t>Valid</t>
        </is>
      </c>
    </row>
    <row r="724">
      <c r="A724" t="inlineStr">
        <is>
          <t>SUP-0073</t>
        </is>
      </c>
      <c r="B724" t="inlineStr">
        <is>
          <t>Packaging Supplier 073</t>
        </is>
      </c>
      <c r="C724" t="inlineStr">
        <is>
          <t>Packaging</t>
        </is>
      </c>
      <c r="D724" t="n">
        <v>2017</v>
      </c>
      <c r="E724" t="n">
        <v>15404153.3</v>
      </c>
      <c r="F724" t="n">
        <v>68326631.58</v>
      </c>
      <c r="G724" t="n">
        <v>20319.7128</v>
      </c>
      <c r="H724" t="n">
        <v>4345.8719</v>
      </c>
      <c r="I724" t="n">
        <v>4629.1702</v>
      </c>
      <c r="J724" t="inlineStr"/>
      <c r="K724" t="n">
        <v>2021</v>
      </c>
      <c r="L724" t="n">
        <v>2030</v>
      </c>
      <c r="M724" t="n">
        <v>0.6005</v>
      </c>
      <c r="N724" t="n">
        <v>0.3773</v>
      </c>
      <c r="O724" t="n">
        <v>2018</v>
      </c>
      <c r="P724" t="n">
        <v>2040</v>
      </c>
      <c r="Q724" t="n">
        <v>0.3112</v>
      </c>
      <c r="R724" t="n">
        <v>702.4188</v>
      </c>
      <c r="S724" t="n">
        <v>0.0010803</v>
      </c>
      <c r="T724" t="n">
        <v>0.00078946</v>
      </c>
      <c r="U724" t="n">
        <v>20319.7128</v>
      </c>
      <c r="V724" t="inlineStr">
        <is>
          <t>Supplier Reported Emissions</t>
        </is>
      </c>
      <c r="W724" t="b">
        <v>0</v>
      </c>
      <c r="X724" t="inlineStr">
        <is>
          <t>High</t>
        </is>
      </c>
      <c r="Y724" t="inlineStr">
        <is>
          <t>Scope_Emissions</t>
        </is>
      </c>
      <c r="Z724" t="n">
        <v>0.95</v>
      </c>
      <c r="AA724" t="inlineStr">
        <is>
          <t>Valid</t>
        </is>
      </c>
    </row>
    <row r="725">
      <c r="A725" t="inlineStr">
        <is>
          <t>SUP-0073</t>
        </is>
      </c>
      <c r="B725" t="inlineStr">
        <is>
          <t>Packaging Supplier 073</t>
        </is>
      </c>
      <c r="C725" t="inlineStr">
        <is>
          <t>Packaging</t>
        </is>
      </c>
      <c r="D725" t="n">
        <v>2018</v>
      </c>
      <c r="E725" t="n">
        <v>12636203.07</v>
      </c>
      <c r="F725" t="n">
        <v>73324776.2</v>
      </c>
      <c r="G725" t="n">
        <v>14685.0621</v>
      </c>
      <c r="H725" t="n">
        <v>3568.0332</v>
      </c>
      <c r="I725" t="n">
        <v>2540.2809</v>
      </c>
      <c r="J725" t="n">
        <v>8517.175499999999</v>
      </c>
      <c r="K725" t="n">
        <v>2021</v>
      </c>
      <c r="L725" t="n">
        <v>2030</v>
      </c>
      <c r="M725" t="n">
        <v>0.6005</v>
      </c>
      <c r="N725" t="n">
        <v>0.3773</v>
      </c>
      <c r="O725" t="n">
        <v>2018</v>
      </c>
      <c r="P725" t="n">
        <v>2040</v>
      </c>
      <c r="Q725" t="n">
        <v>0.3112</v>
      </c>
      <c r="R725" t="n">
        <v>702.4188</v>
      </c>
      <c r="S725" t="n">
        <v>0.0010803</v>
      </c>
      <c r="T725" t="n">
        <v>0.00078946</v>
      </c>
      <c r="U725" t="n">
        <v>14685.0621</v>
      </c>
      <c r="V725" t="inlineStr">
        <is>
          <t>Supplier Reported Emissions</t>
        </is>
      </c>
      <c r="W725" t="b">
        <v>0</v>
      </c>
      <c r="X725" t="inlineStr">
        <is>
          <t>High</t>
        </is>
      </c>
      <c r="Y725" t="inlineStr">
        <is>
          <t>None</t>
        </is>
      </c>
      <c r="Z725" t="n">
        <v>0.95</v>
      </c>
      <c r="AA725" t="inlineStr">
        <is>
          <t>Valid</t>
        </is>
      </c>
    </row>
    <row r="726">
      <c r="A726" t="inlineStr">
        <is>
          <t>SUP-0073</t>
        </is>
      </c>
      <c r="B726" t="inlineStr">
        <is>
          <t>Packaging Supplier 073</t>
        </is>
      </c>
      <c r="C726" t="inlineStr">
        <is>
          <t>Packaging</t>
        </is>
      </c>
      <c r="D726" t="n">
        <v>2019</v>
      </c>
      <c r="E726" t="n">
        <v>16721386.24</v>
      </c>
      <c r="F726" t="inlineStr"/>
      <c r="G726" t="n">
        <v>19645.1482</v>
      </c>
      <c r="H726" t="n">
        <v>2469.4281</v>
      </c>
      <c r="I726" t="n">
        <v>3156.0531</v>
      </c>
      <c r="J726" t="n">
        <v>13904.2493</v>
      </c>
      <c r="K726" t="n">
        <v>2021</v>
      </c>
      <c r="L726" t="n">
        <v>2030</v>
      </c>
      <c r="M726" t="n">
        <v>0.6005</v>
      </c>
      <c r="N726" t="n">
        <v>0.3773</v>
      </c>
      <c r="O726" t="n">
        <v>2018</v>
      </c>
      <c r="P726" t="n">
        <v>2040</v>
      </c>
      <c r="Q726" t="n">
        <v>0.3112</v>
      </c>
      <c r="R726" t="n">
        <v>702.4188</v>
      </c>
      <c r="S726" t="n">
        <v>0.0010803</v>
      </c>
      <c r="T726" t="n">
        <v>0.00078946</v>
      </c>
      <c r="U726" t="n">
        <v>19645.1482</v>
      </c>
      <c r="V726" t="inlineStr">
        <is>
          <t>Supplier Reported Emissions</t>
        </is>
      </c>
      <c r="W726" t="b">
        <v>0</v>
      </c>
      <c r="X726" t="inlineStr">
        <is>
          <t>High</t>
        </is>
      </c>
      <c r="Y726" t="inlineStr">
        <is>
          <t>Revenue</t>
        </is>
      </c>
      <c r="Z726" t="n">
        <v>0.95</v>
      </c>
      <c r="AA726" t="inlineStr">
        <is>
          <t>Valid</t>
        </is>
      </c>
    </row>
    <row r="727">
      <c r="A727" t="inlineStr">
        <is>
          <t>SUP-0073</t>
        </is>
      </c>
      <c r="B727" t="inlineStr">
        <is>
          <t>Packaging Supplier 073</t>
        </is>
      </c>
      <c r="C727" t="inlineStr">
        <is>
          <t>Packaging</t>
        </is>
      </c>
      <c r="D727" t="n">
        <v>2020</v>
      </c>
      <c r="E727" t="n">
        <v>13946761.91</v>
      </c>
      <c r="F727" t="n">
        <v>81720585.3</v>
      </c>
      <c r="G727" t="n">
        <v>14756.1996</v>
      </c>
      <c r="H727" t="n">
        <v>2985.2981</v>
      </c>
      <c r="I727" t="n">
        <v>3172.5906</v>
      </c>
      <c r="J727" t="n">
        <v>8048.9812</v>
      </c>
      <c r="K727" t="n">
        <v>2021</v>
      </c>
      <c r="L727" t="n">
        <v>2030</v>
      </c>
      <c r="M727" t="n">
        <v>0.6005</v>
      </c>
      <c r="N727" t="n">
        <v>0.3773</v>
      </c>
      <c r="O727" t="n">
        <v>2018</v>
      </c>
      <c r="P727" t="n">
        <v>2040</v>
      </c>
      <c r="Q727" t="n">
        <v>0.3112</v>
      </c>
      <c r="R727" t="n">
        <v>702.4188</v>
      </c>
      <c r="S727" t="n">
        <v>0.0010803</v>
      </c>
      <c r="T727" t="n">
        <v>0.00078946</v>
      </c>
      <c r="U727" t="n">
        <v>14756.1996</v>
      </c>
      <c r="V727" t="inlineStr">
        <is>
          <t>Supplier Reported Emissions</t>
        </is>
      </c>
      <c r="W727" t="b">
        <v>0</v>
      </c>
      <c r="X727" t="inlineStr">
        <is>
          <t>High</t>
        </is>
      </c>
      <c r="Y727" t="inlineStr">
        <is>
          <t>None</t>
        </is>
      </c>
      <c r="Z727" t="n">
        <v>0.95</v>
      </c>
      <c r="AA727" t="inlineStr">
        <is>
          <t>Valid</t>
        </is>
      </c>
    </row>
    <row r="728">
      <c r="A728" t="inlineStr">
        <is>
          <t>SUP-0073</t>
        </is>
      </c>
      <c r="B728" t="inlineStr">
        <is>
          <t>Packaging Supplier 073</t>
        </is>
      </c>
      <c r="C728" t="inlineStr">
        <is>
          <t>Packaging</t>
        </is>
      </c>
      <c r="D728" t="n">
        <v>2021</v>
      </c>
      <c r="E728" t="n">
        <v>14334694.51</v>
      </c>
      <c r="F728" t="n">
        <v>69539852.81</v>
      </c>
      <c r="G728" t="inlineStr"/>
      <c r="H728" t="n">
        <v>1346.06</v>
      </c>
      <c r="I728" t="inlineStr"/>
      <c r="J728" t="n">
        <v>9888.5327</v>
      </c>
      <c r="K728" t="n">
        <v>2021</v>
      </c>
      <c r="L728" t="n">
        <v>2030</v>
      </c>
      <c r="M728" t="n">
        <v>0.6005</v>
      </c>
      <c r="N728" t="n">
        <v>0.3773</v>
      </c>
      <c r="O728" t="n">
        <v>2018</v>
      </c>
      <c r="P728" t="n">
        <v>2040</v>
      </c>
      <c r="Q728" t="n">
        <v>0.3112</v>
      </c>
      <c r="R728" t="n">
        <v>702.4188</v>
      </c>
      <c r="S728" t="n">
        <v>0.0010803</v>
      </c>
      <c r="T728" t="n">
        <v>0.00078946</v>
      </c>
      <c r="U728" t="n">
        <v>15485.7705</v>
      </c>
      <c r="V728" t="inlineStr">
        <is>
          <t>Spend-Based Estimate</t>
        </is>
      </c>
      <c r="W728" t="b">
        <v>1</v>
      </c>
      <c r="X728" t="inlineStr">
        <is>
          <t>Medium</t>
        </is>
      </c>
      <c r="Y728" t="inlineStr">
        <is>
          <t>Reported_Emissions; Scope_Emissions</t>
        </is>
      </c>
      <c r="Z728" t="n">
        <v>0.7</v>
      </c>
      <c r="AA728" t="inlineStr">
        <is>
          <t>Valid</t>
        </is>
      </c>
    </row>
    <row r="729">
      <c r="A729" t="inlineStr">
        <is>
          <t>SUP-0073</t>
        </is>
      </c>
      <c r="B729" t="inlineStr">
        <is>
          <t>Packaging Supplier 073</t>
        </is>
      </c>
      <c r="C729" t="inlineStr">
        <is>
          <t>Packaging</t>
        </is>
      </c>
      <c r="D729" t="n">
        <v>2022</v>
      </c>
      <c r="E729" t="n">
        <v>16345874.01</v>
      </c>
      <c r="F729" t="n">
        <v>77002850.01000001</v>
      </c>
      <c r="G729" t="n">
        <v>15619.7973</v>
      </c>
      <c r="H729" t="n">
        <v>2881.7241</v>
      </c>
      <c r="I729" t="inlineStr"/>
      <c r="J729" t="n">
        <v>10287.8174</v>
      </c>
      <c r="K729" t="n">
        <v>2021</v>
      </c>
      <c r="L729" t="n">
        <v>2030</v>
      </c>
      <c r="M729" t="n">
        <v>0.6005</v>
      </c>
      <c r="N729" t="n">
        <v>0.3773</v>
      </c>
      <c r="O729" t="n">
        <v>2018</v>
      </c>
      <c r="P729" t="n">
        <v>2040</v>
      </c>
      <c r="Q729" t="n">
        <v>0.3112</v>
      </c>
      <c r="R729" t="n">
        <v>702.4188</v>
      </c>
      <c r="S729" t="n">
        <v>0.0010803</v>
      </c>
      <c r="T729" t="n">
        <v>0.00078946</v>
      </c>
      <c r="U729" t="n">
        <v>15619.7973</v>
      </c>
      <c r="V729" t="inlineStr">
        <is>
          <t>Supplier Reported Emissions</t>
        </is>
      </c>
      <c r="W729" t="b">
        <v>0</v>
      </c>
      <c r="X729" t="inlineStr">
        <is>
          <t>High</t>
        </is>
      </c>
      <c r="Y729" t="inlineStr">
        <is>
          <t>Scope_Emissions</t>
        </is>
      </c>
      <c r="Z729" t="n">
        <v>0.95</v>
      </c>
      <c r="AA729" t="inlineStr">
        <is>
          <t>Valid</t>
        </is>
      </c>
    </row>
    <row r="730">
      <c r="A730" t="inlineStr">
        <is>
          <t>SUP-0073</t>
        </is>
      </c>
      <c r="B730" t="inlineStr">
        <is>
          <t>Packaging Supplier 073</t>
        </is>
      </c>
      <c r="C730" t="inlineStr">
        <is>
          <t>Packaging</t>
        </is>
      </c>
      <c r="D730" t="n">
        <v>2023</v>
      </c>
      <c r="E730" t="n">
        <v>17592729.37</v>
      </c>
      <c r="F730" t="n">
        <v>66477796.04</v>
      </c>
      <c r="G730" t="n">
        <v>20124.0128</v>
      </c>
      <c r="H730" t="n">
        <v>1735.7221</v>
      </c>
      <c r="I730" t="n">
        <v>2918.8482</v>
      </c>
      <c r="J730" t="n">
        <v>15816.8306</v>
      </c>
      <c r="K730" t="n">
        <v>2021</v>
      </c>
      <c r="L730" t="n">
        <v>2030</v>
      </c>
      <c r="M730" t="n">
        <v>0.6005</v>
      </c>
      <c r="N730" t="n">
        <v>0.3773</v>
      </c>
      <c r="O730" t="n">
        <v>2018</v>
      </c>
      <c r="P730" t="n">
        <v>2040</v>
      </c>
      <c r="Q730" t="n">
        <v>0.3112</v>
      </c>
      <c r="R730" t="n">
        <v>702.4188</v>
      </c>
      <c r="S730" t="n">
        <v>0.0010803</v>
      </c>
      <c r="T730" t="n">
        <v>0.00078946</v>
      </c>
      <c r="U730" t="n">
        <v>20124.0128</v>
      </c>
      <c r="V730" t="inlineStr">
        <is>
          <t>Supplier Reported Emissions</t>
        </is>
      </c>
      <c r="W730" t="b">
        <v>0</v>
      </c>
      <c r="X730" t="inlineStr">
        <is>
          <t>High</t>
        </is>
      </c>
      <c r="Y730" t="inlineStr">
        <is>
          <t>None</t>
        </is>
      </c>
      <c r="Z730" t="n">
        <v>0.95</v>
      </c>
      <c r="AA730" t="inlineStr">
        <is>
          <t>Valid</t>
        </is>
      </c>
    </row>
    <row r="731">
      <c r="A731" t="inlineStr">
        <is>
          <t>SUP-0073</t>
        </is>
      </c>
      <c r="B731" t="inlineStr">
        <is>
          <t>Packaging Supplier 073</t>
        </is>
      </c>
      <c r="C731" t="inlineStr">
        <is>
          <t>Packaging</t>
        </is>
      </c>
      <c r="D731" t="n">
        <v>2024</v>
      </c>
      <c r="E731" t="n">
        <v>16909834.93</v>
      </c>
      <c r="F731" t="n">
        <v>82051194.03</v>
      </c>
      <c r="G731" t="n">
        <v>14596.7449</v>
      </c>
      <c r="H731" t="n">
        <v>1180.2512</v>
      </c>
      <c r="I731" t="inlineStr"/>
      <c r="J731" t="inlineStr"/>
      <c r="K731" t="n">
        <v>2021</v>
      </c>
      <c r="L731" t="n">
        <v>2030</v>
      </c>
      <c r="M731" t="n">
        <v>0.6005</v>
      </c>
      <c r="N731" t="n">
        <v>0.3773</v>
      </c>
      <c r="O731" t="n">
        <v>2018</v>
      </c>
      <c r="P731" t="n">
        <v>2040</v>
      </c>
      <c r="Q731" t="n">
        <v>0.3112</v>
      </c>
      <c r="R731" t="n">
        <v>702.4188</v>
      </c>
      <c r="S731" t="n">
        <v>0.0010803</v>
      </c>
      <c r="T731" t="n">
        <v>0.00078946</v>
      </c>
      <c r="U731" t="n">
        <v>14596.7449</v>
      </c>
      <c r="V731" t="inlineStr">
        <is>
          <t>Supplier Reported Emissions</t>
        </is>
      </c>
      <c r="W731" t="b">
        <v>0</v>
      </c>
      <c r="X731" t="inlineStr">
        <is>
          <t>High</t>
        </is>
      </c>
      <c r="Y731" t="inlineStr">
        <is>
          <t>Scope_Emissions</t>
        </is>
      </c>
      <c r="Z731" t="n">
        <v>0.95</v>
      </c>
      <c r="AA731" t="inlineStr">
        <is>
          <t>Valid</t>
        </is>
      </c>
    </row>
    <row r="732">
      <c r="A732" t="inlineStr">
        <is>
          <t>SUP-0074</t>
        </is>
      </c>
      <c r="B732" t="inlineStr">
        <is>
          <t>Agriculture Supplier 074</t>
        </is>
      </c>
      <c r="C732" t="inlineStr">
        <is>
          <t>Agriculture</t>
        </is>
      </c>
      <c r="D732" t="n">
        <v>2015</v>
      </c>
      <c r="E732" t="n">
        <v>24225111.09</v>
      </c>
      <c r="F732" t="n">
        <v>170087280.03</v>
      </c>
      <c r="G732" t="inlineStr"/>
      <c r="H732" t="n">
        <v>5049.4277</v>
      </c>
      <c r="I732" t="n">
        <v>7371.6242</v>
      </c>
      <c r="J732" t="n">
        <v>21285.8071</v>
      </c>
      <c r="K732" t="n">
        <v>2020</v>
      </c>
      <c r="L732" t="n">
        <v>2040</v>
      </c>
      <c r="M732" t="n">
        <v>0.5813</v>
      </c>
      <c r="N732" t="n">
        <v>0.2506</v>
      </c>
      <c r="O732" t="n">
        <v>2018</v>
      </c>
      <c r="P732" t="inlineStr"/>
      <c r="Q732" t="inlineStr"/>
      <c r="R732" t="n">
        <v>529.8294</v>
      </c>
      <c r="S732" t="n">
        <v>0.00091413</v>
      </c>
      <c r="T732" t="n">
        <v>0.00096913</v>
      </c>
      <c r="U732" t="n">
        <v>33706.859</v>
      </c>
      <c r="V732" t="inlineStr">
        <is>
          <t>Scope 1 + Scope 2 + Scope 3</t>
        </is>
      </c>
      <c r="W732" t="b">
        <v>1</v>
      </c>
      <c r="X732" t="inlineStr">
        <is>
          <t>High</t>
        </is>
      </c>
      <c r="Y732" t="inlineStr">
        <is>
          <t>Reported_Emissions</t>
        </is>
      </c>
      <c r="Z732" t="n">
        <v>0.88</v>
      </c>
      <c r="AA732" t="inlineStr">
        <is>
          <t>Valid</t>
        </is>
      </c>
    </row>
    <row r="733">
      <c r="A733" t="inlineStr">
        <is>
          <t>SUP-0074</t>
        </is>
      </c>
      <c r="B733" t="inlineStr">
        <is>
          <t>Agriculture Supplier 074</t>
        </is>
      </c>
      <c r="C733" t="inlineStr">
        <is>
          <t>Agriculture</t>
        </is>
      </c>
      <c r="D733" t="n">
        <v>2016</v>
      </c>
      <c r="E733" t="n">
        <v>23511649.85</v>
      </c>
      <c r="F733" t="n">
        <v>199756289.48</v>
      </c>
      <c r="G733" t="n">
        <v>31735.8689</v>
      </c>
      <c r="H733" t="n">
        <v>2799.0406</v>
      </c>
      <c r="I733" t="n">
        <v>2607.2988</v>
      </c>
      <c r="J733" t="n">
        <v>25620.3061</v>
      </c>
      <c r="K733" t="n">
        <v>2020</v>
      </c>
      <c r="L733" t="n">
        <v>2040</v>
      </c>
      <c r="M733" t="n">
        <v>0.5813</v>
      </c>
      <c r="N733" t="n">
        <v>0.2506</v>
      </c>
      <c r="O733" t="n">
        <v>2018</v>
      </c>
      <c r="P733" t="inlineStr"/>
      <c r="Q733" t="inlineStr"/>
      <c r="R733" t="n">
        <v>529.8294</v>
      </c>
      <c r="S733" t="n">
        <v>0.00091413</v>
      </c>
      <c r="T733" t="n">
        <v>0.00096913</v>
      </c>
      <c r="U733" t="n">
        <v>31735.8689</v>
      </c>
      <c r="V733" t="inlineStr">
        <is>
          <t>Supplier Reported Emissions</t>
        </is>
      </c>
      <c r="W733" t="b">
        <v>0</v>
      </c>
      <c r="X733" t="inlineStr">
        <is>
          <t>High</t>
        </is>
      </c>
      <c r="Y733" t="inlineStr">
        <is>
          <t>None</t>
        </is>
      </c>
      <c r="Z733" t="n">
        <v>0.95</v>
      </c>
      <c r="AA733" t="inlineStr">
        <is>
          <t>Valid</t>
        </is>
      </c>
    </row>
    <row r="734">
      <c r="A734" t="inlineStr">
        <is>
          <t>SUP-0074</t>
        </is>
      </c>
      <c r="B734" t="inlineStr">
        <is>
          <t>Agriculture Supplier 074</t>
        </is>
      </c>
      <c r="C734" t="inlineStr">
        <is>
          <t>Agriculture</t>
        </is>
      </c>
      <c r="D734" t="n">
        <v>2017</v>
      </c>
      <c r="E734" t="n">
        <v>22402266.41</v>
      </c>
      <c r="F734" t="n">
        <v>161775889.79</v>
      </c>
      <c r="G734" t="inlineStr"/>
      <c r="H734" t="inlineStr"/>
      <c r="I734" t="n">
        <v>4036.8737</v>
      </c>
      <c r="J734" t="n">
        <v>18298.8146</v>
      </c>
      <c r="K734" t="n">
        <v>2020</v>
      </c>
      <c r="L734" t="n">
        <v>2040</v>
      </c>
      <c r="M734" t="n">
        <v>0.5813</v>
      </c>
      <c r="N734" t="n">
        <v>0.2506</v>
      </c>
      <c r="O734" t="n">
        <v>2018</v>
      </c>
      <c r="P734" t="inlineStr"/>
      <c r="Q734" t="inlineStr"/>
      <c r="R734" t="n">
        <v>529.8294</v>
      </c>
      <c r="S734" t="n">
        <v>0.00091413</v>
      </c>
      <c r="T734" t="n">
        <v>0.00096913</v>
      </c>
      <c r="U734" t="n">
        <v>20478.5838</v>
      </c>
      <c r="V734" t="inlineStr">
        <is>
          <t>Spend-Based Estimate</t>
        </is>
      </c>
      <c r="W734" t="b">
        <v>1</v>
      </c>
      <c r="X734" t="inlineStr">
        <is>
          <t>Medium</t>
        </is>
      </c>
      <c r="Y734" t="inlineStr">
        <is>
          <t>Reported_Emissions; Scope_Emissions</t>
        </is>
      </c>
      <c r="Z734" t="n">
        <v>0.7</v>
      </c>
      <c r="AA734" t="inlineStr">
        <is>
          <t>Valid</t>
        </is>
      </c>
    </row>
    <row r="735">
      <c r="A735" t="inlineStr">
        <is>
          <t>SUP-0074</t>
        </is>
      </c>
      <c r="B735" t="inlineStr">
        <is>
          <t>Agriculture Supplier 074</t>
        </is>
      </c>
      <c r="C735" t="inlineStr">
        <is>
          <t>Agriculture</t>
        </is>
      </c>
      <c r="D735" t="n">
        <v>2018</v>
      </c>
      <c r="E735" t="n">
        <v>23021681.88</v>
      </c>
      <c r="F735" t="n">
        <v>143262602.92</v>
      </c>
      <c r="G735" t="inlineStr"/>
      <c r="H735" t="n">
        <v>3585.1318</v>
      </c>
      <c r="I735" t="n">
        <v>4577.7806</v>
      </c>
      <c r="J735" t="n">
        <v>18815.0587</v>
      </c>
      <c r="K735" t="n">
        <v>2020</v>
      </c>
      <c r="L735" t="n">
        <v>2040</v>
      </c>
      <c r="M735" t="n">
        <v>0.5813</v>
      </c>
      <c r="N735" t="n">
        <v>0.2506</v>
      </c>
      <c r="O735" t="n">
        <v>2018</v>
      </c>
      <c r="P735" t="inlineStr"/>
      <c r="Q735" t="inlineStr"/>
      <c r="R735" t="n">
        <v>529.8294</v>
      </c>
      <c r="S735" t="n">
        <v>0.00091413</v>
      </c>
      <c r="T735" t="n">
        <v>0.00096913</v>
      </c>
      <c r="U735" t="n">
        <v>26977.9711</v>
      </c>
      <c r="V735" t="inlineStr">
        <is>
          <t>Scope 1 + Scope 2 + Scope 3</t>
        </is>
      </c>
      <c r="W735" t="b">
        <v>1</v>
      </c>
      <c r="X735" t="inlineStr">
        <is>
          <t>High</t>
        </is>
      </c>
      <c r="Y735" t="inlineStr">
        <is>
          <t>Reported_Emissions</t>
        </is>
      </c>
      <c r="Z735" t="n">
        <v>0.88</v>
      </c>
      <c r="AA735" t="inlineStr">
        <is>
          <t>Valid</t>
        </is>
      </c>
    </row>
    <row r="736">
      <c r="A736" t="inlineStr">
        <is>
          <t>SUP-0074</t>
        </is>
      </c>
      <c r="B736" t="inlineStr">
        <is>
          <t>Agriculture Supplier 074</t>
        </is>
      </c>
      <c r="C736" t="inlineStr">
        <is>
          <t>Agriculture</t>
        </is>
      </c>
      <c r="D736" t="n">
        <v>2019</v>
      </c>
      <c r="E736" t="n">
        <v>25878259.23</v>
      </c>
      <c r="F736" t="n">
        <v>199235189.88</v>
      </c>
      <c r="G736" t="n">
        <v>35261.6891</v>
      </c>
      <c r="H736" t="n">
        <v>4721.5609</v>
      </c>
      <c r="I736" t="n">
        <v>7072.1646</v>
      </c>
      <c r="J736" t="n">
        <v>22515.7357</v>
      </c>
      <c r="K736" t="n">
        <v>2020</v>
      </c>
      <c r="L736" t="n">
        <v>2040</v>
      </c>
      <c r="M736" t="n">
        <v>0.5813</v>
      </c>
      <c r="N736" t="n">
        <v>0.2506</v>
      </c>
      <c r="O736" t="n">
        <v>2018</v>
      </c>
      <c r="P736" t="inlineStr"/>
      <c r="Q736" t="inlineStr"/>
      <c r="R736" t="n">
        <v>529.8294</v>
      </c>
      <c r="S736" t="n">
        <v>0.00091413</v>
      </c>
      <c r="T736" t="n">
        <v>0.00096913</v>
      </c>
      <c r="U736" t="n">
        <v>35261.6891</v>
      </c>
      <c r="V736" t="inlineStr">
        <is>
          <t>Supplier Reported Emissions</t>
        </is>
      </c>
      <c r="W736" t="b">
        <v>0</v>
      </c>
      <c r="X736" t="inlineStr">
        <is>
          <t>High</t>
        </is>
      </c>
      <c r="Y736" t="inlineStr">
        <is>
          <t>None</t>
        </is>
      </c>
      <c r="Z736" t="n">
        <v>0.95</v>
      </c>
      <c r="AA736" t="inlineStr">
        <is>
          <t>Valid</t>
        </is>
      </c>
    </row>
    <row r="737">
      <c r="A737" t="inlineStr">
        <is>
          <t>SUP-0074</t>
        </is>
      </c>
      <c r="B737" t="inlineStr">
        <is>
          <t>Agriculture Supplier 074</t>
        </is>
      </c>
      <c r="C737" t="inlineStr">
        <is>
          <t>Agriculture</t>
        </is>
      </c>
      <c r="D737" t="n">
        <v>2020</v>
      </c>
      <c r="E737" t="n">
        <v>22267786.8</v>
      </c>
      <c r="F737" t="n">
        <v>175418493.96</v>
      </c>
      <c r="G737" t="n">
        <v>32381.1012</v>
      </c>
      <c r="H737" t="n">
        <v>4199.1937</v>
      </c>
      <c r="I737" t="n">
        <v>5794.3482</v>
      </c>
      <c r="J737" t="inlineStr"/>
      <c r="K737" t="n">
        <v>2020</v>
      </c>
      <c r="L737" t="n">
        <v>2040</v>
      </c>
      <c r="M737" t="n">
        <v>0.5813</v>
      </c>
      <c r="N737" t="n">
        <v>0.2506</v>
      </c>
      <c r="O737" t="n">
        <v>2018</v>
      </c>
      <c r="P737" t="inlineStr"/>
      <c r="Q737" t="inlineStr"/>
      <c r="R737" t="n">
        <v>529.8294</v>
      </c>
      <c r="S737" t="n">
        <v>0.00091413</v>
      </c>
      <c r="T737" t="n">
        <v>0.00096913</v>
      </c>
      <c r="U737" t="n">
        <v>32381.1012</v>
      </c>
      <c r="V737" t="inlineStr">
        <is>
          <t>Supplier Reported Emissions</t>
        </is>
      </c>
      <c r="W737" t="b">
        <v>0</v>
      </c>
      <c r="X737" t="inlineStr">
        <is>
          <t>High</t>
        </is>
      </c>
      <c r="Y737" t="inlineStr">
        <is>
          <t>Scope_Emissions</t>
        </is>
      </c>
      <c r="Z737" t="n">
        <v>0.95</v>
      </c>
      <c r="AA737" t="inlineStr">
        <is>
          <t>Valid</t>
        </is>
      </c>
    </row>
    <row r="738">
      <c r="A738" t="inlineStr">
        <is>
          <t>SUP-0074</t>
        </is>
      </c>
      <c r="B738" t="inlineStr">
        <is>
          <t>Agriculture Supplier 074</t>
        </is>
      </c>
      <c r="C738" t="inlineStr">
        <is>
          <t>Agriculture</t>
        </is>
      </c>
      <c r="D738" t="n">
        <v>2021</v>
      </c>
      <c r="E738" t="inlineStr"/>
      <c r="F738" t="inlineStr"/>
      <c r="G738" t="inlineStr"/>
      <c r="H738" t="n">
        <v>6042.0148</v>
      </c>
      <c r="I738" t="inlineStr"/>
      <c r="J738" t="n">
        <v>15969.9056</v>
      </c>
      <c r="K738" t="n">
        <v>2020</v>
      </c>
      <c r="L738" t="n">
        <v>2040</v>
      </c>
      <c r="M738" t="n">
        <v>0.5813</v>
      </c>
      <c r="N738" t="n">
        <v>0.2506</v>
      </c>
      <c r="O738" t="n">
        <v>2018</v>
      </c>
      <c r="P738" t="inlineStr"/>
      <c r="Q738" t="inlineStr"/>
      <c r="R738" t="n">
        <v>529.8294</v>
      </c>
      <c r="S738" t="n">
        <v>0.00091413</v>
      </c>
      <c r="T738" t="n">
        <v>0.00096913</v>
      </c>
      <c r="U738" t="inlineStr"/>
      <c r="V738" t="inlineStr">
        <is>
          <t>Missing Data</t>
        </is>
      </c>
      <c r="W738" t="b">
        <v>0</v>
      </c>
      <c r="X738" t="inlineStr">
        <is>
          <t>Missing</t>
        </is>
      </c>
      <c r="Y738" t="inlineStr">
        <is>
          <t>Gross_Spend; Reported_Emissions; Revenue; Scope_Emissions</t>
        </is>
      </c>
      <c r="Z738" t="n">
        <v>0</v>
      </c>
      <c r="AA738" t="inlineStr">
        <is>
          <t>Missing Emissions</t>
        </is>
      </c>
    </row>
    <row r="739">
      <c r="A739" t="inlineStr">
        <is>
          <t>SUP-0074</t>
        </is>
      </c>
      <c r="B739" t="inlineStr">
        <is>
          <t>Agriculture Supplier 074</t>
        </is>
      </c>
      <c r="C739" t="inlineStr">
        <is>
          <t>Agriculture</t>
        </is>
      </c>
      <c r="D739" t="n">
        <v>2022</v>
      </c>
      <c r="E739" t="n">
        <v>22663488.64</v>
      </c>
      <c r="F739" t="n">
        <v>219150609.37</v>
      </c>
      <c r="G739" t="n">
        <v>27276.1433</v>
      </c>
      <c r="H739" t="n">
        <v>6360.7514</v>
      </c>
      <c r="I739" t="n">
        <v>5942.1857</v>
      </c>
      <c r="J739" t="n">
        <v>14805.8279</v>
      </c>
      <c r="K739" t="n">
        <v>2020</v>
      </c>
      <c r="L739" t="n">
        <v>2040</v>
      </c>
      <c r="M739" t="n">
        <v>0.5813</v>
      </c>
      <c r="N739" t="n">
        <v>0.2506</v>
      </c>
      <c r="O739" t="n">
        <v>2018</v>
      </c>
      <c r="P739" t="inlineStr"/>
      <c r="Q739" t="inlineStr"/>
      <c r="R739" t="n">
        <v>529.8294</v>
      </c>
      <c r="S739" t="n">
        <v>0.00091413</v>
      </c>
      <c r="T739" t="n">
        <v>0.00096913</v>
      </c>
      <c r="U739" t="n">
        <v>27276.1433</v>
      </c>
      <c r="V739" t="inlineStr">
        <is>
          <t>Supplier Reported Emissions</t>
        </is>
      </c>
      <c r="W739" t="b">
        <v>0</v>
      </c>
      <c r="X739" t="inlineStr">
        <is>
          <t>High</t>
        </is>
      </c>
      <c r="Y739" t="inlineStr">
        <is>
          <t>None</t>
        </is>
      </c>
      <c r="Z739" t="n">
        <v>0.95</v>
      </c>
      <c r="AA739" t="inlineStr">
        <is>
          <t>Valid</t>
        </is>
      </c>
    </row>
    <row r="740">
      <c r="A740" t="inlineStr">
        <is>
          <t>SUP-0074</t>
        </is>
      </c>
      <c r="B740" t="inlineStr">
        <is>
          <t>Agriculture Supplier 074</t>
        </is>
      </c>
      <c r="C740" t="inlineStr">
        <is>
          <t>Agriculture</t>
        </is>
      </c>
      <c r="D740" t="n">
        <v>2023</v>
      </c>
      <c r="E740" t="n">
        <v>23563570.07</v>
      </c>
      <c r="F740" t="n">
        <v>177533355.59</v>
      </c>
      <c r="G740" t="n">
        <v>23245.1448</v>
      </c>
      <c r="H740" t="n">
        <v>5641.8627</v>
      </c>
      <c r="I740" t="n">
        <v>2681.72</v>
      </c>
      <c r="J740" t="n">
        <v>14167.888</v>
      </c>
      <c r="K740" t="n">
        <v>2020</v>
      </c>
      <c r="L740" t="n">
        <v>2040</v>
      </c>
      <c r="M740" t="n">
        <v>0.5813</v>
      </c>
      <c r="N740" t="n">
        <v>0.2506</v>
      </c>
      <c r="O740" t="n">
        <v>2018</v>
      </c>
      <c r="P740" t="inlineStr"/>
      <c r="Q740" t="inlineStr"/>
      <c r="R740" t="n">
        <v>529.8294</v>
      </c>
      <c r="S740" t="n">
        <v>0.00091413</v>
      </c>
      <c r="T740" t="n">
        <v>0.00096913</v>
      </c>
      <c r="U740" t="n">
        <v>23245.1448</v>
      </c>
      <c r="V740" t="inlineStr">
        <is>
          <t>Supplier Reported Emissions</t>
        </is>
      </c>
      <c r="W740" t="b">
        <v>0</v>
      </c>
      <c r="X740" t="inlineStr">
        <is>
          <t>High</t>
        </is>
      </c>
      <c r="Y740" t="inlineStr">
        <is>
          <t>None</t>
        </is>
      </c>
      <c r="Z740" t="n">
        <v>0.95</v>
      </c>
      <c r="AA740" t="inlineStr">
        <is>
          <t>Valid</t>
        </is>
      </c>
    </row>
    <row r="741">
      <c r="A741" t="inlineStr">
        <is>
          <t>SUP-0074</t>
        </is>
      </c>
      <c r="B741" t="inlineStr">
        <is>
          <t>Agriculture Supplier 074</t>
        </is>
      </c>
      <c r="C741" t="inlineStr">
        <is>
          <t>Agriculture</t>
        </is>
      </c>
      <c r="D741" t="n">
        <v>2024</v>
      </c>
      <c r="E741" t="inlineStr"/>
      <c r="F741" t="n">
        <v>233834556.23</v>
      </c>
      <c r="G741" t="n">
        <v>26707.7815</v>
      </c>
      <c r="H741" t="n">
        <v>6494.2756</v>
      </c>
      <c r="I741" t="n">
        <v>4060.4651</v>
      </c>
      <c r="J741" t="inlineStr"/>
      <c r="K741" t="n">
        <v>2020</v>
      </c>
      <c r="L741" t="n">
        <v>2040</v>
      </c>
      <c r="M741" t="n">
        <v>0.5813</v>
      </c>
      <c r="N741" t="n">
        <v>0.2506</v>
      </c>
      <c r="O741" t="n">
        <v>2018</v>
      </c>
      <c r="P741" t="inlineStr"/>
      <c r="Q741" t="inlineStr"/>
      <c r="R741" t="n">
        <v>529.8294</v>
      </c>
      <c r="S741" t="n">
        <v>0.00091413</v>
      </c>
      <c r="T741" t="n">
        <v>0.00096913</v>
      </c>
      <c r="U741" t="n">
        <v>26707.7815</v>
      </c>
      <c r="V741" t="inlineStr">
        <is>
          <t>Supplier Reported Emissions</t>
        </is>
      </c>
      <c r="W741" t="b">
        <v>0</v>
      </c>
      <c r="X741" t="inlineStr">
        <is>
          <t>High</t>
        </is>
      </c>
      <c r="Y741" t="inlineStr">
        <is>
          <t>Gross_Spend; Scope_Emissions</t>
        </is>
      </c>
      <c r="Z741" t="n">
        <v>0.95</v>
      </c>
      <c r="AA741" t="inlineStr">
        <is>
          <t>Valid</t>
        </is>
      </c>
    </row>
    <row r="742">
      <c r="A742" t="inlineStr">
        <is>
          <t>SUP-0075</t>
        </is>
      </c>
      <c r="B742" t="inlineStr">
        <is>
          <t>Metals Supplier 075</t>
        </is>
      </c>
      <c r="C742" t="inlineStr">
        <is>
          <t>Metals</t>
        </is>
      </c>
      <c r="D742" t="n">
        <v>2015</v>
      </c>
      <c r="E742" t="n">
        <v>12326175.85</v>
      </c>
      <c r="F742" t="n">
        <v>31625793.45</v>
      </c>
      <c r="G742" t="inlineStr"/>
      <c r="H742" t="n">
        <v>1384.2462</v>
      </c>
      <c r="I742" t="n">
        <v>2344.6095</v>
      </c>
      <c r="J742" t="n">
        <v>11805.0781</v>
      </c>
      <c r="K742" t="n">
        <v>2021</v>
      </c>
      <c r="L742" t="n">
        <v>2030</v>
      </c>
      <c r="M742" t="n">
        <v>0.5861</v>
      </c>
      <c r="N742" t="n">
        <v>0.2598</v>
      </c>
      <c r="O742" t="n">
        <v>2019</v>
      </c>
      <c r="P742" t="n">
        <v>2030</v>
      </c>
      <c r="Q742" t="n">
        <v>0.3852</v>
      </c>
      <c r="R742" t="n">
        <v>158.2904</v>
      </c>
      <c r="S742" t="n">
        <v>0.00100695</v>
      </c>
      <c r="T742" t="n">
        <v>0.00065008</v>
      </c>
      <c r="U742" t="n">
        <v>15533.9338</v>
      </c>
      <c r="V742" t="inlineStr">
        <is>
          <t>Scope 1 + Scope 2 + Scope 3</t>
        </is>
      </c>
      <c r="W742" t="b">
        <v>1</v>
      </c>
      <c r="X742" t="inlineStr">
        <is>
          <t>High</t>
        </is>
      </c>
      <c r="Y742" t="inlineStr">
        <is>
          <t>Reported_Emissions</t>
        </is>
      </c>
      <c r="Z742" t="n">
        <v>0.88</v>
      </c>
      <c r="AA742" t="inlineStr">
        <is>
          <t>Valid</t>
        </is>
      </c>
    </row>
    <row r="743">
      <c r="A743" t="inlineStr">
        <is>
          <t>SUP-0075</t>
        </is>
      </c>
      <c r="B743" t="inlineStr">
        <is>
          <t>Metals Supplier 075</t>
        </is>
      </c>
      <c r="C743" t="inlineStr">
        <is>
          <t>Metals</t>
        </is>
      </c>
      <c r="D743" t="n">
        <v>2016</v>
      </c>
      <c r="E743" t="n">
        <v>12654595.27</v>
      </c>
      <c r="F743" t="n">
        <v>25508865.47</v>
      </c>
      <c r="G743" t="n">
        <v>16074.023</v>
      </c>
      <c r="H743" t="n">
        <v>2896.5863</v>
      </c>
      <c r="I743" t="n">
        <v>2081.8162</v>
      </c>
      <c r="J743" t="n">
        <v>11041.0334</v>
      </c>
      <c r="K743" t="n">
        <v>2021</v>
      </c>
      <c r="L743" t="n">
        <v>2030</v>
      </c>
      <c r="M743" t="n">
        <v>0.5861</v>
      </c>
      <c r="N743" t="n">
        <v>0.2598</v>
      </c>
      <c r="O743" t="n">
        <v>2019</v>
      </c>
      <c r="P743" t="n">
        <v>2030</v>
      </c>
      <c r="Q743" t="n">
        <v>0.3852</v>
      </c>
      <c r="R743" t="n">
        <v>158.2904</v>
      </c>
      <c r="S743" t="n">
        <v>0.00100695</v>
      </c>
      <c r="T743" t="n">
        <v>0.00065008</v>
      </c>
      <c r="U743" t="n">
        <v>16074.023</v>
      </c>
      <c r="V743" t="inlineStr">
        <is>
          <t>Supplier Reported Emissions</t>
        </is>
      </c>
      <c r="W743" t="b">
        <v>0</v>
      </c>
      <c r="X743" t="inlineStr">
        <is>
          <t>High</t>
        </is>
      </c>
      <c r="Y743" t="inlineStr">
        <is>
          <t>None</t>
        </is>
      </c>
      <c r="Z743" t="n">
        <v>0.95</v>
      </c>
      <c r="AA743" t="inlineStr">
        <is>
          <t>Valid</t>
        </is>
      </c>
    </row>
    <row r="744">
      <c r="A744" t="inlineStr">
        <is>
          <t>SUP-0075</t>
        </is>
      </c>
      <c r="B744" t="inlineStr">
        <is>
          <t>Metals Supplier 075</t>
        </is>
      </c>
      <c r="C744" t="inlineStr">
        <is>
          <t>Metals</t>
        </is>
      </c>
      <c r="D744" t="n">
        <v>2017</v>
      </c>
      <c r="E744" t="inlineStr"/>
      <c r="F744" t="n">
        <v>26088748.07</v>
      </c>
      <c r="G744" t="n">
        <v>19399.9048</v>
      </c>
      <c r="H744" t="n">
        <v>4971.0994</v>
      </c>
      <c r="I744" t="n">
        <v>2678.466</v>
      </c>
      <c r="J744" t="n">
        <v>12446.9877</v>
      </c>
      <c r="K744" t="n">
        <v>2021</v>
      </c>
      <c r="L744" t="n">
        <v>2030</v>
      </c>
      <c r="M744" t="n">
        <v>0.5861</v>
      </c>
      <c r="N744" t="n">
        <v>0.2598</v>
      </c>
      <c r="O744" t="n">
        <v>2019</v>
      </c>
      <c r="P744" t="n">
        <v>2030</v>
      </c>
      <c r="Q744" t="n">
        <v>0.3852</v>
      </c>
      <c r="R744" t="n">
        <v>158.2904</v>
      </c>
      <c r="S744" t="n">
        <v>0.00100695</v>
      </c>
      <c r="T744" t="n">
        <v>0.00065008</v>
      </c>
      <c r="U744" t="n">
        <v>19399.9048</v>
      </c>
      <c r="V744" t="inlineStr">
        <is>
          <t>Supplier Reported Emissions</t>
        </is>
      </c>
      <c r="W744" t="b">
        <v>0</v>
      </c>
      <c r="X744" t="inlineStr">
        <is>
          <t>High</t>
        </is>
      </c>
      <c r="Y744" t="inlineStr">
        <is>
          <t>Gross_Spend</t>
        </is>
      </c>
      <c r="Z744" t="n">
        <v>0.95</v>
      </c>
      <c r="AA744" t="inlineStr">
        <is>
          <t>Valid</t>
        </is>
      </c>
    </row>
    <row r="745">
      <c r="A745" t="inlineStr">
        <is>
          <t>SUP-0075</t>
        </is>
      </c>
      <c r="B745" t="inlineStr">
        <is>
          <t>Metals Supplier 075</t>
        </is>
      </c>
      <c r="C745" t="inlineStr">
        <is>
          <t>Metals</t>
        </is>
      </c>
      <c r="D745" t="n">
        <v>2018</v>
      </c>
      <c r="E745" t="n">
        <v>12388184.24</v>
      </c>
      <c r="F745" t="n">
        <v>30946350.42</v>
      </c>
      <c r="G745" t="inlineStr"/>
      <c r="H745" t="n">
        <v>3876.8327</v>
      </c>
      <c r="I745" t="n">
        <v>2304.6983</v>
      </c>
      <c r="J745" t="n">
        <v>9038.167799999999</v>
      </c>
      <c r="K745" t="n">
        <v>2021</v>
      </c>
      <c r="L745" t="n">
        <v>2030</v>
      </c>
      <c r="M745" t="n">
        <v>0.5861</v>
      </c>
      <c r="N745" t="n">
        <v>0.2598</v>
      </c>
      <c r="O745" t="n">
        <v>2019</v>
      </c>
      <c r="P745" t="n">
        <v>2030</v>
      </c>
      <c r="Q745" t="n">
        <v>0.3852</v>
      </c>
      <c r="R745" t="n">
        <v>158.2904</v>
      </c>
      <c r="S745" t="n">
        <v>0.00100695</v>
      </c>
      <c r="T745" t="n">
        <v>0.00065008</v>
      </c>
      <c r="U745" t="n">
        <v>15219.6988</v>
      </c>
      <c r="V745" t="inlineStr">
        <is>
          <t>Scope 1 + Scope 2 + Scope 3</t>
        </is>
      </c>
      <c r="W745" t="b">
        <v>1</v>
      </c>
      <c r="X745" t="inlineStr">
        <is>
          <t>High</t>
        </is>
      </c>
      <c r="Y745" t="inlineStr">
        <is>
          <t>Reported_Emissions</t>
        </is>
      </c>
      <c r="Z745" t="n">
        <v>0.88</v>
      </c>
      <c r="AA745" t="inlineStr">
        <is>
          <t>Valid</t>
        </is>
      </c>
    </row>
    <row r="746">
      <c r="A746" t="inlineStr">
        <is>
          <t>SUP-0075</t>
        </is>
      </c>
      <c r="B746" t="inlineStr">
        <is>
          <t>Metals Supplier 075</t>
        </is>
      </c>
      <c r="C746" t="inlineStr">
        <is>
          <t>Metals</t>
        </is>
      </c>
      <c r="D746" t="n">
        <v>2019</v>
      </c>
      <c r="E746" t="n">
        <v>11477040.48</v>
      </c>
      <c r="F746" t="n">
        <v>29875006.67</v>
      </c>
      <c r="G746" t="n">
        <v>13980.3941</v>
      </c>
      <c r="H746" t="n">
        <v>1466.8342</v>
      </c>
      <c r="I746" t="n">
        <v>1559.7563</v>
      </c>
      <c r="J746" t="n">
        <v>10283.1267</v>
      </c>
      <c r="K746" t="n">
        <v>2021</v>
      </c>
      <c r="L746" t="n">
        <v>2030</v>
      </c>
      <c r="M746" t="n">
        <v>0.5861</v>
      </c>
      <c r="N746" t="n">
        <v>0.2598</v>
      </c>
      <c r="O746" t="n">
        <v>2019</v>
      </c>
      <c r="P746" t="n">
        <v>2030</v>
      </c>
      <c r="Q746" t="n">
        <v>0.3852</v>
      </c>
      <c r="R746" t="n">
        <v>158.2904</v>
      </c>
      <c r="S746" t="n">
        <v>0.00100695</v>
      </c>
      <c r="T746" t="n">
        <v>0.00065008</v>
      </c>
      <c r="U746" t="n">
        <v>13980.3941</v>
      </c>
      <c r="V746" t="inlineStr">
        <is>
          <t>Supplier Reported Emissions</t>
        </is>
      </c>
      <c r="W746" t="b">
        <v>0</v>
      </c>
      <c r="X746" t="inlineStr">
        <is>
          <t>High</t>
        </is>
      </c>
      <c r="Y746" t="inlineStr">
        <is>
          <t>None</t>
        </is>
      </c>
      <c r="Z746" t="n">
        <v>0.95</v>
      </c>
      <c r="AA746" t="inlineStr">
        <is>
          <t>Valid</t>
        </is>
      </c>
    </row>
    <row r="747">
      <c r="A747" t="inlineStr">
        <is>
          <t>SUP-0075</t>
        </is>
      </c>
      <c r="B747" t="inlineStr">
        <is>
          <t>Metals Supplier 075</t>
        </is>
      </c>
      <c r="C747" t="inlineStr">
        <is>
          <t>Metals</t>
        </is>
      </c>
      <c r="D747" t="n">
        <v>2020</v>
      </c>
      <c r="E747" t="n">
        <v>12370599.7</v>
      </c>
      <c r="F747" t="n">
        <v>30591548.3</v>
      </c>
      <c r="G747" t="inlineStr"/>
      <c r="H747" t="n">
        <v>1361.1582</v>
      </c>
      <c r="I747" t="n">
        <v>2436.4698</v>
      </c>
      <c r="J747" t="n">
        <v>11431.9705</v>
      </c>
      <c r="K747" t="n">
        <v>2021</v>
      </c>
      <c r="L747" t="n">
        <v>2030</v>
      </c>
      <c r="M747" t="n">
        <v>0.5861</v>
      </c>
      <c r="N747" t="n">
        <v>0.2598</v>
      </c>
      <c r="O747" t="n">
        <v>2019</v>
      </c>
      <c r="P747" t="n">
        <v>2030</v>
      </c>
      <c r="Q747" t="n">
        <v>0.3852</v>
      </c>
      <c r="R747" t="n">
        <v>158.2904</v>
      </c>
      <c r="S747" t="n">
        <v>0.00100695</v>
      </c>
      <c r="T747" t="n">
        <v>0.00065008</v>
      </c>
      <c r="U747" t="n">
        <v>15229.5985</v>
      </c>
      <c r="V747" t="inlineStr">
        <is>
          <t>Scope 1 + Scope 2 + Scope 3</t>
        </is>
      </c>
      <c r="W747" t="b">
        <v>1</v>
      </c>
      <c r="X747" t="inlineStr">
        <is>
          <t>High</t>
        </is>
      </c>
      <c r="Y747" t="inlineStr">
        <is>
          <t>Reported_Emissions</t>
        </is>
      </c>
      <c r="Z747" t="n">
        <v>0.88</v>
      </c>
      <c r="AA747" t="inlineStr">
        <is>
          <t>Valid</t>
        </is>
      </c>
    </row>
    <row r="748">
      <c r="A748" t="inlineStr">
        <is>
          <t>SUP-0075</t>
        </is>
      </c>
      <c r="B748" t="inlineStr">
        <is>
          <t>Metals Supplier 075</t>
        </is>
      </c>
      <c r="C748" t="inlineStr">
        <is>
          <t>Metals</t>
        </is>
      </c>
      <c r="D748" t="n">
        <v>2021</v>
      </c>
      <c r="E748" t="n">
        <v>12983546</v>
      </c>
      <c r="F748" t="n">
        <v>24956274.81</v>
      </c>
      <c r="G748" t="n">
        <v>17179.8672</v>
      </c>
      <c r="H748" t="n">
        <v>3172.7517</v>
      </c>
      <c r="I748" t="n">
        <v>3085.877</v>
      </c>
      <c r="J748" t="n">
        <v>12105.0269</v>
      </c>
      <c r="K748" t="n">
        <v>2021</v>
      </c>
      <c r="L748" t="n">
        <v>2030</v>
      </c>
      <c r="M748" t="n">
        <v>0.5861</v>
      </c>
      <c r="N748" t="n">
        <v>0.2598</v>
      </c>
      <c r="O748" t="n">
        <v>2019</v>
      </c>
      <c r="P748" t="n">
        <v>2030</v>
      </c>
      <c r="Q748" t="n">
        <v>0.3852</v>
      </c>
      <c r="R748" t="n">
        <v>158.2904</v>
      </c>
      <c r="S748" t="n">
        <v>0.00100695</v>
      </c>
      <c r="T748" t="n">
        <v>0.00065008</v>
      </c>
      <c r="U748" t="n">
        <v>17179.8672</v>
      </c>
      <c r="V748" t="inlineStr">
        <is>
          <t>Supplier Reported Emissions</t>
        </is>
      </c>
      <c r="W748" t="b">
        <v>0</v>
      </c>
      <c r="X748" t="inlineStr">
        <is>
          <t>High</t>
        </is>
      </c>
      <c r="Y748" t="inlineStr">
        <is>
          <t>None</t>
        </is>
      </c>
      <c r="Z748" t="n">
        <v>0.95</v>
      </c>
      <c r="AA748" t="inlineStr">
        <is>
          <t>Valid</t>
        </is>
      </c>
    </row>
    <row r="749">
      <c r="A749" t="inlineStr">
        <is>
          <t>SUP-0075</t>
        </is>
      </c>
      <c r="B749" t="inlineStr">
        <is>
          <t>Metals Supplier 075</t>
        </is>
      </c>
      <c r="C749" t="inlineStr">
        <is>
          <t>Metals</t>
        </is>
      </c>
      <c r="D749" t="n">
        <v>2022</v>
      </c>
      <c r="E749" t="n">
        <v>11455508.37</v>
      </c>
      <c r="F749" t="n">
        <v>27741305.35</v>
      </c>
      <c r="G749" t="n">
        <v>17121.6806</v>
      </c>
      <c r="H749" t="n">
        <v>1312.0646</v>
      </c>
      <c r="I749" t="n">
        <v>1267.9731</v>
      </c>
      <c r="J749" t="inlineStr"/>
      <c r="K749" t="n">
        <v>2021</v>
      </c>
      <c r="L749" t="n">
        <v>2030</v>
      </c>
      <c r="M749" t="n">
        <v>0.5861</v>
      </c>
      <c r="N749" t="n">
        <v>0.2598</v>
      </c>
      <c r="O749" t="n">
        <v>2019</v>
      </c>
      <c r="P749" t="n">
        <v>2030</v>
      </c>
      <c r="Q749" t="n">
        <v>0.3852</v>
      </c>
      <c r="R749" t="n">
        <v>158.2904</v>
      </c>
      <c r="S749" t="n">
        <v>0.00100695</v>
      </c>
      <c r="T749" t="n">
        <v>0.00065008</v>
      </c>
      <c r="U749" t="n">
        <v>17121.6806</v>
      </c>
      <c r="V749" t="inlineStr">
        <is>
          <t>Supplier Reported Emissions</t>
        </is>
      </c>
      <c r="W749" t="b">
        <v>0</v>
      </c>
      <c r="X749" t="inlineStr">
        <is>
          <t>High</t>
        </is>
      </c>
      <c r="Y749" t="inlineStr">
        <is>
          <t>Scope_Emissions</t>
        </is>
      </c>
      <c r="Z749" t="n">
        <v>0.95</v>
      </c>
      <c r="AA749" t="inlineStr">
        <is>
          <t>Valid</t>
        </is>
      </c>
    </row>
    <row r="750">
      <c r="A750" t="inlineStr">
        <is>
          <t>SUP-0075</t>
        </is>
      </c>
      <c r="B750" t="inlineStr">
        <is>
          <t>Metals Supplier 075</t>
        </is>
      </c>
      <c r="C750" t="inlineStr">
        <is>
          <t>Metals</t>
        </is>
      </c>
      <c r="D750" t="n">
        <v>2023</v>
      </c>
      <c r="E750" t="n">
        <v>13467982.93</v>
      </c>
      <c r="F750" t="n">
        <v>27956654.66</v>
      </c>
      <c r="G750" t="n">
        <v>16384.4305</v>
      </c>
      <c r="H750" t="n">
        <v>2992.5583</v>
      </c>
      <c r="I750" t="n">
        <v>3421.4277</v>
      </c>
      <c r="J750" t="inlineStr"/>
      <c r="K750" t="n">
        <v>2021</v>
      </c>
      <c r="L750" t="n">
        <v>2030</v>
      </c>
      <c r="M750" t="n">
        <v>0.5861</v>
      </c>
      <c r="N750" t="n">
        <v>0.2598</v>
      </c>
      <c r="O750" t="n">
        <v>2019</v>
      </c>
      <c r="P750" t="n">
        <v>2030</v>
      </c>
      <c r="Q750" t="n">
        <v>0.3852</v>
      </c>
      <c r="R750" t="n">
        <v>158.2904</v>
      </c>
      <c r="S750" t="n">
        <v>0.00100695</v>
      </c>
      <c r="T750" t="n">
        <v>0.00065008</v>
      </c>
      <c r="U750" t="n">
        <v>16384.4305</v>
      </c>
      <c r="V750" t="inlineStr">
        <is>
          <t>Supplier Reported Emissions</t>
        </is>
      </c>
      <c r="W750" t="b">
        <v>0</v>
      </c>
      <c r="X750" t="inlineStr">
        <is>
          <t>High</t>
        </is>
      </c>
      <c r="Y750" t="inlineStr">
        <is>
          <t>Scope_Emissions</t>
        </is>
      </c>
      <c r="Z750" t="n">
        <v>0.95</v>
      </c>
      <c r="AA750" t="inlineStr">
        <is>
          <t>Valid</t>
        </is>
      </c>
    </row>
    <row r="751">
      <c r="A751" t="inlineStr">
        <is>
          <t>SUP-0075</t>
        </is>
      </c>
      <c r="B751" t="inlineStr">
        <is>
          <t>Metals Supplier 075</t>
        </is>
      </c>
      <c r="C751" t="inlineStr">
        <is>
          <t>Metals</t>
        </is>
      </c>
      <c r="D751" t="n">
        <v>2024</v>
      </c>
      <c r="E751" t="n">
        <v>10788085.25</v>
      </c>
      <c r="F751" t="n">
        <v>32921816.64</v>
      </c>
      <c r="G751" t="n">
        <v>16503.6871</v>
      </c>
      <c r="H751" t="n">
        <v>2515.0455</v>
      </c>
      <c r="I751" t="n">
        <v>2326.5687</v>
      </c>
      <c r="J751" t="inlineStr"/>
      <c r="K751" t="n">
        <v>2021</v>
      </c>
      <c r="L751" t="n">
        <v>2030</v>
      </c>
      <c r="M751" t="n">
        <v>0.5861</v>
      </c>
      <c r="N751" t="n">
        <v>0.2598</v>
      </c>
      <c r="O751" t="n">
        <v>2019</v>
      </c>
      <c r="P751" t="n">
        <v>2030</v>
      </c>
      <c r="Q751" t="n">
        <v>0.3852</v>
      </c>
      <c r="R751" t="n">
        <v>158.2904</v>
      </c>
      <c r="S751" t="n">
        <v>0.00100695</v>
      </c>
      <c r="T751" t="n">
        <v>0.00065008</v>
      </c>
      <c r="U751" t="n">
        <v>16503.6871</v>
      </c>
      <c r="V751" t="inlineStr">
        <is>
          <t>Supplier Reported Emissions</t>
        </is>
      </c>
      <c r="W751" t="b">
        <v>0</v>
      </c>
      <c r="X751" t="inlineStr">
        <is>
          <t>High</t>
        </is>
      </c>
      <c r="Y751" t="inlineStr">
        <is>
          <t>Scope_Emissions</t>
        </is>
      </c>
      <c r="Z751" t="n">
        <v>0.95</v>
      </c>
      <c r="AA751" t="inlineStr">
        <is>
          <t>Valid</t>
        </is>
      </c>
    </row>
    <row r="752">
      <c r="A752" t="inlineStr">
        <is>
          <t>SUP-0076</t>
        </is>
      </c>
      <c r="B752" t="inlineStr">
        <is>
          <t>Chemicals Supplier 076</t>
        </is>
      </c>
      <c r="C752" t="inlineStr">
        <is>
          <t>Chemicals</t>
        </is>
      </c>
      <c r="D752" t="n">
        <v>2015</v>
      </c>
      <c r="E752" t="n">
        <v>10994338.4</v>
      </c>
      <c r="F752" t="n">
        <v>13790421.39</v>
      </c>
      <c r="G752" t="inlineStr"/>
      <c r="H752" t="inlineStr"/>
      <c r="I752" t="n">
        <v>3248.4172</v>
      </c>
      <c r="J752" t="n">
        <v>9585.9602</v>
      </c>
      <c r="K752" t="n">
        <v>2018</v>
      </c>
      <c r="L752" t="n">
        <v>2035</v>
      </c>
      <c r="M752" t="n">
        <v>0.4347</v>
      </c>
      <c r="N752" t="n">
        <v>0.1718</v>
      </c>
      <c r="O752" t="n">
        <v>2019</v>
      </c>
      <c r="P752" t="n">
        <v>2035</v>
      </c>
      <c r="Q752" t="n">
        <v>0.5229</v>
      </c>
      <c r="R752" t="n">
        <v>506.3191</v>
      </c>
      <c r="S752" t="n">
        <v>0.00100149</v>
      </c>
      <c r="T752" t="n">
        <v>0.00047124</v>
      </c>
      <c r="U752" t="n">
        <v>11010.72</v>
      </c>
      <c r="V752" t="inlineStr">
        <is>
          <t>Spend-Based Estimate</t>
        </is>
      </c>
      <c r="W752" t="b">
        <v>1</v>
      </c>
      <c r="X752" t="inlineStr">
        <is>
          <t>Medium</t>
        </is>
      </c>
      <c r="Y752" t="inlineStr">
        <is>
          <t>Reported_Emissions; Scope_Emissions</t>
        </is>
      </c>
      <c r="Z752" t="n">
        <v>0.7</v>
      </c>
      <c r="AA752" t="inlineStr">
        <is>
          <t>Valid</t>
        </is>
      </c>
    </row>
    <row r="753">
      <c r="A753" t="inlineStr">
        <is>
          <t>SUP-0076</t>
        </is>
      </c>
      <c r="B753" t="inlineStr">
        <is>
          <t>Chemicals Supplier 076</t>
        </is>
      </c>
      <c r="C753" t="inlineStr">
        <is>
          <t>Chemicals</t>
        </is>
      </c>
      <c r="D753" t="n">
        <v>2016</v>
      </c>
      <c r="E753" t="n">
        <v>9452563</v>
      </c>
      <c r="F753" t="n">
        <v>12463519.77</v>
      </c>
      <c r="G753" t="inlineStr"/>
      <c r="H753" t="n">
        <v>1205.0764</v>
      </c>
      <c r="I753" t="n">
        <v>2263.2144</v>
      </c>
      <c r="J753" t="n">
        <v>6492.9626</v>
      </c>
      <c r="K753" t="n">
        <v>2018</v>
      </c>
      <c r="L753" t="n">
        <v>2035</v>
      </c>
      <c r="M753" t="n">
        <v>0.4347</v>
      </c>
      <c r="N753" t="n">
        <v>0.1718</v>
      </c>
      <c r="O753" t="n">
        <v>2019</v>
      </c>
      <c r="P753" t="n">
        <v>2035</v>
      </c>
      <c r="Q753" t="n">
        <v>0.5229</v>
      </c>
      <c r="R753" t="n">
        <v>506.3191</v>
      </c>
      <c r="S753" t="n">
        <v>0.00100149</v>
      </c>
      <c r="T753" t="n">
        <v>0.00047124</v>
      </c>
      <c r="U753" t="n">
        <v>9961.2534</v>
      </c>
      <c r="V753" t="inlineStr">
        <is>
          <t>Scope 1 + Scope 2 + Scope 3</t>
        </is>
      </c>
      <c r="W753" t="b">
        <v>1</v>
      </c>
      <c r="X753" t="inlineStr">
        <is>
          <t>High</t>
        </is>
      </c>
      <c r="Y753" t="inlineStr">
        <is>
          <t>Reported_Emissions</t>
        </is>
      </c>
      <c r="Z753" t="n">
        <v>0.88</v>
      </c>
      <c r="AA753" t="inlineStr">
        <is>
          <t>Valid</t>
        </is>
      </c>
    </row>
    <row r="754">
      <c r="A754" t="inlineStr">
        <is>
          <t>SUP-0076</t>
        </is>
      </c>
      <c r="B754" t="inlineStr">
        <is>
          <t>Chemicals Supplier 076</t>
        </is>
      </c>
      <c r="C754" t="inlineStr">
        <is>
          <t>Chemicals</t>
        </is>
      </c>
      <c r="D754" t="n">
        <v>2017</v>
      </c>
      <c r="E754" t="n">
        <v>9266943.27</v>
      </c>
      <c r="F754" t="n">
        <v>15078824.7</v>
      </c>
      <c r="G754" t="n">
        <v>15327.6885</v>
      </c>
      <c r="H754" t="n">
        <v>2109.8668</v>
      </c>
      <c r="I754" t="n">
        <v>1308.6603</v>
      </c>
      <c r="J754" t="n">
        <v>11702.7346</v>
      </c>
      <c r="K754" t="n">
        <v>2018</v>
      </c>
      <c r="L754" t="n">
        <v>2035</v>
      </c>
      <c r="M754" t="n">
        <v>0.4347</v>
      </c>
      <c r="N754" t="n">
        <v>0.1718</v>
      </c>
      <c r="O754" t="n">
        <v>2019</v>
      </c>
      <c r="P754" t="n">
        <v>2035</v>
      </c>
      <c r="Q754" t="n">
        <v>0.5229</v>
      </c>
      <c r="R754" t="n">
        <v>506.3191</v>
      </c>
      <c r="S754" t="n">
        <v>0.00100149</v>
      </c>
      <c r="T754" t="n">
        <v>0.00047124</v>
      </c>
      <c r="U754" t="n">
        <v>15327.6885</v>
      </c>
      <c r="V754" t="inlineStr">
        <is>
          <t>Supplier Reported Emissions</t>
        </is>
      </c>
      <c r="W754" t="b">
        <v>0</v>
      </c>
      <c r="X754" t="inlineStr">
        <is>
          <t>High</t>
        </is>
      </c>
      <c r="Y754" t="inlineStr">
        <is>
          <t>None</t>
        </is>
      </c>
      <c r="Z754" t="n">
        <v>0.95</v>
      </c>
      <c r="AA754" t="inlineStr">
        <is>
          <t>Valid</t>
        </is>
      </c>
    </row>
    <row r="755">
      <c r="A755" t="inlineStr">
        <is>
          <t>SUP-0076</t>
        </is>
      </c>
      <c r="B755" t="inlineStr">
        <is>
          <t>Chemicals Supplier 076</t>
        </is>
      </c>
      <c r="C755" t="inlineStr">
        <is>
          <t>Chemicals</t>
        </is>
      </c>
      <c r="D755" t="n">
        <v>2018</v>
      </c>
      <c r="E755" t="n">
        <v>9917661.84</v>
      </c>
      <c r="F755" t="n">
        <v>14824322.82</v>
      </c>
      <c r="G755" t="n">
        <v>12116.7137</v>
      </c>
      <c r="H755" t="n">
        <v>974.3827</v>
      </c>
      <c r="I755" t="n">
        <v>1797.0218</v>
      </c>
      <c r="J755" t="n">
        <v>9342.0669</v>
      </c>
      <c r="K755" t="n">
        <v>2018</v>
      </c>
      <c r="L755" t="n">
        <v>2035</v>
      </c>
      <c r="M755" t="n">
        <v>0.4347</v>
      </c>
      <c r="N755" t="n">
        <v>0.1718</v>
      </c>
      <c r="O755" t="n">
        <v>2019</v>
      </c>
      <c r="P755" t="n">
        <v>2035</v>
      </c>
      <c r="Q755" t="n">
        <v>0.5229</v>
      </c>
      <c r="R755" t="n">
        <v>506.3191</v>
      </c>
      <c r="S755" t="n">
        <v>0.00100149</v>
      </c>
      <c r="T755" t="n">
        <v>0.00047124</v>
      </c>
      <c r="U755" t="n">
        <v>12116.7137</v>
      </c>
      <c r="V755" t="inlineStr">
        <is>
          <t>Supplier Reported Emissions</t>
        </is>
      </c>
      <c r="W755" t="b">
        <v>0</v>
      </c>
      <c r="X755" t="inlineStr">
        <is>
          <t>High</t>
        </is>
      </c>
      <c r="Y755" t="inlineStr">
        <is>
          <t>None</t>
        </is>
      </c>
      <c r="Z755" t="n">
        <v>0.95</v>
      </c>
      <c r="AA755" t="inlineStr">
        <is>
          <t>Valid</t>
        </is>
      </c>
    </row>
    <row r="756">
      <c r="A756" t="inlineStr">
        <is>
          <t>SUP-0076</t>
        </is>
      </c>
      <c r="B756" t="inlineStr">
        <is>
          <t>Chemicals Supplier 076</t>
        </is>
      </c>
      <c r="C756" t="inlineStr">
        <is>
          <t>Chemicals</t>
        </is>
      </c>
      <c r="D756" t="n">
        <v>2019</v>
      </c>
      <c r="E756" t="n">
        <v>10184845.18</v>
      </c>
      <c r="F756" t="n">
        <v>14791767.42</v>
      </c>
      <c r="G756" t="inlineStr"/>
      <c r="H756" t="n">
        <v>2350.4086</v>
      </c>
      <c r="I756" t="n">
        <v>1946.5987</v>
      </c>
      <c r="J756" t="n">
        <v>7665.0034</v>
      </c>
      <c r="K756" t="n">
        <v>2018</v>
      </c>
      <c r="L756" t="n">
        <v>2035</v>
      </c>
      <c r="M756" t="n">
        <v>0.4347</v>
      </c>
      <c r="N756" t="n">
        <v>0.1718</v>
      </c>
      <c r="O756" t="n">
        <v>2019</v>
      </c>
      <c r="P756" t="n">
        <v>2035</v>
      </c>
      <c r="Q756" t="n">
        <v>0.5229</v>
      </c>
      <c r="R756" t="n">
        <v>506.3191</v>
      </c>
      <c r="S756" t="n">
        <v>0.00100149</v>
      </c>
      <c r="T756" t="n">
        <v>0.00047124</v>
      </c>
      <c r="U756" t="n">
        <v>11962.0107</v>
      </c>
      <c r="V756" t="inlineStr">
        <is>
          <t>Scope 1 + Scope 2 + Scope 3</t>
        </is>
      </c>
      <c r="W756" t="b">
        <v>1</v>
      </c>
      <c r="X756" t="inlineStr">
        <is>
          <t>High</t>
        </is>
      </c>
      <c r="Y756" t="inlineStr">
        <is>
          <t>Reported_Emissions</t>
        </is>
      </c>
      <c r="Z756" t="n">
        <v>0.88</v>
      </c>
      <c r="AA756" t="inlineStr">
        <is>
          <t>Valid</t>
        </is>
      </c>
    </row>
    <row r="757">
      <c r="A757" t="inlineStr">
        <is>
          <t>SUP-0076</t>
        </is>
      </c>
      <c r="B757" t="inlineStr">
        <is>
          <t>Chemicals Supplier 076</t>
        </is>
      </c>
      <c r="C757" t="inlineStr">
        <is>
          <t>Chemicals</t>
        </is>
      </c>
      <c r="D757" t="n">
        <v>2020</v>
      </c>
      <c r="E757" t="n">
        <v>8819115.789999999</v>
      </c>
      <c r="F757" t="n">
        <v>11309728.75</v>
      </c>
      <c r="G757" t="inlineStr"/>
      <c r="H757" t="inlineStr"/>
      <c r="I757" t="n">
        <v>1933.7298</v>
      </c>
      <c r="J757" t="n">
        <v>6446.3563</v>
      </c>
      <c r="K757" t="n">
        <v>2018</v>
      </c>
      <c r="L757" t="n">
        <v>2035</v>
      </c>
      <c r="M757" t="n">
        <v>0.4347</v>
      </c>
      <c r="N757" t="n">
        <v>0.1718</v>
      </c>
      <c r="O757" t="n">
        <v>2019</v>
      </c>
      <c r="P757" t="n">
        <v>2035</v>
      </c>
      <c r="Q757" t="n">
        <v>0.5229</v>
      </c>
      <c r="R757" t="n">
        <v>506.3191</v>
      </c>
      <c r="S757" t="n">
        <v>0.00100149</v>
      </c>
      <c r="T757" t="n">
        <v>0.00047124</v>
      </c>
      <c r="U757" t="n">
        <v>8832.256299999999</v>
      </c>
      <c r="V757" t="inlineStr">
        <is>
          <t>Spend-Based Estimate</t>
        </is>
      </c>
      <c r="W757" t="b">
        <v>1</v>
      </c>
      <c r="X757" t="inlineStr">
        <is>
          <t>Medium</t>
        </is>
      </c>
      <c r="Y757" t="inlineStr">
        <is>
          <t>Reported_Emissions; Scope_Emissions</t>
        </is>
      </c>
      <c r="Z757" t="n">
        <v>0.7</v>
      </c>
      <c r="AA757" t="inlineStr">
        <is>
          <t>Valid</t>
        </is>
      </c>
    </row>
    <row r="758">
      <c r="A758" t="inlineStr">
        <is>
          <t>SUP-0076</t>
        </is>
      </c>
      <c r="B758" t="inlineStr">
        <is>
          <t>Chemicals Supplier 076</t>
        </is>
      </c>
      <c r="C758" t="inlineStr">
        <is>
          <t>Chemicals</t>
        </is>
      </c>
      <c r="D758" t="n">
        <v>2021</v>
      </c>
      <c r="E758" t="n">
        <v>10146040.79</v>
      </c>
      <c r="F758" t="n">
        <v>12130047.16</v>
      </c>
      <c r="G758" t="inlineStr"/>
      <c r="H758" t="n">
        <v>1352.8704</v>
      </c>
      <c r="I758" t="n">
        <v>2251.5609</v>
      </c>
      <c r="J758" t="inlineStr"/>
      <c r="K758" t="n">
        <v>2018</v>
      </c>
      <c r="L758" t="n">
        <v>2035</v>
      </c>
      <c r="M758" t="n">
        <v>0.4347</v>
      </c>
      <c r="N758" t="n">
        <v>0.1718</v>
      </c>
      <c r="O758" t="n">
        <v>2019</v>
      </c>
      <c r="P758" t="n">
        <v>2035</v>
      </c>
      <c r="Q758" t="n">
        <v>0.5229</v>
      </c>
      <c r="R758" t="n">
        <v>506.3191</v>
      </c>
      <c r="S758" t="n">
        <v>0.00100149</v>
      </c>
      <c r="T758" t="n">
        <v>0.00047124</v>
      </c>
      <c r="U758" t="n">
        <v>10161.1584</v>
      </c>
      <c r="V758" t="inlineStr">
        <is>
          <t>Spend-Based Estimate</t>
        </is>
      </c>
      <c r="W758" t="b">
        <v>1</v>
      </c>
      <c r="X758" t="inlineStr">
        <is>
          <t>Medium</t>
        </is>
      </c>
      <c r="Y758" t="inlineStr">
        <is>
          <t>Reported_Emissions; Scope_Emissions</t>
        </is>
      </c>
      <c r="Z758" t="n">
        <v>0.7</v>
      </c>
      <c r="AA758" t="inlineStr">
        <is>
          <t>Valid</t>
        </is>
      </c>
    </row>
    <row r="759">
      <c r="A759" t="inlineStr">
        <is>
          <t>SUP-0076</t>
        </is>
      </c>
      <c r="B759" t="inlineStr">
        <is>
          <t>Chemicals Supplier 076</t>
        </is>
      </c>
      <c r="C759" t="inlineStr">
        <is>
          <t>Chemicals</t>
        </is>
      </c>
      <c r="D759" t="n">
        <v>2022</v>
      </c>
      <c r="E759" t="n">
        <v>8770199.84</v>
      </c>
      <c r="F759" t="n">
        <v>12746328.96</v>
      </c>
      <c r="G759" t="n">
        <v>12177.9956</v>
      </c>
      <c r="H759" t="n">
        <v>2236.5277</v>
      </c>
      <c r="I759" t="n">
        <v>1901.3504</v>
      </c>
      <c r="J759" t="n">
        <v>7788.7074</v>
      </c>
      <c r="K759" t="n">
        <v>2018</v>
      </c>
      <c r="L759" t="n">
        <v>2035</v>
      </c>
      <c r="M759" t="n">
        <v>0.4347</v>
      </c>
      <c r="N759" t="n">
        <v>0.1718</v>
      </c>
      <c r="O759" t="n">
        <v>2019</v>
      </c>
      <c r="P759" t="n">
        <v>2035</v>
      </c>
      <c r="Q759" t="n">
        <v>0.5229</v>
      </c>
      <c r="R759" t="n">
        <v>506.3191</v>
      </c>
      <c r="S759" t="n">
        <v>0.00100149</v>
      </c>
      <c r="T759" t="n">
        <v>0.00047124</v>
      </c>
      <c r="U759" t="n">
        <v>12177.9956</v>
      </c>
      <c r="V759" t="inlineStr">
        <is>
          <t>Supplier Reported Emissions</t>
        </is>
      </c>
      <c r="W759" t="b">
        <v>0</v>
      </c>
      <c r="X759" t="inlineStr">
        <is>
          <t>High</t>
        </is>
      </c>
      <c r="Y759" t="inlineStr">
        <is>
          <t>None</t>
        </is>
      </c>
      <c r="Z759" t="n">
        <v>0.95</v>
      </c>
      <c r="AA759" t="inlineStr">
        <is>
          <t>Valid</t>
        </is>
      </c>
    </row>
    <row r="760">
      <c r="A760" t="inlineStr">
        <is>
          <t>SUP-0076</t>
        </is>
      </c>
      <c r="B760" t="inlineStr">
        <is>
          <t>Chemicals Supplier 076</t>
        </is>
      </c>
      <c r="C760" t="inlineStr">
        <is>
          <t>Chemicals</t>
        </is>
      </c>
      <c r="D760" t="n">
        <v>2023</v>
      </c>
      <c r="E760" t="n">
        <v>9182095.43</v>
      </c>
      <c r="F760" t="n">
        <v>9253879.960000001</v>
      </c>
      <c r="G760" t="n">
        <v>10392.7976</v>
      </c>
      <c r="H760" t="n">
        <v>3121.4546</v>
      </c>
      <c r="I760" t="n">
        <v>1073.0809</v>
      </c>
      <c r="J760" t="n">
        <v>6638.3304</v>
      </c>
      <c r="K760" t="n">
        <v>2018</v>
      </c>
      <c r="L760" t="n">
        <v>2035</v>
      </c>
      <c r="M760" t="n">
        <v>0.4347</v>
      </c>
      <c r="N760" t="n">
        <v>0.1718</v>
      </c>
      <c r="O760" t="n">
        <v>2019</v>
      </c>
      <c r="P760" t="n">
        <v>2035</v>
      </c>
      <c r="Q760" t="n">
        <v>0.5229</v>
      </c>
      <c r="R760" t="n">
        <v>506.3191</v>
      </c>
      <c r="S760" t="n">
        <v>0.00100149</v>
      </c>
      <c r="T760" t="n">
        <v>0.00047124</v>
      </c>
      <c r="U760" t="n">
        <v>10392.7976</v>
      </c>
      <c r="V760" t="inlineStr">
        <is>
          <t>Supplier Reported Emissions</t>
        </is>
      </c>
      <c r="W760" t="b">
        <v>0</v>
      </c>
      <c r="X760" t="inlineStr">
        <is>
          <t>High</t>
        </is>
      </c>
      <c r="Y760" t="inlineStr">
        <is>
          <t>None</t>
        </is>
      </c>
      <c r="Z760" t="n">
        <v>0.95</v>
      </c>
      <c r="AA760" t="inlineStr">
        <is>
          <t>Valid</t>
        </is>
      </c>
    </row>
    <row r="761">
      <c r="A761" t="inlineStr">
        <is>
          <t>SUP-0076</t>
        </is>
      </c>
      <c r="B761" t="inlineStr">
        <is>
          <t>Chemicals Supplier 076</t>
        </is>
      </c>
      <c r="C761" t="inlineStr">
        <is>
          <t>Chemicals</t>
        </is>
      </c>
      <c r="D761" t="n">
        <v>2024</v>
      </c>
      <c r="E761" t="n">
        <v>9191923.93</v>
      </c>
      <c r="F761" t="n">
        <v>11025423.11</v>
      </c>
      <c r="G761" t="n">
        <v>10193.2261</v>
      </c>
      <c r="H761" t="n">
        <v>1825.6608</v>
      </c>
      <c r="I761" t="n">
        <v>1691.3593</v>
      </c>
      <c r="J761" t="inlineStr"/>
      <c r="K761" t="n">
        <v>2018</v>
      </c>
      <c r="L761" t="n">
        <v>2035</v>
      </c>
      <c r="M761" t="n">
        <v>0.4347</v>
      </c>
      <c r="N761" t="n">
        <v>0.1718</v>
      </c>
      <c r="O761" t="n">
        <v>2019</v>
      </c>
      <c r="P761" t="n">
        <v>2035</v>
      </c>
      <c r="Q761" t="n">
        <v>0.5229</v>
      </c>
      <c r="R761" t="n">
        <v>506.3191</v>
      </c>
      <c r="S761" t="n">
        <v>0.00100149</v>
      </c>
      <c r="T761" t="n">
        <v>0.00047124</v>
      </c>
      <c r="U761" t="n">
        <v>10193.2261</v>
      </c>
      <c r="V761" t="inlineStr">
        <is>
          <t>Supplier Reported Emissions</t>
        </is>
      </c>
      <c r="W761" t="b">
        <v>0</v>
      </c>
      <c r="X761" t="inlineStr">
        <is>
          <t>High</t>
        </is>
      </c>
      <c r="Y761" t="inlineStr">
        <is>
          <t>Scope_Emissions</t>
        </is>
      </c>
      <c r="Z761" t="n">
        <v>0.95</v>
      </c>
      <c r="AA761" t="inlineStr">
        <is>
          <t>Valid</t>
        </is>
      </c>
    </row>
    <row r="762">
      <c r="A762" t="inlineStr">
        <is>
          <t>SUP-0077</t>
        </is>
      </c>
      <c r="B762" t="inlineStr">
        <is>
          <t>Packaging Supplier 077</t>
        </is>
      </c>
      <c r="C762" t="inlineStr">
        <is>
          <t>Packaging</t>
        </is>
      </c>
      <c r="D762" t="n">
        <v>2015</v>
      </c>
      <c r="E762" t="n">
        <v>15574643.72</v>
      </c>
      <c r="F762" t="n">
        <v>89726962.16</v>
      </c>
      <c r="G762" t="n">
        <v>11508.7252</v>
      </c>
      <c r="H762" t="n">
        <v>1001.9607</v>
      </c>
      <c r="I762" t="n">
        <v>1042.0958</v>
      </c>
      <c r="J762" t="inlineStr"/>
      <c r="K762" t="n">
        <v>2018</v>
      </c>
      <c r="L762" t="n">
        <v>2030</v>
      </c>
      <c r="M762" t="n">
        <v>0.6421</v>
      </c>
      <c r="N762" t="n">
        <v>0.3614</v>
      </c>
      <c r="O762" t="n">
        <v>2018</v>
      </c>
      <c r="P762" t="n">
        <v>2040</v>
      </c>
      <c r="Q762" t="n">
        <v>0.3112</v>
      </c>
      <c r="R762" t="n">
        <v>702.4188</v>
      </c>
      <c r="S762" t="n">
        <v>0.0010803</v>
      </c>
      <c r="T762" t="n">
        <v>0.00078946</v>
      </c>
      <c r="U762" t="n">
        <v>11508.7252</v>
      </c>
      <c r="V762" t="inlineStr">
        <is>
          <t>Supplier Reported Emissions</t>
        </is>
      </c>
      <c r="W762" t="b">
        <v>0</v>
      </c>
      <c r="X762" t="inlineStr">
        <is>
          <t>High</t>
        </is>
      </c>
      <c r="Y762" t="inlineStr">
        <is>
          <t>Scope_Emissions</t>
        </is>
      </c>
      <c r="Z762" t="n">
        <v>0.95</v>
      </c>
      <c r="AA762" t="inlineStr">
        <is>
          <t>Valid</t>
        </is>
      </c>
    </row>
    <row r="763">
      <c r="A763" t="inlineStr">
        <is>
          <t>SUP-0077</t>
        </is>
      </c>
      <c r="B763" t="inlineStr">
        <is>
          <t>Packaging Supplier 077</t>
        </is>
      </c>
      <c r="C763" t="inlineStr">
        <is>
          <t>Packaging</t>
        </is>
      </c>
      <c r="D763" t="n">
        <v>2016</v>
      </c>
      <c r="E763" t="n">
        <v>16012743.56</v>
      </c>
      <c r="F763" t="n">
        <v>81772187.13</v>
      </c>
      <c r="G763" t="inlineStr"/>
      <c r="H763" t="inlineStr"/>
      <c r="I763" t="inlineStr"/>
      <c r="J763" t="inlineStr"/>
      <c r="K763" t="n">
        <v>2018</v>
      </c>
      <c r="L763" t="n">
        <v>2030</v>
      </c>
      <c r="M763" t="n">
        <v>0.6421</v>
      </c>
      <c r="N763" t="n">
        <v>0.3614</v>
      </c>
      <c r="O763" t="n">
        <v>2018</v>
      </c>
      <c r="P763" t="n">
        <v>2040</v>
      </c>
      <c r="Q763" t="n">
        <v>0.3112</v>
      </c>
      <c r="R763" t="n">
        <v>702.4188</v>
      </c>
      <c r="S763" t="n">
        <v>0.0010803</v>
      </c>
      <c r="T763" t="n">
        <v>0.00078946</v>
      </c>
      <c r="U763" t="n">
        <v>17298.5669</v>
      </c>
      <c r="V763" t="inlineStr">
        <is>
          <t>Spend-Based Estimate</t>
        </is>
      </c>
      <c r="W763" t="b">
        <v>1</v>
      </c>
      <c r="X763" t="inlineStr">
        <is>
          <t>Medium</t>
        </is>
      </c>
      <c r="Y763" t="inlineStr">
        <is>
          <t>Reported_Emissions; Scope_Emissions</t>
        </is>
      </c>
      <c r="Z763" t="n">
        <v>0.7</v>
      </c>
      <c r="AA763" t="inlineStr">
        <is>
          <t>Valid</t>
        </is>
      </c>
    </row>
    <row r="764">
      <c r="A764" t="inlineStr">
        <is>
          <t>SUP-0077</t>
        </is>
      </c>
      <c r="B764" t="inlineStr">
        <is>
          <t>Packaging Supplier 077</t>
        </is>
      </c>
      <c r="C764" t="inlineStr">
        <is>
          <t>Packaging</t>
        </is>
      </c>
      <c r="D764" t="n">
        <v>2017</v>
      </c>
      <c r="E764" t="inlineStr"/>
      <c r="F764" t="n">
        <v>80108712.06</v>
      </c>
      <c r="G764" t="inlineStr"/>
      <c r="H764" t="n">
        <v>3385.7245</v>
      </c>
      <c r="I764" t="inlineStr"/>
      <c r="J764" t="inlineStr"/>
      <c r="K764" t="n">
        <v>2018</v>
      </c>
      <c r="L764" t="n">
        <v>2030</v>
      </c>
      <c r="M764" t="n">
        <v>0.6421</v>
      </c>
      <c r="N764" t="n">
        <v>0.3614</v>
      </c>
      <c r="O764" t="n">
        <v>2018</v>
      </c>
      <c r="P764" t="n">
        <v>2040</v>
      </c>
      <c r="Q764" t="n">
        <v>0.3112</v>
      </c>
      <c r="R764" t="n">
        <v>702.4188</v>
      </c>
      <c r="S764" t="n">
        <v>0.0010803</v>
      </c>
      <c r="T764" t="n">
        <v>0.00078946</v>
      </c>
      <c r="U764" t="n">
        <v>63242.6238</v>
      </c>
      <c r="V764" t="inlineStr">
        <is>
          <t>Revenue-Based Estimate</t>
        </is>
      </c>
      <c r="W764" t="b">
        <v>1</v>
      </c>
      <c r="X764" t="inlineStr">
        <is>
          <t>Medium-Low</t>
        </is>
      </c>
      <c r="Y764" t="inlineStr">
        <is>
          <t>Gross_Spend; Reported_Emissions; Scope_Emissions</t>
        </is>
      </c>
      <c r="Z764" t="n">
        <v>0.6</v>
      </c>
      <c r="AA764" t="inlineStr">
        <is>
          <t>Valid</t>
        </is>
      </c>
    </row>
    <row r="765">
      <c r="A765" t="inlineStr">
        <is>
          <t>SUP-0077</t>
        </is>
      </c>
      <c r="B765" t="inlineStr">
        <is>
          <t>Packaging Supplier 077</t>
        </is>
      </c>
      <c r="C765" t="inlineStr">
        <is>
          <t>Packaging</t>
        </is>
      </c>
      <c r="D765" t="n">
        <v>2018</v>
      </c>
      <c r="E765" t="n">
        <v>17392241.98</v>
      </c>
      <c r="F765" t="n">
        <v>83774964.59999999</v>
      </c>
      <c r="G765" t="n">
        <v>12101.4565</v>
      </c>
      <c r="H765" t="n">
        <v>1683.9622</v>
      </c>
      <c r="I765" t="n">
        <v>2014.4782</v>
      </c>
      <c r="J765" t="inlineStr"/>
      <c r="K765" t="n">
        <v>2018</v>
      </c>
      <c r="L765" t="n">
        <v>2030</v>
      </c>
      <c r="M765" t="n">
        <v>0.6421</v>
      </c>
      <c r="N765" t="n">
        <v>0.3614</v>
      </c>
      <c r="O765" t="n">
        <v>2018</v>
      </c>
      <c r="P765" t="n">
        <v>2040</v>
      </c>
      <c r="Q765" t="n">
        <v>0.3112</v>
      </c>
      <c r="R765" t="n">
        <v>702.4188</v>
      </c>
      <c r="S765" t="n">
        <v>0.0010803</v>
      </c>
      <c r="T765" t="n">
        <v>0.00078946</v>
      </c>
      <c r="U765" t="n">
        <v>12101.4565</v>
      </c>
      <c r="V765" t="inlineStr">
        <is>
          <t>Supplier Reported Emissions</t>
        </is>
      </c>
      <c r="W765" t="b">
        <v>0</v>
      </c>
      <c r="X765" t="inlineStr">
        <is>
          <t>High</t>
        </is>
      </c>
      <c r="Y765" t="inlineStr">
        <is>
          <t>Scope_Emissions</t>
        </is>
      </c>
      <c r="Z765" t="n">
        <v>0.95</v>
      </c>
      <c r="AA765" t="inlineStr">
        <is>
          <t>Valid</t>
        </is>
      </c>
    </row>
    <row r="766">
      <c r="A766" t="inlineStr">
        <is>
          <t>SUP-0077</t>
        </is>
      </c>
      <c r="B766" t="inlineStr">
        <is>
          <t>Packaging Supplier 077</t>
        </is>
      </c>
      <c r="C766" t="inlineStr">
        <is>
          <t>Packaging</t>
        </is>
      </c>
      <c r="D766" t="n">
        <v>2019</v>
      </c>
      <c r="E766" t="n">
        <v>18323413.51</v>
      </c>
      <c r="F766" t="inlineStr"/>
      <c r="G766" t="n">
        <v>15246.5647</v>
      </c>
      <c r="H766" t="n">
        <v>1203.0742</v>
      </c>
      <c r="I766" t="n">
        <v>2480.6388</v>
      </c>
      <c r="J766" t="n">
        <v>10633.167</v>
      </c>
      <c r="K766" t="n">
        <v>2018</v>
      </c>
      <c r="L766" t="n">
        <v>2030</v>
      </c>
      <c r="M766" t="n">
        <v>0.6421</v>
      </c>
      <c r="N766" t="n">
        <v>0.3614</v>
      </c>
      <c r="O766" t="n">
        <v>2018</v>
      </c>
      <c r="P766" t="n">
        <v>2040</v>
      </c>
      <c r="Q766" t="n">
        <v>0.3112</v>
      </c>
      <c r="R766" t="n">
        <v>702.4188</v>
      </c>
      <c r="S766" t="n">
        <v>0.0010803</v>
      </c>
      <c r="T766" t="n">
        <v>0.00078946</v>
      </c>
      <c r="U766" t="n">
        <v>15246.5647</v>
      </c>
      <c r="V766" t="inlineStr">
        <is>
          <t>Supplier Reported Emissions</t>
        </is>
      </c>
      <c r="W766" t="b">
        <v>0</v>
      </c>
      <c r="X766" t="inlineStr">
        <is>
          <t>High</t>
        </is>
      </c>
      <c r="Y766" t="inlineStr">
        <is>
          <t>Revenue</t>
        </is>
      </c>
      <c r="Z766" t="n">
        <v>0.95</v>
      </c>
      <c r="AA766" t="inlineStr">
        <is>
          <t>Valid</t>
        </is>
      </c>
    </row>
    <row r="767">
      <c r="A767" t="inlineStr">
        <is>
          <t>SUP-0077</t>
        </is>
      </c>
      <c r="B767" t="inlineStr">
        <is>
          <t>Packaging Supplier 077</t>
        </is>
      </c>
      <c r="C767" t="inlineStr">
        <is>
          <t>Packaging</t>
        </is>
      </c>
      <c r="D767" t="n">
        <v>2020</v>
      </c>
      <c r="E767" t="n">
        <v>19161967.33</v>
      </c>
      <c r="F767" t="n">
        <v>123513445.98</v>
      </c>
      <c r="G767" t="n">
        <v>17229.651</v>
      </c>
      <c r="H767" t="inlineStr"/>
      <c r="I767" t="n">
        <v>1523.9448</v>
      </c>
      <c r="J767" t="inlineStr"/>
      <c r="K767" t="n">
        <v>2018</v>
      </c>
      <c r="L767" t="n">
        <v>2030</v>
      </c>
      <c r="M767" t="n">
        <v>0.6421</v>
      </c>
      <c r="N767" t="n">
        <v>0.3614</v>
      </c>
      <c r="O767" t="n">
        <v>2018</v>
      </c>
      <c r="P767" t="n">
        <v>2040</v>
      </c>
      <c r="Q767" t="n">
        <v>0.3112</v>
      </c>
      <c r="R767" t="n">
        <v>702.4188</v>
      </c>
      <c r="S767" t="n">
        <v>0.0010803</v>
      </c>
      <c r="T767" t="n">
        <v>0.00078946</v>
      </c>
      <c r="U767" t="n">
        <v>17229.651</v>
      </c>
      <c r="V767" t="inlineStr">
        <is>
          <t>Supplier Reported Emissions</t>
        </is>
      </c>
      <c r="W767" t="b">
        <v>0</v>
      </c>
      <c r="X767" t="inlineStr">
        <is>
          <t>High</t>
        </is>
      </c>
      <c r="Y767" t="inlineStr">
        <is>
          <t>Scope_Emissions</t>
        </is>
      </c>
      <c r="Z767" t="n">
        <v>0.95</v>
      </c>
      <c r="AA767" t="inlineStr">
        <is>
          <t>Valid</t>
        </is>
      </c>
    </row>
    <row r="768">
      <c r="A768" t="inlineStr">
        <is>
          <t>SUP-0077</t>
        </is>
      </c>
      <c r="B768" t="inlineStr">
        <is>
          <t>Packaging Supplier 077</t>
        </is>
      </c>
      <c r="C768" t="inlineStr">
        <is>
          <t>Packaging</t>
        </is>
      </c>
      <c r="D768" t="n">
        <v>2021</v>
      </c>
      <c r="E768" t="n">
        <v>21722290.29</v>
      </c>
      <c r="F768" t="n">
        <v>136554926.49</v>
      </c>
      <c r="G768" t="n">
        <v>13278.585</v>
      </c>
      <c r="H768" t="n">
        <v>1864.3748</v>
      </c>
      <c r="I768" t="n">
        <v>2494.5464</v>
      </c>
      <c r="J768" t="n">
        <v>8685.9197</v>
      </c>
      <c r="K768" t="n">
        <v>2018</v>
      </c>
      <c r="L768" t="n">
        <v>2030</v>
      </c>
      <c r="M768" t="n">
        <v>0.6421</v>
      </c>
      <c r="N768" t="n">
        <v>0.3614</v>
      </c>
      <c r="O768" t="n">
        <v>2018</v>
      </c>
      <c r="P768" t="n">
        <v>2040</v>
      </c>
      <c r="Q768" t="n">
        <v>0.3112</v>
      </c>
      <c r="R768" t="n">
        <v>702.4188</v>
      </c>
      <c r="S768" t="n">
        <v>0.0010803</v>
      </c>
      <c r="T768" t="n">
        <v>0.00078946</v>
      </c>
      <c r="U768" t="n">
        <v>13278.585</v>
      </c>
      <c r="V768" t="inlineStr">
        <is>
          <t>Supplier Reported Emissions</t>
        </is>
      </c>
      <c r="W768" t="b">
        <v>0</v>
      </c>
      <c r="X768" t="inlineStr">
        <is>
          <t>High</t>
        </is>
      </c>
      <c r="Y768" t="inlineStr">
        <is>
          <t>None</t>
        </is>
      </c>
      <c r="Z768" t="n">
        <v>0.95</v>
      </c>
      <c r="AA768" t="inlineStr">
        <is>
          <t>Valid</t>
        </is>
      </c>
    </row>
    <row r="769">
      <c r="A769" t="inlineStr">
        <is>
          <t>SUP-0077</t>
        </is>
      </c>
      <c r="B769" t="inlineStr">
        <is>
          <t>Packaging Supplier 077</t>
        </is>
      </c>
      <c r="C769" t="inlineStr">
        <is>
          <t>Packaging</t>
        </is>
      </c>
      <c r="D769" t="n">
        <v>2022</v>
      </c>
      <c r="E769" t="n">
        <v>23679612.43</v>
      </c>
      <c r="F769" t="n">
        <v>137229540.74</v>
      </c>
      <c r="G769" t="n">
        <v>12938.0289</v>
      </c>
      <c r="H769" t="n">
        <v>2348.9196</v>
      </c>
      <c r="I769" t="inlineStr"/>
      <c r="J769" t="n">
        <v>9528.7706</v>
      </c>
      <c r="K769" t="n">
        <v>2018</v>
      </c>
      <c r="L769" t="n">
        <v>2030</v>
      </c>
      <c r="M769" t="n">
        <v>0.6421</v>
      </c>
      <c r="N769" t="n">
        <v>0.3614</v>
      </c>
      <c r="O769" t="n">
        <v>2018</v>
      </c>
      <c r="P769" t="n">
        <v>2040</v>
      </c>
      <c r="Q769" t="n">
        <v>0.3112</v>
      </c>
      <c r="R769" t="n">
        <v>702.4188</v>
      </c>
      <c r="S769" t="n">
        <v>0.0010803</v>
      </c>
      <c r="T769" t="n">
        <v>0.00078946</v>
      </c>
      <c r="U769" t="n">
        <v>12938.0289</v>
      </c>
      <c r="V769" t="inlineStr">
        <is>
          <t>Supplier Reported Emissions</t>
        </is>
      </c>
      <c r="W769" t="b">
        <v>0</v>
      </c>
      <c r="X769" t="inlineStr">
        <is>
          <t>High</t>
        </is>
      </c>
      <c r="Y769" t="inlineStr">
        <is>
          <t>Scope_Emissions</t>
        </is>
      </c>
      <c r="Z769" t="n">
        <v>0.95</v>
      </c>
      <c r="AA769" t="inlineStr">
        <is>
          <t>Valid</t>
        </is>
      </c>
    </row>
    <row r="770">
      <c r="A770" t="inlineStr">
        <is>
          <t>SUP-0077</t>
        </is>
      </c>
      <c r="B770" t="inlineStr">
        <is>
          <t>Packaging Supplier 077</t>
        </is>
      </c>
      <c r="C770" t="inlineStr">
        <is>
          <t>Packaging</t>
        </is>
      </c>
      <c r="D770" t="n">
        <v>2023</v>
      </c>
      <c r="E770" t="n">
        <v>22859533.12</v>
      </c>
      <c r="F770" t="n">
        <v>130059952.42</v>
      </c>
      <c r="G770" t="inlineStr"/>
      <c r="H770" t="n">
        <v>4224.3786</v>
      </c>
      <c r="I770" t="inlineStr"/>
      <c r="J770" t="n">
        <v>11194.6811</v>
      </c>
      <c r="K770" t="n">
        <v>2018</v>
      </c>
      <c r="L770" t="n">
        <v>2030</v>
      </c>
      <c r="M770" t="n">
        <v>0.6421</v>
      </c>
      <c r="N770" t="n">
        <v>0.3614</v>
      </c>
      <c r="O770" t="n">
        <v>2018</v>
      </c>
      <c r="P770" t="n">
        <v>2040</v>
      </c>
      <c r="Q770" t="n">
        <v>0.3112</v>
      </c>
      <c r="R770" t="n">
        <v>702.4188</v>
      </c>
      <c r="S770" t="n">
        <v>0.0010803</v>
      </c>
      <c r="T770" t="n">
        <v>0.00078946</v>
      </c>
      <c r="U770" t="n">
        <v>24695.1536</v>
      </c>
      <c r="V770" t="inlineStr">
        <is>
          <t>Spend-Based Estimate</t>
        </is>
      </c>
      <c r="W770" t="b">
        <v>1</v>
      </c>
      <c r="X770" t="inlineStr">
        <is>
          <t>Medium</t>
        </is>
      </c>
      <c r="Y770" t="inlineStr">
        <is>
          <t>Reported_Emissions; Scope_Emissions</t>
        </is>
      </c>
      <c r="Z770" t="n">
        <v>0.7</v>
      </c>
      <c r="AA770" t="inlineStr">
        <is>
          <t>Valid</t>
        </is>
      </c>
    </row>
    <row r="771">
      <c r="A771" t="inlineStr">
        <is>
          <t>SUP-0077</t>
        </is>
      </c>
      <c r="B771" t="inlineStr">
        <is>
          <t>Packaging Supplier 077</t>
        </is>
      </c>
      <c r="C771" t="inlineStr">
        <is>
          <t>Packaging</t>
        </is>
      </c>
      <c r="D771" t="n">
        <v>2024</v>
      </c>
      <c r="E771" t="n">
        <v>24462208.69</v>
      </c>
      <c r="F771" t="n">
        <v>153737356.39</v>
      </c>
      <c r="G771" t="inlineStr"/>
      <c r="H771" t="inlineStr"/>
      <c r="I771" t="n">
        <v>3645.0803</v>
      </c>
      <c r="J771" t="n">
        <v>13559.917</v>
      </c>
      <c r="K771" t="n">
        <v>2018</v>
      </c>
      <c r="L771" t="n">
        <v>2030</v>
      </c>
      <c r="M771" t="n">
        <v>0.6421</v>
      </c>
      <c r="N771" t="n">
        <v>0.3614</v>
      </c>
      <c r="O771" t="n">
        <v>2018</v>
      </c>
      <c r="P771" t="n">
        <v>2040</v>
      </c>
      <c r="Q771" t="n">
        <v>0.3112</v>
      </c>
      <c r="R771" t="n">
        <v>702.4188</v>
      </c>
      <c r="S771" t="n">
        <v>0.0010803</v>
      </c>
      <c r="T771" t="n">
        <v>0.00078946</v>
      </c>
      <c r="U771" t="n">
        <v>26426.524</v>
      </c>
      <c r="V771" t="inlineStr">
        <is>
          <t>Spend-Based Estimate</t>
        </is>
      </c>
      <c r="W771" t="b">
        <v>1</v>
      </c>
      <c r="X771" t="inlineStr">
        <is>
          <t>Medium</t>
        </is>
      </c>
      <c r="Y771" t="inlineStr">
        <is>
          <t>Reported_Emissions; Scope_Emissions</t>
        </is>
      </c>
      <c r="Z771" t="n">
        <v>0.7</v>
      </c>
      <c r="AA771" t="inlineStr">
        <is>
          <t>Valid</t>
        </is>
      </c>
    </row>
    <row r="772">
      <c r="A772" t="inlineStr">
        <is>
          <t>SUP-0078</t>
        </is>
      </c>
      <c r="B772" t="inlineStr">
        <is>
          <t>Metals Supplier 078</t>
        </is>
      </c>
      <c r="C772" t="inlineStr">
        <is>
          <t>Metals</t>
        </is>
      </c>
      <c r="D772" t="n">
        <v>2015</v>
      </c>
      <c r="E772" t="n">
        <v>19064510.03</v>
      </c>
      <c r="F772" t="n">
        <v>133564614.2</v>
      </c>
      <c r="G772" t="n">
        <v>16765.0561</v>
      </c>
      <c r="H772" t="n">
        <v>1987.7101</v>
      </c>
      <c r="I772" t="n">
        <v>2558.8843</v>
      </c>
      <c r="J772" t="n">
        <v>13023.4723</v>
      </c>
      <c r="K772" t="n">
        <v>2021</v>
      </c>
      <c r="L772" t="n">
        <v>2040</v>
      </c>
      <c r="M772" t="n">
        <v>0.2592</v>
      </c>
      <c r="N772" t="n">
        <v>0.1569</v>
      </c>
      <c r="O772" t="n">
        <v>2019</v>
      </c>
      <c r="P772" t="n">
        <v>2030</v>
      </c>
      <c r="Q772" t="n">
        <v>0.3852</v>
      </c>
      <c r="R772" t="n">
        <v>158.2904</v>
      </c>
      <c r="S772" t="n">
        <v>0.00100695</v>
      </c>
      <c r="T772" t="n">
        <v>0.00065008</v>
      </c>
      <c r="U772" t="n">
        <v>16765.0561</v>
      </c>
      <c r="V772" t="inlineStr">
        <is>
          <t>Supplier Reported Emissions</t>
        </is>
      </c>
      <c r="W772" t="b">
        <v>0</v>
      </c>
      <c r="X772" t="inlineStr">
        <is>
          <t>High</t>
        </is>
      </c>
      <c r="Y772" t="inlineStr">
        <is>
          <t>None</t>
        </is>
      </c>
      <c r="Z772" t="n">
        <v>0.95</v>
      </c>
      <c r="AA772" t="inlineStr">
        <is>
          <t>Valid</t>
        </is>
      </c>
    </row>
    <row r="773">
      <c r="A773" t="inlineStr">
        <is>
          <t>SUP-0078</t>
        </is>
      </c>
      <c r="B773" t="inlineStr">
        <is>
          <t>Metals Supplier 078</t>
        </is>
      </c>
      <c r="C773" t="inlineStr">
        <is>
          <t>Metals</t>
        </is>
      </c>
      <c r="D773" t="n">
        <v>2016</v>
      </c>
      <c r="E773" t="n">
        <v>17562313.45</v>
      </c>
      <c r="F773" t="n">
        <v>133853617.91</v>
      </c>
      <c r="G773" t="n">
        <v>14730.9798</v>
      </c>
      <c r="H773" t="n">
        <v>1858.7901</v>
      </c>
      <c r="I773" t="n">
        <v>1204.6839</v>
      </c>
      <c r="J773" t="n">
        <v>12084.9951</v>
      </c>
      <c r="K773" t="n">
        <v>2021</v>
      </c>
      <c r="L773" t="n">
        <v>2040</v>
      </c>
      <c r="M773" t="n">
        <v>0.2592</v>
      </c>
      <c r="N773" t="n">
        <v>0.1569</v>
      </c>
      <c r="O773" t="n">
        <v>2019</v>
      </c>
      <c r="P773" t="n">
        <v>2030</v>
      </c>
      <c r="Q773" t="n">
        <v>0.3852</v>
      </c>
      <c r="R773" t="n">
        <v>158.2904</v>
      </c>
      <c r="S773" t="n">
        <v>0.00100695</v>
      </c>
      <c r="T773" t="n">
        <v>0.00065008</v>
      </c>
      <c r="U773" t="n">
        <v>14730.9798</v>
      </c>
      <c r="V773" t="inlineStr">
        <is>
          <t>Supplier Reported Emissions</t>
        </is>
      </c>
      <c r="W773" t="b">
        <v>0</v>
      </c>
      <c r="X773" t="inlineStr">
        <is>
          <t>High</t>
        </is>
      </c>
      <c r="Y773" t="inlineStr">
        <is>
          <t>None</t>
        </is>
      </c>
      <c r="Z773" t="n">
        <v>0.95</v>
      </c>
      <c r="AA773" t="inlineStr">
        <is>
          <t>Valid</t>
        </is>
      </c>
    </row>
    <row r="774">
      <c r="A774" t="inlineStr">
        <is>
          <t>SUP-0078</t>
        </is>
      </c>
      <c r="B774" t="inlineStr">
        <is>
          <t>Metals Supplier 078</t>
        </is>
      </c>
      <c r="C774" t="inlineStr">
        <is>
          <t>Metals</t>
        </is>
      </c>
      <c r="D774" t="n">
        <v>2017</v>
      </c>
      <c r="E774" t="n">
        <v>16071083</v>
      </c>
      <c r="F774" t="n">
        <v>126661852.94</v>
      </c>
      <c r="G774" t="inlineStr"/>
      <c r="H774" t="n">
        <v>3008.8714</v>
      </c>
      <c r="I774" t="inlineStr"/>
      <c r="J774" t="n">
        <v>10177.4644</v>
      </c>
      <c r="K774" t="n">
        <v>2021</v>
      </c>
      <c r="L774" t="n">
        <v>2040</v>
      </c>
      <c r="M774" t="n">
        <v>0.2592</v>
      </c>
      <c r="N774" t="n">
        <v>0.1569</v>
      </c>
      <c r="O774" t="n">
        <v>2019</v>
      </c>
      <c r="P774" t="n">
        <v>2030</v>
      </c>
      <c r="Q774" t="n">
        <v>0.3852</v>
      </c>
      <c r="R774" t="n">
        <v>158.2904</v>
      </c>
      <c r="S774" t="n">
        <v>0.00100695</v>
      </c>
      <c r="T774" t="n">
        <v>0.00065008</v>
      </c>
      <c r="U774" t="n">
        <v>16182.777</v>
      </c>
      <c r="V774" t="inlineStr">
        <is>
          <t>Spend-Based Estimate</t>
        </is>
      </c>
      <c r="W774" t="b">
        <v>1</v>
      </c>
      <c r="X774" t="inlineStr">
        <is>
          <t>Medium</t>
        </is>
      </c>
      <c r="Y774" t="inlineStr">
        <is>
          <t>Reported_Emissions; Scope_Emissions</t>
        </is>
      </c>
      <c r="Z774" t="n">
        <v>0.7</v>
      </c>
      <c r="AA774" t="inlineStr">
        <is>
          <t>Valid</t>
        </is>
      </c>
    </row>
    <row r="775">
      <c r="A775" t="inlineStr">
        <is>
          <t>SUP-0078</t>
        </is>
      </c>
      <c r="B775" t="inlineStr">
        <is>
          <t>Metals Supplier 078</t>
        </is>
      </c>
      <c r="C775" t="inlineStr">
        <is>
          <t>Metals</t>
        </is>
      </c>
      <c r="D775" t="n">
        <v>2018</v>
      </c>
      <c r="E775" t="n">
        <v>19613853.26</v>
      </c>
      <c r="F775" t="n">
        <v>142040757.4</v>
      </c>
      <c r="G775" t="n">
        <v>20092.0793</v>
      </c>
      <c r="H775" t="inlineStr"/>
      <c r="I775" t="n">
        <v>3829.2066</v>
      </c>
      <c r="J775" t="inlineStr"/>
      <c r="K775" t="n">
        <v>2021</v>
      </c>
      <c r="L775" t="n">
        <v>2040</v>
      </c>
      <c r="M775" t="n">
        <v>0.2592</v>
      </c>
      <c r="N775" t="n">
        <v>0.1569</v>
      </c>
      <c r="O775" t="n">
        <v>2019</v>
      </c>
      <c r="P775" t="n">
        <v>2030</v>
      </c>
      <c r="Q775" t="n">
        <v>0.3852</v>
      </c>
      <c r="R775" t="n">
        <v>158.2904</v>
      </c>
      <c r="S775" t="n">
        <v>0.00100695</v>
      </c>
      <c r="T775" t="n">
        <v>0.00065008</v>
      </c>
      <c r="U775" t="n">
        <v>20092.0793</v>
      </c>
      <c r="V775" t="inlineStr">
        <is>
          <t>Supplier Reported Emissions</t>
        </is>
      </c>
      <c r="W775" t="b">
        <v>0</v>
      </c>
      <c r="X775" t="inlineStr">
        <is>
          <t>High</t>
        </is>
      </c>
      <c r="Y775" t="inlineStr">
        <is>
          <t>Scope_Emissions</t>
        </is>
      </c>
      <c r="Z775" t="n">
        <v>0.95</v>
      </c>
      <c r="AA775" t="inlineStr">
        <is>
          <t>Valid</t>
        </is>
      </c>
    </row>
    <row r="776">
      <c r="A776" t="inlineStr">
        <is>
          <t>SUP-0078</t>
        </is>
      </c>
      <c r="B776" t="inlineStr">
        <is>
          <t>Metals Supplier 078</t>
        </is>
      </c>
      <c r="C776" t="inlineStr">
        <is>
          <t>Metals</t>
        </is>
      </c>
      <c r="D776" t="n">
        <v>2019</v>
      </c>
      <c r="E776" t="inlineStr"/>
      <c r="F776" t="n">
        <v>149518967.83</v>
      </c>
      <c r="G776" t="n">
        <v>15377.0875</v>
      </c>
      <c r="H776" t="n">
        <v>3672.3008</v>
      </c>
      <c r="I776" t="n">
        <v>1077.0248</v>
      </c>
      <c r="J776" t="inlineStr"/>
      <c r="K776" t="n">
        <v>2021</v>
      </c>
      <c r="L776" t="n">
        <v>2040</v>
      </c>
      <c r="M776" t="n">
        <v>0.2592</v>
      </c>
      <c r="N776" t="n">
        <v>0.1569</v>
      </c>
      <c r="O776" t="n">
        <v>2019</v>
      </c>
      <c r="P776" t="n">
        <v>2030</v>
      </c>
      <c r="Q776" t="n">
        <v>0.3852</v>
      </c>
      <c r="R776" t="n">
        <v>158.2904</v>
      </c>
      <c r="S776" t="n">
        <v>0.00100695</v>
      </c>
      <c r="T776" t="n">
        <v>0.00065008</v>
      </c>
      <c r="U776" t="n">
        <v>15377.0875</v>
      </c>
      <c r="V776" t="inlineStr">
        <is>
          <t>Supplier Reported Emissions</t>
        </is>
      </c>
      <c r="W776" t="b">
        <v>0</v>
      </c>
      <c r="X776" t="inlineStr">
        <is>
          <t>High</t>
        </is>
      </c>
      <c r="Y776" t="inlineStr">
        <is>
          <t>Gross_Spend; Scope_Emissions</t>
        </is>
      </c>
      <c r="Z776" t="n">
        <v>0.95</v>
      </c>
      <c r="AA776" t="inlineStr">
        <is>
          <t>Valid</t>
        </is>
      </c>
    </row>
    <row r="777">
      <c r="A777" t="inlineStr">
        <is>
          <t>SUP-0078</t>
        </is>
      </c>
      <c r="B777" t="inlineStr">
        <is>
          <t>Metals Supplier 078</t>
        </is>
      </c>
      <c r="C777" t="inlineStr">
        <is>
          <t>Metals</t>
        </is>
      </c>
      <c r="D777" t="n">
        <v>2020</v>
      </c>
      <c r="E777" t="n">
        <v>17209387.13</v>
      </c>
      <c r="F777" t="n">
        <v>157438736.51</v>
      </c>
      <c r="G777" t="n">
        <v>15533.6997</v>
      </c>
      <c r="H777" t="n">
        <v>1798.8935</v>
      </c>
      <c r="I777" t="n">
        <v>1999.1563</v>
      </c>
      <c r="J777" t="n">
        <v>11867.2091</v>
      </c>
      <c r="K777" t="n">
        <v>2021</v>
      </c>
      <c r="L777" t="n">
        <v>2040</v>
      </c>
      <c r="M777" t="n">
        <v>0.2592</v>
      </c>
      <c r="N777" t="n">
        <v>0.1569</v>
      </c>
      <c r="O777" t="n">
        <v>2019</v>
      </c>
      <c r="P777" t="n">
        <v>2030</v>
      </c>
      <c r="Q777" t="n">
        <v>0.3852</v>
      </c>
      <c r="R777" t="n">
        <v>158.2904</v>
      </c>
      <c r="S777" t="n">
        <v>0.00100695</v>
      </c>
      <c r="T777" t="n">
        <v>0.00065008</v>
      </c>
      <c r="U777" t="n">
        <v>15533.6997</v>
      </c>
      <c r="V777" t="inlineStr">
        <is>
          <t>Supplier Reported Emissions</t>
        </is>
      </c>
      <c r="W777" t="b">
        <v>0</v>
      </c>
      <c r="X777" t="inlineStr">
        <is>
          <t>High</t>
        </is>
      </c>
      <c r="Y777" t="inlineStr">
        <is>
          <t>None</t>
        </is>
      </c>
      <c r="Z777" t="n">
        <v>0.95</v>
      </c>
      <c r="AA777" t="inlineStr">
        <is>
          <t>Valid</t>
        </is>
      </c>
    </row>
    <row r="778">
      <c r="A778" t="inlineStr">
        <is>
          <t>SUP-0078</t>
        </is>
      </c>
      <c r="B778" t="inlineStr">
        <is>
          <t>Metals Supplier 078</t>
        </is>
      </c>
      <c r="C778" t="inlineStr">
        <is>
          <t>Metals</t>
        </is>
      </c>
      <c r="D778" t="n">
        <v>2021</v>
      </c>
      <c r="E778" t="n">
        <v>16171890.73</v>
      </c>
      <c r="F778" t="n">
        <v>140738154.29</v>
      </c>
      <c r="G778" t="n">
        <v>13707.4562</v>
      </c>
      <c r="H778" t="inlineStr"/>
      <c r="I778" t="n">
        <v>1864.7196</v>
      </c>
      <c r="J778" t="n">
        <v>8933.865299999999</v>
      </c>
      <c r="K778" t="n">
        <v>2021</v>
      </c>
      <c r="L778" t="n">
        <v>2040</v>
      </c>
      <c r="M778" t="n">
        <v>0.2592</v>
      </c>
      <c r="N778" t="n">
        <v>0.1569</v>
      </c>
      <c r="O778" t="n">
        <v>2019</v>
      </c>
      <c r="P778" t="n">
        <v>2030</v>
      </c>
      <c r="Q778" t="n">
        <v>0.3852</v>
      </c>
      <c r="R778" t="n">
        <v>158.2904</v>
      </c>
      <c r="S778" t="n">
        <v>0.00100695</v>
      </c>
      <c r="T778" t="n">
        <v>0.00065008</v>
      </c>
      <c r="U778" t="n">
        <v>13707.4562</v>
      </c>
      <c r="V778" t="inlineStr">
        <is>
          <t>Supplier Reported Emissions</t>
        </is>
      </c>
      <c r="W778" t="b">
        <v>0</v>
      </c>
      <c r="X778" t="inlineStr">
        <is>
          <t>High</t>
        </is>
      </c>
      <c r="Y778" t="inlineStr">
        <is>
          <t>Scope_Emissions</t>
        </is>
      </c>
      <c r="Z778" t="n">
        <v>0.95</v>
      </c>
      <c r="AA778" t="inlineStr">
        <is>
          <t>Valid</t>
        </is>
      </c>
    </row>
    <row r="779">
      <c r="A779" t="inlineStr">
        <is>
          <t>SUP-0078</t>
        </is>
      </c>
      <c r="B779" t="inlineStr">
        <is>
          <t>Metals Supplier 078</t>
        </is>
      </c>
      <c r="C779" t="inlineStr">
        <is>
          <t>Metals</t>
        </is>
      </c>
      <c r="D779" t="n">
        <v>2022</v>
      </c>
      <c r="E779" t="n">
        <v>19250192.82</v>
      </c>
      <c r="F779" t="n">
        <v>185631261.01</v>
      </c>
      <c r="G779" t="n">
        <v>15321.5289</v>
      </c>
      <c r="H779" t="inlineStr"/>
      <c r="I779" t="n">
        <v>2510.3701</v>
      </c>
      <c r="J779" t="n">
        <v>9789.530699999999</v>
      </c>
      <c r="K779" t="n">
        <v>2021</v>
      </c>
      <c r="L779" t="n">
        <v>2040</v>
      </c>
      <c r="M779" t="n">
        <v>0.2592</v>
      </c>
      <c r="N779" t="n">
        <v>0.1569</v>
      </c>
      <c r="O779" t="n">
        <v>2019</v>
      </c>
      <c r="P779" t="n">
        <v>2030</v>
      </c>
      <c r="Q779" t="n">
        <v>0.3852</v>
      </c>
      <c r="R779" t="n">
        <v>158.2904</v>
      </c>
      <c r="S779" t="n">
        <v>0.00100695</v>
      </c>
      <c r="T779" t="n">
        <v>0.00065008</v>
      </c>
      <c r="U779" t="n">
        <v>15321.5289</v>
      </c>
      <c r="V779" t="inlineStr">
        <is>
          <t>Supplier Reported Emissions</t>
        </is>
      </c>
      <c r="W779" t="b">
        <v>0</v>
      </c>
      <c r="X779" t="inlineStr">
        <is>
          <t>High</t>
        </is>
      </c>
      <c r="Y779" t="inlineStr">
        <is>
          <t>Scope_Emissions</t>
        </is>
      </c>
      <c r="Z779" t="n">
        <v>0.95</v>
      </c>
      <c r="AA779" t="inlineStr">
        <is>
          <t>Valid</t>
        </is>
      </c>
    </row>
    <row r="780">
      <c r="A780" t="inlineStr">
        <is>
          <t>SUP-0078</t>
        </is>
      </c>
      <c r="B780" t="inlineStr">
        <is>
          <t>Metals Supplier 078</t>
        </is>
      </c>
      <c r="C780" t="inlineStr">
        <is>
          <t>Metals</t>
        </is>
      </c>
      <c r="D780" t="n">
        <v>2023</v>
      </c>
      <c r="E780" t="n">
        <v>14502173.06</v>
      </c>
      <c r="F780" t="n">
        <v>137073786.13</v>
      </c>
      <c r="G780" t="n">
        <v>12683.1411</v>
      </c>
      <c r="H780" t="n">
        <v>1175.1622</v>
      </c>
      <c r="I780" t="inlineStr"/>
      <c r="J780" t="n">
        <v>7901.5975</v>
      </c>
      <c r="K780" t="n">
        <v>2021</v>
      </c>
      <c r="L780" t="n">
        <v>2040</v>
      </c>
      <c r="M780" t="n">
        <v>0.2592</v>
      </c>
      <c r="N780" t="n">
        <v>0.1569</v>
      </c>
      <c r="O780" t="n">
        <v>2019</v>
      </c>
      <c r="P780" t="n">
        <v>2030</v>
      </c>
      <c r="Q780" t="n">
        <v>0.3852</v>
      </c>
      <c r="R780" t="n">
        <v>158.2904</v>
      </c>
      <c r="S780" t="n">
        <v>0.00100695</v>
      </c>
      <c r="T780" t="n">
        <v>0.00065008</v>
      </c>
      <c r="U780" t="n">
        <v>12683.1411</v>
      </c>
      <c r="V780" t="inlineStr">
        <is>
          <t>Supplier Reported Emissions</t>
        </is>
      </c>
      <c r="W780" t="b">
        <v>0</v>
      </c>
      <c r="X780" t="inlineStr">
        <is>
          <t>High</t>
        </is>
      </c>
      <c r="Y780" t="inlineStr">
        <is>
          <t>Scope_Emissions</t>
        </is>
      </c>
      <c r="Z780" t="n">
        <v>0.95</v>
      </c>
      <c r="AA780" t="inlineStr">
        <is>
          <t>Valid</t>
        </is>
      </c>
    </row>
    <row r="781">
      <c r="A781" t="inlineStr">
        <is>
          <t>SUP-0078</t>
        </is>
      </c>
      <c r="B781" t="inlineStr">
        <is>
          <t>Metals Supplier 078</t>
        </is>
      </c>
      <c r="C781" t="inlineStr">
        <is>
          <t>Metals</t>
        </is>
      </c>
      <c r="D781" t="n">
        <v>2024</v>
      </c>
      <c r="E781" t="n">
        <v>18295020.38</v>
      </c>
      <c r="F781" t="n">
        <v>140143212.12</v>
      </c>
      <c r="G781" t="n">
        <v>17796.3863</v>
      </c>
      <c r="H781" t="inlineStr"/>
      <c r="I781" t="inlineStr"/>
      <c r="J781" t="n">
        <v>11557.1335</v>
      </c>
      <c r="K781" t="n">
        <v>2021</v>
      </c>
      <c r="L781" t="n">
        <v>2040</v>
      </c>
      <c r="M781" t="n">
        <v>0.2592</v>
      </c>
      <c r="N781" t="n">
        <v>0.1569</v>
      </c>
      <c r="O781" t="n">
        <v>2019</v>
      </c>
      <c r="P781" t="n">
        <v>2030</v>
      </c>
      <c r="Q781" t="n">
        <v>0.3852</v>
      </c>
      <c r="R781" t="n">
        <v>158.2904</v>
      </c>
      <c r="S781" t="n">
        <v>0.00100695</v>
      </c>
      <c r="T781" t="n">
        <v>0.00065008</v>
      </c>
      <c r="U781" t="n">
        <v>17796.3863</v>
      </c>
      <c r="V781" t="inlineStr">
        <is>
          <t>Supplier Reported Emissions</t>
        </is>
      </c>
      <c r="W781" t="b">
        <v>0</v>
      </c>
      <c r="X781" t="inlineStr">
        <is>
          <t>High</t>
        </is>
      </c>
      <c r="Y781" t="inlineStr">
        <is>
          <t>Scope_Emissions</t>
        </is>
      </c>
      <c r="Z781" t="n">
        <v>0.95</v>
      </c>
      <c r="AA781" t="inlineStr">
        <is>
          <t>Valid</t>
        </is>
      </c>
    </row>
    <row r="782">
      <c r="A782" t="inlineStr">
        <is>
          <t>SUP-0079</t>
        </is>
      </c>
      <c r="B782" t="inlineStr">
        <is>
          <t>Logistics Supplier 079</t>
        </is>
      </c>
      <c r="C782" t="inlineStr">
        <is>
          <t>Logistics</t>
        </is>
      </c>
      <c r="D782" t="n">
        <v>2015</v>
      </c>
      <c r="E782" t="n">
        <v>5556661.32</v>
      </c>
      <c r="F782" t="n">
        <v>37431841.8</v>
      </c>
      <c r="G782" t="inlineStr"/>
      <c r="H782" t="n">
        <v>200.301</v>
      </c>
      <c r="I782" t="n">
        <v>147.9642</v>
      </c>
      <c r="J782" t="n">
        <v>957.2661000000001</v>
      </c>
      <c r="K782" t="inlineStr"/>
      <c r="L782" t="inlineStr"/>
      <c r="M782" t="inlineStr"/>
      <c r="N782" t="inlineStr"/>
      <c r="O782" t="n">
        <v>2019</v>
      </c>
      <c r="P782" t="n">
        <v>2040</v>
      </c>
      <c r="Q782" t="n">
        <v>0.4616</v>
      </c>
      <c r="R782" t="n">
        <v>591.6386</v>
      </c>
      <c r="S782" t="n">
        <v>0.00022349</v>
      </c>
      <c r="T782" t="n">
        <v>0.00047787</v>
      </c>
      <c r="U782" t="n">
        <v>1305.5313</v>
      </c>
      <c r="V782" t="inlineStr">
        <is>
          <t>Scope 1 + Scope 2 + Scope 3</t>
        </is>
      </c>
      <c r="W782" t="b">
        <v>1</v>
      </c>
      <c r="X782" t="inlineStr">
        <is>
          <t>High</t>
        </is>
      </c>
      <c r="Y782" t="inlineStr">
        <is>
          <t>Reported_Emissions</t>
        </is>
      </c>
      <c r="Z782" t="n">
        <v>0.88</v>
      </c>
      <c r="AA782" t="inlineStr">
        <is>
          <t>Valid</t>
        </is>
      </c>
    </row>
    <row r="783">
      <c r="A783" t="inlineStr">
        <is>
          <t>SUP-0079</t>
        </is>
      </c>
      <c r="B783" t="inlineStr">
        <is>
          <t>Logistics Supplier 079</t>
        </is>
      </c>
      <c r="C783" t="inlineStr">
        <is>
          <t>Logistics</t>
        </is>
      </c>
      <c r="D783" t="n">
        <v>2016</v>
      </c>
      <c r="E783" t="inlineStr"/>
      <c r="F783" t="n">
        <v>36334062.03</v>
      </c>
      <c r="G783" t="n">
        <v>1371.8738</v>
      </c>
      <c r="H783" t="n">
        <v>306.6605</v>
      </c>
      <c r="I783" t="n">
        <v>264.6862</v>
      </c>
      <c r="J783" t="n">
        <v>839.7771</v>
      </c>
      <c r="K783" t="inlineStr"/>
      <c r="L783" t="inlineStr"/>
      <c r="M783" t="inlineStr"/>
      <c r="N783" t="inlineStr"/>
      <c r="O783" t="n">
        <v>2019</v>
      </c>
      <c r="P783" t="n">
        <v>2040</v>
      </c>
      <c r="Q783" t="n">
        <v>0.4616</v>
      </c>
      <c r="R783" t="n">
        <v>591.6386</v>
      </c>
      <c r="S783" t="n">
        <v>0.00022349</v>
      </c>
      <c r="T783" t="n">
        <v>0.00047787</v>
      </c>
      <c r="U783" t="n">
        <v>1371.8738</v>
      </c>
      <c r="V783" t="inlineStr">
        <is>
          <t>Supplier Reported Emissions</t>
        </is>
      </c>
      <c r="W783" t="b">
        <v>0</v>
      </c>
      <c r="X783" t="inlineStr">
        <is>
          <t>High</t>
        </is>
      </c>
      <c r="Y783" t="inlineStr">
        <is>
          <t>Gross_Spend</t>
        </is>
      </c>
      <c r="Z783" t="n">
        <v>0.95</v>
      </c>
      <c r="AA783" t="inlineStr">
        <is>
          <t>Valid</t>
        </is>
      </c>
    </row>
    <row r="784">
      <c r="A784" t="inlineStr">
        <is>
          <t>SUP-0079</t>
        </is>
      </c>
      <c r="B784" t="inlineStr">
        <is>
          <t>Logistics Supplier 079</t>
        </is>
      </c>
      <c r="C784" t="inlineStr">
        <is>
          <t>Logistics</t>
        </is>
      </c>
      <c r="D784" t="n">
        <v>2017</v>
      </c>
      <c r="E784" t="n">
        <v>6476545.6</v>
      </c>
      <c r="F784" t="n">
        <v>54162052.11</v>
      </c>
      <c r="G784" t="n">
        <v>1337.307</v>
      </c>
      <c r="H784" t="inlineStr"/>
      <c r="I784" t="n">
        <v>189.6533</v>
      </c>
      <c r="J784" t="inlineStr"/>
      <c r="K784" t="inlineStr"/>
      <c r="L784" t="inlineStr"/>
      <c r="M784" t="inlineStr"/>
      <c r="N784" t="inlineStr"/>
      <c r="O784" t="n">
        <v>2019</v>
      </c>
      <c r="P784" t="n">
        <v>2040</v>
      </c>
      <c r="Q784" t="n">
        <v>0.4616</v>
      </c>
      <c r="R784" t="n">
        <v>591.6386</v>
      </c>
      <c r="S784" t="n">
        <v>0.00022349</v>
      </c>
      <c r="T784" t="n">
        <v>0.00047787</v>
      </c>
      <c r="U784" t="n">
        <v>1337.307</v>
      </c>
      <c r="V784" t="inlineStr">
        <is>
          <t>Supplier Reported Emissions</t>
        </is>
      </c>
      <c r="W784" t="b">
        <v>0</v>
      </c>
      <c r="X784" t="inlineStr">
        <is>
          <t>High</t>
        </is>
      </c>
      <c r="Y784" t="inlineStr">
        <is>
          <t>Scope_Emissions</t>
        </is>
      </c>
      <c r="Z784" t="n">
        <v>0.95</v>
      </c>
      <c r="AA784" t="inlineStr">
        <is>
          <t>Valid</t>
        </is>
      </c>
    </row>
    <row r="785">
      <c r="A785" t="inlineStr">
        <is>
          <t>SUP-0079</t>
        </is>
      </c>
      <c r="B785" t="inlineStr">
        <is>
          <t>Logistics Supplier 079</t>
        </is>
      </c>
      <c r="C785" t="inlineStr">
        <is>
          <t>Logistics</t>
        </is>
      </c>
      <c r="D785" t="n">
        <v>2018</v>
      </c>
      <c r="E785" t="n">
        <v>5936783.48</v>
      </c>
      <c r="F785" t="n">
        <v>53927462.71</v>
      </c>
      <c r="G785" t="n">
        <v>1687.4775</v>
      </c>
      <c r="H785" t="n">
        <v>246.6349</v>
      </c>
      <c r="I785" t="inlineStr"/>
      <c r="J785" t="inlineStr"/>
      <c r="K785" t="inlineStr"/>
      <c r="L785" t="inlineStr"/>
      <c r="M785" t="inlineStr"/>
      <c r="N785" t="inlineStr"/>
      <c r="O785" t="n">
        <v>2019</v>
      </c>
      <c r="P785" t="n">
        <v>2040</v>
      </c>
      <c r="Q785" t="n">
        <v>0.4616</v>
      </c>
      <c r="R785" t="n">
        <v>591.6386</v>
      </c>
      <c r="S785" t="n">
        <v>0.00022349</v>
      </c>
      <c r="T785" t="n">
        <v>0.00047787</v>
      </c>
      <c r="U785" t="n">
        <v>1687.4775</v>
      </c>
      <c r="V785" t="inlineStr">
        <is>
          <t>Supplier Reported Emissions</t>
        </is>
      </c>
      <c r="W785" t="b">
        <v>0</v>
      </c>
      <c r="X785" t="inlineStr">
        <is>
          <t>High</t>
        </is>
      </c>
      <c r="Y785" t="inlineStr">
        <is>
          <t>Scope_Emissions</t>
        </is>
      </c>
      <c r="Z785" t="n">
        <v>0.95</v>
      </c>
      <c r="AA785" t="inlineStr">
        <is>
          <t>Valid</t>
        </is>
      </c>
    </row>
    <row r="786">
      <c r="A786" t="inlineStr">
        <is>
          <t>SUP-0079</t>
        </is>
      </c>
      <c r="B786" t="inlineStr">
        <is>
          <t>Logistics Supplier 079</t>
        </is>
      </c>
      <c r="C786" t="inlineStr">
        <is>
          <t>Logistics</t>
        </is>
      </c>
      <c r="D786" t="n">
        <v>2019</v>
      </c>
      <c r="E786" t="n">
        <v>7749527.98</v>
      </c>
      <c r="F786" t="inlineStr"/>
      <c r="G786" t="n">
        <v>1860.5375</v>
      </c>
      <c r="H786" t="n">
        <v>235.9659</v>
      </c>
      <c r="I786" t="n">
        <v>308.5667</v>
      </c>
      <c r="J786" t="n">
        <v>1295.9884</v>
      </c>
      <c r="K786" t="inlineStr"/>
      <c r="L786" t="inlineStr"/>
      <c r="M786" t="inlineStr"/>
      <c r="N786" t="inlineStr"/>
      <c r="O786" t="n">
        <v>2019</v>
      </c>
      <c r="P786" t="n">
        <v>2040</v>
      </c>
      <c r="Q786" t="n">
        <v>0.4616</v>
      </c>
      <c r="R786" t="n">
        <v>591.6386</v>
      </c>
      <c r="S786" t="n">
        <v>0.00022349</v>
      </c>
      <c r="T786" t="n">
        <v>0.00047787</v>
      </c>
      <c r="U786" t="n">
        <v>1860.5375</v>
      </c>
      <c r="V786" t="inlineStr">
        <is>
          <t>Supplier Reported Emissions</t>
        </is>
      </c>
      <c r="W786" t="b">
        <v>0</v>
      </c>
      <c r="X786" t="inlineStr">
        <is>
          <t>High</t>
        </is>
      </c>
      <c r="Y786" t="inlineStr">
        <is>
          <t>Revenue</t>
        </is>
      </c>
      <c r="Z786" t="n">
        <v>0.95</v>
      </c>
      <c r="AA786" t="inlineStr">
        <is>
          <t>Valid</t>
        </is>
      </c>
    </row>
    <row r="787">
      <c r="A787" t="inlineStr">
        <is>
          <t>SUP-0079</t>
        </is>
      </c>
      <c r="B787" t="inlineStr">
        <is>
          <t>Logistics Supplier 079</t>
        </is>
      </c>
      <c r="C787" t="inlineStr">
        <is>
          <t>Logistics</t>
        </is>
      </c>
      <c r="D787" t="n">
        <v>2020</v>
      </c>
      <c r="E787" t="n">
        <v>7066607.09</v>
      </c>
      <c r="F787" t="n">
        <v>48812822.88</v>
      </c>
      <c r="G787" t="n">
        <v>1872.342</v>
      </c>
      <c r="H787" t="n">
        <v>460.1133</v>
      </c>
      <c r="I787" t="n">
        <v>370.5013</v>
      </c>
      <c r="J787" t="n">
        <v>1048.59</v>
      </c>
      <c r="K787" t="inlineStr"/>
      <c r="L787" t="inlineStr"/>
      <c r="M787" t="inlineStr"/>
      <c r="N787" t="inlineStr"/>
      <c r="O787" t="n">
        <v>2019</v>
      </c>
      <c r="P787" t="n">
        <v>2040</v>
      </c>
      <c r="Q787" t="n">
        <v>0.4616</v>
      </c>
      <c r="R787" t="n">
        <v>591.6386</v>
      </c>
      <c r="S787" t="n">
        <v>0.00022349</v>
      </c>
      <c r="T787" t="n">
        <v>0.00047787</v>
      </c>
      <c r="U787" t="n">
        <v>1872.342</v>
      </c>
      <c r="V787" t="inlineStr">
        <is>
          <t>Supplier Reported Emissions</t>
        </is>
      </c>
      <c r="W787" t="b">
        <v>0</v>
      </c>
      <c r="X787" t="inlineStr">
        <is>
          <t>High</t>
        </is>
      </c>
      <c r="Y787" t="inlineStr">
        <is>
          <t>None</t>
        </is>
      </c>
      <c r="Z787" t="n">
        <v>0.95</v>
      </c>
      <c r="AA787" t="inlineStr">
        <is>
          <t>Valid</t>
        </is>
      </c>
    </row>
    <row r="788">
      <c r="A788" t="inlineStr">
        <is>
          <t>SUP-0079</t>
        </is>
      </c>
      <c r="B788" t="inlineStr">
        <is>
          <t>Logistics Supplier 079</t>
        </is>
      </c>
      <c r="C788" t="inlineStr">
        <is>
          <t>Logistics</t>
        </is>
      </c>
      <c r="D788" t="n">
        <v>2021</v>
      </c>
      <c r="E788" t="n">
        <v>7502463.45</v>
      </c>
      <c r="F788" t="n">
        <v>63994850.22</v>
      </c>
      <c r="G788" t="n">
        <v>2230.0856</v>
      </c>
      <c r="H788" t="n">
        <v>419.4058</v>
      </c>
      <c r="I788" t="n">
        <v>343.3795</v>
      </c>
      <c r="J788" t="inlineStr"/>
      <c r="K788" t="inlineStr"/>
      <c r="L788" t="inlineStr"/>
      <c r="M788" t="inlineStr"/>
      <c r="N788" t="inlineStr"/>
      <c r="O788" t="n">
        <v>2019</v>
      </c>
      <c r="P788" t="n">
        <v>2040</v>
      </c>
      <c r="Q788" t="n">
        <v>0.4616</v>
      </c>
      <c r="R788" t="n">
        <v>591.6386</v>
      </c>
      <c r="S788" t="n">
        <v>0.00022349</v>
      </c>
      <c r="T788" t="n">
        <v>0.00047787</v>
      </c>
      <c r="U788" t="n">
        <v>2230.0856</v>
      </c>
      <c r="V788" t="inlineStr">
        <is>
          <t>Supplier Reported Emissions</t>
        </is>
      </c>
      <c r="W788" t="b">
        <v>0</v>
      </c>
      <c r="X788" t="inlineStr">
        <is>
          <t>High</t>
        </is>
      </c>
      <c r="Y788" t="inlineStr">
        <is>
          <t>Scope_Emissions</t>
        </is>
      </c>
      <c r="Z788" t="n">
        <v>0.95</v>
      </c>
      <c r="AA788" t="inlineStr">
        <is>
          <t>Valid</t>
        </is>
      </c>
    </row>
    <row r="789">
      <c r="A789" t="inlineStr">
        <is>
          <t>SUP-0079</t>
        </is>
      </c>
      <c r="B789" t="inlineStr">
        <is>
          <t>Logistics Supplier 079</t>
        </is>
      </c>
      <c r="C789" t="inlineStr">
        <is>
          <t>Logistics</t>
        </is>
      </c>
      <c r="D789" t="n">
        <v>2022</v>
      </c>
      <c r="E789" t="n">
        <v>9046126.85</v>
      </c>
      <c r="F789" t="n">
        <v>64941804.77</v>
      </c>
      <c r="G789" t="n">
        <v>2639.8012</v>
      </c>
      <c r="H789" t="n">
        <v>520.7754</v>
      </c>
      <c r="I789" t="n">
        <v>437.1248</v>
      </c>
      <c r="J789" t="n">
        <v>1711.4929</v>
      </c>
      <c r="K789" t="inlineStr"/>
      <c r="L789" t="inlineStr"/>
      <c r="M789" t="inlineStr"/>
      <c r="N789" t="inlineStr"/>
      <c r="O789" t="n">
        <v>2019</v>
      </c>
      <c r="P789" t="n">
        <v>2040</v>
      </c>
      <c r="Q789" t="n">
        <v>0.4616</v>
      </c>
      <c r="R789" t="n">
        <v>591.6386</v>
      </c>
      <c r="S789" t="n">
        <v>0.00022349</v>
      </c>
      <c r="T789" t="n">
        <v>0.00047787</v>
      </c>
      <c r="U789" t="n">
        <v>2639.8012</v>
      </c>
      <c r="V789" t="inlineStr">
        <is>
          <t>Supplier Reported Emissions</t>
        </is>
      </c>
      <c r="W789" t="b">
        <v>0</v>
      </c>
      <c r="X789" t="inlineStr">
        <is>
          <t>High</t>
        </is>
      </c>
      <c r="Y789" t="inlineStr">
        <is>
          <t>None</t>
        </is>
      </c>
      <c r="Z789" t="n">
        <v>0.95</v>
      </c>
      <c r="AA789" t="inlineStr">
        <is>
          <t>Valid</t>
        </is>
      </c>
    </row>
    <row r="790">
      <c r="A790" t="inlineStr">
        <is>
          <t>SUP-0079</t>
        </is>
      </c>
      <c r="B790" t="inlineStr">
        <is>
          <t>Logistics Supplier 079</t>
        </is>
      </c>
      <c r="C790" t="inlineStr">
        <is>
          <t>Logistics</t>
        </is>
      </c>
      <c r="D790" t="n">
        <v>2023</v>
      </c>
      <c r="E790" t="n">
        <v>9346600.01</v>
      </c>
      <c r="F790" t="n">
        <v>64363510.73</v>
      </c>
      <c r="G790" t="inlineStr"/>
      <c r="H790" t="inlineStr"/>
      <c r="I790" t="n">
        <v>410.5424</v>
      </c>
      <c r="J790" t="n">
        <v>1379.9871</v>
      </c>
      <c r="K790" t="inlineStr"/>
      <c r="L790" t="inlineStr"/>
      <c r="M790" t="inlineStr"/>
      <c r="N790" t="inlineStr"/>
      <c r="O790" t="n">
        <v>2019</v>
      </c>
      <c r="P790" t="n">
        <v>2040</v>
      </c>
      <c r="Q790" t="n">
        <v>0.4616</v>
      </c>
      <c r="R790" t="n">
        <v>591.6386</v>
      </c>
      <c r="S790" t="n">
        <v>0.00022349</v>
      </c>
      <c r="T790" t="n">
        <v>0.00047787</v>
      </c>
      <c r="U790" t="n">
        <v>2088.8716</v>
      </c>
      <c r="V790" t="inlineStr">
        <is>
          <t>Spend-Based Estimate</t>
        </is>
      </c>
      <c r="W790" t="b">
        <v>1</v>
      </c>
      <c r="X790" t="inlineStr">
        <is>
          <t>Medium</t>
        </is>
      </c>
      <c r="Y790" t="inlineStr">
        <is>
          <t>Reported_Emissions; Scope_Emissions</t>
        </is>
      </c>
      <c r="Z790" t="n">
        <v>0.7</v>
      </c>
      <c r="AA790" t="inlineStr">
        <is>
          <t>Valid</t>
        </is>
      </c>
    </row>
    <row r="791">
      <c r="A791" t="inlineStr">
        <is>
          <t>SUP-0079</t>
        </is>
      </c>
      <c r="B791" t="inlineStr">
        <is>
          <t>Logistics Supplier 079</t>
        </is>
      </c>
      <c r="C791" t="inlineStr">
        <is>
          <t>Logistics</t>
        </is>
      </c>
      <c r="D791" t="n">
        <v>2024</v>
      </c>
      <c r="E791" t="n">
        <v>8849317.130000001</v>
      </c>
      <c r="F791" t="n">
        <v>68063579.62</v>
      </c>
      <c r="G791" t="n">
        <v>2155.0259</v>
      </c>
      <c r="H791" t="n">
        <v>365.4405</v>
      </c>
      <c r="I791" t="inlineStr"/>
      <c r="J791" t="inlineStr"/>
      <c r="K791" t="inlineStr"/>
      <c r="L791" t="inlineStr"/>
      <c r="M791" t="inlineStr"/>
      <c r="N791" t="inlineStr"/>
      <c r="O791" t="n">
        <v>2019</v>
      </c>
      <c r="P791" t="n">
        <v>2040</v>
      </c>
      <c r="Q791" t="n">
        <v>0.4616</v>
      </c>
      <c r="R791" t="n">
        <v>591.6386</v>
      </c>
      <c r="S791" t="n">
        <v>0.00022349</v>
      </c>
      <c r="T791" t="n">
        <v>0.00047787</v>
      </c>
      <c r="U791" t="n">
        <v>2155.0259</v>
      </c>
      <c r="V791" t="inlineStr">
        <is>
          <t>Supplier Reported Emissions</t>
        </is>
      </c>
      <c r="W791" t="b">
        <v>0</v>
      </c>
      <c r="X791" t="inlineStr">
        <is>
          <t>High</t>
        </is>
      </c>
      <c r="Y791" t="inlineStr">
        <is>
          <t>Scope_Emissions</t>
        </is>
      </c>
      <c r="Z791" t="n">
        <v>0.95</v>
      </c>
      <c r="AA791" t="inlineStr">
        <is>
          <t>Valid</t>
        </is>
      </c>
    </row>
    <row r="792">
      <c r="A792" t="inlineStr">
        <is>
          <t>SUP-0080</t>
        </is>
      </c>
      <c r="B792" t="inlineStr">
        <is>
          <t>Packaging Supplier 080</t>
        </is>
      </c>
      <c r="C792" t="inlineStr">
        <is>
          <t>Packaging</t>
        </is>
      </c>
      <c r="D792" t="n">
        <v>2015</v>
      </c>
      <c r="E792" t="n">
        <v>24760913.14</v>
      </c>
      <c r="F792" t="inlineStr"/>
      <c r="G792" t="inlineStr"/>
      <c r="H792" t="n">
        <v>4300.5031</v>
      </c>
      <c r="I792" t="n">
        <v>6634.654</v>
      </c>
      <c r="J792" t="n">
        <v>23182.7837</v>
      </c>
      <c r="K792" t="n">
        <v>2019</v>
      </c>
      <c r="L792" t="n">
        <v>2040</v>
      </c>
      <c r="M792" t="n">
        <v>0.6923</v>
      </c>
      <c r="N792" t="n">
        <v>0.3022</v>
      </c>
      <c r="O792" t="n">
        <v>2018</v>
      </c>
      <c r="P792" t="n">
        <v>2040</v>
      </c>
      <c r="Q792" t="n">
        <v>0.3112</v>
      </c>
      <c r="R792" t="n">
        <v>702.4188</v>
      </c>
      <c r="S792" t="n">
        <v>0.0010803</v>
      </c>
      <c r="T792" t="n">
        <v>0.00078946</v>
      </c>
      <c r="U792" t="n">
        <v>34117.9408</v>
      </c>
      <c r="V792" t="inlineStr">
        <is>
          <t>Scope 1 + Scope 2 + Scope 3</t>
        </is>
      </c>
      <c r="W792" t="b">
        <v>1</v>
      </c>
      <c r="X792" t="inlineStr">
        <is>
          <t>High</t>
        </is>
      </c>
      <c r="Y792" t="inlineStr">
        <is>
          <t>Reported_Emissions; Revenue</t>
        </is>
      </c>
      <c r="Z792" t="n">
        <v>0.88</v>
      </c>
      <c r="AA792" t="inlineStr">
        <is>
          <t>Valid</t>
        </is>
      </c>
    </row>
    <row r="793">
      <c r="A793" t="inlineStr">
        <is>
          <t>SUP-0080</t>
        </is>
      </c>
      <c r="B793" t="inlineStr">
        <is>
          <t>Packaging Supplier 080</t>
        </is>
      </c>
      <c r="C793" t="inlineStr">
        <is>
          <t>Packaging</t>
        </is>
      </c>
      <c r="D793" t="n">
        <v>2016</v>
      </c>
      <c r="E793" t="n">
        <v>23903654.08</v>
      </c>
      <c r="F793" t="n">
        <v>46077579.48</v>
      </c>
      <c r="G793" t="n">
        <v>24479.3818</v>
      </c>
      <c r="H793" t="n">
        <v>5782.2138</v>
      </c>
      <c r="I793" t="n">
        <v>4724.361</v>
      </c>
      <c r="J793" t="n">
        <v>15133.3204</v>
      </c>
      <c r="K793" t="n">
        <v>2019</v>
      </c>
      <c r="L793" t="n">
        <v>2040</v>
      </c>
      <c r="M793" t="n">
        <v>0.6923</v>
      </c>
      <c r="N793" t="n">
        <v>0.3022</v>
      </c>
      <c r="O793" t="n">
        <v>2018</v>
      </c>
      <c r="P793" t="n">
        <v>2040</v>
      </c>
      <c r="Q793" t="n">
        <v>0.3112</v>
      </c>
      <c r="R793" t="n">
        <v>702.4188</v>
      </c>
      <c r="S793" t="n">
        <v>0.0010803</v>
      </c>
      <c r="T793" t="n">
        <v>0.00078946</v>
      </c>
      <c r="U793" t="n">
        <v>24479.3818</v>
      </c>
      <c r="V793" t="inlineStr">
        <is>
          <t>Supplier Reported Emissions</t>
        </is>
      </c>
      <c r="W793" t="b">
        <v>0</v>
      </c>
      <c r="X793" t="inlineStr">
        <is>
          <t>High</t>
        </is>
      </c>
      <c r="Y793" t="inlineStr">
        <is>
          <t>None</t>
        </is>
      </c>
      <c r="Z793" t="n">
        <v>0.95</v>
      </c>
      <c r="AA793" t="inlineStr">
        <is>
          <t>Valid</t>
        </is>
      </c>
    </row>
    <row r="794">
      <c r="A794" t="inlineStr">
        <is>
          <t>SUP-0080</t>
        </is>
      </c>
      <c r="B794" t="inlineStr">
        <is>
          <t>Packaging Supplier 080</t>
        </is>
      </c>
      <c r="C794" t="inlineStr">
        <is>
          <t>Packaging</t>
        </is>
      </c>
      <c r="D794" t="n">
        <v>2017</v>
      </c>
      <c r="E794" t="n">
        <v>26645114.3</v>
      </c>
      <c r="F794" t="n">
        <v>59351261.63</v>
      </c>
      <c r="G794" t="n">
        <v>31222.5829</v>
      </c>
      <c r="H794" t="n">
        <v>5748.8091</v>
      </c>
      <c r="I794" t="n">
        <v>3225.6115</v>
      </c>
      <c r="J794" t="n">
        <v>21831.0844</v>
      </c>
      <c r="K794" t="n">
        <v>2019</v>
      </c>
      <c r="L794" t="n">
        <v>2040</v>
      </c>
      <c r="M794" t="n">
        <v>0.6923</v>
      </c>
      <c r="N794" t="n">
        <v>0.3022</v>
      </c>
      <c r="O794" t="n">
        <v>2018</v>
      </c>
      <c r="P794" t="n">
        <v>2040</v>
      </c>
      <c r="Q794" t="n">
        <v>0.3112</v>
      </c>
      <c r="R794" t="n">
        <v>702.4188</v>
      </c>
      <c r="S794" t="n">
        <v>0.0010803</v>
      </c>
      <c r="T794" t="n">
        <v>0.00078946</v>
      </c>
      <c r="U794" t="n">
        <v>31222.5829</v>
      </c>
      <c r="V794" t="inlineStr">
        <is>
          <t>Supplier Reported Emissions</t>
        </is>
      </c>
      <c r="W794" t="b">
        <v>0</v>
      </c>
      <c r="X794" t="inlineStr">
        <is>
          <t>High</t>
        </is>
      </c>
      <c r="Y794" t="inlineStr">
        <is>
          <t>None</t>
        </is>
      </c>
      <c r="Z794" t="n">
        <v>0.95</v>
      </c>
      <c r="AA794" t="inlineStr">
        <is>
          <t>Valid</t>
        </is>
      </c>
    </row>
    <row r="795">
      <c r="A795" t="inlineStr">
        <is>
          <t>SUP-0080</t>
        </is>
      </c>
      <c r="B795" t="inlineStr">
        <is>
          <t>Packaging Supplier 080</t>
        </is>
      </c>
      <c r="C795" t="inlineStr">
        <is>
          <t>Packaging</t>
        </is>
      </c>
      <c r="D795" t="n">
        <v>2018</v>
      </c>
      <c r="E795" t="n">
        <v>27160560.38</v>
      </c>
      <c r="F795" t="n">
        <v>55086957.78</v>
      </c>
      <c r="G795" t="inlineStr"/>
      <c r="H795" t="inlineStr"/>
      <c r="I795" t="n">
        <v>3870.0164</v>
      </c>
      <c r="J795" t="n">
        <v>20239.1094</v>
      </c>
      <c r="K795" t="n">
        <v>2019</v>
      </c>
      <c r="L795" t="n">
        <v>2040</v>
      </c>
      <c r="M795" t="n">
        <v>0.6923</v>
      </c>
      <c r="N795" t="n">
        <v>0.3022</v>
      </c>
      <c r="O795" t="n">
        <v>2018</v>
      </c>
      <c r="P795" t="n">
        <v>2040</v>
      </c>
      <c r="Q795" t="n">
        <v>0.3112</v>
      </c>
      <c r="R795" t="n">
        <v>702.4188</v>
      </c>
      <c r="S795" t="n">
        <v>0.0010803</v>
      </c>
      <c r="T795" t="n">
        <v>0.00078946</v>
      </c>
      <c r="U795" t="n">
        <v>29341.5534</v>
      </c>
      <c r="V795" t="inlineStr">
        <is>
          <t>Spend-Based Estimate</t>
        </is>
      </c>
      <c r="W795" t="b">
        <v>1</v>
      </c>
      <c r="X795" t="inlineStr">
        <is>
          <t>Medium</t>
        </is>
      </c>
      <c r="Y795" t="inlineStr">
        <is>
          <t>Reported_Emissions; Scope_Emissions</t>
        </is>
      </c>
      <c r="Z795" t="n">
        <v>0.7</v>
      </c>
      <c r="AA795" t="inlineStr">
        <is>
          <t>Valid</t>
        </is>
      </c>
    </row>
    <row r="796">
      <c r="A796" t="inlineStr">
        <is>
          <t>SUP-0080</t>
        </is>
      </c>
      <c r="B796" t="inlineStr">
        <is>
          <t>Packaging Supplier 080</t>
        </is>
      </c>
      <c r="C796" t="inlineStr">
        <is>
          <t>Packaging</t>
        </is>
      </c>
      <c r="D796" t="n">
        <v>2019</v>
      </c>
      <c r="E796" t="n">
        <v>34432259.41</v>
      </c>
      <c r="F796" t="n">
        <v>49091632.25</v>
      </c>
      <c r="G796" t="n">
        <v>40076.9936</v>
      </c>
      <c r="H796" t="n">
        <v>7606.6224</v>
      </c>
      <c r="I796" t="n">
        <v>8482.599700000001</v>
      </c>
      <c r="J796" t="inlineStr"/>
      <c r="K796" t="n">
        <v>2019</v>
      </c>
      <c r="L796" t="n">
        <v>2040</v>
      </c>
      <c r="M796" t="n">
        <v>0.6923</v>
      </c>
      <c r="N796" t="n">
        <v>0.3022</v>
      </c>
      <c r="O796" t="n">
        <v>2018</v>
      </c>
      <c r="P796" t="n">
        <v>2040</v>
      </c>
      <c r="Q796" t="n">
        <v>0.3112</v>
      </c>
      <c r="R796" t="n">
        <v>702.4188</v>
      </c>
      <c r="S796" t="n">
        <v>0.0010803</v>
      </c>
      <c r="T796" t="n">
        <v>0.00078946</v>
      </c>
      <c r="U796" t="n">
        <v>40076.9936</v>
      </c>
      <c r="V796" t="inlineStr">
        <is>
          <t>Supplier Reported Emissions</t>
        </is>
      </c>
      <c r="W796" t="b">
        <v>0</v>
      </c>
      <c r="X796" t="inlineStr">
        <is>
          <t>High</t>
        </is>
      </c>
      <c r="Y796" t="inlineStr">
        <is>
          <t>Scope_Emissions</t>
        </is>
      </c>
      <c r="Z796" t="n">
        <v>0.95</v>
      </c>
      <c r="AA796" t="inlineStr">
        <is>
          <t>Valid</t>
        </is>
      </c>
    </row>
    <row r="797">
      <c r="A797" t="inlineStr">
        <is>
          <t>SUP-0080</t>
        </is>
      </c>
      <c r="B797" t="inlineStr">
        <is>
          <t>Packaging Supplier 080</t>
        </is>
      </c>
      <c r="C797" t="inlineStr">
        <is>
          <t>Packaging</t>
        </is>
      </c>
      <c r="D797" t="n">
        <v>2020</v>
      </c>
      <c r="E797" t="inlineStr"/>
      <c r="F797" t="n">
        <v>64189258.26</v>
      </c>
      <c r="G797" t="n">
        <v>26308.1537</v>
      </c>
      <c r="H797" t="n">
        <v>5849.1253</v>
      </c>
      <c r="I797" t="n">
        <v>4331.7025</v>
      </c>
      <c r="J797" t="n">
        <v>16822.3607</v>
      </c>
      <c r="K797" t="n">
        <v>2019</v>
      </c>
      <c r="L797" t="n">
        <v>2040</v>
      </c>
      <c r="M797" t="n">
        <v>0.6923</v>
      </c>
      <c r="N797" t="n">
        <v>0.3022</v>
      </c>
      <c r="O797" t="n">
        <v>2018</v>
      </c>
      <c r="P797" t="n">
        <v>2040</v>
      </c>
      <c r="Q797" t="n">
        <v>0.3112</v>
      </c>
      <c r="R797" t="n">
        <v>702.4188</v>
      </c>
      <c r="S797" t="n">
        <v>0.0010803</v>
      </c>
      <c r="T797" t="n">
        <v>0.00078946</v>
      </c>
      <c r="U797" t="n">
        <v>26308.1537</v>
      </c>
      <c r="V797" t="inlineStr">
        <is>
          <t>Supplier Reported Emissions</t>
        </is>
      </c>
      <c r="W797" t="b">
        <v>0</v>
      </c>
      <c r="X797" t="inlineStr">
        <is>
          <t>High</t>
        </is>
      </c>
      <c r="Y797" t="inlineStr">
        <is>
          <t>Gross_Spend</t>
        </is>
      </c>
      <c r="Z797" t="n">
        <v>0.95</v>
      </c>
      <c r="AA797" t="inlineStr">
        <is>
          <t>Valid</t>
        </is>
      </c>
    </row>
    <row r="798">
      <c r="A798" t="inlineStr">
        <is>
          <t>SUP-0080</t>
        </is>
      </c>
      <c r="B798" t="inlineStr">
        <is>
          <t>Packaging Supplier 080</t>
        </is>
      </c>
      <c r="C798" t="inlineStr">
        <is>
          <t>Packaging</t>
        </is>
      </c>
      <c r="D798" t="n">
        <v>2021</v>
      </c>
      <c r="E798" t="n">
        <v>31291698.89</v>
      </c>
      <c r="F798" t="n">
        <v>58701442.23</v>
      </c>
      <c r="G798" t="n">
        <v>29963.6274</v>
      </c>
      <c r="H798" t="n">
        <v>8204.5245</v>
      </c>
      <c r="I798" t="n">
        <v>5348.8021</v>
      </c>
      <c r="J798" t="n">
        <v>17601.7008</v>
      </c>
      <c r="K798" t="n">
        <v>2019</v>
      </c>
      <c r="L798" t="n">
        <v>2040</v>
      </c>
      <c r="M798" t="n">
        <v>0.6923</v>
      </c>
      <c r="N798" t="n">
        <v>0.3022</v>
      </c>
      <c r="O798" t="n">
        <v>2018</v>
      </c>
      <c r="P798" t="n">
        <v>2040</v>
      </c>
      <c r="Q798" t="n">
        <v>0.3112</v>
      </c>
      <c r="R798" t="n">
        <v>702.4188</v>
      </c>
      <c r="S798" t="n">
        <v>0.0010803</v>
      </c>
      <c r="T798" t="n">
        <v>0.00078946</v>
      </c>
      <c r="U798" t="n">
        <v>29963.6274</v>
      </c>
      <c r="V798" t="inlineStr">
        <is>
          <t>Supplier Reported Emissions</t>
        </is>
      </c>
      <c r="W798" t="b">
        <v>0</v>
      </c>
      <c r="X798" t="inlineStr">
        <is>
          <t>High</t>
        </is>
      </c>
      <c r="Y798" t="inlineStr">
        <is>
          <t>None</t>
        </is>
      </c>
      <c r="Z798" t="n">
        <v>0.95</v>
      </c>
      <c r="AA798" t="inlineStr">
        <is>
          <t>Valid</t>
        </is>
      </c>
    </row>
    <row r="799">
      <c r="A799" t="inlineStr">
        <is>
          <t>SUP-0080</t>
        </is>
      </c>
      <c r="B799" t="inlineStr">
        <is>
          <t>Packaging Supplier 080</t>
        </is>
      </c>
      <c r="C799" t="inlineStr">
        <is>
          <t>Packaging</t>
        </is>
      </c>
      <c r="D799" t="n">
        <v>2022</v>
      </c>
      <c r="E799" t="n">
        <v>36103771.93</v>
      </c>
      <c r="F799" t="n">
        <v>81186316.43000001</v>
      </c>
      <c r="G799" t="n">
        <v>36683.9896</v>
      </c>
      <c r="H799" t="n">
        <v>6177.1054</v>
      </c>
      <c r="I799" t="n">
        <v>7572.0926</v>
      </c>
      <c r="J799" t="inlineStr"/>
      <c r="K799" t="n">
        <v>2019</v>
      </c>
      <c r="L799" t="n">
        <v>2040</v>
      </c>
      <c r="M799" t="n">
        <v>0.6923</v>
      </c>
      <c r="N799" t="n">
        <v>0.3022</v>
      </c>
      <c r="O799" t="n">
        <v>2018</v>
      </c>
      <c r="P799" t="n">
        <v>2040</v>
      </c>
      <c r="Q799" t="n">
        <v>0.3112</v>
      </c>
      <c r="R799" t="n">
        <v>702.4188</v>
      </c>
      <c r="S799" t="n">
        <v>0.0010803</v>
      </c>
      <c r="T799" t="n">
        <v>0.00078946</v>
      </c>
      <c r="U799" t="n">
        <v>36683.9896</v>
      </c>
      <c r="V799" t="inlineStr">
        <is>
          <t>Supplier Reported Emissions</t>
        </is>
      </c>
      <c r="W799" t="b">
        <v>0</v>
      </c>
      <c r="X799" t="inlineStr">
        <is>
          <t>High</t>
        </is>
      </c>
      <c r="Y799" t="inlineStr">
        <is>
          <t>Scope_Emissions</t>
        </is>
      </c>
      <c r="Z799" t="n">
        <v>0.95</v>
      </c>
      <c r="AA799" t="inlineStr">
        <is>
          <t>Valid</t>
        </is>
      </c>
    </row>
    <row r="800">
      <c r="A800" t="inlineStr">
        <is>
          <t>SUP-0080</t>
        </is>
      </c>
      <c r="B800" t="inlineStr">
        <is>
          <t>Packaging Supplier 080</t>
        </is>
      </c>
      <c r="C800" t="inlineStr">
        <is>
          <t>Packaging</t>
        </is>
      </c>
      <c r="D800" t="n">
        <v>2023</v>
      </c>
      <c r="E800" t="n">
        <v>35074087.31</v>
      </c>
      <c r="F800" t="n">
        <v>71924850.23999999</v>
      </c>
      <c r="G800" t="n">
        <v>30223.9574</v>
      </c>
      <c r="H800" t="n">
        <v>7913.867</v>
      </c>
      <c r="I800" t="inlineStr"/>
      <c r="J800" t="n">
        <v>18082.8705</v>
      </c>
      <c r="K800" t="n">
        <v>2019</v>
      </c>
      <c r="L800" t="n">
        <v>2040</v>
      </c>
      <c r="M800" t="n">
        <v>0.6923</v>
      </c>
      <c r="N800" t="n">
        <v>0.3022</v>
      </c>
      <c r="O800" t="n">
        <v>2018</v>
      </c>
      <c r="P800" t="n">
        <v>2040</v>
      </c>
      <c r="Q800" t="n">
        <v>0.3112</v>
      </c>
      <c r="R800" t="n">
        <v>702.4188</v>
      </c>
      <c r="S800" t="n">
        <v>0.0010803</v>
      </c>
      <c r="T800" t="n">
        <v>0.00078946</v>
      </c>
      <c r="U800" t="n">
        <v>30223.9574</v>
      </c>
      <c r="V800" t="inlineStr">
        <is>
          <t>Supplier Reported Emissions</t>
        </is>
      </c>
      <c r="W800" t="b">
        <v>0</v>
      </c>
      <c r="X800" t="inlineStr">
        <is>
          <t>High</t>
        </is>
      </c>
      <c r="Y800" t="inlineStr">
        <is>
          <t>Scope_Emissions</t>
        </is>
      </c>
      <c r="Z800" t="n">
        <v>0.95</v>
      </c>
      <c r="AA800" t="inlineStr">
        <is>
          <t>Valid</t>
        </is>
      </c>
    </row>
    <row r="801">
      <c r="A801" t="inlineStr">
        <is>
          <t>SUP-0080</t>
        </is>
      </c>
      <c r="B801" t="inlineStr">
        <is>
          <t>Packaging Supplier 080</t>
        </is>
      </c>
      <c r="C801" t="inlineStr">
        <is>
          <t>Packaging</t>
        </is>
      </c>
      <c r="D801" t="n">
        <v>2024</v>
      </c>
      <c r="E801" t="n">
        <v>36949086.81</v>
      </c>
      <c r="F801" t="n">
        <v>75278079.55</v>
      </c>
      <c r="G801" t="n">
        <v>38183.2936</v>
      </c>
      <c r="H801" t="inlineStr"/>
      <c r="I801" t="n">
        <v>3626.179</v>
      </c>
      <c r="J801" t="n">
        <v>26461.5454</v>
      </c>
      <c r="K801" t="n">
        <v>2019</v>
      </c>
      <c r="L801" t="n">
        <v>2040</v>
      </c>
      <c r="M801" t="n">
        <v>0.6923</v>
      </c>
      <c r="N801" t="n">
        <v>0.3022</v>
      </c>
      <c r="O801" t="n">
        <v>2018</v>
      </c>
      <c r="P801" t="n">
        <v>2040</v>
      </c>
      <c r="Q801" t="n">
        <v>0.3112</v>
      </c>
      <c r="R801" t="n">
        <v>702.4188</v>
      </c>
      <c r="S801" t="n">
        <v>0.0010803</v>
      </c>
      <c r="T801" t="n">
        <v>0.00078946</v>
      </c>
      <c r="U801" t="n">
        <v>38183.2936</v>
      </c>
      <c r="V801" t="inlineStr">
        <is>
          <t>Supplier Reported Emissions</t>
        </is>
      </c>
      <c r="W801" t="b">
        <v>0</v>
      </c>
      <c r="X801" t="inlineStr">
        <is>
          <t>High</t>
        </is>
      </c>
      <c r="Y801" t="inlineStr">
        <is>
          <t>Scope_Emissions</t>
        </is>
      </c>
      <c r="Z801" t="n">
        <v>0.95</v>
      </c>
      <c r="AA801" t="inlineStr">
        <is>
          <t>Valid</t>
        </is>
      </c>
    </row>
    <row r="802">
      <c r="A802" t="inlineStr">
        <is>
          <t>SUP-0081</t>
        </is>
      </c>
      <c r="B802" t="inlineStr">
        <is>
          <t>Textiles Supplier 081</t>
        </is>
      </c>
      <c r="C802" t="inlineStr">
        <is>
          <t>Textiles</t>
        </is>
      </c>
      <c r="D802" t="n">
        <v>2015</v>
      </c>
      <c r="E802" t="n">
        <v>22693302.13</v>
      </c>
      <c r="F802" t="n">
        <v>107503004.35</v>
      </c>
      <c r="G802" t="n">
        <v>4772.8928</v>
      </c>
      <c r="H802" t="n">
        <v>1058.6955</v>
      </c>
      <c r="I802" t="n">
        <v>423.9156</v>
      </c>
      <c r="J802" t="n">
        <v>3016.5017</v>
      </c>
      <c r="K802" t="inlineStr"/>
      <c r="L802" t="inlineStr"/>
      <c r="M802" t="inlineStr"/>
      <c r="N802" t="inlineStr"/>
      <c r="O802" t="n">
        <v>2019</v>
      </c>
      <c r="P802" t="n">
        <v>2030</v>
      </c>
      <c r="Q802" t="n">
        <v>0.3171</v>
      </c>
      <c r="R802" t="n">
        <v>401.7335</v>
      </c>
      <c r="S802" t="n">
        <v>0.00029221</v>
      </c>
      <c r="T802" t="n">
        <v>0.00017343</v>
      </c>
      <c r="U802" t="n">
        <v>4772.8928</v>
      </c>
      <c r="V802" t="inlineStr">
        <is>
          <t>Supplier Reported Emissions</t>
        </is>
      </c>
      <c r="W802" t="b">
        <v>0</v>
      </c>
      <c r="X802" t="inlineStr">
        <is>
          <t>High</t>
        </is>
      </c>
      <c r="Y802" t="inlineStr">
        <is>
          <t>None</t>
        </is>
      </c>
      <c r="Z802" t="n">
        <v>0.95</v>
      </c>
      <c r="AA802" t="inlineStr">
        <is>
          <t>Valid</t>
        </is>
      </c>
    </row>
    <row r="803">
      <c r="A803" t="inlineStr">
        <is>
          <t>SUP-0081</t>
        </is>
      </c>
      <c r="B803" t="inlineStr">
        <is>
          <t>Textiles Supplier 081</t>
        </is>
      </c>
      <c r="C803" t="inlineStr">
        <is>
          <t>Textiles</t>
        </is>
      </c>
      <c r="D803" t="n">
        <v>2016</v>
      </c>
      <c r="E803" t="n">
        <v>26937969.35</v>
      </c>
      <c r="F803" t="n">
        <v>133118117.19</v>
      </c>
      <c r="G803" t="n">
        <v>5813.5109</v>
      </c>
      <c r="H803" t="n">
        <v>532.0394</v>
      </c>
      <c r="I803" t="n">
        <v>1101.6452</v>
      </c>
      <c r="J803" t="n">
        <v>4073.9229</v>
      </c>
      <c r="K803" t="inlineStr"/>
      <c r="L803" t="inlineStr"/>
      <c r="M803" t="inlineStr"/>
      <c r="N803" t="inlineStr"/>
      <c r="O803" t="n">
        <v>2019</v>
      </c>
      <c r="P803" t="n">
        <v>2030</v>
      </c>
      <c r="Q803" t="n">
        <v>0.3171</v>
      </c>
      <c r="R803" t="n">
        <v>401.7335</v>
      </c>
      <c r="S803" t="n">
        <v>0.00029221</v>
      </c>
      <c r="T803" t="n">
        <v>0.00017343</v>
      </c>
      <c r="U803" t="n">
        <v>5813.5109</v>
      </c>
      <c r="V803" t="inlineStr">
        <is>
          <t>Supplier Reported Emissions</t>
        </is>
      </c>
      <c r="W803" t="b">
        <v>0</v>
      </c>
      <c r="X803" t="inlineStr">
        <is>
          <t>High</t>
        </is>
      </c>
      <c r="Y803" t="inlineStr">
        <is>
          <t>None</t>
        </is>
      </c>
      <c r="Z803" t="n">
        <v>0.95</v>
      </c>
      <c r="AA803" t="inlineStr">
        <is>
          <t>Valid</t>
        </is>
      </c>
    </row>
    <row r="804">
      <c r="A804" t="inlineStr">
        <is>
          <t>SUP-0081</t>
        </is>
      </c>
      <c r="B804" t="inlineStr">
        <is>
          <t>Textiles Supplier 081</t>
        </is>
      </c>
      <c r="C804" t="inlineStr">
        <is>
          <t>Textiles</t>
        </is>
      </c>
      <c r="D804" t="n">
        <v>2017</v>
      </c>
      <c r="E804" t="n">
        <v>26392151.25</v>
      </c>
      <c r="F804" t="n">
        <v>154561000.93</v>
      </c>
      <c r="G804" t="n">
        <v>6458.0789</v>
      </c>
      <c r="H804" t="n">
        <v>1543.8499</v>
      </c>
      <c r="I804" t="n">
        <v>691.0364</v>
      </c>
      <c r="J804" t="n">
        <v>4642.9648</v>
      </c>
      <c r="K804" t="inlineStr"/>
      <c r="L804" t="inlineStr"/>
      <c r="M804" t="inlineStr"/>
      <c r="N804" t="inlineStr"/>
      <c r="O804" t="n">
        <v>2019</v>
      </c>
      <c r="P804" t="n">
        <v>2030</v>
      </c>
      <c r="Q804" t="n">
        <v>0.3171</v>
      </c>
      <c r="R804" t="n">
        <v>401.7335</v>
      </c>
      <c r="S804" t="n">
        <v>0.00029221</v>
      </c>
      <c r="T804" t="n">
        <v>0.00017343</v>
      </c>
      <c r="U804" t="n">
        <v>6458.0789</v>
      </c>
      <c r="V804" t="inlineStr">
        <is>
          <t>Supplier Reported Emissions</t>
        </is>
      </c>
      <c r="W804" t="b">
        <v>0</v>
      </c>
      <c r="X804" t="inlineStr">
        <is>
          <t>High</t>
        </is>
      </c>
      <c r="Y804" t="inlineStr">
        <is>
          <t>None</t>
        </is>
      </c>
      <c r="Z804" t="n">
        <v>0.95</v>
      </c>
      <c r="AA804" t="inlineStr">
        <is>
          <t>Valid</t>
        </is>
      </c>
    </row>
    <row r="805">
      <c r="A805" t="inlineStr">
        <is>
          <t>SUP-0081</t>
        </is>
      </c>
      <c r="B805" t="inlineStr">
        <is>
          <t>Textiles Supplier 081</t>
        </is>
      </c>
      <c r="C805" t="inlineStr">
        <is>
          <t>Textiles</t>
        </is>
      </c>
      <c r="D805" t="n">
        <v>2018</v>
      </c>
      <c r="E805" t="n">
        <v>24459744.93</v>
      </c>
      <c r="F805" t="n">
        <v>121303838.57</v>
      </c>
      <c r="G805" t="n">
        <v>6696.4786</v>
      </c>
      <c r="H805" t="n">
        <v>1791.8478</v>
      </c>
      <c r="I805" t="n">
        <v>683.2132</v>
      </c>
      <c r="J805" t="n">
        <v>4080.6141</v>
      </c>
      <c r="K805" t="inlineStr"/>
      <c r="L805" t="inlineStr"/>
      <c r="M805" t="inlineStr"/>
      <c r="N805" t="inlineStr"/>
      <c r="O805" t="n">
        <v>2019</v>
      </c>
      <c r="P805" t="n">
        <v>2030</v>
      </c>
      <c r="Q805" t="n">
        <v>0.3171</v>
      </c>
      <c r="R805" t="n">
        <v>401.7335</v>
      </c>
      <c r="S805" t="n">
        <v>0.00029221</v>
      </c>
      <c r="T805" t="n">
        <v>0.00017343</v>
      </c>
      <c r="U805" t="n">
        <v>6696.4786</v>
      </c>
      <c r="V805" t="inlineStr">
        <is>
          <t>Supplier Reported Emissions</t>
        </is>
      </c>
      <c r="W805" t="b">
        <v>0</v>
      </c>
      <c r="X805" t="inlineStr">
        <is>
          <t>High</t>
        </is>
      </c>
      <c r="Y805" t="inlineStr">
        <is>
          <t>None</t>
        </is>
      </c>
      <c r="Z805" t="n">
        <v>0.95</v>
      </c>
      <c r="AA805" t="inlineStr">
        <is>
          <t>Valid</t>
        </is>
      </c>
    </row>
    <row r="806">
      <c r="A806" t="inlineStr">
        <is>
          <t>SUP-0081</t>
        </is>
      </c>
      <c r="B806" t="inlineStr">
        <is>
          <t>Textiles Supplier 081</t>
        </is>
      </c>
      <c r="C806" t="inlineStr">
        <is>
          <t>Textiles</t>
        </is>
      </c>
      <c r="D806" t="n">
        <v>2019</v>
      </c>
      <c r="E806" t="n">
        <v>30441962.58</v>
      </c>
      <c r="F806" t="n">
        <v>162676835.34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n">
        <v>2019</v>
      </c>
      <c r="P806" t="n">
        <v>2030</v>
      </c>
      <c r="Q806" t="n">
        <v>0.3171</v>
      </c>
      <c r="R806" t="n">
        <v>401.7335</v>
      </c>
      <c r="S806" t="n">
        <v>0.00029221</v>
      </c>
      <c r="T806" t="n">
        <v>0.00017343</v>
      </c>
      <c r="U806" t="n">
        <v>8895.445900000001</v>
      </c>
      <c r="V806" t="inlineStr">
        <is>
          <t>Spend-Based Estimate</t>
        </is>
      </c>
      <c r="W806" t="b">
        <v>1</v>
      </c>
      <c r="X806" t="inlineStr">
        <is>
          <t>Medium</t>
        </is>
      </c>
      <c r="Y806" t="inlineStr">
        <is>
          <t>Reported_Emissions; Scope_Emissions</t>
        </is>
      </c>
      <c r="Z806" t="n">
        <v>0.7</v>
      </c>
      <c r="AA806" t="inlineStr">
        <is>
          <t>Valid</t>
        </is>
      </c>
    </row>
    <row r="807">
      <c r="A807" t="inlineStr">
        <is>
          <t>SUP-0081</t>
        </is>
      </c>
      <c r="B807" t="inlineStr">
        <is>
          <t>Textiles Supplier 081</t>
        </is>
      </c>
      <c r="C807" t="inlineStr">
        <is>
          <t>Textiles</t>
        </is>
      </c>
      <c r="D807" t="n">
        <v>2020</v>
      </c>
      <c r="E807" t="n">
        <v>26016252.2</v>
      </c>
      <c r="F807" t="n">
        <v>168125250.33</v>
      </c>
      <c r="G807" t="n">
        <v>5392.9</v>
      </c>
      <c r="H807" t="n">
        <v>1125.2928</v>
      </c>
      <c r="I807" t="n">
        <v>1021.5529</v>
      </c>
      <c r="J807" t="n">
        <v>3560.3475</v>
      </c>
      <c r="K807" t="inlineStr"/>
      <c r="L807" t="inlineStr"/>
      <c r="M807" t="inlineStr"/>
      <c r="N807" t="inlineStr"/>
      <c r="O807" t="n">
        <v>2019</v>
      </c>
      <c r="P807" t="n">
        <v>2030</v>
      </c>
      <c r="Q807" t="n">
        <v>0.3171</v>
      </c>
      <c r="R807" t="n">
        <v>401.7335</v>
      </c>
      <c r="S807" t="n">
        <v>0.00029221</v>
      </c>
      <c r="T807" t="n">
        <v>0.00017343</v>
      </c>
      <c r="U807" t="n">
        <v>5392.9</v>
      </c>
      <c r="V807" t="inlineStr">
        <is>
          <t>Supplier Reported Emissions</t>
        </is>
      </c>
      <c r="W807" t="b">
        <v>0</v>
      </c>
      <c r="X807" t="inlineStr">
        <is>
          <t>High</t>
        </is>
      </c>
      <c r="Y807" t="inlineStr">
        <is>
          <t>None</t>
        </is>
      </c>
      <c r="Z807" t="n">
        <v>0.95</v>
      </c>
      <c r="AA807" t="inlineStr">
        <is>
          <t>Valid</t>
        </is>
      </c>
    </row>
    <row r="808">
      <c r="A808" t="inlineStr">
        <is>
          <t>SUP-0081</t>
        </is>
      </c>
      <c r="B808" t="inlineStr">
        <is>
          <t>Textiles Supplier 081</t>
        </is>
      </c>
      <c r="C808" t="inlineStr">
        <is>
          <t>Textiles</t>
        </is>
      </c>
      <c r="D808" t="n">
        <v>2021</v>
      </c>
      <c r="E808" t="n">
        <v>33478892.99</v>
      </c>
      <c r="F808" t="n">
        <v>214998335.35</v>
      </c>
      <c r="G808" t="inlineStr"/>
      <c r="H808" t="n">
        <v>595.6201</v>
      </c>
      <c r="I808" t="n">
        <v>535.7755</v>
      </c>
      <c r="J808" t="n">
        <v>5251.713</v>
      </c>
      <c r="K808" t="inlineStr"/>
      <c r="L808" t="inlineStr"/>
      <c r="M808" t="inlineStr"/>
      <c r="N808" t="inlineStr"/>
      <c r="O808" t="n">
        <v>2019</v>
      </c>
      <c r="P808" t="n">
        <v>2030</v>
      </c>
      <c r="Q808" t="n">
        <v>0.3171</v>
      </c>
      <c r="R808" t="n">
        <v>401.7335</v>
      </c>
      <c r="S808" t="n">
        <v>0.00029221</v>
      </c>
      <c r="T808" t="n">
        <v>0.00017343</v>
      </c>
      <c r="U808" t="n">
        <v>6383.1086</v>
      </c>
      <c r="V808" t="inlineStr">
        <is>
          <t>Scope 1 + Scope 2 + Scope 3</t>
        </is>
      </c>
      <c r="W808" t="b">
        <v>1</v>
      </c>
      <c r="X808" t="inlineStr">
        <is>
          <t>High</t>
        </is>
      </c>
      <c r="Y808" t="inlineStr">
        <is>
          <t>Reported_Emissions</t>
        </is>
      </c>
      <c r="Z808" t="n">
        <v>0.88</v>
      </c>
      <c r="AA808" t="inlineStr">
        <is>
          <t>Valid</t>
        </is>
      </c>
    </row>
    <row r="809">
      <c r="A809" t="inlineStr">
        <is>
          <t>SUP-0081</t>
        </is>
      </c>
      <c r="B809" t="inlineStr">
        <is>
          <t>Textiles Supplier 081</t>
        </is>
      </c>
      <c r="C809" t="inlineStr">
        <is>
          <t>Textiles</t>
        </is>
      </c>
      <c r="D809" t="n">
        <v>2022</v>
      </c>
      <c r="E809" t="n">
        <v>37994761.96</v>
      </c>
      <c r="F809" t="inlineStr"/>
      <c r="G809" t="n">
        <v>8487.3884</v>
      </c>
      <c r="H809" t="n">
        <v>1984.5207</v>
      </c>
      <c r="I809" t="n">
        <v>903.5053</v>
      </c>
      <c r="J809" t="n">
        <v>5040.4347</v>
      </c>
      <c r="K809" t="inlineStr"/>
      <c r="L809" t="inlineStr"/>
      <c r="M809" t="inlineStr"/>
      <c r="N809" t="inlineStr"/>
      <c r="O809" t="n">
        <v>2019</v>
      </c>
      <c r="P809" t="n">
        <v>2030</v>
      </c>
      <c r="Q809" t="n">
        <v>0.3171</v>
      </c>
      <c r="R809" t="n">
        <v>401.7335</v>
      </c>
      <c r="S809" t="n">
        <v>0.00029221</v>
      </c>
      <c r="T809" t="n">
        <v>0.00017343</v>
      </c>
      <c r="U809" t="n">
        <v>8487.3884</v>
      </c>
      <c r="V809" t="inlineStr">
        <is>
          <t>Supplier Reported Emissions</t>
        </is>
      </c>
      <c r="W809" t="b">
        <v>0</v>
      </c>
      <c r="X809" t="inlineStr">
        <is>
          <t>High</t>
        </is>
      </c>
      <c r="Y809" t="inlineStr">
        <is>
          <t>Revenue</t>
        </is>
      </c>
      <c r="Z809" t="n">
        <v>0.95</v>
      </c>
      <c r="AA809" t="inlineStr">
        <is>
          <t>Valid</t>
        </is>
      </c>
    </row>
    <row r="810">
      <c r="A810" t="inlineStr">
        <is>
          <t>SUP-0081</t>
        </is>
      </c>
      <c r="B810" t="inlineStr">
        <is>
          <t>Textiles Supplier 081</t>
        </is>
      </c>
      <c r="C810" t="inlineStr">
        <is>
          <t>Textiles</t>
        </is>
      </c>
      <c r="D810" t="n">
        <v>2023</v>
      </c>
      <c r="E810" t="n">
        <v>38929412.69</v>
      </c>
      <c r="F810" t="n">
        <v>246855063.89</v>
      </c>
      <c r="G810" t="n">
        <v>7229.866</v>
      </c>
      <c r="H810" t="n">
        <v>1235.0138</v>
      </c>
      <c r="I810" t="n">
        <v>730.9394</v>
      </c>
      <c r="J810" t="n">
        <v>5164.8762</v>
      </c>
      <c r="K810" t="inlineStr"/>
      <c r="L810" t="inlineStr"/>
      <c r="M810" t="inlineStr"/>
      <c r="N810" t="inlineStr"/>
      <c r="O810" t="n">
        <v>2019</v>
      </c>
      <c r="P810" t="n">
        <v>2030</v>
      </c>
      <c r="Q810" t="n">
        <v>0.3171</v>
      </c>
      <c r="R810" t="n">
        <v>401.7335</v>
      </c>
      <c r="S810" t="n">
        <v>0.00029221</v>
      </c>
      <c r="T810" t="n">
        <v>0.00017343</v>
      </c>
      <c r="U810" t="n">
        <v>7229.866</v>
      </c>
      <c r="V810" t="inlineStr">
        <is>
          <t>Supplier Reported Emissions</t>
        </is>
      </c>
      <c r="W810" t="b">
        <v>0</v>
      </c>
      <c r="X810" t="inlineStr">
        <is>
          <t>High</t>
        </is>
      </c>
      <c r="Y810" t="inlineStr">
        <is>
          <t>None</t>
        </is>
      </c>
      <c r="Z810" t="n">
        <v>0.95</v>
      </c>
      <c r="AA810" t="inlineStr">
        <is>
          <t>Valid</t>
        </is>
      </c>
    </row>
    <row r="811">
      <c r="A811" t="inlineStr">
        <is>
          <t>SUP-0081</t>
        </is>
      </c>
      <c r="B811" t="inlineStr">
        <is>
          <t>Textiles Supplier 081</t>
        </is>
      </c>
      <c r="C811" t="inlineStr">
        <is>
          <t>Textiles</t>
        </is>
      </c>
      <c r="D811" t="n">
        <v>2024</v>
      </c>
      <c r="E811" t="n">
        <v>43956534.22</v>
      </c>
      <c r="F811" t="n">
        <v>359245885.22</v>
      </c>
      <c r="G811" t="n">
        <v>11296.2797</v>
      </c>
      <c r="H811" t="n">
        <v>2190.8976</v>
      </c>
      <c r="I811" t="n">
        <v>2408.1676</v>
      </c>
      <c r="J811" t="n">
        <v>6408.7793</v>
      </c>
      <c r="K811" t="inlineStr"/>
      <c r="L811" t="inlineStr"/>
      <c r="M811" t="inlineStr"/>
      <c r="N811" t="inlineStr"/>
      <c r="O811" t="n">
        <v>2019</v>
      </c>
      <c r="P811" t="n">
        <v>2030</v>
      </c>
      <c r="Q811" t="n">
        <v>0.3171</v>
      </c>
      <c r="R811" t="n">
        <v>401.7335</v>
      </c>
      <c r="S811" t="n">
        <v>0.00029221</v>
      </c>
      <c r="T811" t="n">
        <v>0.00017343</v>
      </c>
      <c r="U811" t="n">
        <v>11296.2797</v>
      </c>
      <c r="V811" t="inlineStr">
        <is>
          <t>Supplier Reported Emissions</t>
        </is>
      </c>
      <c r="W811" t="b">
        <v>0</v>
      </c>
      <c r="X811" t="inlineStr">
        <is>
          <t>High</t>
        </is>
      </c>
      <c r="Y811" t="inlineStr">
        <is>
          <t>None</t>
        </is>
      </c>
      <c r="Z811" t="n">
        <v>0.95</v>
      </c>
      <c r="AA811" t="inlineStr">
        <is>
          <t>Valid</t>
        </is>
      </c>
    </row>
    <row r="812">
      <c r="A812" t="inlineStr">
        <is>
          <t>SUP-0082</t>
        </is>
      </c>
      <c r="B812" t="inlineStr">
        <is>
          <t>Packaging Supplier 082</t>
        </is>
      </c>
      <c r="C812" t="inlineStr">
        <is>
          <t>Packaging</t>
        </is>
      </c>
      <c r="D812" t="n">
        <v>2015</v>
      </c>
      <c r="E812" t="n">
        <v>16657034.32</v>
      </c>
      <c r="F812" t="n">
        <v>112700029.02</v>
      </c>
      <c r="G812" t="inlineStr"/>
      <c r="H812" t="n">
        <v>3439.6041</v>
      </c>
      <c r="I812" t="n">
        <v>2608.4257</v>
      </c>
      <c r="J812" t="n">
        <v>7429.8779</v>
      </c>
      <c r="K812" t="n">
        <v>2018</v>
      </c>
      <c r="L812" t="n">
        <v>2030</v>
      </c>
      <c r="M812" t="n">
        <v>0.3671</v>
      </c>
      <c r="N812" t="n">
        <v>0.1475</v>
      </c>
      <c r="O812" t="n">
        <v>2018</v>
      </c>
      <c r="P812" t="n">
        <v>2040</v>
      </c>
      <c r="Q812" t="n">
        <v>0.3112</v>
      </c>
      <c r="R812" t="n">
        <v>702.4188</v>
      </c>
      <c r="S812" t="n">
        <v>0.0010803</v>
      </c>
      <c r="T812" t="n">
        <v>0.00078946</v>
      </c>
      <c r="U812" t="n">
        <v>13477.9077</v>
      </c>
      <c r="V812" t="inlineStr">
        <is>
          <t>Scope 1 + Scope 2 + Scope 3</t>
        </is>
      </c>
      <c r="W812" t="b">
        <v>1</v>
      </c>
      <c r="X812" t="inlineStr">
        <is>
          <t>High</t>
        </is>
      </c>
      <c r="Y812" t="inlineStr">
        <is>
          <t>Reported_Emissions</t>
        </is>
      </c>
      <c r="Z812" t="n">
        <v>0.88</v>
      </c>
      <c r="AA812" t="inlineStr">
        <is>
          <t>Valid</t>
        </is>
      </c>
    </row>
    <row r="813">
      <c r="A813" t="inlineStr">
        <is>
          <t>SUP-0082</t>
        </is>
      </c>
      <c r="B813" t="inlineStr">
        <is>
          <t>Packaging Supplier 082</t>
        </is>
      </c>
      <c r="C813" t="inlineStr">
        <is>
          <t>Packaging</t>
        </is>
      </c>
      <c r="D813" t="n">
        <v>2016</v>
      </c>
      <c r="E813" t="n">
        <v>16499741.15</v>
      </c>
      <c r="F813" t="n">
        <v>139243835.14</v>
      </c>
      <c r="G813" t="n">
        <v>14140.9274</v>
      </c>
      <c r="H813" t="n">
        <v>1745.9824</v>
      </c>
      <c r="I813" t="n">
        <v>1911.1944</v>
      </c>
      <c r="J813" t="n">
        <v>10810.0496</v>
      </c>
      <c r="K813" t="n">
        <v>2018</v>
      </c>
      <c r="L813" t="n">
        <v>2030</v>
      </c>
      <c r="M813" t="n">
        <v>0.3671</v>
      </c>
      <c r="N813" t="n">
        <v>0.1475</v>
      </c>
      <c r="O813" t="n">
        <v>2018</v>
      </c>
      <c r="P813" t="n">
        <v>2040</v>
      </c>
      <c r="Q813" t="n">
        <v>0.3112</v>
      </c>
      <c r="R813" t="n">
        <v>702.4188</v>
      </c>
      <c r="S813" t="n">
        <v>0.0010803</v>
      </c>
      <c r="T813" t="n">
        <v>0.00078946</v>
      </c>
      <c r="U813" t="n">
        <v>14140.9274</v>
      </c>
      <c r="V813" t="inlineStr">
        <is>
          <t>Supplier Reported Emissions</t>
        </is>
      </c>
      <c r="W813" t="b">
        <v>0</v>
      </c>
      <c r="X813" t="inlineStr">
        <is>
          <t>High</t>
        </is>
      </c>
      <c r="Y813" t="inlineStr">
        <is>
          <t>None</t>
        </is>
      </c>
      <c r="Z813" t="n">
        <v>0.95</v>
      </c>
      <c r="AA813" t="inlineStr">
        <is>
          <t>Valid</t>
        </is>
      </c>
    </row>
    <row r="814">
      <c r="A814" t="inlineStr">
        <is>
          <t>SUP-0082</t>
        </is>
      </c>
      <c r="B814" t="inlineStr">
        <is>
          <t>Packaging Supplier 082</t>
        </is>
      </c>
      <c r="C814" t="inlineStr">
        <is>
          <t>Packaging</t>
        </is>
      </c>
      <c r="D814" t="n">
        <v>2017</v>
      </c>
      <c r="E814" t="n">
        <v>18011471.73</v>
      </c>
      <c r="F814" t="n">
        <v>99705476.34</v>
      </c>
      <c r="G814" t="n">
        <v>15256.566</v>
      </c>
      <c r="H814" t="n">
        <v>3654.9152</v>
      </c>
      <c r="I814" t="n">
        <v>3284.0272</v>
      </c>
      <c r="J814" t="n">
        <v>9368.537399999999</v>
      </c>
      <c r="K814" t="n">
        <v>2018</v>
      </c>
      <c r="L814" t="n">
        <v>2030</v>
      </c>
      <c r="M814" t="n">
        <v>0.3671</v>
      </c>
      <c r="N814" t="n">
        <v>0.1475</v>
      </c>
      <c r="O814" t="n">
        <v>2018</v>
      </c>
      <c r="P814" t="n">
        <v>2040</v>
      </c>
      <c r="Q814" t="n">
        <v>0.3112</v>
      </c>
      <c r="R814" t="n">
        <v>702.4188</v>
      </c>
      <c r="S814" t="n">
        <v>0.0010803</v>
      </c>
      <c r="T814" t="n">
        <v>0.00078946</v>
      </c>
      <c r="U814" t="n">
        <v>15256.566</v>
      </c>
      <c r="V814" t="inlineStr">
        <is>
          <t>Supplier Reported Emissions</t>
        </is>
      </c>
      <c r="W814" t="b">
        <v>0</v>
      </c>
      <c r="X814" t="inlineStr">
        <is>
          <t>High</t>
        </is>
      </c>
      <c r="Y814" t="inlineStr">
        <is>
          <t>None</t>
        </is>
      </c>
      <c r="Z814" t="n">
        <v>0.95</v>
      </c>
      <c r="AA814" t="inlineStr">
        <is>
          <t>Valid</t>
        </is>
      </c>
    </row>
    <row r="815">
      <c r="A815" t="inlineStr">
        <is>
          <t>SUP-0082</t>
        </is>
      </c>
      <c r="B815" t="inlineStr">
        <is>
          <t>Packaging Supplier 082</t>
        </is>
      </c>
      <c r="C815" t="inlineStr">
        <is>
          <t>Packaging</t>
        </is>
      </c>
      <c r="D815" t="n">
        <v>2018</v>
      </c>
      <c r="E815" t="n">
        <v>18679406.58</v>
      </c>
      <c r="F815" t="inlineStr"/>
      <c r="G815" t="n">
        <v>13079.7866</v>
      </c>
      <c r="H815" t="n">
        <v>1176.375</v>
      </c>
      <c r="I815" t="n">
        <v>1228.6902</v>
      </c>
      <c r="J815" t="n">
        <v>10438.6735</v>
      </c>
      <c r="K815" t="n">
        <v>2018</v>
      </c>
      <c r="L815" t="n">
        <v>2030</v>
      </c>
      <c r="M815" t="n">
        <v>0.3671</v>
      </c>
      <c r="N815" t="n">
        <v>0.1475</v>
      </c>
      <c r="O815" t="n">
        <v>2018</v>
      </c>
      <c r="P815" t="n">
        <v>2040</v>
      </c>
      <c r="Q815" t="n">
        <v>0.3112</v>
      </c>
      <c r="R815" t="n">
        <v>702.4188</v>
      </c>
      <c r="S815" t="n">
        <v>0.0010803</v>
      </c>
      <c r="T815" t="n">
        <v>0.00078946</v>
      </c>
      <c r="U815" t="n">
        <v>13079.7866</v>
      </c>
      <c r="V815" t="inlineStr">
        <is>
          <t>Supplier Reported Emissions</t>
        </is>
      </c>
      <c r="W815" t="b">
        <v>0</v>
      </c>
      <c r="X815" t="inlineStr">
        <is>
          <t>High</t>
        </is>
      </c>
      <c r="Y815" t="inlineStr">
        <is>
          <t>Revenue</t>
        </is>
      </c>
      <c r="Z815" t="n">
        <v>0.95</v>
      </c>
      <c r="AA815" t="inlineStr">
        <is>
          <t>Valid</t>
        </is>
      </c>
    </row>
    <row r="816">
      <c r="A816" t="inlineStr">
        <is>
          <t>SUP-0082</t>
        </is>
      </c>
      <c r="B816" t="inlineStr">
        <is>
          <t>Packaging Supplier 082</t>
        </is>
      </c>
      <c r="C816" t="inlineStr">
        <is>
          <t>Packaging</t>
        </is>
      </c>
      <c r="D816" t="n">
        <v>2019</v>
      </c>
      <c r="E816" t="n">
        <v>19868951.02</v>
      </c>
      <c r="F816" t="n">
        <v>144401795.46</v>
      </c>
      <c r="G816" t="n">
        <v>14052.513</v>
      </c>
      <c r="H816" t="n">
        <v>2700.4235</v>
      </c>
      <c r="I816" t="n">
        <v>3630.7723</v>
      </c>
      <c r="J816" t="inlineStr"/>
      <c r="K816" t="n">
        <v>2018</v>
      </c>
      <c r="L816" t="n">
        <v>2030</v>
      </c>
      <c r="M816" t="n">
        <v>0.3671</v>
      </c>
      <c r="N816" t="n">
        <v>0.1475</v>
      </c>
      <c r="O816" t="n">
        <v>2018</v>
      </c>
      <c r="P816" t="n">
        <v>2040</v>
      </c>
      <c r="Q816" t="n">
        <v>0.3112</v>
      </c>
      <c r="R816" t="n">
        <v>702.4188</v>
      </c>
      <c r="S816" t="n">
        <v>0.0010803</v>
      </c>
      <c r="T816" t="n">
        <v>0.00078946</v>
      </c>
      <c r="U816" t="n">
        <v>14052.513</v>
      </c>
      <c r="V816" t="inlineStr">
        <is>
          <t>Supplier Reported Emissions</t>
        </is>
      </c>
      <c r="W816" t="b">
        <v>0</v>
      </c>
      <c r="X816" t="inlineStr">
        <is>
          <t>High</t>
        </is>
      </c>
      <c r="Y816" t="inlineStr">
        <is>
          <t>Scope_Emissions</t>
        </is>
      </c>
      <c r="Z816" t="n">
        <v>0.95</v>
      </c>
      <c r="AA816" t="inlineStr">
        <is>
          <t>Valid</t>
        </is>
      </c>
    </row>
    <row r="817">
      <c r="A817" t="inlineStr">
        <is>
          <t>SUP-0082</t>
        </is>
      </c>
      <c r="B817" t="inlineStr">
        <is>
          <t>Packaging Supplier 082</t>
        </is>
      </c>
      <c r="C817" t="inlineStr">
        <is>
          <t>Packaging</t>
        </is>
      </c>
      <c r="D817" t="n">
        <v>2020</v>
      </c>
      <c r="E817" t="n">
        <v>16414298.71</v>
      </c>
      <c r="F817" t="n">
        <v>138387582.55</v>
      </c>
      <c r="G817" t="n">
        <v>10947.855</v>
      </c>
      <c r="H817" t="n">
        <v>1114.7129</v>
      </c>
      <c r="I817" t="inlineStr"/>
      <c r="J817" t="n">
        <v>10055.2281</v>
      </c>
      <c r="K817" t="n">
        <v>2018</v>
      </c>
      <c r="L817" t="n">
        <v>2030</v>
      </c>
      <c r="M817" t="n">
        <v>0.3671</v>
      </c>
      <c r="N817" t="n">
        <v>0.1475</v>
      </c>
      <c r="O817" t="n">
        <v>2018</v>
      </c>
      <c r="P817" t="n">
        <v>2040</v>
      </c>
      <c r="Q817" t="n">
        <v>0.3112</v>
      </c>
      <c r="R817" t="n">
        <v>702.4188</v>
      </c>
      <c r="S817" t="n">
        <v>0.0010803</v>
      </c>
      <c r="T817" t="n">
        <v>0.00078946</v>
      </c>
      <c r="U817" t="n">
        <v>10947.855</v>
      </c>
      <c r="V817" t="inlineStr">
        <is>
          <t>Supplier Reported Emissions</t>
        </is>
      </c>
      <c r="W817" t="b">
        <v>0</v>
      </c>
      <c r="X817" t="inlineStr">
        <is>
          <t>High</t>
        </is>
      </c>
      <c r="Y817" t="inlineStr">
        <is>
          <t>Scope_Emissions</t>
        </is>
      </c>
      <c r="Z817" t="n">
        <v>0.95</v>
      </c>
      <c r="AA817" t="inlineStr">
        <is>
          <t>Valid</t>
        </is>
      </c>
    </row>
    <row r="818">
      <c r="A818" t="inlineStr">
        <is>
          <t>SUP-0082</t>
        </is>
      </c>
      <c r="B818" t="inlineStr">
        <is>
          <t>Packaging Supplier 082</t>
        </is>
      </c>
      <c r="C818" t="inlineStr">
        <is>
          <t>Packaging</t>
        </is>
      </c>
      <c r="D818" t="n">
        <v>2021</v>
      </c>
      <c r="E818" t="n">
        <v>18854732.03</v>
      </c>
      <c r="F818" t="n">
        <v>164602893.14</v>
      </c>
      <c r="G818" t="inlineStr"/>
      <c r="H818" t="inlineStr"/>
      <c r="I818" t="n">
        <v>1913.2617</v>
      </c>
      <c r="J818" t="n">
        <v>11173.1739</v>
      </c>
      <c r="K818" t="n">
        <v>2018</v>
      </c>
      <c r="L818" t="n">
        <v>2030</v>
      </c>
      <c r="M818" t="n">
        <v>0.3671</v>
      </c>
      <c r="N818" t="n">
        <v>0.1475</v>
      </c>
      <c r="O818" t="n">
        <v>2018</v>
      </c>
      <c r="P818" t="n">
        <v>2040</v>
      </c>
      <c r="Q818" t="n">
        <v>0.3112</v>
      </c>
      <c r="R818" t="n">
        <v>702.4188</v>
      </c>
      <c r="S818" t="n">
        <v>0.0010803</v>
      </c>
      <c r="T818" t="n">
        <v>0.00078946</v>
      </c>
      <c r="U818" t="n">
        <v>20368.767</v>
      </c>
      <c r="V818" t="inlineStr">
        <is>
          <t>Spend-Based Estimate</t>
        </is>
      </c>
      <c r="W818" t="b">
        <v>1</v>
      </c>
      <c r="X818" t="inlineStr">
        <is>
          <t>Medium</t>
        </is>
      </c>
      <c r="Y818" t="inlineStr">
        <is>
          <t>Reported_Emissions; Scope_Emissions</t>
        </is>
      </c>
      <c r="Z818" t="n">
        <v>0.7</v>
      </c>
      <c r="AA818" t="inlineStr">
        <is>
          <t>Valid</t>
        </is>
      </c>
    </row>
    <row r="819">
      <c r="A819" t="inlineStr">
        <is>
          <t>SUP-0082</t>
        </is>
      </c>
      <c r="B819" t="inlineStr">
        <is>
          <t>Packaging Supplier 082</t>
        </is>
      </c>
      <c r="C819" t="inlineStr">
        <is>
          <t>Packaging</t>
        </is>
      </c>
      <c r="D819" t="n">
        <v>2022</v>
      </c>
      <c r="E819" t="n">
        <v>19919539.37</v>
      </c>
      <c r="F819" t="n">
        <v>134862547.17</v>
      </c>
      <c r="G819" t="n">
        <v>12474.4186</v>
      </c>
      <c r="H819" t="n">
        <v>3162.6073</v>
      </c>
      <c r="I819" t="n">
        <v>2725.879</v>
      </c>
      <c r="J819" t="inlineStr"/>
      <c r="K819" t="n">
        <v>2018</v>
      </c>
      <c r="L819" t="n">
        <v>2030</v>
      </c>
      <c r="M819" t="n">
        <v>0.3671</v>
      </c>
      <c r="N819" t="n">
        <v>0.1475</v>
      </c>
      <c r="O819" t="n">
        <v>2018</v>
      </c>
      <c r="P819" t="n">
        <v>2040</v>
      </c>
      <c r="Q819" t="n">
        <v>0.3112</v>
      </c>
      <c r="R819" t="n">
        <v>702.4188</v>
      </c>
      <c r="S819" t="n">
        <v>0.0010803</v>
      </c>
      <c r="T819" t="n">
        <v>0.00078946</v>
      </c>
      <c r="U819" t="n">
        <v>12474.4186</v>
      </c>
      <c r="V819" t="inlineStr">
        <is>
          <t>Supplier Reported Emissions</t>
        </is>
      </c>
      <c r="W819" t="b">
        <v>0</v>
      </c>
      <c r="X819" t="inlineStr">
        <is>
          <t>High</t>
        </is>
      </c>
      <c r="Y819" t="inlineStr">
        <is>
          <t>Scope_Emissions</t>
        </is>
      </c>
      <c r="Z819" t="n">
        <v>0.95</v>
      </c>
      <c r="AA819" t="inlineStr">
        <is>
          <t>Valid</t>
        </is>
      </c>
    </row>
    <row r="820">
      <c r="A820" t="inlineStr">
        <is>
          <t>SUP-0082</t>
        </is>
      </c>
      <c r="B820" t="inlineStr">
        <is>
          <t>Packaging Supplier 082</t>
        </is>
      </c>
      <c r="C820" t="inlineStr">
        <is>
          <t>Packaging</t>
        </is>
      </c>
      <c r="D820" t="n">
        <v>2023</v>
      </c>
      <c r="E820" t="n">
        <v>20194591.77</v>
      </c>
      <c r="F820" t="n">
        <v>153560873.04</v>
      </c>
      <c r="G820" t="inlineStr"/>
      <c r="H820" t="n">
        <v>1608.8729</v>
      </c>
      <c r="I820" t="inlineStr"/>
      <c r="J820" t="n">
        <v>7651.6628</v>
      </c>
      <c r="K820" t="n">
        <v>2018</v>
      </c>
      <c r="L820" t="n">
        <v>2030</v>
      </c>
      <c r="M820" t="n">
        <v>0.3671</v>
      </c>
      <c r="N820" t="n">
        <v>0.1475</v>
      </c>
      <c r="O820" t="n">
        <v>2018</v>
      </c>
      <c r="P820" t="n">
        <v>2040</v>
      </c>
      <c r="Q820" t="n">
        <v>0.3112</v>
      </c>
      <c r="R820" t="n">
        <v>702.4188</v>
      </c>
      <c r="S820" t="n">
        <v>0.0010803</v>
      </c>
      <c r="T820" t="n">
        <v>0.00078946</v>
      </c>
      <c r="U820" t="n">
        <v>21816.2175</v>
      </c>
      <c r="V820" t="inlineStr">
        <is>
          <t>Spend-Based Estimate</t>
        </is>
      </c>
      <c r="W820" t="b">
        <v>1</v>
      </c>
      <c r="X820" t="inlineStr">
        <is>
          <t>Medium</t>
        </is>
      </c>
      <c r="Y820" t="inlineStr">
        <is>
          <t>Reported_Emissions; Scope_Emissions</t>
        </is>
      </c>
      <c r="Z820" t="n">
        <v>0.7</v>
      </c>
      <c r="AA820" t="inlineStr">
        <is>
          <t>Valid</t>
        </is>
      </c>
    </row>
    <row r="821">
      <c r="A821" t="inlineStr">
        <is>
          <t>SUP-0082</t>
        </is>
      </c>
      <c r="B821" t="inlineStr">
        <is>
          <t>Packaging Supplier 082</t>
        </is>
      </c>
      <c r="C821" t="inlineStr">
        <is>
          <t>Packaging</t>
        </is>
      </c>
      <c r="D821" t="n">
        <v>2024</v>
      </c>
      <c r="E821" t="n">
        <v>19662671.02</v>
      </c>
      <c r="F821" t="n">
        <v>127700101.15</v>
      </c>
      <c r="G821" t="n">
        <v>11257.113</v>
      </c>
      <c r="H821" t="n">
        <v>1499.2803</v>
      </c>
      <c r="I821" t="n">
        <v>2545.6284</v>
      </c>
      <c r="J821" t="inlineStr"/>
      <c r="K821" t="n">
        <v>2018</v>
      </c>
      <c r="L821" t="n">
        <v>2030</v>
      </c>
      <c r="M821" t="n">
        <v>0.3671</v>
      </c>
      <c r="N821" t="n">
        <v>0.1475</v>
      </c>
      <c r="O821" t="n">
        <v>2018</v>
      </c>
      <c r="P821" t="n">
        <v>2040</v>
      </c>
      <c r="Q821" t="n">
        <v>0.3112</v>
      </c>
      <c r="R821" t="n">
        <v>702.4188</v>
      </c>
      <c r="S821" t="n">
        <v>0.0010803</v>
      </c>
      <c r="T821" t="n">
        <v>0.00078946</v>
      </c>
      <c r="U821" t="n">
        <v>11257.113</v>
      </c>
      <c r="V821" t="inlineStr">
        <is>
          <t>Supplier Reported Emissions</t>
        </is>
      </c>
      <c r="W821" t="b">
        <v>0</v>
      </c>
      <c r="X821" t="inlineStr">
        <is>
          <t>High</t>
        </is>
      </c>
      <c r="Y821" t="inlineStr">
        <is>
          <t>Scope_Emissions</t>
        </is>
      </c>
      <c r="Z821" t="n">
        <v>0.95</v>
      </c>
      <c r="AA821" t="inlineStr">
        <is>
          <t>Valid</t>
        </is>
      </c>
    </row>
    <row r="822">
      <c r="A822" t="inlineStr">
        <is>
          <t>SUP-0083</t>
        </is>
      </c>
      <c r="B822" t="inlineStr">
        <is>
          <t>Logistics Supplier 083</t>
        </is>
      </c>
      <c r="C822" t="inlineStr">
        <is>
          <t>Logistics</t>
        </is>
      </c>
      <c r="D822" t="n">
        <v>2015</v>
      </c>
      <c r="E822" t="n">
        <v>17179321.2</v>
      </c>
      <c r="F822" t="n">
        <v>73957368.29000001</v>
      </c>
      <c r="G822" t="inlineStr"/>
      <c r="H822" t="inlineStr"/>
      <c r="I822" t="inlineStr"/>
      <c r="J822" t="n">
        <v>2412.3788</v>
      </c>
      <c r="K822" t="inlineStr"/>
      <c r="L822" t="inlineStr"/>
      <c r="M822" t="inlineStr"/>
      <c r="N822" t="inlineStr"/>
      <c r="O822" t="n">
        <v>2019</v>
      </c>
      <c r="P822" t="n">
        <v>2040</v>
      </c>
      <c r="Q822" t="n">
        <v>0.4616</v>
      </c>
      <c r="R822" t="n">
        <v>591.6386</v>
      </c>
      <c r="S822" t="n">
        <v>0.00022349</v>
      </c>
      <c r="T822" t="n">
        <v>0.00047787</v>
      </c>
      <c r="U822" t="n">
        <v>3839.4065</v>
      </c>
      <c r="V822" t="inlineStr">
        <is>
          <t>Spend-Based Estimate</t>
        </is>
      </c>
      <c r="W822" t="b">
        <v>1</v>
      </c>
      <c r="X822" t="inlineStr">
        <is>
          <t>Medium</t>
        </is>
      </c>
      <c r="Y822" t="inlineStr">
        <is>
          <t>Reported_Emissions; Scope_Emissions</t>
        </is>
      </c>
      <c r="Z822" t="n">
        <v>0.7</v>
      </c>
      <c r="AA822" t="inlineStr">
        <is>
          <t>Valid</t>
        </is>
      </c>
    </row>
    <row r="823">
      <c r="A823" t="inlineStr">
        <is>
          <t>SUP-0083</t>
        </is>
      </c>
      <c r="B823" t="inlineStr">
        <is>
          <t>Logistics Supplier 083</t>
        </is>
      </c>
      <c r="C823" t="inlineStr">
        <is>
          <t>Logistics</t>
        </is>
      </c>
      <c r="D823" t="n">
        <v>2016</v>
      </c>
      <c r="E823" t="n">
        <v>15082523.34</v>
      </c>
      <c r="F823" t="n">
        <v>82432110.38</v>
      </c>
      <c r="G823" t="n">
        <v>3958.0919</v>
      </c>
      <c r="H823" t="inlineStr"/>
      <c r="I823" t="n">
        <v>436.6428</v>
      </c>
      <c r="J823" t="n">
        <v>2748.2779</v>
      </c>
      <c r="K823" t="inlineStr"/>
      <c r="L823" t="inlineStr"/>
      <c r="M823" t="inlineStr"/>
      <c r="N823" t="inlineStr"/>
      <c r="O823" t="n">
        <v>2019</v>
      </c>
      <c r="P823" t="n">
        <v>2040</v>
      </c>
      <c r="Q823" t="n">
        <v>0.4616</v>
      </c>
      <c r="R823" t="n">
        <v>591.6386</v>
      </c>
      <c r="S823" t="n">
        <v>0.00022349</v>
      </c>
      <c r="T823" t="n">
        <v>0.00047787</v>
      </c>
      <c r="U823" t="n">
        <v>3958.0919</v>
      </c>
      <c r="V823" t="inlineStr">
        <is>
          <t>Supplier Reported Emissions</t>
        </is>
      </c>
      <c r="W823" t="b">
        <v>0</v>
      </c>
      <c r="X823" t="inlineStr">
        <is>
          <t>High</t>
        </is>
      </c>
      <c r="Y823" t="inlineStr">
        <is>
          <t>Scope_Emissions</t>
        </is>
      </c>
      <c r="Z823" t="n">
        <v>0.95</v>
      </c>
      <c r="AA823" t="inlineStr">
        <is>
          <t>Valid</t>
        </is>
      </c>
    </row>
    <row r="824">
      <c r="A824" t="inlineStr">
        <is>
          <t>SUP-0083</t>
        </is>
      </c>
      <c r="B824" t="inlineStr">
        <is>
          <t>Logistics Supplier 083</t>
        </is>
      </c>
      <c r="C824" t="inlineStr">
        <is>
          <t>Logistics</t>
        </is>
      </c>
      <c r="D824" t="n">
        <v>2017</v>
      </c>
      <c r="E824" t="n">
        <v>16692946.92</v>
      </c>
      <c r="F824" t="n">
        <v>92691911.64</v>
      </c>
      <c r="G824" t="n">
        <v>3769.006</v>
      </c>
      <c r="H824" t="n">
        <v>651.6865</v>
      </c>
      <c r="I824" t="n">
        <v>332.7409</v>
      </c>
      <c r="J824" t="n">
        <v>2885.2621</v>
      </c>
      <c r="K824" t="inlineStr"/>
      <c r="L824" t="inlineStr"/>
      <c r="M824" t="inlineStr"/>
      <c r="N824" t="inlineStr"/>
      <c r="O824" t="n">
        <v>2019</v>
      </c>
      <c r="P824" t="n">
        <v>2040</v>
      </c>
      <c r="Q824" t="n">
        <v>0.4616</v>
      </c>
      <c r="R824" t="n">
        <v>591.6386</v>
      </c>
      <c r="S824" t="n">
        <v>0.00022349</v>
      </c>
      <c r="T824" t="n">
        <v>0.00047787</v>
      </c>
      <c r="U824" t="n">
        <v>3769.006</v>
      </c>
      <c r="V824" t="inlineStr">
        <is>
          <t>Supplier Reported Emissions</t>
        </is>
      </c>
      <c r="W824" t="b">
        <v>0</v>
      </c>
      <c r="X824" t="inlineStr">
        <is>
          <t>High</t>
        </is>
      </c>
      <c r="Y824" t="inlineStr">
        <is>
          <t>None</t>
        </is>
      </c>
      <c r="Z824" t="n">
        <v>0.95</v>
      </c>
      <c r="AA824" t="inlineStr">
        <is>
          <t>Valid</t>
        </is>
      </c>
    </row>
    <row r="825">
      <c r="A825" t="inlineStr">
        <is>
          <t>SUP-0083</t>
        </is>
      </c>
      <c r="B825" t="inlineStr">
        <is>
          <t>Logistics Supplier 083</t>
        </is>
      </c>
      <c r="C825" t="inlineStr">
        <is>
          <t>Logistics</t>
        </is>
      </c>
      <c r="D825" t="n">
        <v>2018</v>
      </c>
      <c r="E825" t="n">
        <v>17204155.17</v>
      </c>
      <c r="F825" t="n">
        <v>116285925.47</v>
      </c>
      <c r="G825" t="n">
        <v>3884.6537</v>
      </c>
      <c r="H825" t="n">
        <v>691.5873</v>
      </c>
      <c r="I825" t="inlineStr"/>
      <c r="J825" t="inlineStr"/>
      <c r="K825" t="inlineStr"/>
      <c r="L825" t="inlineStr"/>
      <c r="M825" t="inlineStr"/>
      <c r="N825" t="inlineStr"/>
      <c r="O825" t="n">
        <v>2019</v>
      </c>
      <c r="P825" t="n">
        <v>2040</v>
      </c>
      <c r="Q825" t="n">
        <v>0.4616</v>
      </c>
      <c r="R825" t="n">
        <v>591.6386</v>
      </c>
      <c r="S825" t="n">
        <v>0.00022349</v>
      </c>
      <c r="T825" t="n">
        <v>0.00047787</v>
      </c>
      <c r="U825" t="n">
        <v>3884.6537</v>
      </c>
      <c r="V825" t="inlineStr">
        <is>
          <t>Supplier Reported Emissions</t>
        </is>
      </c>
      <c r="W825" t="b">
        <v>0</v>
      </c>
      <c r="X825" t="inlineStr">
        <is>
          <t>High</t>
        </is>
      </c>
      <c r="Y825" t="inlineStr">
        <is>
          <t>Scope_Emissions</t>
        </is>
      </c>
      <c r="Z825" t="n">
        <v>0.95</v>
      </c>
      <c r="AA825" t="inlineStr">
        <is>
          <t>Valid</t>
        </is>
      </c>
    </row>
    <row r="826">
      <c r="A826" t="inlineStr">
        <is>
          <t>SUP-0083</t>
        </is>
      </c>
      <c r="B826" t="inlineStr">
        <is>
          <t>Logistics Supplier 083</t>
        </is>
      </c>
      <c r="C826" t="inlineStr">
        <is>
          <t>Logistics</t>
        </is>
      </c>
      <c r="D826" t="n">
        <v>2019</v>
      </c>
      <c r="E826" t="n">
        <v>16891709.77</v>
      </c>
      <c r="F826" t="n">
        <v>94985563.19</v>
      </c>
      <c r="G826" t="inlineStr"/>
      <c r="H826" t="n">
        <v>512.0709000000001</v>
      </c>
      <c r="I826" t="n">
        <v>403.5178</v>
      </c>
      <c r="J826" t="inlineStr"/>
      <c r="K826" t="inlineStr"/>
      <c r="L826" t="inlineStr"/>
      <c r="M826" t="inlineStr"/>
      <c r="N826" t="inlineStr"/>
      <c r="O826" t="n">
        <v>2019</v>
      </c>
      <c r="P826" t="n">
        <v>2040</v>
      </c>
      <c r="Q826" t="n">
        <v>0.4616</v>
      </c>
      <c r="R826" t="n">
        <v>591.6386</v>
      </c>
      <c r="S826" t="n">
        <v>0.00022349</v>
      </c>
      <c r="T826" t="n">
        <v>0.00047787</v>
      </c>
      <c r="U826" t="n">
        <v>3775.1282</v>
      </c>
      <c r="V826" t="inlineStr">
        <is>
          <t>Spend-Based Estimate</t>
        </is>
      </c>
      <c r="W826" t="b">
        <v>1</v>
      </c>
      <c r="X826" t="inlineStr">
        <is>
          <t>Medium</t>
        </is>
      </c>
      <c r="Y826" t="inlineStr">
        <is>
          <t>Reported_Emissions; Scope_Emissions</t>
        </is>
      </c>
      <c r="Z826" t="n">
        <v>0.7</v>
      </c>
      <c r="AA826" t="inlineStr">
        <is>
          <t>Valid</t>
        </is>
      </c>
    </row>
    <row r="827">
      <c r="A827" t="inlineStr">
        <is>
          <t>SUP-0083</t>
        </is>
      </c>
      <c r="B827" t="inlineStr">
        <is>
          <t>Logistics Supplier 083</t>
        </is>
      </c>
      <c r="C827" t="inlineStr">
        <is>
          <t>Logistics</t>
        </is>
      </c>
      <c r="D827" t="n">
        <v>2020</v>
      </c>
      <c r="E827" t="n">
        <v>21290443.66</v>
      </c>
      <c r="F827" t="n">
        <v>112511920.18</v>
      </c>
      <c r="G827" t="n">
        <v>4768.041</v>
      </c>
      <c r="H827" t="inlineStr"/>
      <c r="I827" t="n">
        <v>534.0773</v>
      </c>
      <c r="J827" t="n">
        <v>3064.9603</v>
      </c>
      <c r="K827" t="inlineStr"/>
      <c r="L827" t="inlineStr"/>
      <c r="M827" t="inlineStr"/>
      <c r="N827" t="inlineStr"/>
      <c r="O827" t="n">
        <v>2019</v>
      </c>
      <c r="P827" t="n">
        <v>2040</v>
      </c>
      <c r="Q827" t="n">
        <v>0.4616</v>
      </c>
      <c r="R827" t="n">
        <v>591.6386</v>
      </c>
      <c r="S827" t="n">
        <v>0.00022349</v>
      </c>
      <c r="T827" t="n">
        <v>0.00047787</v>
      </c>
      <c r="U827" t="n">
        <v>4768.041</v>
      </c>
      <c r="V827" t="inlineStr">
        <is>
          <t>Supplier Reported Emissions</t>
        </is>
      </c>
      <c r="W827" t="b">
        <v>0</v>
      </c>
      <c r="X827" t="inlineStr">
        <is>
          <t>High</t>
        </is>
      </c>
      <c r="Y827" t="inlineStr">
        <is>
          <t>Scope_Emissions</t>
        </is>
      </c>
      <c r="Z827" t="n">
        <v>0.95</v>
      </c>
      <c r="AA827" t="inlineStr">
        <is>
          <t>Valid</t>
        </is>
      </c>
    </row>
    <row r="828">
      <c r="A828" t="inlineStr">
        <is>
          <t>SUP-0083</t>
        </is>
      </c>
      <c r="B828" t="inlineStr">
        <is>
          <t>Logistics Supplier 083</t>
        </is>
      </c>
      <c r="C828" t="inlineStr">
        <is>
          <t>Logistics</t>
        </is>
      </c>
      <c r="D828" t="n">
        <v>2021</v>
      </c>
      <c r="E828" t="n">
        <v>21810321.82</v>
      </c>
      <c r="F828" t="n">
        <v>89390783.65000001</v>
      </c>
      <c r="G828" t="n">
        <v>3768.3721</v>
      </c>
      <c r="H828" t="n">
        <v>986.5445</v>
      </c>
      <c r="I828" t="n">
        <v>352.6138</v>
      </c>
      <c r="J828" t="inlineStr"/>
      <c r="K828" t="inlineStr"/>
      <c r="L828" t="inlineStr"/>
      <c r="M828" t="inlineStr"/>
      <c r="N828" t="inlineStr"/>
      <c r="O828" t="n">
        <v>2019</v>
      </c>
      <c r="P828" t="n">
        <v>2040</v>
      </c>
      <c r="Q828" t="n">
        <v>0.4616</v>
      </c>
      <c r="R828" t="n">
        <v>591.6386</v>
      </c>
      <c r="S828" t="n">
        <v>0.00022349</v>
      </c>
      <c r="T828" t="n">
        <v>0.00047787</v>
      </c>
      <c r="U828" t="n">
        <v>3768.3721</v>
      </c>
      <c r="V828" t="inlineStr">
        <is>
          <t>Supplier Reported Emissions</t>
        </is>
      </c>
      <c r="W828" t="b">
        <v>0</v>
      </c>
      <c r="X828" t="inlineStr">
        <is>
          <t>High</t>
        </is>
      </c>
      <c r="Y828" t="inlineStr">
        <is>
          <t>Scope_Emissions</t>
        </is>
      </c>
      <c r="Z828" t="n">
        <v>0.95</v>
      </c>
      <c r="AA828" t="inlineStr">
        <is>
          <t>Valid</t>
        </is>
      </c>
    </row>
    <row r="829">
      <c r="A829" t="inlineStr">
        <is>
          <t>SUP-0083</t>
        </is>
      </c>
      <c r="B829" t="inlineStr">
        <is>
          <t>Logistics Supplier 083</t>
        </is>
      </c>
      <c r="C829" t="inlineStr">
        <is>
          <t>Logistics</t>
        </is>
      </c>
      <c r="D829" t="n">
        <v>2022</v>
      </c>
      <c r="E829" t="n">
        <v>25689465.83</v>
      </c>
      <c r="F829" t="n">
        <v>146350686.32</v>
      </c>
      <c r="G829" t="n">
        <v>3583.1958</v>
      </c>
      <c r="H829" t="n">
        <v>721.5671</v>
      </c>
      <c r="I829" t="n">
        <v>258.5652</v>
      </c>
      <c r="J829" t="n">
        <v>2294.2067</v>
      </c>
      <c r="K829" t="inlineStr"/>
      <c r="L829" t="inlineStr"/>
      <c r="M829" t="inlineStr"/>
      <c r="N829" t="inlineStr"/>
      <c r="O829" t="n">
        <v>2019</v>
      </c>
      <c r="P829" t="n">
        <v>2040</v>
      </c>
      <c r="Q829" t="n">
        <v>0.4616</v>
      </c>
      <c r="R829" t="n">
        <v>591.6386</v>
      </c>
      <c r="S829" t="n">
        <v>0.00022349</v>
      </c>
      <c r="T829" t="n">
        <v>0.00047787</v>
      </c>
      <c r="U829" t="n">
        <v>3583.1958</v>
      </c>
      <c r="V829" t="inlineStr">
        <is>
          <t>Supplier Reported Emissions</t>
        </is>
      </c>
      <c r="W829" t="b">
        <v>0</v>
      </c>
      <c r="X829" t="inlineStr">
        <is>
          <t>High</t>
        </is>
      </c>
      <c r="Y829" t="inlineStr">
        <is>
          <t>None</t>
        </is>
      </c>
      <c r="Z829" t="n">
        <v>0.95</v>
      </c>
      <c r="AA829" t="inlineStr">
        <is>
          <t>Valid</t>
        </is>
      </c>
    </row>
    <row r="830">
      <c r="A830" t="inlineStr">
        <is>
          <t>SUP-0083</t>
        </is>
      </c>
      <c r="B830" t="inlineStr">
        <is>
          <t>Logistics Supplier 083</t>
        </is>
      </c>
      <c r="C830" t="inlineStr">
        <is>
          <t>Logistics</t>
        </is>
      </c>
      <c r="D830" t="n">
        <v>2023</v>
      </c>
      <c r="E830" t="n">
        <v>20233321.14</v>
      </c>
      <c r="F830" t="n">
        <v>117166478.07</v>
      </c>
      <c r="G830" t="inlineStr"/>
      <c r="H830" t="n">
        <v>503.1997</v>
      </c>
      <c r="I830" t="n">
        <v>557.4312</v>
      </c>
      <c r="J830" t="inlineStr"/>
      <c r="K830" t="inlineStr"/>
      <c r="L830" t="inlineStr"/>
      <c r="M830" t="inlineStr"/>
      <c r="N830" t="inlineStr"/>
      <c r="O830" t="n">
        <v>2019</v>
      </c>
      <c r="P830" t="n">
        <v>2040</v>
      </c>
      <c r="Q830" t="n">
        <v>0.4616</v>
      </c>
      <c r="R830" t="n">
        <v>591.6386</v>
      </c>
      <c r="S830" t="n">
        <v>0.00022349</v>
      </c>
      <c r="T830" t="n">
        <v>0.00047787</v>
      </c>
      <c r="U830" t="n">
        <v>4521.9449</v>
      </c>
      <c r="V830" t="inlineStr">
        <is>
          <t>Spend-Based Estimate</t>
        </is>
      </c>
      <c r="W830" t="b">
        <v>1</v>
      </c>
      <c r="X830" t="inlineStr">
        <is>
          <t>Medium</t>
        </is>
      </c>
      <c r="Y830" t="inlineStr">
        <is>
          <t>Reported_Emissions; Scope_Emissions</t>
        </is>
      </c>
      <c r="Z830" t="n">
        <v>0.7</v>
      </c>
      <c r="AA830" t="inlineStr">
        <is>
          <t>Valid</t>
        </is>
      </c>
    </row>
    <row r="831">
      <c r="A831" t="inlineStr">
        <is>
          <t>SUP-0083</t>
        </is>
      </c>
      <c r="B831" t="inlineStr">
        <is>
          <t>Logistics Supplier 083</t>
        </is>
      </c>
      <c r="C831" t="inlineStr">
        <is>
          <t>Logistics</t>
        </is>
      </c>
      <c r="D831" t="n">
        <v>2024</v>
      </c>
      <c r="E831" t="n">
        <v>25887438.76</v>
      </c>
      <c r="F831" t="n">
        <v>104255540.52</v>
      </c>
      <c r="G831" t="n">
        <v>4022.9771</v>
      </c>
      <c r="H831" t="n">
        <v>347.7898</v>
      </c>
      <c r="I831" t="n">
        <v>519.3823</v>
      </c>
      <c r="J831" t="n">
        <v>3297.3892</v>
      </c>
      <c r="K831" t="inlineStr"/>
      <c r="L831" t="inlineStr"/>
      <c r="M831" t="inlineStr"/>
      <c r="N831" t="inlineStr"/>
      <c r="O831" t="n">
        <v>2019</v>
      </c>
      <c r="P831" t="n">
        <v>2040</v>
      </c>
      <c r="Q831" t="n">
        <v>0.4616</v>
      </c>
      <c r="R831" t="n">
        <v>591.6386</v>
      </c>
      <c r="S831" t="n">
        <v>0.00022349</v>
      </c>
      <c r="T831" t="n">
        <v>0.00047787</v>
      </c>
      <c r="U831" t="n">
        <v>4022.9771</v>
      </c>
      <c r="V831" t="inlineStr">
        <is>
          <t>Supplier Reported Emissions</t>
        </is>
      </c>
      <c r="W831" t="b">
        <v>0</v>
      </c>
      <c r="X831" t="inlineStr">
        <is>
          <t>High</t>
        </is>
      </c>
      <c r="Y831" t="inlineStr">
        <is>
          <t>None</t>
        </is>
      </c>
      <c r="Z831" t="n">
        <v>0.95</v>
      </c>
      <c r="AA831" t="inlineStr">
        <is>
          <t>Valid</t>
        </is>
      </c>
    </row>
    <row r="832">
      <c r="A832" t="inlineStr">
        <is>
          <t>SUP-0084</t>
        </is>
      </c>
      <c r="B832" t="inlineStr">
        <is>
          <t>Chemicals Supplier 084</t>
        </is>
      </c>
      <c r="C832" t="inlineStr">
        <is>
          <t>Chemicals</t>
        </is>
      </c>
      <c r="D832" t="n">
        <v>2015</v>
      </c>
      <c r="E832" t="n">
        <v>13571665.54</v>
      </c>
      <c r="F832" t="n">
        <v>39180026.76</v>
      </c>
      <c r="G832" t="inlineStr"/>
      <c r="H832" t="n">
        <v>2306.4961</v>
      </c>
      <c r="I832" t="n">
        <v>2674.3697</v>
      </c>
      <c r="J832" t="n">
        <v>12241.5643</v>
      </c>
      <c r="K832" t="inlineStr"/>
      <c r="L832" t="inlineStr"/>
      <c r="M832" t="inlineStr"/>
      <c r="N832" t="inlineStr"/>
      <c r="O832" t="n">
        <v>2019</v>
      </c>
      <c r="P832" t="n">
        <v>2035</v>
      </c>
      <c r="Q832" t="n">
        <v>0.5229</v>
      </c>
      <c r="R832" t="n">
        <v>506.3191</v>
      </c>
      <c r="S832" t="n">
        <v>0.00100149</v>
      </c>
      <c r="T832" t="n">
        <v>0.00047124</v>
      </c>
      <c r="U832" t="n">
        <v>17222.4301</v>
      </c>
      <c r="V832" t="inlineStr">
        <is>
          <t>Scope 1 + Scope 2 + Scope 3</t>
        </is>
      </c>
      <c r="W832" t="b">
        <v>1</v>
      </c>
      <c r="X832" t="inlineStr">
        <is>
          <t>High</t>
        </is>
      </c>
      <c r="Y832" t="inlineStr">
        <is>
          <t>Reported_Emissions</t>
        </is>
      </c>
      <c r="Z832" t="n">
        <v>0.88</v>
      </c>
      <c r="AA832" t="inlineStr">
        <is>
          <t>Valid</t>
        </is>
      </c>
    </row>
    <row r="833">
      <c r="A833" t="inlineStr">
        <is>
          <t>SUP-0084</t>
        </is>
      </c>
      <c r="B833" t="inlineStr">
        <is>
          <t>Chemicals Supplier 084</t>
        </is>
      </c>
      <c r="C833" t="inlineStr">
        <is>
          <t>Chemicals</t>
        </is>
      </c>
      <c r="D833" t="n">
        <v>2016</v>
      </c>
      <c r="E833" t="n">
        <v>18243386.9</v>
      </c>
      <c r="F833" t="n">
        <v>40309435.15</v>
      </c>
      <c r="G833" t="n">
        <v>24131.2624</v>
      </c>
      <c r="H833" t="inlineStr"/>
      <c r="I833" t="inlineStr"/>
      <c r="J833" t="n">
        <v>11836.7155</v>
      </c>
      <c r="K833" t="inlineStr"/>
      <c r="L833" t="inlineStr"/>
      <c r="M833" t="inlineStr"/>
      <c r="N833" t="inlineStr"/>
      <c r="O833" t="n">
        <v>2019</v>
      </c>
      <c r="P833" t="n">
        <v>2035</v>
      </c>
      <c r="Q833" t="n">
        <v>0.5229</v>
      </c>
      <c r="R833" t="n">
        <v>506.3191</v>
      </c>
      <c r="S833" t="n">
        <v>0.00100149</v>
      </c>
      <c r="T833" t="n">
        <v>0.00047124</v>
      </c>
      <c r="U833" t="n">
        <v>24131.2624</v>
      </c>
      <c r="V833" t="inlineStr">
        <is>
          <t>Supplier Reported Emissions</t>
        </is>
      </c>
      <c r="W833" t="b">
        <v>0</v>
      </c>
      <c r="X833" t="inlineStr">
        <is>
          <t>High</t>
        </is>
      </c>
      <c r="Y833" t="inlineStr">
        <is>
          <t>Scope_Emissions</t>
        </is>
      </c>
      <c r="Z833" t="n">
        <v>0.95</v>
      </c>
      <c r="AA833" t="inlineStr">
        <is>
          <t>Valid</t>
        </is>
      </c>
    </row>
    <row r="834">
      <c r="A834" t="inlineStr">
        <is>
          <t>SUP-0084</t>
        </is>
      </c>
      <c r="B834" t="inlineStr">
        <is>
          <t>Chemicals Supplier 084</t>
        </is>
      </c>
      <c r="C834" t="inlineStr">
        <is>
          <t>Chemicals</t>
        </is>
      </c>
      <c r="D834" t="n">
        <v>2017</v>
      </c>
      <c r="E834" t="n">
        <v>17922956.57</v>
      </c>
      <c r="F834" t="n">
        <v>36843849.63</v>
      </c>
      <c r="G834" t="n">
        <v>22650.0699</v>
      </c>
      <c r="H834" t="n">
        <v>6546.6012</v>
      </c>
      <c r="I834" t="n">
        <v>4839.9588</v>
      </c>
      <c r="J834" t="n">
        <v>12105.379</v>
      </c>
      <c r="K834" t="inlineStr"/>
      <c r="L834" t="inlineStr"/>
      <c r="M834" t="inlineStr"/>
      <c r="N834" t="inlineStr"/>
      <c r="O834" t="n">
        <v>2019</v>
      </c>
      <c r="P834" t="n">
        <v>2035</v>
      </c>
      <c r="Q834" t="n">
        <v>0.5229</v>
      </c>
      <c r="R834" t="n">
        <v>506.3191</v>
      </c>
      <c r="S834" t="n">
        <v>0.00100149</v>
      </c>
      <c r="T834" t="n">
        <v>0.00047124</v>
      </c>
      <c r="U834" t="n">
        <v>22650.0699</v>
      </c>
      <c r="V834" t="inlineStr">
        <is>
          <t>Supplier Reported Emissions</t>
        </is>
      </c>
      <c r="W834" t="b">
        <v>0</v>
      </c>
      <c r="X834" t="inlineStr">
        <is>
          <t>High</t>
        </is>
      </c>
      <c r="Y834" t="inlineStr">
        <is>
          <t>None</t>
        </is>
      </c>
      <c r="Z834" t="n">
        <v>0.95</v>
      </c>
      <c r="AA834" t="inlineStr">
        <is>
          <t>Valid</t>
        </is>
      </c>
    </row>
    <row r="835">
      <c r="A835" t="inlineStr">
        <is>
          <t>SUP-0084</t>
        </is>
      </c>
      <c r="B835" t="inlineStr">
        <is>
          <t>Chemicals Supplier 084</t>
        </is>
      </c>
      <c r="C835" t="inlineStr">
        <is>
          <t>Chemicals</t>
        </is>
      </c>
      <c r="D835" t="n">
        <v>2018</v>
      </c>
      <c r="E835" t="n">
        <v>17032570.05</v>
      </c>
      <c r="F835" t="n">
        <v>38415008.51</v>
      </c>
      <c r="G835" t="inlineStr"/>
      <c r="H835" t="inlineStr"/>
      <c r="I835" t="n">
        <v>5323.6485</v>
      </c>
      <c r="J835" t="inlineStr"/>
      <c r="K835" t="inlineStr"/>
      <c r="L835" t="inlineStr"/>
      <c r="M835" t="inlineStr"/>
      <c r="N835" t="inlineStr"/>
      <c r="O835" t="n">
        <v>2019</v>
      </c>
      <c r="P835" t="n">
        <v>2035</v>
      </c>
      <c r="Q835" t="n">
        <v>0.5229</v>
      </c>
      <c r="R835" t="n">
        <v>506.3191</v>
      </c>
      <c r="S835" t="n">
        <v>0.00100149</v>
      </c>
      <c r="T835" t="n">
        <v>0.00047124</v>
      </c>
      <c r="U835" t="n">
        <v>17057.9486</v>
      </c>
      <c r="V835" t="inlineStr">
        <is>
          <t>Spend-Based Estimate</t>
        </is>
      </c>
      <c r="W835" t="b">
        <v>1</v>
      </c>
      <c r="X835" t="inlineStr">
        <is>
          <t>Medium</t>
        </is>
      </c>
      <c r="Y835" t="inlineStr">
        <is>
          <t>Reported_Emissions; Scope_Emissions</t>
        </is>
      </c>
      <c r="Z835" t="n">
        <v>0.7</v>
      </c>
      <c r="AA835" t="inlineStr">
        <is>
          <t>Valid</t>
        </is>
      </c>
    </row>
    <row r="836">
      <c r="A836" t="inlineStr">
        <is>
          <t>SUP-0084</t>
        </is>
      </c>
      <c r="B836" t="inlineStr">
        <is>
          <t>Chemicals Supplier 084</t>
        </is>
      </c>
      <c r="C836" t="inlineStr">
        <is>
          <t>Chemicals</t>
        </is>
      </c>
      <c r="D836" t="n">
        <v>2019</v>
      </c>
      <c r="E836" t="n">
        <v>18421797.53</v>
      </c>
      <c r="F836" t="n">
        <v>38906565.24</v>
      </c>
      <c r="G836" t="n">
        <v>20915.4893</v>
      </c>
      <c r="H836" t="n">
        <v>2250.4542</v>
      </c>
      <c r="I836" t="n">
        <v>2149.4533</v>
      </c>
      <c r="J836" t="inlineStr"/>
      <c r="K836" t="inlineStr"/>
      <c r="L836" t="inlineStr"/>
      <c r="M836" t="inlineStr"/>
      <c r="N836" t="inlineStr"/>
      <c r="O836" t="n">
        <v>2019</v>
      </c>
      <c r="P836" t="n">
        <v>2035</v>
      </c>
      <c r="Q836" t="n">
        <v>0.5229</v>
      </c>
      <c r="R836" t="n">
        <v>506.3191</v>
      </c>
      <c r="S836" t="n">
        <v>0.00100149</v>
      </c>
      <c r="T836" t="n">
        <v>0.00047124</v>
      </c>
      <c r="U836" t="n">
        <v>20915.4893</v>
      </c>
      <c r="V836" t="inlineStr">
        <is>
          <t>Supplier Reported Emissions</t>
        </is>
      </c>
      <c r="W836" t="b">
        <v>0</v>
      </c>
      <c r="X836" t="inlineStr">
        <is>
          <t>High</t>
        </is>
      </c>
      <c r="Y836" t="inlineStr">
        <is>
          <t>Scope_Emissions</t>
        </is>
      </c>
      <c r="Z836" t="n">
        <v>0.95</v>
      </c>
      <c r="AA836" t="inlineStr">
        <is>
          <t>Valid</t>
        </is>
      </c>
    </row>
    <row r="837">
      <c r="A837" t="inlineStr">
        <is>
          <t>SUP-0084</t>
        </is>
      </c>
      <c r="B837" t="inlineStr">
        <is>
          <t>Chemicals Supplier 084</t>
        </is>
      </c>
      <c r="C837" t="inlineStr">
        <is>
          <t>Chemicals</t>
        </is>
      </c>
      <c r="D837" t="n">
        <v>2020</v>
      </c>
      <c r="E837" t="n">
        <v>18840261.2</v>
      </c>
      <c r="F837" t="n">
        <v>27440285.21</v>
      </c>
      <c r="G837" t="n">
        <v>28747.5176</v>
      </c>
      <c r="H837" t="n">
        <v>5117.3896</v>
      </c>
      <c r="I837" t="n">
        <v>2911.5375</v>
      </c>
      <c r="J837" t="n">
        <v>21969.4327</v>
      </c>
      <c r="K837" t="inlineStr"/>
      <c r="L837" t="inlineStr"/>
      <c r="M837" t="inlineStr"/>
      <c r="N837" t="inlineStr"/>
      <c r="O837" t="n">
        <v>2019</v>
      </c>
      <c r="P837" t="n">
        <v>2035</v>
      </c>
      <c r="Q837" t="n">
        <v>0.5229</v>
      </c>
      <c r="R837" t="n">
        <v>506.3191</v>
      </c>
      <c r="S837" t="n">
        <v>0.00100149</v>
      </c>
      <c r="T837" t="n">
        <v>0.00047124</v>
      </c>
      <c r="U837" t="n">
        <v>28747.5176</v>
      </c>
      <c r="V837" t="inlineStr">
        <is>
          <t>Supplier Reported Emissions</t>
        </is>
      </c>
      <c r="W837" t="b">
        <v>0</v>
      </c>
      <c r="X837" t="inlineStr">
        <is>
          <t>High</t>
        </is>
      </c>
      <c r="Y837" t="inlineStr">
        <is>
          <t>None</t>
        </is>
      </c>
      <c r="Z837" t="n">
        <v>0.95</v>
      </c>
      <c r="AA837" t="inlineStr">
        <is>
          <t>Valid</t>
        </is>
      </c>
    </row>
    <row r="838">
      <c r="A838" t="inlineStr">
        <is>
          <t>SUP-0084</t>
        </is>
      </c>
      <c r="B838" t="inlineStr">
        <is>
          <t>Chemicals Supplier 084</t>
        </is>
      </c>
      <c r="C838" t="inlineStr">
        <is>
          <t>Chemicals</t>
        </is>
      </c>
      <c r="D838" t="n">
        <v>2021</v>
      </c>
      <c r="E838" t="n">
        <v>17268731.86</v>
      </c>
      <c r="F838" t="n">
        <v>39332225.14</v>
      </c>
      <c r="G838" t="inlineStr"/>
      <c r="H838" t="n">
        <v>5613.5228</v>
      </c>
      <c r="I838" t="n">
        <v>4572.4005</v>
      </c>
      <c r="J838" t="n">
        <v>10959.2626</v>
      </c>
      <c r="K838" t="inlineStr"/>
      <c r="L838" t="inlineStr"/>
      <c r="M838" t="inlineStr"/>
      <c r="N838" t="inlineStr"/>
      <c r="O838" t="n">
        <v>2019</v>
      </c>
      <c r="P838" t="n">
        <v>2035</v>
      </c>
      <c r="Q838" t="n">
        <v>0.5229</v>
      </c>
      <c r="R838" t="n">
        <v>506.3191</v>
      </c>
      <c r="S838" t="n">
        <v>0.00100149</v>
      </c>
      <c r="T838" t="n">
        <v>0.00047124</v>
      </c>
      <c r="U838" t="n">
        <v>21145.1859</v>
      </c>
      <c r="V838" t="inlineStr">
        <is>
          <t>Scope 1 + Scope 2 + Scope 3</t>
        </is>
      </c>
      <c r="W838" t="b">
        <v>1</v>
      </c>
      <c r="X838" t="inlineStr">
        <is>
          <t>High</t>
        </is>
      </c>
      <c r="Y838" t="inlineStr">
        <is>
          <t>Reported_Emissions</t>
        </is>
      </c>
      <c r="Z838" t="n">
        <v>0.88</v>
      </c>
      <c r="AA838" t="inlineStr">
        <is>
          <t>Valid</t>
        </is>
      </c>
    </row>
    <row r="839">
      <c r="A839" t="inlineStr">
        <is>
          <t>SUP-0084</t>
        </is>
      </c>
      <c r="B839" t="inlineStr">
        <is>
          <t>Chemicals Supplier 084</t>
        </is>
      </c>
      <c r="C839" t="inlineStr">
        <is>
          <t>Chemicals</t>
        </is>
      </c>
      <c r="D839" t="n">
        <v>2022</v>
      </c>
      <c r="E839" t="n">
        <v>16262038.13</v>
      </c>
      <c r="F839" t="n">
        <v>40139800.43</v>
      </c>
      <c r="G839" t="n">
        <v>18991.5877</v>
      </c>
      <c r="H839" t="n">
        <v>2386.4877</v>
      </c>
      <c r="I839" t="n">
        <v>2556.6666</v>
      </c>
      <c r="J839" t="inlineStr"/>
      <c r="K839" t="inlineStr"/>
      <c r="L839" t="inlineStr"/>
      <c r="M839" t="inlineStr"/>
      <c r="N839" t="inlineStr"/>
      <c r="O839" t="n">
        <v>2019</v>
      </c>
      <c r="P839" t="n">
        <v>2035</v>
      </c>
      <c r="Q839" t="n">
        <v>0.5229</v>
      </c>
      <c r="R839" t="n">
        <v>506.3191</v>
      </c>
      <c r="S839" t="n">
        <v>0.00100149</v>
      </c>
      <c r="T839" t="n">
        <v>0.00047124</v>
      </c>
      <c r="U839" t="n">
        <v>18991.5877</v>
      </c>
      <c r="V839" t="inlineStr">
        <is>
          <t>Supplier Reported Emissions</t>
        </is>
      </c>
      <c r="W839" t="b">
        <v>0</v>
      </c>
      <c r="X839" t="inlineStr">
        <is>
          <t>High</t>
        </is>
      </c>
      <c r="Y839" t="inlineStr">
        <is>
          <t>Scope_Emissions</t>
        </is>
      </c>
      <c r="Z839" t="n">
        <v>0.95</v>
      </c>
      <c r="AA839" t="inlineStr">
        <is>
          <t>Valid</t>
        </is>
      </c>
    </row>
    <row r="840">
      <c r="A840" t="inlineStr">
        <is>
          <t>SUP-0084</t>
        </is>
      </c>
      <c r="B840" t="inlineStr">
        <is>
          <t>Chemicals Supplier 084</t>
        </is>
      </c>
      <c r="C840" t="inlineStr">
        <is>
          <t>Chemicals</t>
        </is>
      </c>
      <c r="D840" t="n">
        <v>2023</v>
      </c>
      <c r="E840" t="n">
        <v>18557901.2</v>
      </c>
      <c r="F840" t="n">
        <v>52769508.63</v>
      </c>
      <c r="G840" t="n">
        <v>24430.8272</v>
      </c>
      <c r="H840" t="n">
        <v>7251.9908</v>
      </c>
      <c r="I840" t="n">
        <v>4412.0373</v>
      </c>
      <c r="J840" t="inlineStr"/>
      <c r="K840" t="inlineStr"/>
      <c r="L840" t="inlineStr"/>
      <c r="M840" t="inlineStr"/>
      <c r="N840" t="inlineStr"/>
      <c r="O840" t="n">
        <v>2019</v>
      </c>
      <c r="P840" t="n">
        <v>2035</v>
      </c>
      <c r="Q840" t="n">
        <v>0.5229</v>
      </c>
      <c r="R840" t="n">
        <v>506.3191</v>
      </c>
      <c r="S840" t="n">
        <v>0.00100149</v>
      </c>
      <c r="T840" t="n">
        <v>0.00047124</v>
      </c>
      <c r="U840" t="n">
        <v>24430.8272</v>
      </c>
      <c r="V840" t="inlineStr">
        <is>
          <t>Supplier Reported Emissions</t>
        </is>
      </c>
      <c r="W840" t="b">
        <v>0</v>
      </c>
      <c r="X840" t="inlineStr">
        <is>
          <t>High</t>
        </is>
      </c>
      <c r="Y840" t="inlineStr">
        <is>
          <t>Scope_Emissions</t>
        </is>
      </c>
      <c r="Z840" t="n">
        <v>0.95</v>
      </c>
      <c r="AA840" t="inlineStr">
        <is>
          <t>Valid</t>
        </is>
      </c>
    </row>
    <row r="841">
      <c r="A841" t="inlineStr">
        <is>
          <t>SUP-0084</t>
        </is>
      </c>
      <c r="B841" t="inlineStr">
        <is>
          <t>Chemicals Supplier 084</t>
        </is>
      </c>
      <c r="C841" t="inlineStr">
        <is>
          <t>Chemicals</t>
        </is>
      </c>
      <c r="D841" t="n">
        <v>2024</v>
      </c>
      <c r="E841" t="n">
        <v>17673357.44</v>
      </c>
      <c r="F841" t="n">
        <v>49317593</v>
      </c>
      <c r="G841" t="inlineStr"/>
      <c r="H841" t="n">
        <v>3375.4867</v>
      </c>
      <c r="I841" t="n">
        <v>4511.2423</v>
      </c>
      <c r="J841" t="n">
        <v>15490.571</v>
      </c>
      <c r="K841" t="inlineStr"/>
      <c r="L841" t="inlineStr"/>
      <c r="M841" t="inlineStr"/>
      <c r="N841" t="inlineStr"/>
      <c r="O841" t="n">
        <v>2019</v>
      </c>
      <c r="P841" t="n">
        <v>2035</v>
      </c>
      <c r="Q841" t="n">
        <v>0.5229</v>
      </c>
      <c r="R841" t="n">
        <v>506.3191</v>
      </c>
      <c r="S841" t="n">
        <v>0.00100149</v>
      </c>
      <c r="T841" t="n">
        <v>0.00047124</v>
      </c>
      <c r="U841" t="n">
        <v>23377.3</v>
      </c>
      <c r="V841" t="inlineStr">
        <is>
          <t>Scope 1 + Scope 2 + Scope 3</t>
        </is>
      </c>
      <c r="W841" t="b">
        <v>1</v>
      </c>
      <c r="X841" t="inlineStr">
        <is>
          <t>High</t>
        </is>
      </c>
      <c r="Y841" t="inlineStr">
        <is>
          <t>Reported_Emissions</t>
        </is>
      </c>
      <c r="Z841" t="n">
        <v>0.88</v>
      </c>
      <c r="AA841" t="inlineStr">
        <is>
          <t>Valid</t>
        </is>
      </c>
    </row>
    <row r="842">
      <c r="A842" t="inlineStr">
        <is>
          <t>SUP-0085</t>
        </is>
      </c>
      <c r="B842" t="inlineStr">
        <is>
          <t>Textiles Supplier 085</t>
        </is>
      </c>
      <c r="C842" t="inlineStr">
        <is>
          <t>Textiles</t>
        </is>
      </c>
      <c r="D842" t="n">
        <v>2015</v>
      </c>
      <c r="E842" t="n">
        <v>16907833.36</v>
      </c>
      <c r="F842" t="n">
        <v>31755124.53</v>
      </c>
      <c r="G842" t="n">
        <v>5841.9028</v>
      </c>
      <c r="H842" t="inlineStr"/>
      <c r="I842" t="n">
        <v>973.5015</v>
      </c>
      <c r="J842" t="inlineStr"/>
      <c r="K842" t="inlineStr"/>
      <c r="L842" t="inlineStr"/>
      <c r="M842" t="inlineStr"/>
      <c r="N842" t="inlineStr"/>
      <c r="O842" t="n">
        <v>2019</v>
      </c>
      <c r="P842" t="n">
        <v>2030</v>
      </c>
      <c r="Q842" t="n">
        <v>0.3171</v>
      </c>
      <c r="R842" t="n">
        <v>401.7335</v>
      </c>
      <c r="S842" t="n">
        <v>0.00029221</v>
      </c>
      <c r="T842" t="n">
        <v>0.00017343</v>
      </c>
      <c r="U842" t="n">
        <v>5841.9028</v>
      </c>
      <c r="V842" t="inlineStr">
        <is>
          <t>Supplier Reported Emissions</t>
        </is>
      </c>
      <c r="W842" t="b">
        <v>0</v>
      </c>
      <c r="X842" t="inlineStr">
        <is>
          <t>High</t>
        </is>
      </c>
      <c r="Y842" t="inlineStr">
        <is>
          <t>Scope_Emissions</t>
        </is>
      </c>
      <c r="Z842" t="n">
        <v>0.95</v>
      </c>
      <c r="AA842" t="inlineStr">
        <is>
          <t>Valid</t>
        </is>
      </c>
    </row>
    <row r="843">
      <c r="A843" t="inlineStr">
        <is>
          <t>SUP-0085</t>
        </is>
      </c>
      <c r="B843" t="inlineStr">
        <is>
          <t>Textiles Supplier 085</t>
        </is>
      </c>
      <c r="C843" t="inlineStr">
        <is>
          <t>Textiles</t>
        </is>
      </c>
      <c r="D843" t="n">
        <v>2016</v>
      </c>
      <c r="E843" t="n">
        <v>16755430.6</v>
      </c>
      <c r="F843" t="n">
        <v>29400913.71</v>
      </c>
      <c r="G843" t="n">
        <v>5697.6878</v>
      </c>
      <c r="H843" t="n">
        <v>516.0542</v>
      </c>
      <c r="I843" t="n">
        <v>822.9479</v>
      </c>
      <c r="J843" t="n">
        <v>4033.941</v>
      </c>
      <c r="K843" t="inlineStr"/>
      <c r="L843" t="inlineStr"/>
      <c r="M843" t="inlineStr"/>
      <c r="N843" t="inlineStr"/>
      <c r="O843" t="n">
        <v>2019</v>
      </c>
      <c r="P843" t="n">
        <v>2030</v>
      </c>
      <c r="Q843" t="n">
        <v>0.3171</v>
      </c>
      <c r="R843" t="n">
        <v>401.7335</v>
      </c>
      <c r="S843" t="n">
        <v>0.00029221</v>
      </c>
      <c r="T843" t="n">
        <v>0.00017343</v>
      </c>
      <c r="U843" t="n">
        <v>5697.6878</v>
      </c>
      <c r="V843" t="inlineStr">
        <is>
          <t>Supplier Reported Emissions</t>
        </is>
      </c>
      <c r="W843" t="b">
        <v>0</v>
      </c>
      <c r="X843" t="inlineStr">
        <is>
          <t>High</t>
        </is>
      </c>
      <c r="Y843" t="inlineStr">
        <is>
          <t>None</t>
        </is>
      </c>
      <c r="Z843" t="n">
        <v>0.95</v>
      </c>
      <c r="AA843" t="inlineStr">
        <is>
          <t>Valid</t>
        </is>
      </c>
    </row>
    <row r="844">
      <c r="A844" t="inlineStr">
        <is>
          <t>SUP-0085</t>
        </is>
      </c>
      <c r="B844" t="inlineStr">
        <is>
          <t>Textiles Supplier 085</t>
        </is>
      </c>
      <c r="C844" t="inlineStr">
        <is>
          <t>Textiles</t>
        </is>
      </c>
      <c r="D844" t="n">
        <v>2017</v>
      </c>
      <c r="E844" t="inlineStr"/>
      <c r="F844" t="n">
        <v>38141248.14</v>
      </c>
      <c r="G844" t="n">
        <v>5164.4498</v>
      </c>
      <c r="H844" t="n">
        <v>660.9302</v>
      </c>
      <c r="I844" t="n">
        <v>984.4884</v>
      </c>
      <c r="J844" t="n">
        <v>3925.6879</v>
      </c>
      <c r="K844" t="inlineStr"/>
      <c r="L844" t="inlineStr"/>
      <c r="M844" t="inlineStr"/>
      <c r="N844" t="inlineStr"/>
      <c r="O844" t="n">
        <v>2019</v>
      </c>
      <c r="P844" t="n">
        <v>2030</v>
      </c>
      <c r="Q844" t="n">
        <v>0.3171</v>
      </c>
      <c r="R844" t="n">
        <v>401.7335</v>
      </c>
      <c r="S844" t="n">
        <v>0.00029221</v>
      </c>
      <c r="T844" t="n">
        <v>0.00017343</v>
      </c>
      <c r="U844" t="n">
        <v>5164.4498</v>
      </c>
      <c r="V844" t="inlineStr">
        <is>
          <t>Supplier Reported Emissions</t>
        </is>
      </c>
      <c r="W844" t="b">
        <v>0</v>
      </c>
      <c r="X844" t="inlineStr">
        <is>
          <t>High</t>
        </is>
      </c>
      <c r="Y844" t="inlineStr">
        <is>
          <t>Gross_Spend</t>
        </is>
      </c>
      <c r="Z844" t="n">
        <v>0.95</v>
      </c>
      <c r="AA844" t="inlineStr">
        <is>
          <t>Valid</t>
        </is>
      </c>
    </row>
    <row r="845">
      <c r="A845" t="inlineStr">
        <is>
          <t>SUP-0085</t>
        </is>
      </c>
      <c r="B845" t="inlineStr">
        <is>
          <t>Textiles Supplier 085</t>
        </is>
      </c>
      <c r="C845" t="inlineStr">
        <is>
          <t>Textiles</t>
        </is>
      </c>
      <c r="D845" t="n">
        <v>2018</v>
      </c>
      <c r="E845" t="n">
        <v>15600263.25</v>
      </c>
      <c r="F845" t="n">
        <v>36508588.58</v>
      </c>
      <c r="G845" t="inlineStr"/>
      <c r="H845" t="n">
        <v>1123.7395</v>
      </c>
      <c r="I845" t="n">
        <v>443.5877</v>
      </c>
      <c r="J845" t="inlineStr"/>
      <c r="K845" t="inlineStr"/>
      <c r="L845" t="inlineStr"/>
      <c r="M845" t="inlineStr"/>
      <c r="N845" t="inlineStr"/>
      <c r="O845" t="n">
        <v>2019</v>
      </c>
      <c r="P845" t="n">
        <v>2030</v>
      </c>
      <c r="Q845" t="n">
        <v>0.3171</v>
      </c>
      <c r="R845" t="n">
        <v>401.7335</v>
      </c>
      <c r="S845" t="n">
        <v>0.00029221</v>
      </c>
      <c r="T845" t="n">
        <v>0.00017343</v>
      </c>
      <c r="U845" t="n">
        <v>4558.5529</v>
      </c>
      <c r="V845" t="inlineStr">
        <is>
          <t>Spend-Based Estimate</t>
        </is>
      </c>
      <c r="W845" t="b">
        <v>1</v>
      </c>
      <c r="X845" t="inlineStr">
        <is>
          <t>Medium</t>
        </is>
      </c>
      <c r="Y845" t="inlineStr">
        <is>
          <t>Reported_Emissions; Scope_Emissions</t>
        </is>
      </c>
      <c r="Z845" t="n">
        <v>0.7</v>
      </c>
      <c r="AA845" t="inlineStr">
        <is>
          <t>Valid</t>
        </is>
      </c>
    </row>
    <row r="846">
      <c r="A846" t="inlineStr">
        <is>
          <t>SUP-0085</t>
        </is>
      </c>
      <c r="B846" t="inlineStr">
        <is>
          <t>Textiles Supplier 085</t>
        </is>
      </c>
      <c r="C846" t="inlineStr">
        <is>
          <t>Textiles</t>
        </is>
      </c>
      <c r="D846" t="n">
        <v>2019</v>
      </c>
      <c r="E846" t="n">
        <v>15630660.37</v>
      </c>
      <c r="F846" t="n">
        <v>39533046.79</v>
      </c>
      <c r="G846" t="inlineStr"/>
      <c r="H846" t="inlineStr"/>
      <c r="I846" t="n">
        <v>714.0614</v>
      </c>
      <c r="J846" t="n">
        <v>2773.1801</v>
      </c>
      <c r="K846" t="inlineStr"/>
      <c r="L846" t="inlineStr"/>
      <c r="M846" t="inlineStr"/>
      <c r="N846" t="inlineStr"/>
      <c r="O846" t="n">
        <v>2019</v>
      </c>
      <c r="P846" t="n">
        <v>2030</v>
      </c>
      <c r="Q846" t="n">
        <v>0.3171</v>
      </c>
      <c r="R846" t="n">
        <v>401.7335</v>
      </c>
      <c r="S846" t="n">
        <v>0.00029221</v>
      </c>
      <c r="T846" t="n">
        <v>0.00017343</v>
      </c>
      <c r="U846" t="n">
        <v>4567.4353</v>
      </c>
      <c r="V846" t="inlineStr">
        <is>
          <t>Spend-Based Estimate</t>
        </is>
      </c>
      <c r="W846" t="b">
        <v>1</v>
      </c>
      <c r="X846" t="inlineStr">
        <is>
          <t>Medium</t>
        </is>
      </c>
      <c r="Y846" t="inlineStr">
        <is>
          <t>Reported_Emissions; Scope_Emissions</t>
        </is>
      </c>
      <c r="Z846" t="n">
        <v>0.7</v>
      </c>
      <c r="AA846" t="inlineStr">
        <is>
          <t>Valid</t>
        </is>
      </c>
    </row>
    <row r="847">
      <c r="A847" t="inlineStr">
        <is>
          <t>SUP-0085</t>
        </is>
      </c>
      <c r="B847" t="inlineStr">
        <is>
          <t>Textiles Supplier 085</t>
        </is>
      </c>
      <c r="C847" t="inlineStr">
        <is>
          <t>Textiles</t>
        </is>
      </c>
      <c r="D847" t="n">
        <v>2020</v>
      </c>
      <c r="E847" t="n">
        <v>20276464.67</v>
      </c>
      <c r="F847" t="n">
        <v>33554700.35</v>
      </c>
      <c r="G847" t="n">
        <v>5168.0815</v>
      </c>
      <c r="H847" t="n">
        <v>899.6018</v>
      </c>
      <c r="I847" t="n">
        <v>894.2247</v>
      </c>
      <c r="J847" t="inlineStr"/>
      <c r="K847" t="inlineStr"/>
      <c r="L847" t="inlineStr"/>
      <c r="M847" t="inlineStr"/>
      <c r="N847" t="inlineStr"/>
      <c r="O847" t="n">
        <v>2019</v>
      </c>
      <c r="P847" t="n">
        <v>2030</v>
      </c>
      <c r="Q847" t="n">
        <v>0.3171</v>
      </c>
      <c r="R847" t="n">
        <v>401.7335</v>
      </c>
      <c r="S847" t="n">
        <v>0.00029221</v>
      </c>
      <c r="T847" t="n">
        <v>0.00017343</v>
      </c>
      <c r="U847" t="n">
        <v>5168.0815</v>
      </c>
      <c r="V847" t="inlineStr">
        <is>
          <t>Supplier Reported Emissions</t>
        </is>
      </c>
      <c r="W847" t="b">
        <v>0</v>
      </c>
      <c r="X847" t="inlineStr">
        <is>
          <t>High</t>
        </is>
      </c>
      <c r="Y847" t="inlineStr">
        <is>
          <t>Scope_Emissions</t>
        </is>
      </c>
      <c r="Z847" t="n">
        <v>0.95</v>
      </c>
      <c r="AA847" t="inlineStr">
        <is>
          <t>Valid</t>
        </is>
      </c>
    </row>
    <row r="848">
      <c r="A848" t="inlineStr">
        <is>
          <t>SUP-0085</t>
        </is>
      </c>
      <c r="B848" t="inlineStr">
        <is>
          <t>Textiles Supplier 085</t>
        </is>
      </c>
      <c r="C848" t="inlineStr">
        <is>
          <t>Textiles</t>
        </is>
      </c>
      <c r="D848" t="n">
        <v>2021</v>
      </c>
      <c r="E848" t="n">
        <v>17496399.02</v>
      </c>
      <c r="F848" t="n">
        <v>39988058.46</v>
      </c>
      <c r="G848" t="inlineStr"/>
      <c r="H848" t="n">
        <v>1350.6567</v>
      </c>
      <c r="I848" t="inlineStr"/>
      <c r="J848" t="n">
        <v>3475.4392</v>
      </c>
      <c r="K848" t="inlineStr"/>
      <c r="L848" t="inlineStr"/>
      <c r="M848" t="inlineStr"/>
      <c r="N848" t="inlineStr"/>
      <c r="O848" t="n">
        <v>2019</v>
      </c>
      <c r="P848" t="n">
        <v>2030</v>
      </c>
      <c r="Q848" t="n">
        <v>0.3171</v>
      </c>
      <c r="R848" t="n">
        <v>401.7335</v>
      </c>
      <c r="S848" t="n">
        <v>0.00029221</v>
      </c>
      <c r="T848" t="n">
        <v>0.00017343</v>
      </c>
      <c r="U848" t="n">
        <v>5112.6228</v>
      </c>
      <c r="V848" t="inlineStr">
        <is>
          <t>Spend-Based Estimate</t>
        </is>
      </c>
      <c r="W848" t="b">
        <v>1</v>
      </c>
      <c r="X848" t="inlineStr">
        <is>
          <t>Medium</t>
        </is>
      </c>
      <c r="Y848" t="inlineStr">
        <is>
          <t>Reported_Emissions; Scope_Emissions</t>
        </is>
      </c>
      <c r="Z848" t="n">
        <v>0.7</v>
      </c>
      <c r="AA848" t="inlineStr">
        <is>
          <t>Valid</t>
        </is>
      </c>
    </row>
    <row r="849">
      <c r="A849" t="inlineStr">
        <is>
          <t>SUP-0085</t>
        </is>
      </c>
      <c r="B849" t="inlineStr">
        <is>
          <t>Textiles Supplier 085</t>
        </is>
      </c>
      <c r="C849" t="inlineStr">
        <is>
          <t>Textiles</t>
        </is>
      </c>
      <c r="D849" t="n">
        <v>2022</v>
      </c>
      <c r="E849" t="n">
        <v>19285147.88</v>
      </c>
      <c r="F849" t="n">
        <v>40296069.78</v>
      </c>
      <c r="G849" t="n">
        <v>4704.0168</v>
      </c>
      <c r="H849" t="n">
        <v>1273.2578</v>
      </c>
      <c r="I849" t="inlineStr"/>
      <c r="J849" t="n">
        <v>3425.2667</v>
      </c>
      <c r="K849" t="inlineStr"/>
      <c r="L849" t="inlineStr"/>
      <c r="M849" t="inlineStr"/>
      <c r="N849" t="inlineStr"/>
      <c r="O849" t="n">
        <v>2019</v>
      </c>
      <c r="P849" t="n">
        <v>2030</v>
      </c>
      <c r="Q849" t="n">
        <v>0.3171</v>
      </c>
      <c r="R849" t="n">
        <v>401.7335</v>
      </c>
      <c r="S849" t="n">
        <v>0.00029221</v>
      </c>
      <c r="T849" t="n">
        <v>0.00017343</v>
      </c>
      <c r="U849" t="n">
        <v>4704.0168</v>
      </c>
      <c r="V849" t="inlineStr">
        <is>
          <t>Supplier Reported Emissions</t>
        </is>
      </c>
      <c r="W849" t="b">
        <v>0</v>
      </c>
      <c r="X849" t="inlineStr">
        <is>
          <t>High</t>
        </is>
      </c>
      <c r="Y849" t="inlineStr">
        <is>
          <t>Scope_Emissions</t>
        </is>
      </c>
      <c r="Z849" t="n">
        <v>0.95</v>
      </c>
      <c r="AA849" t="inlineStr">
        <is>
          <t>Valid</t>
        </is>
      </c>
    </row>
    <row r="850">
      <c r="A850" t="inlineStr">
        <is>
          <t>SUP-0085</t>
        </is>
      </c>
      <c r="B850" t="inlineStr">
        <is>
          <t>Textiles Supplier 085</t>
        </is>
      </c>
      <c r="C850" t="inlineStr">
        <is>
          <t>Textiles</t>
        </is>
      </c>
      <c r="D850" t="n">
        <v>2023</v>
      </c>
      <c r="E850" t="inlineStr"/>
      <c r="F850" t="n">
        <v>50824531.06</v>
      </c>
      <c r="G850" t="n">
        <v>6216.5396</v>
      </c>
      <c r="H850" t="inlineStr"/>
      <c r="I850" t="n">
        <v>714.8768</v>
      </c>
      <c r="J850" t="n">
        <v>3621.2176</v>
      </c>
      <c r="K850" t="inlineStr"/>
      <c r="L850" t="inlineStr"/>
      <c r="M850" t="inlineStr"/>
      <c r="N850" t="inlineStr"/>
      <c r="O850" t="n">
        <v>2019</v>
      </c>
      <c r="P850" t="n">
        <v>2030</v>
      </c>
      <c r="Q850" t="n">
        <v>0.3171</v>
      </c>
      <c r="R850" t="n">
        <v>401.7335</v>
      </c>
      <c r="S850" t="n">
        <v>0.00029221</v>
      </c>
      <c r="T850" t="n">
        <v>0.00017343</v>
      </c>
      <c r="U850" t="n">
        <v>6216.5396</v>
      </c>
      <c r="V850" t="inlineStr">
        <is>
          <t>Supplier Reported Emissions</t>
        </is>
      </c>
      <c r="W850" t="b">
        <v>0</v>
      </c>
      <c r="X850" t="inlineStr">
        <is>
          <t>High</t>
        </is>
      </c>
      <c r="Y850" t="inlineStr">
        <is>
          <t>Gross_Spend; Scope_Emissions</t>
        </is>
      </c>
      <c r="Z850" t="n">
        <v>0.95</v>
      </c>
      <c r="AA850" t="inlineStr">
        <is>
          <t>Valid</t>
        </is>
      </c>
    </row>
    <row r="851">
      <c r="A851" t="inlineStr">
        <is>
          <t>SUP-0085</t>
        </is>
      </c>
      <c r="B851" t="inlineStr">
        <is>
          <t>Textiles Supplier 085</t>
        </is>
      </c>
      <c r="C851" t="inlineStr">
        <is>
          <t>Textiles</t>
        </is>
      </c>
      <c r="D851" t="n">
        <v>2024</v>
      </c>
      <c r="E851" t="n">
        <v>21801344.96</v>
      </c>
      <c r="F851" t="inlineStr"/>
      <c r="G851" t="n">
        <v>5865.7817</v>
      </c>
      <c r="H851" t="n">
        <v>496.7147</v>
      </c>
      <c r="I851" t="n">
        <v>1344.0838</v>
      </c>
      <c r="J851" t="n">
        <v>4337.228</v>
      </c>
      <c r="K851" t="inlineStr"/>
      <c r="L851" t="inlineStr"/>
      <c r="M851" t="inlineStr"/>
      <c r="N851" t="inlineStr"/>
      <c r="O851" t="n">
        <v>2019</v>
      </c>
      <c r="P851" t="n">
        <v>2030</v>
      </c>
      <c r="Q851" t="n">
        <v>0.3171</v>
      </c>
      <c r="R851" t="n">
        <v>401.7335</v>
      </c>
      <c r="S851" t="n">
        <v>0.00029221</v>
      </c>
      <c r="T851" t="n">
        <v>0.00017343</v>
      </c>
      <c r="U851" t="n">
        <v>5865.7817</v>
      </c>
      <c r="V851" t="inlineStr">
        <is>
          <t>Supplier Reported Emissions</t>
        </is>
      </c>
      <c r="W851" t="b">
        <v>0</v>
      </c>
      <c r="X851" t="inlineStr">
        <is>
          <t>High</t>
        </is>
      </c>
      <c r="Y851" t="inlineStr">
        <is>
          <t>Revenue</t>
        </is>
      </c>
      <c r="Z851" t="n">
        <v>0.95</v>
      </c>
      <c r="AA851" t="inlineStr">
        <is>
          <t>Valid</t>
        </is>
      </c>
    </row>
    <row r="852">
      <c r="A852" t="inlineStr">
        <is>
          <t>SUP-0086</t>
        </is>
      </c>
      <c r="B852" t="inlineStr">
        <is>
          <t>Metals Supplier 086</t>
        </is>
      </c>
      <c r="C852" t="inlineStr">
        <is>
          <t>Metals</t>
        </is>
      </c>
      <c r="D852" t="n">
        <v>2015</v>
      </c>
      <c r="E852" t="inlineStr"/>
      <c r="F852" t="n">
        <v>63364802.97</v>
      </c>
      <c r="G852" t="n">
        <v>20573.1292</v>
      </c>
      <c r="H852" t="n">
        <v>3506.6938</v>
      </c>
      <c r="I852" t="n">
        <v>3164.0999</v>
      </c>
      <c r="J852" t="inlineStr"/>
      <c r="K852" t="n">
        <v>2019</v>
      </c>
      <c r="L852" t="n">
        <v>2035</v>
      </c>
      <c r="M852" t="n">
        <v>0.4157</v>
      </c>
      <c r="N852" t="n">
        <v>0.2236</v>
      </c>
      <c r="O852" t="n">
        <v>2019</v>
      </c>
      <c r="P852" t="n">
        <v>2030</v>
      </c>
      <c r="Q852" t="n">
        <v>0.3852</v>
      </c>
      <c r="R852" t="n">
        <v>158.2904</v>
      </c>
      <c r="S852" t="n">
        <v>0.00100695</v>
      </c>
      <c r="T852" t="n">
        <v>0.00065008</v>
      </c>
      <c r="U852" t="n">
        <v>20573.1292</v>
      </c>
      <c r="V852" t="inlineStr">
        <is>
          <t>Supplier Reported Emissions</t>
        </is>
      </c>
      <c r="W852" t="b">
        <v>0</v>
      </c>
      <c r="X852" t="inlineStr">
        <is>
          <t>High</t>
        </is>
      </c>
      <c r="Y852" t="inlineStr">
        <is>
          <t>Gross_Spend; Scope_Emissions</t>
        </is>
      </c>
      <c r="Z852" t="n">
        <v>0.95</v>
      </c>
      <c r="AA852" t="inlineStr">
        <is>
          <t>Valid</t>
        </is>
      </c>
    </row>
    <row r="853">
      <c r="A853" t="inlineStr">
        <is>
          <t>SUP-0086</t>
        </is>
      </c>
      <c r="B853" t="inlineStr">
        <is>
          <t>Metals Supplier 086</t>
        </is>
      </c>
      <c r="C853" t="inlineStr">
        <is>
          <t>Metals</t>
        </is>
      </c>
      <c r="D853" t="n">
        <v>2016</v>
      </c>
      <c r="E853" t="n">
        <v>16044800.88</v>
      </c>
      <c r="F853" t="n">
        <v>59414494.04</v>
      </c>
      <c r="G853" t="n">
        <v>21241.4956</v>
      </c>
      <c r="H853" t="n">
        <v>2555.9127</v>
      </c>
      <c r="I853" t="n">
        <v>2630.5744</v>
      </c>
      <c r="J853" t="n">
        <v>14000.8835</v>
      </c>
      <c r="K853" t="n">
        <v>2019</v>
      </c>
      <c r="L853" t="n">
        <v>2035</v>
      </c>
      <c r="M853" t="n">
        <v>0.4157</v>
      </c>
      <c r="N853" t="n">
        <v>0.2236</v>
      </c>
      <c r="O853" t="n">
        <v>2019</v>
      </c>
      <c r="P853" t="n">
        <v>2030</v>
      </c>
      <c r="Q853" t="n">
        <v>0.3852</v>
      </c>
      <c r="R853" t="n">
        <v>158.2904</v>
      </c>
      <c r="S853" t="n">
        <v>0.00100695</v>
      </c>
      <c r="T853" t="n">
        <v>0.00065008</v>
      </c>
      <c r="U853" t="n">
        <v>21241.4956</v>
      </c>
      <c r="V853" t="inlineStr">
        <is>
          <t>Supplier Reported Emissions</t>
        </is>
      </c>
      <c r="W853" t="b">
        <v>0</v>
      </c>
      <c r="X853" t="inlineStr">
        <is>
          <t>High</t>
        </is>
      </c>
      <c r="Y853" t="inlineStr">
        <is>
          <t>None</t>
        </is>
      </c>
      <c r="Z853" t="n">
        <v>0.95</v>
      </c>
      <c r="AA853" t="inlineStr">
        <is>
          <t>Valid</t>
        </is>
      </c>
    </row>
    <row r="854">
      <c r="A854" t="inlineStr">
        <is>
          <t>SUP-0086</t>
        </is>
      </c>
      <c r="B854" t="inlineStr">
        <is>
          <t>Metals Supplier 086</t>
        </is>
      </c>
      <c r="C854" t="inlineStr">
        <is>
          <t>Metals</t>
        </is>
      </c>
      <c r="D854" t="n">
        <v>2017</v>
      </c>
      <c r="E854" t="n">
        <v>15807219.22</v>
      </c>
      <c r="F854" t="n">
        <v>47295154.46</v>
      </c>
      <c r="G854" t="n">
        <v>17789.1307</v>
      </c>
      <c r="H854" t="n">
        <v>2497.8881</v>
      </c>
      <c r="I854" t="n">
        <v>1504.295</v>
      </c>
      <c r="J854" t="n">
        <v>13619.4868</v>
      </c>
      <c r="K854" t="n">
        <v>2019</v>
      </c>
      <c r="L854" t="n">
        <v>2035</v>
      </c>
      <c r="M854" t="n">
        <v>0.4157</v>
      </c>
      <c r="N854" t="n">
        <v>0.2236</v>
      </c>
      <c r="O854" t="n">
        <v>2019</v>
      </c>
      <c r="P854" t="n">
        <v>2030</v>
      </c>
      <c r="Q854" t="n">
        <v>0.3852</v>
      </c>
      <c r="R854" t="n">
        <v>158.2904</v>
      </c>
      <c r="S854" t="n">
        <v>0.00100695</v>
      </c>
      <c r="T854" t="n">
        <v>0.00065008</v>
      </c>
      <c r="U854" t="n">
        <v>17789.1307</v>
      </c>
      <c r="V854" t="inlineStr">
        <is>
          <t>Supplier Reported Emissions</t>
        </is>
      </c>
      <c r="W854" t="b">
        <v>0</v>
      </c>
      <c r="X854" t="inlineStr">
        <is>
          <t>High</t>
        </is>
      </c>
      <c r="Y854" t="inlineStr">
        <is>
          <t>None</t>
        </is>
      </c>
      <c r="Z854" t="n">
        <v>0.95</v>
      </c>
      <c r="AA854" t="inlineStr">
        <is>
          <t>Valid</t>
        </is>
      </c>
    </row>
    <row r="855">
      <c r="A855" t="inlineStr">
        <is>
          <t>SUP-0086</t>
        </is>
      </c>
      <c r="B855" t="inlineStr">
        <is>
          <t>Metals Supplier 086</t>
        </is>
      </c>
      <c r="C855" t="inlineStr">
        <is>
          <t>Metals</t>
        </is>
      </c>
      <c r="D855" t="n">
        <v>2018</v>
      </c>
      <c r="E855" t="n">
        <v>14383226.07</v>
      </c>
      <c r="F855" t="n">
        <v>57220001.56</v>
      </c>
      <c r="G855" t="n">
        <v>23257.2321</v>
      </c>
      <c r="H855" t="n">
        <v>2225.8436</v>
      </c>
      <c r="I855" t="n">
        <v>4045.4179</v>
      </c>
      <c r="J855" t="n">
        <v>15732.2732</v>
      </c>
      <c r="K855" t="n">
        <v>2019</v>
      </c>
      <c r="L855" t="n">
        <v>2035</v>
      </c>
      <c r="M855" t="n">
        <v>0.4157</v>
      </c>
      <c r="N855" t="n">
        <v>0.2236</v>
      </c>
      <c r="O855" t="n">
        <v>2019</v>
      </c>
      <c r="P855" t="n">
        <v>2030</v>
      </c>
      <c r="Q855" t="n">
        <v>0.3852</v>
      </c>
      <c r="R855" t="n">
        <v>158.2904</v>
      </c>
      <c r="S855" t="n">
        <v>0.00100695</v>
      </c>
      <c r="T855" t="n">
        <v>0.00065008</v>
      </c>
      <c r="U855" t="n">
        <v>23257.2321</v>
      </c>
      <c r="V855" t="inlineStr">
        <is>
          <t>Supplier Reported Emissions</t>
        </is>
      </c>
      <c r="W855" t="b">
        <v>0</v>
      </c>
      <c r="X855" t="inlineStr">
        <is>
          <t>High</t>
        </is>
      </c>
      <c r="Y855" t="inlineStr">
        <is>
          <t>None</t>
        </is>
      </c>
      <c r="Z855" t="n">
        <v>0.95</v>
      </c>
      <c r="AA855" t="inlineStr">
        <is>
          <t>Valid</t>
        </is>
      </c>
    </row>
    <row r="856">
      <c r="A856" t="inlineStr">
        <is>
          <t>SUP-0086</t>
        </is>
      </c>
      <c r="B856" t="inlineStr">
        <is>
          <t>Metals Supplier 086</t>
        </is>
      </c>
      <c r="C856" t="inlineStr">
        <is>
          <t>Metals</t>
        </is>
      </c>
      <c r="D856" t="n">
        <v>2019</v>
      </c>
      <c r="E856" t="n">
        <v>17933270.33</v>
      </c>
      <c r="F856" t="n">
        <v>68965909.91</v>
      </c>
      <c r="G856" t="n">
        <v>22661.4098</v>
      </c>
      <c r="H856" t="n">
        <v>3745.7809</v>
      </c>
      <c r="I856" t="inlineStr"/>
      <c r="J856" t="n">
        <v>15087.1779</v>
      </c>
      <c r="K856" t="n">
        <v>2019</v>
      </c>
      <c r="L856" t="n">
        <v>2035</v>
      </c>
      <c r="M856" t="n">
        <v>0.4157</v>
      </c>
      <c r="N856" t="n">
        <v>0.2236</v>
      </c>
      <c r="O856" t="n">
        <v>2019</v>
      </c>
      <c r="P856" t="n">
        <v>2030</v>
      </c>
      <c r="Q856" t="n">
        <v>0.3852</v>
      </c>
      <c r="R856" t="n">
        <v>158.2904</v>
      </c>
      <c r="S856" t="n">
        <v>0.00100695</v>
      </c>
      <c r="T856" t="n">
        <v>0.00065008</v>
      </c>
      <c r="U856" t="n">
        <v>22661.4098</v>
      </c>
      <c r="V856" t="inlineStr">
        <is>
          <t>Supplier Reported Emissions</t>
        </is>
      </c>
      <c r="W856" t="b">
        <v>0</v>
      </c>
      <c r="X856" t="inlineStr">
        <is>
          <t>High</t>
        </is>
      </c>
      <c r="Y856" t="inlineStr">
        <is>
          <t>Scope_Emissions</t>
        </is>
      </c>
      <c r="Z856" t="n">
        <v>0.95</v>
      </c>
      <c r="AA856" t="inlineStr">
        <is>
          <t>Valid</t>
        </is>
      </c>
    </row>
    <row r="857">
      <c r="A857" t="inlineStr">
        <is>
          <t>SUP-0086</t>
        </is>
      </c>
      <c r="B857" t="inlineStr">
        <is>
          <t>Metals Supplier 086</t>
        </is>
      </c>
      <c r="C857" t="inlineStr">
        <is>
          <t>Metals</t>
        </is>
      </c>
      <c r="D857" t="n">
        <v>2020</v>
      </c>
      <c r="E857" t="n">
        <v>19412942.09</v>
      </c>
      <c r="F857" t="n">
        <v>63455337.48</v>
      </c>
      <c r="G857" t="n">
        <v>24596.0472</v>
      </c>
      <c r="H857" t="n">
        <v>3216.4042</v>
      </c>
      <c r="I857" t="n">
        <v>2868.9629</v>
      </c>
      <c r="J857" t="n">
        <v>16715.2451</v>
      </c>
      <c r="K857" t="n">
        <v>2019</v>
      </c>
      <c r="L857" t="n">
        <v>2035</v>
      </c>
      <c r="M857" t="n">
        <v>0.4157</v>
      </c>
      <c r="N857" t="n">
        <v>0.2236</v>
      </c>
      <c r="O857" t="n">
        <v>2019</v>
      </c>
      <c r="P857" t="n">
        <v>2030</v>
      </c>
      <c r="Q857" t="n">
        <v>0.3852</v>
      </c>
      <c r="R857" t="n">
        <v>158.2904</v>
      </c>
      <c r="S857" t="n">
        <v>0.00100695</v>
      </c>
      <c r="T857" t="n">
        <v>0.00065008</v>
      </c>
      <c r="U857" t="n">
        <v>24596.0472</v>
      </c>
      <c r="V857" t="inlineStr">
        <is>
          <t>Supplier Reported Emissions</t>
        </is>
      </c>
      <c r="W857" t="b">
        <v>0</v>
      </c>
      <c r="X857" t="inlineStr">
        <is>
          <t>High</t>
        </is>
      </c>
      <c r="Y857" t="inlineStr">
        <is>
          <t>None</t>
        </is>
      </c>
      <c r="Z857" t="n">
        <v>0.95</v>
      </c>
      <c r="AA857" t="inlineStr">
        <is>
          <t>Valid</t>
        </is>
      </c>
    </row>
    <row r="858">
      <c r="A858" t="inlineStr">
        <is>
          <t>SUP-0086</t>
        </is>
      </c>
      <c r="B858" t="inlineStr">
        <is>
          <t>Metals Supplier 086</t>
        </is>
      </c>
      <c r="C858" t="inlineStr">
        <is>
          <t>Metals</t>
        </is>
      </c>
      <c r="D858" t="n">
        <v>2021</v>
      </c>
      <c r="E858" t="n">
        <v>18886287.92</v>
      </c>
      <c r="F858" t="inlineStr"/>
      <c r="G858" t="n">
        <v>20861.3846</v>
      </c>
      <c r="H858" t="inlineStr"/>
      <c r="I858" t="n">
        <v>4213.2748</v>
      </c>
      <c r="J858" t="inlineStr"/>
      <c r="K858" t="n">
        <v>2019</v>
      </c>
      <c r="L858" t="n">
        <v>2035</v>
      </c>
      <c r="M858" t="n">
        <v>0.4157</v>
      </c>
      <c r="N858" t="n">
        <v>0.2236</v>
      </c>
      <c r="O858" t="n">
        <v>2019</v>
      </c>
      <c r="P858" t="n">
        <v>2030</v>
      </c>
      <c r="Q858" t="n">
        <v>0.3852</v>
      </c>
      <c r="R858" t="n">
        <v>158.2904</v>
      </c>
      <c r="S858" t="n">
        <v>0.00100695</v>
      </c>
      <c r="T858" t="n">
        <v>0.00065008</v>
      </c>
      <c r="U858" t="n">
        <v>20861.3846</v>
      </c>
      <c r="V858" t="inlineStr">
        <is>
          <t>Supplier Reported Emissions</t>
        </is>
      </c>
      <c r="W858" t="b">
        <v>0</v>
      </c>
      <c r="X858" t="inlineStr">
        <is>
          <t>High</t>
        </is>
      </c>
      <c r="Y858" t="inlineStr">
        <is>
          <t>Revenue; Scope_Emissions</t>
        </is>
      </c>
      <c r="Z858" t="n">
        <v>0.95</v>
      </c>
      <c r="AA858" t="inlineStr">
        <is>
          <t>Valid</t>
        </is>
      </c>
    </row>
    <row r="859">
      <c r="A859" t="inlineStr">
        <is>
          <t>SUP-0086</t>
        </is>
      </c>
      <c r="B859" t="inlineStr">
        <is>
          <t>Metals Supplier 086</t>
        </is>
      </c>
      <c r="C859" t="inlineStr">
        <is>
          <t>Metals</t>
        </is>
      </c>
      <c r="D859" t="n">
        <v>2022</v>
      </c>
      <c r="E859" t="n">
        <v>18652196.61</v>
      </c>
      <c r="F859" t="n">
        <v>68285904.75</v>
      </c>
      <c r="G859" t="n">
        <v>23386.0152</v>
      </c>
      <c r="H859" t="n">
        <v>4510.1072</v>
      </c>
      <c r="I859" t="n">
        <v>1899.0992</v>
      </c>
      <c r="J859" t="n">
        <v>15223.3742</v>
      </c>
      <c r="K859" t="n">
        <v>2019</v>
      </c>
      <c r="L859" t="n">
        <v>2035</v>
      </c>
      <c r="M859" t="n">
        <v>0.4157</v>
      </c>
      <c r="N859" t="n">
        <v>0.2236</v>
      </c>
      <c r="O859" t="n">
        <v>2019</v>
      </c>
      <c r="P859" t="n">
        <v>2030</v>
      </c>
      <c r="Q859" t="n">
        <v>0.3852</v>
      </c>
      <c r="R859" t="n">
        <v>158.2904</v>
      </c>
      <c r="S859" t="n">
        <v>0.00100695</v>
      </c>
      <c r="T859" t="n">
        <v>0.00065008</v>
      </c>
      <c r="U859" t="n">
        <v>23386.0152</v>
      </c>
      <c r="V859" t="inlineStr">
        <is>
          <t>Supplier Reported Emissions</t>
        </is>
      </c>
      <c r="W859" t="b">
        <v>0</v>
      </c>
      <c r="X859" t="inlineStr">
        <is>
          <t>High</t>
        </is>
      </c>
      <c r="Y859" t="inlineStr">
        <is>
          <t>None</t>
        </is>
      </c>
      <c r="Z859" t="n">
        <v>0.95</v>
      </c>
      <c r="AA859" t="inlineStr">
        <is>
          <t>Valid</t>
        </is>
      </c>
    </row>
    <row r="860">
      <c r="A860" t="inlineStr">
        <is>
          <t>SUP-0086</t>
        </is>
      </c>
      <c r="B860" t="inlineStr">
        <is>
          <t>Metals Supplier 086</t>
        </is>
      </c>
      <c r="C860" t="inlineStr">
        <is>
          <t>Metals</t>
        </is>
      </c>
      <c r="D860" t="n">
        <v>2023</v>
      </c>
      <c r="E860" t="n">
        <v>15881119.2</v>
      </c>
      <c r="F860" t="n">
        <v>93156938.69</v>
      </c>
      <c r="G860" t="n">
        <v>13873.4148</v>
      </c>
      <c r="H860" t="n">
        <v>3750.8363</v>
      </c>
      <c r="I860" t="n">
        <v>1498.5045</v>
      </c>
      <c r="J860" t="n">
        <v>9318.6059</v>
      </c>
      <c r="K860" t="n">
        <v>2019</v>
      </c>
      <c r="L860" t="n">
        <v>2035</v>
      </c>
      <c r="M860" t="n">
        <v>0.4157</v>
      </c>
      <c r="N860" t="n">
        <v>0.2236</v>
      </c>
      <c r="O860" t="n">
        <v>2019</v>
      </c>
      <c r="P860" t="n">
        <v>2030</v>
      </c>
      <c r="Q860" t="n">
        <v>0.3852</v>
      </c>
      <c r="R860" t="n">
        <v>158.2904</v>
      </c>
      <c r="S860" t="n">
        <v>0.00100695</v>
      </c>
      <c r="T860" t="n">
        <v>0.00065008</v>
      </c>
      <c r="U860" t="n">
        <v>13873.4148</v>
      </c>
      <c r="V860" t="inlineStr">
        <is>
          <t>Supplier Reported Emissions</t>
        </is>
      </c>
      <c r="W860" t="b">
        <v>0</v>
      </c>
      <c r="X860" t="inlineStr">
        <is>
          <t>High</t>
        </is>
      </c>
      <c r="Y860" t="inlineStr">
        <is>
          <t>None</t>
        </is>
      </c>
      <c r="Z860" t="n">
        <v>0.95</v>
      </c>
      <c r="AA860" t="inlineStr">
        <is>
          <t>Valid</t>
        </is>
      </c>
    </row>
    <row r="861">
      <c r="A861" t="inlineStr">
        <is>
          <t>SUP-0086</t>
        </is>
      </c>
      <c r="B861" t="inlineStr">
        <is>
          <t>Metals Supplier 086</t>
        </is>
      </c>
      <c r="C861" t="inlineStr">
        <is>
          <t>Metals</t>
        </is>
      </c>
      <c r="D861" t="n">
        <v>2024</v>
      </c>
      <c r="E861" t="n">
        <v>17310943.41</v>
      </c>
      <c r="F861" t="n">
        <v>66016811.64</v>
      </c>
      <c r="G861" t="inlineStr"/>
      <c r="H861" t="n">
        <v>1494.6371</v>
      </c>
      <c r="I861" t="n">
        <v>2747.089</v>
      </c>
      <c r="J861" t="n">
        <v>11334.2244</v>
      </c>
      <c r="K861" t="n">
        <v>2019</v>
      </c>
      <c r="L861" t="n">
        <v>2035</v>
      </c>
      <c r="M861" t="n">
        <v>0.4157</v>
      </c>
      <c r="N861" t="n">
        <v>0.2236</v>
      </c>
      <c r="O861" t="n">
        <v>2019</v>
      </c>
      <c r="P861" t="n">
        <v>2030</v>
      </c>
      <c r="Q861" t="n">
        <v>0.3852</v>
      </c>
      <c r="R861" t="n">
        <v>158.2904</v>
      </c>
      <c r="S861" t="n">
        <v>0.00100695</v>
      </c>
      <c r="T861" t="n">
        <v>0.00065008</v>
      </c>
      <c r="U861" t="n">
        <v>15575.9505</v>
      </c>
      <c r="V861" t="inlineStr">
        <is>
          <t>Scope 1 + Scope 2 + Scope 3</t>
        </is>
      </c>
      <c r="W861" t="b">
        <v>1</v>
      </c>
      <c r="X861" t="inlineStr">
        <is>
          <t>High</t>
        </is>
      </c>
      <c r="Y861" t="inlineStr">
        <is>
          <t>Reported_Emissions</t>
        </is>
      </c>
      <c r="Z861" t="n">
        <v>0.88</v>
      </c>
      <c r="AA861" t="inlineStr">
        <is>
          <t>Valid</t>
        </is>
      </c>
    </row>
    <row r="862">
      <c r="A862" t="inlineStr">
        <is>
          <t>SUP-0087</t>
        </is>
      </c>
      <c r="B862" t="inlineStr">
        <is>
          <t>Agriculture Supplier 087</t>
        </is>
      </c>
      <c r="C862" t="inlineStr">
        <is>
          <t>Agriculture</t>
        </is>
      </c>
      <c r="D862" t="n">
        <v>2015</v>
      </c>
      <c r="E862" t="n">
        <v>22296739.27</v>
      </c>
      <c r="F862" t="n">
        <v>80653547.54000001</v>
      </c>
      <c r="G862" t="inlineStr"/>
      <c r="H862" t="n">
        <v>5381.6517</v>
      </c>
      <c r="I862" t="n">
        <v>3403.4256</v>
      </c>
      <c r="J862" t="n">
        <v>13125.5958</v>
      </c>
      <c r="K862" t="n">
        <v>2020</v>
      </c>
      <c r="L862" t="n">
        <v>2035</v>
      </c>
      <c r="M862" t="n">
        <v>0.2888</v>
      </c>
      <c r="N862" t="n">
        <v>0.1304</v>
      </c>
      <c r="O862" t="n">
        <v>2018</v>
      </c>
      <c r="P862" t="inlineStr"/>
      <c r="Q862" t="inlineStr"/>
      <c r="R862" t="n">
        <v>529.8294</v>
      </c>
      <c r="S862" t="n">
        <v>0.00091413</v>
      </c>
      <c r="T862" t="n">
        <v>0.00096913</v>
      </c>
      <c r="U862" t="n">
        <v>21910.6731</v>
      </c>
      <c r="V862" t="inlineStr">
        <is>
          <t>Scope 1 + Scope 2 + Scope 3</t>
        </is>
      </c>
      <c r="W862" t="b">
        <v>1</v>
      </c>
      <c r="X862" t="inlineStr">
        <is>
          <t>High</t>
        </is>
      </c>
      <c r="Y862" t="inlineStr">
        <is>
          <t>Reported_Emissions</t>
        </is>
      </c>
      <c r="Z862" t="n">
        <v>0.88</v>
      </c>
      <c r="AA862" t="inlineStr">
        <is>
          <t>Valid</t>
        </is>
      </c>
    </row>
    <row r="863">
      <c r="A863" t="inlineStr">
        <is>
          <t>SUP-0087</t>
        </is>
      </c>
      <c r="B863" t="inlineStr">
        <is>
          <t>Agriculture Supplier 087</t>
        </is>
      </c>
      <c r="C863" t="inlineStr">
        <is>
          <t>Agriculture</t>
        </is>
      </c>
      <c r="D863" t="n">
        <v>2016</v>
      </c>
      <c r="E863" t="n">
        <v>22304060.77</v>
      </c>
      <c r="F863" t="n">
        <v>88051614.14</v>
      </c>
      <c r="G863" t="n">
        <v>20442.586</v>
      </c>
      <c r="H863" t="inlineStr"/>
      <c r="I863" t="n">
        <v>3819.5531</v>
      </c>
      <c r="J863" t="n">
        <v>13653.9811</v>
      </c>
      <c r="K863" t="n">
        <v>2020</v>
      </c>
      <c r="L863" t="n">
        <v>2035</v>
      </c>
      <c r="M863" t="n">
        <v>0.2888</v>
      </c>
      <c r="N863" t="n">
        <v>0.1304</v>
      </c>
      <c r="O863" t="n">
        <v>2018</v>
      </c>
      <c r="P863" t="inlineStr"/>
      <c r="Q863" t="inlineStr"/>
      <c r="R863" t="n">
        <v>529.8294</v>
      </c>
      <c r="S863" t="n">
        <v>0.00091413</v>
      </c>
      <c r="T863" t="n">
        <v>0.00096913</v>
      </c>
      <c r="U863" t="n">
        <v>20442.586</v>
      </c>
      <c r="V863" t="inlineStr">
        <is>
          <t>Supplier Reported Emissions</t>
        </is>
      </c>
      <c r="W863" t="b">
        <v>0</v>
      </c>
      <c r="X863" t="inlineStr">
        <is>
          <t>High</t>
        </is>
      </c>
      <c r="Y863" t="inlineStr">
        <is>
          <t>Scope_Emissions</t>
        </is>
      </c>
      <c r="Z863" t="n">
        <v>0.95</v>
      </c>
      <c r="AA863" t="inlineStr">
        <is>
          <t>Valid</t>
        </is>
      </c>
    </row>
    <row r="864">
      <c r="A864" t="inlineStr">
        <is>
          <t>SUP-0087</t>
        </is>
      </c>
      <c r="B864" t="inlineStr">
        <is>
          <t>Agriculture Supplier 087</t>
        </is>
      </c>
      <c r="C864" t="inlineStr">
        <is>
          <t>Agriculture</t>
        </is>
      </c>
      <c r="D864" t="n">
        <v>2017</v>
      </c>
      <c r="E864" t="inlineStr"/>
      <c r="F864" t="n">
        <v>104064261.42</v>
      </c>
      <c r="G864" t="inlineStr"/>
      <c r="H864" t="n">
        <v>3516.0642</v>
      </c>
      <c r="I864" t="inlineStr"/>
      <c r="J864" t="n">
        <v>12597.1377</v>
      </c>
      <c r="K864" t="n">
        <v>2020</v>
      </c>
      <c r="L864" t="n">
        <v>2035</v>
      </c>
      <c r="M864" t="n">
        <v>0.2888</v>
      </c>
      <c r="N864" t="n">
        <v>0.1304</v>
      </c>
      <c r="O864" t="n">
        <v>2018</v>
      </c>
      <c r="P864" t="inlineStr"/>
      <c r="Q864" t="inlineStr"/>
      <c r="R864" t="n">
        <v>529.8294</v>
      </c>
      <c r="S864" t="n">
        <v>0.00091413</v>
      </c>
      <c r="T864" t="n">
        <v>0.00096913</v>
      </c>
      <c r="U864" t="n">
        <v>100851.7977</v>
      </c>
      <c r="V864" t="inlineStr">
        <is>
          <t>Revenue-Based Estimate</t>
        </is>
      </c>
      <c r="W864" t="b">
        <v>1</v>
      </c>
      <c r="X864" t="inlineStr">
        <is>
          <t>Medium-Low</t>
        </is>
      </c>
      <c r="Y864" t="inlineStr">
        <is>
          <t>Gross_Spend; Reported_Emissions; Scope_Emissions</t>
        </is>
      </c>
      <c r="Z864" t="n">
        <v>0.6</v>
      </c>
      <c r="AA864" t="inlineStr">
        <is>
          <t>Valid</t>
        </is>
      </c>
    </row>
    <row r="865">
      <c r="A865" t="inlineStr">
        <is>
          <t>SUP-0087</t>
        </is>
      </c>
      <c r="B865" t="inlineStr">
        <is>
          <t>Agriculture Supplier 087</t>
        </is>
      </c>
      <c r="C865" t="inlineStr">
        <is>
          <t>Agriculture</t>
        </is>
      </c>
      <c r="D865" t="n">
        <v>2018</v>
      </c>
      <c r="E865" t="n">
        <v>24368231.86</v>
      </c>
      <c r="F865" t="n">
        <v>83213723.81999999</v>
      </c>
      <c r="G865" t="n">
        <v>22096.7144</v>
      </c>
      <c r="H865" t="n">
        <v>4091.6849</v>
      </c>
      <c r="I865" t="n">
        <v>3446.7807</v>
      </c>
      <c r="J865" t="n">
        <v>14597.0262</v>
      </c>
      <c r="K865" t="n">
        <v>2020</v>
      </c>
      <c r="L865" t="n">
        <v>2035</v>
      </c>
      <c r="M865" t="n">
        <v>0.2888</v>
      </c>
      <c r="N865" t="n">
        <v>0.1304</v>
      </c>
      <c r="O865" t="n">
        <v>2018</v>
      </c>
      <c r="P865" t="inlineStr"/>
      <c r="Q865" t="inlineStr"/>
      <c r="R865" t="n">
        <v>529.8294</v>
      </c>
      <c r="S865" t="n">
        <v>0.00091413</v>
      </c>
      <c r="T865" t="n">
        <v>0.00096913</v>
      </c>
      <c r="U865" t="n">
        <v>22096.7144</v>
      </c>
      <c r="V865" t="inlineStr">
        <is>
          <t>Supplier Reported Emissions</t>
        </is>
      </c>
      <c r="W865" t="b">
        <v>0</v>
      </c>
      <c r="X865" t="inlineStr">
        <is>
          <t>High</t>
        </is>
      </c>
      <c r="Y865" t="inlineStr">
        <is>
          <t>None</t>
        </is>
      </c>
      <c r="Z865" t="n">
        <v>0.95</v>
      </c>
      <c r="AA865" t="inlineStr">
        <is>
          <t>Valid</t>
        </is>
      </c>
    </row>
    <row r="866">
      <c r="A866" t="inlineStr">
        <is>
          <t>SUP-0087</t>
        </is>
      </c>
      <c r="B866" t="inlineStr">
        <is>
          <t>Agriculture Supplier 087</t>
        </is>
      </c>
      <c r="C866" t="inlineStr">
        <is>
          <t>Agriculture</t>
        </is>
      </c>
      <c r="D866" t="n">
        <v>2019</v>
      </c>
      <c r="E866" t="n">
        <v>26628088.49</v>
      </c>
      <c r="F866" t="inlineStr"/>
      <c r="G866" t="n">
        <v>20606.2288</v>
      </c>
      <c r="H866" t="n">
        <v>2038.7749</v>
      </c>
      <c r="I866" t="n">
        <v>2239.3283</v>
      </c>
      <c r="J866" t="inlineStr"/>
      <c r="K866" t="n">
        <v>2020</v>
      </c>
      <c r="L866" t="n">
        <v>2035</v>
      </c>
      <c r="M866" t="n">
        <v>0.2888</v>
      </c>
      <c r="N866" t="n">
        <v>0.1304</v>
      </c>
      <c r="O866" t="n">
        <v>2018</v>
      </c>
      <c r="P866" t="inlineStr"/>
      <c r="Q866" t="inlineStr"/>
      <c r="R866" t="n">
        <v>529.8294</v>
      </c>
      <c r="S866" t="n">
        <v>0.00091413</v>
      </c>
      <c r="T866" t="n">
        <v>0.00096913</v>
      </c>
      <c r="U866" t="n">
        <v>20606.2288</v>
      </c>
      <c r="V866" t="inlineStr">
        <is>
          <t>Supplier Reported Emissions</t>
        </is>
      </c>
      <c r="W866" t="b">
        <v>0</v>
      </c>
      <c r="X866" t="inlineStr">
        <is>
          <t>High</t>
        </is>
      </c>
      <c r="Y866" t="inlineStr">
        <is>
          <t>Revenue; Scope_Emissions</t>
        </is>
      </c>
      <c r="Z866" t="n">
        <v>0.95</v>
      </c>
      <c r="AA866" t="inlineStr">
        <is>
          <t>Valid</t>
        </is>
      </c>
    </row>
    <row r="867">
      <c r="A867" t="inlineStr">
        <is>
          <t>SUP-0087</t>
        </is>
      </c>
      <c r="B867" t="inlineStr">
        <is>
          <t>Agriculture Supplier 087</t>
        </is>
      </c>
      <c r="C867" t="inlineStr">
        <is>
          <t>Agriculture</t>
        </is>
      </c>
      <c r="D867" t="n">
        <v>2020</v>
      </c>
      <c r="E867" t="n">
        <v>29117213.43</v>
      </c>
      <c r="F867" t="n">
        <v>111897155.73</v>
      </c>
      <c r="G867" t="n">
        <v>17196.2434</v>
      </c>
      <c r="H867" t="n">
        <v>3629.2296</v>
      </c>
      <c r="I867" t="n">
        <v>2495.4899</v>
      </c>
      <c r="J867" t="inlineStr"/>
      <c r="K867" t="n">
        <v>2020</v>
      </c>
      <c r="L867" t="n">
        <v>2035</v>
      </c>
      <c r="M867" t="n">
        <v>0.2888</v>
      </c>
      <c r="N867" t="n">
        <v>0.1304</v>
      </c>
      <c r="O867" t="n">
        <v>2018</v>
      </c>
      <c r="P867" t="inlineStr"/>
      <c r="Q867" t="inlineStr"/>
      <c r="R867" t="n">
        <v>529.8294</v>
      </c>
      <c r="S867" t="n">
        <v>0.00091413</v>
      </c>
      <c r="T867" t="n">
        <v>0.00096913</v>
      </c>
      <c r="U867" t="n">
        <v>17196.2434</v>
      </c>
      <c r="V867" t="inlineStr">
        <is>
          <t>Supplier Reported Emissions</t>
        </is>
      </c>
      <c r="W867" t="b">
        <v>0</v>
      </c>
      <c r="X867" t="inlineStr">
        <is>
          <t>High</t>
        </is>
      </c>
      <c r="Y867" t="inlineStr">
        <is>
          <t>Scope_Emissions</t>
        </is>
      </c>
      <c r="Z867" t="n">
        <v>0.95</v>
      </c>
      <c r="AA867" t="inlineStr">
        <is>
          <t>Valid</t>
        </is>
      </c>
    </row>
    <row r="868">
      <c r="A868" t="inlineStr">
        <is>
          <t>SUP-0087</t>
        </is>
      </c>
      <c r="B868" t="inlineStr">
        <is>
          <t>Agriculture Supplier 087</t>
        </is>
      </c>
      <c r="C868" t="inlineStr">
        <is>
          <t>Agriculture</t>
        </is>
      </c>
      <c r="D868" t="n">
        <v>2021</v>
      </c>
      <c r="E868" t="inlineStr"/>
      <c r="F868" t="n">
        <v>122744467.34</v>
      </c>
      <c r="G868" t="inlineStr"/>
      <c r="H868" t="n">
        <v>7619.5026</v>
      </c>
      <c r="I868" t="n">
        <v>4735.1568</v>
      </c>
      <c r="J868" t="n">
        <v>19018.7006</v>
      </c>
      <c r="K868" t="n">
        <v>2020</v>
      </c>
      <c r="L868" t="n">
        <v>2035</v>
      </c>
      <c r="M868" t="n">
        <v>0.2888</v>
      </c>
      <c r="N868" t="n">
        <v>0.1304</v>
      </c>
      <c r="O868" t="n">
        <v>2018</v>
      </c>
      <c r="P868" t="inlineStr"/>
      <c r="Q868" t="inlineStr"/>
      <c r="R868" t="n">
        <v>529.8294</v>
      </c>
      <c r="S868" t="n">
        <v>0.00091413</v>
      </c>
      <c r="T868" t="n">
        <v>0.00096913</v>
      </c>
      <c r="U868" t="n">
        <v>31373.36</v>
      </c>
      <c r="V868" t="inlineStr">
        <is>
          <t>Scope 1 + Scope 2 + Scope 3</t>
        </is>
      </c>
      <c r="W868" t="b">
        <v>1</v>
      </c>
      <c r="X868" t="inlineStr">
        <is>
          <t>High</t>
        </is>
      </c>
      <c r="Y868" t="inlineStr">
        <is>
          <t>Gross_Spend; Reported_Emissions</t>
        </is>
      </c>
      <c r="Z868" t="n">
        <v>0.88</v>
      </c>
      <c r="AA868" t="inlineStr">
        <is>
          <t>Valid</t>
        </is>
      </c>
    </row>
    <row r="869">
      <c r="A869" t="inlineStr">
        <is>
          <t>SUP-0087</t>
        </is>
      </c>
      <c r="B869" t="inlineStr">
        <is>
          <t>Agriculture Supplier 087</t>
        </is>
      </c>
      <c r="C869" t="inlineStr">
        <is>
          <t>Agriculture</t>
        </is>
      </c>
      <c r="D869" t="n">
        <v>2022</v>
      </c>
      <c r="E869" t="n">
        <v>31757574.25</v>
      </c>
      <c r="F869" t="n">
        <v>158422529.57</v>
      </c>
      <c r="G869" t="n">
        <v>21818.8696</v>
      </c>
      <c r="H869" t="inlineStr"/>
      <c r="I869" t="n">
        <v>1971.1617</v>
      </c>
      <c r="J869" t="n">
        <v>14797.3877</v>
      </c>
      <c r="K869" t="n">
        <v>2020</v>
      </c>
      <c r="L869" t="n">
        <v>2035</v>
      </c>
      <c r="M869" t="n">
        <v>0.2888</v>
      </c>
      <c r="N869" t="n">
        <v>0.1304</v>
      </c>
      <c r="O869" t="n">
        <v>2018</v>
      </c>
      <c r="P869" t="inlineStr"/>
      <c r="Q869" t="inlineStr"/>
      <c r="R869" t="n">
        <v>529.8294</v>
      </c>
      <c r="S869" t="n">
        <v>0.00091413</v>
      </c>
      <c r="T869" t="n">
        <v>0.00096913</v>
      </c>
      <c r="U869" t="n">
        <v>21818.8696</v>
      </c>
      <c r="V869" t="inlineStr">
        <is>
          <t>Supplier Reported Emissions</t>
        </is>
      </c>
      <c r="W869" t="b">
        <v>0</v>
      </c>
      <c r="X869" t="inlineStr">
        <is>
          <t>High</t>
        </is>
      </c>
      <c r="Y869" t="inlineStr">
        <is>
          <t>Scope_Emissions</t>
        </is>
      </c>
      <c r="Z869" t="n">
        <v>0.95</v>
      </c>
      <c r="AA869" t="inlineStr">
        <is>
          <t>Valid</t>
        </is>
      </c>
    </row>
    <row r="870">
      <c r="A870" t="inlineStr">
        <is>
          <t>SUP-0087</t>
        </is>
      </c>
      <c r="B870" t="inlineStr">
        <is>
          <t>Agriculture Supplier 087</t>
        </is>
      </c>
      <c r="C870" t="inlineStr">
        <is>
          <t>Agriculture</t>
        </is>
      </c>
      <c r="D870" t="n">
        <v>2023</v>
      </c>
      <c r="E870" t="n">
        <v>38410111.65</v>
      </c>
      <c r="F870" t="inlineStr"/>
      <c r="G870" t="inlineStr"/>
      <c r="H870" t="n">
        <v>3878.5754</v>
      </c>
      <c r="I870" t="n">
        <v>3763.7847</v>
      </c>
      <c r="J870" t="n">
        <v>12499.4002</v>
      </c>
      <c r="K870" t="n">
        <v>2020</v>
      </c>
      <c r="L870" t="n">
        <v>2035</v>
      </c>
      <c r="M870" t="n">
        <v>0.2888</v>
      </c>
      <c r="N870" t="n">
        <v>0.1304</v>
      </c>
      <c r="O870" t="n">
        <v>2018</v>
      </c>
      <c r="P870" t="inlineStr"/>
      <c r="Q870" t="inlineStr"/>
      <c r="R870" t="n">
        <v>529.8294</v>
      </c>
      <c r="S870" t="n">
        <v>0.00091413</v>
      </c>
      <c r="T870" t="n">
        <v>0.00096913</v>
      </c>
      <c r="U870" t="n">
        <v>20141.7603</v>
      </c>
      <c r="V870" t="inlineStr">
        <is>
          <t>Scope 1 + Scope 2 + Scope 3</t>
        </is>
      </c>
      <c r="W870" t="b">
        <v>1</v>
      </c>
      <c r="X870" t="inlineStr">
        <is>
          <t>High</t>
        </is>
      </c>
      <c r="Y870" t="inlineStr">
        <is>
          <t>Reported_Emissions; Revenue</t>
        </is>
      </c>
      <c r="Z870" t="n">
        <v>0.88</v>
      </c>
      <c r="AA870" t="inlineStr">
        <is>
          <t>Valid</t>
        </is>
      </c>
    </row>
    <row r="871">
      <c r="A871" t="inlineStr">
        <is>
          <t>SUP-0087</t>
        </is>
      </c>
      <c r="B871" t="inlineStr">
        <is>
          <t>Agriculture Supplier 087</t>
        </is>
      </c>
      <c r="C871" t="inlineStr">
        <is>
          <t>Agriculture</t>
        </is>
      </c>
      <c r="D871" t="n">
        <v>2024</v>
      </c>
      <c r="E871" t="n">
        <v>43755411.18</v>
      </c>
      <c r="F871" t="n">
        <v>143262500.87</v>
      </c>
      <c r="G871" t="n">
        <v>28286.5821</v>
      </c>
      <c r="H871" t="inlineStr"/>
      <c r="I871" t="n">
        <v>3339.6118</v>
      </c>
      <c r="J871" t="n">
        <v>20351.0716</v>
      </c>
      <c r="K871" t="n">
        <v>2020</v>
      </c>
      <c r="L871" t="n">
        <v>2035</v>
      </c>
      <c r="M871" t="n">
        <v>0.2888</v>
      </c>
      <c r="N871" t="n">
        <v>0.1304</v>
      </c>
      <c r="O871" t="n">
        <v>2018</v>
      </c>
      <c r="P871" t="inlineStr"/>
      <c r="Q871" t="inlineStr"/>
      <c r="R871" t="n">
        <v>529.8294</v>
      </c>
      <c r="S871" t="n">
        <v>0.00091413</v>
      </c>
      <c r="T871" t="n">
        <v>0.00096913</v>
      </c>
      <c r="U871" t="n">
        <v>28286.5821</v>
      </c>
      <c r="V871" t="inlineStr">
        <is>
          <t>Supplier Reported Emissions</t>
        </is>
      </c>
      <c r="W871" t="b">
        <v>0</v>
      </c>
      <c r="X871" t="inlineStr">
        <is>
          <t>High</t>
        </is>
      </c>
      <c r="Y871" t="inlineStr">
        <is>
          <t>Scope_Emissions</t>
        </is>
      </c>
      <c r="Z871" t="n">
        <v>0.95</v>
      </c>
      <c r="AA871" t="inlineStr">
        <is>
          <t>Valid</t>
        </is>
      </c>
    </row>
    <row r="872">
      <c r="A872" t="inlineStr">
        <is>
          <t>SUP-0088</t>
        </is>
      </c>
      <c r="B872" t="inlineStr">
        <is>
          <t>Packaging Supplier 088</t>
        </is>
      </c>
      <c r="C872" t="inlineStr">
        <is>
          <t>Packaging</t>
        </is>
      </c>
      <c r="D872" t="n">
        <v>2015</v>
      </c>
      <c r="E872" t="n">
        <v>16213992.41</v>
      </c>
      <c r="F872" t="inlineStr"/>
      <c r="G872" t="n">
        <v>14710.9914</v>
      </c>
      <c r="H872" t="n">
        <v>1699.0691</v>
      </c>
      <c r="I872" t="inlineStr"/>
      <c r="J872" t="n">
        <v>10876.5079</v>
      </c>
      <c r="K872" t="n">
        <v>2019</v>
      </c>
      <c r="L872" t="n">
        <v>2035</v>
      </c>
      <c r="M872" t="n">
        <v>0.4862</v>
      </c>
      <c r="N872" t="n">
        <v>0.1913</v>
      </c>
      <c r="O872" t="n">
        <v>2018</v>
      </c>
      <c r="P872" t="n">
        <v>2040</v>
      </c>
      <c r="Q872" t="n">
        <v>0.3112</v>
      </c>
      <c r="R872" t="n">
        <v>702.4188</v>
      </c>
      <c r="S872" t="n">
        <v>0.0010803</v>
      </c>
      <c r="T872" t="n">
        <v>0.00078946</v>
      </c>
      <c r="U872" t="n">
        <v>14710.9914</v>
      </c>
      <c r="V872" t="inlineStr">
        <is>
          <t>Supplier Reported Emissions</t>
        </is>
      </c>
      <c r="W872" t="b">
        <v>0</v>
      </c>
      <c r="X872" t="inlineStr">
        <is>
          <t>High</t>
        </is>
      </c>
      <c r="Y872" t="inlineStr">
        <is>
          <t>Revenue; Scope_Emissions</t>
        </is>
      </c>
      <c r="Z872" t="n">
        <v>0.95</v>
      </c>
      <c r="AA872" t="inlineStr">
        <is>
          <t>Valid</t>
        </is>
      </c>
    </row>
    <row r="873">
      <c r="A873" t="inlineStr">
        <is>
          <t>SUP-0088</t>
        </is>
      </c>
      <c r="B873" t="inlineStr">
        <is>
          <t>Packaging Supplier 088</t>
        </is>
      </c>
      <c r="C873" t="inlineStr">
        <is>
          <t>Packaging</t>
        </is>
      </c>
      <c r="D873" t="n">
        <v>2016</v>
      </c>
      <c r="E873" t="n">
        <v>18357249.86</v>
      </c>
      <c r="F873" t="n">
        <v>76707177.89</v>
      </c>
      <c r="G873" t="inlineStr"/>
      <c r="H873" t="inlineStr"/>
      <c r="I873" t="inlineStr"/>
      <c r="J873" t="n">
        <v>11931.6227</v>
      </c>
      <c r="K873" t="n">
        <v>2019</v>
      </c>
      <c r="L873" t="n">
        <v>2035</v>
      </c>
      <c r="M873" t="n">
        <v>0.4862</v>
      </c>
      <c r="N873" t="n">
        <v>0.1913</v>
      </c>
      <c r="O873" t="n">
        <v>2018</v>
      </c>
      <c r="P873" t="n">
        <v>2040</v>
      </c>
      <c r="Q873" t="n">
        <v>0.3112</v>
      </c>
      <c r="R873" t="n">
        <v>702.4188</v>
      </c>
      <c r="S873" t="n">
        <v>0.0010803</v>
      </c>
      <c r="T873" t="n">
        <v>0.00078946</v>
      </c>
      <c r="U873" t="n">
        <v>19831.337</v>
      </c>
      <c r="V873" t="inlineStr">
        <is>
          <t>Spend-Based Estimate</t>
        </is>
      </c>
      <c r="W873" t="b">
        <v>1</v>
      </c>
      <c r="X873" t="inlineStr">
        <is>
          <t>Medium</t>
        </is>
      </c>
      <c r="Y873" t="inlineStr">
        <is>
          <t>Reported_Emissions; Scope_Emissions</t>
        </is>
      </c>
      <c r="Z873" t="n">
        <v>0.7</v>
      </c>
      <c r="AA873" t="inlineStr">
        <is>
          <t>Valid</t>
        </is>
      </c>
    </row>
    <row r="874">
      <c r="A874" t="inlineStr">
        <is>
          <t>SUP-0088</t>
        </is>
      </c>
      <c r="B874" t="inlineStr">
        <is>
          <t>Packaging Supplier 088</t>
        </is>
      </c>
      <c r="C874" t="inlineStr">
        <is>
          <t>Packaging</t>
        </is>
      </c>
      <c r="D874" t="n">
        <v>2017</v>
      </c>
      <c r="E874" t="n">
        <v>21827408.76</v>
      </c>
      <c r="F874" t="n">
        <v>63663292.46</v>
      </c>
      <c r="G874" t="n">
        <v>24475.105</v>
      </c>
      <c r="H874" t="n">
        <v>2642.7979</v>
      </c>
      <c r="I874" t="n">
        <v>4024.8294</v>
      </c>
      <c r="J874" t="n">
        <v>19068.0722</v>
      </c>
      <c r="K874" t="n">
        <v>2019</v>
      </c>
      <c r="L874" t="n">
        <v>2035</v>
      </c>
      <c r="M874" t="n">
        <v>0.4862</v>
      </c>
      <c r="N874" t="n">
        <v>0.1913</v>
      </c>
      <c r="O874" t="n">
        <v>2018</v>
      </c>
      <c r="P874" t="n">
        <v>2040</v>
      </c>
      <c r="Q874" t="n">
        <v>0.3112</v>
      </c>
      <c r="R874" t="n">
        <v>702.4188</v>
      </c>
      <c r="S874" t="n">
        <v>0.0010803</v>
      </c>
      <c r="T874" t="n">
        <v>0.00078946</v>
      </c>
      <c r="U874" t="n">
        <v>24475.105</v>
      </c>
      <c r="V874" t="inlineStr">
        <is>
          <t>Supplier Reported Emissions</t>
        </is>
      </c>
      <c r="W874" t="b">
        <v>0</v>
      </c>
      <c r="X874" t="inlineStr">
        <is>
          <t>High</t>
        </is>
      </c>
      <c r="Y874" t="inlineStr">
        <is>
          <t>None</t>
        </is>
      </c>
      <c r="Z874" t="n">
        <v>0.95</v>
      </c>
      <c r="AA874" t="inlineStr">
        <is>
          <t>Valid</t>
        </is>
      </c>
    </row>
    <row r="875">
      <c r="A875" t="inlineStr">
        <is>
          <t>SUP-0088</t>
        </is>
      </c>
      <c r="B875" t="inlineStr">
        <is>
          <t>Packaging Supplier 088</t>
        </is>
      </c>
      <c r="C875" t="inlineStr">
        <is>
          <t>Packaging</t>
        </is>
      </c>
      <c r="D875" t="n">
        <v>2018</v>
      </c>
      <c r="E875" t="n">
        <v>22366361.33</v>
      </c>
      <c r="F875" t="n">
        <v>88262040.97</v>
      </c>
      <c r="G875" t="n">
        <v>21066.6321</v>
      </c>
      <c r="H875" t="n">
        <v>3489.3805</v>
      </c>
      <c r="I875" t="n">
        <v>3834.6894</v>
      </c>
      <c r="J875" t="n">
        <v>13878.0286</v>
      </c>
      <c r="K875" t="n">
        <v>2019</v>
      </c>
      <c r="L875" t="n">
        <v>2035</v>
      </c>
      <c r="M875" t="n">
        <v>0.4862</v>
      </c>
      <c r="N875" t="n">
        <v>0.1913</v>
      </c>
      <c r="O875" t="n">
        <v>2018</v>
      </c>
      <c r="P875" t="n">
        <v>2040</v>
      </c>
      <c r="Q875" t="n">
        <v>0.3112</v>
      </c>
      <c r="R875" t="n">
        <v>702.4188</v>
      </c>
      <c r="S875" t="n">
        <v>0.0010803</v>
      </c>
      <c r="T875" t="n">
        <v>0.00078946</v>
      </c>
      <c r="U875" t="n">
        <v>21066.6321</v>
      </c>
      <c r="V875" t="inlineStr">
        <is>
          <t>Supplier Reported Emissions</t>
        </is>
      </c>
      <c r="W875" t="b">
        <v>0</v>
      </c>
      <c r="X875" t="inlineStr">
        <is>
          <t>High</t>
        </is>
      </c>
      <c r="Y875" t="inlineStr">
        <is>
          <t>None</t>
        </is>
      </c>
      <c r="Z875" t="n">
        <v>0.95</v>
      </c>
      <c r="AA875" t="inlineStr">
        <is>
          <t>Valid</t>
        </is>
      </c>
    </row>
    <row r="876">
      <c r="A876" t="inlineStr">
        <is>
          <t>SUP-0088</t>
        </is>
      </c>
      <c r="B876" t="inlineStr">
        <is>
          <t>Packaging Supplier 088</t>
        </is>
      </c>
      <c r="C876" t="inlineStr">
        <is>
          <t>Packaging</t>
        </is>
      </c>
      <c r="D876" t="n">
        <v>2019</v>
      </c>
      <c r="E876" t="n">
        <v>23577299.3</v>
      </c>
      <c r="F876" t="n">
        <v>80800602.72</v>
      </c>
      <c r="G876" t="n">
        <v>25170.1277</v>
      </c>
      <c r="H876" t="n">
        <v>3049.8513</v>
      </c>
      <c r="I876" t="n">
        <v>3388.3604</v>
      </c>
      <c r="J876" t="n">
        <v>17503.8366</v>
      </c>
      <c r="K876" t="n">
        <v>2019</v>
      </c>
      <c r="L876" t="n">
        <v>2035</v>
      </c>
      <c r="M876" t="n">
        <v>0.4862</v>
      </c>
      <c r="N876" t="n">
        <v>0.1913</v>
      </c>
      <c r="O876" t="n">
        <v>2018</v>
      </c>
      <c r="P876" t="n">
        <v>2040</v>
      </c>
      <c r="Q876" t="n">
        <v>0.3112</v>
      </c>
      <c r="R876" t="n">
        <v>702.4188</v>
      </c>
      <c r="S876" t="n">
        <v>0.0010803</v>
      </c>
      <c r="T876" t="n">
        <v>0.00078946</v>
      </c>
      <c r="U876" t="n">
        <v>25170.1277</v>
      </c>
      <c r="V876" t="inlineStr">
        <is>
          <t>Supplier Reported Emissions</t>
        </is>
      </c>
      <c r="W876" t="b">
        <v>0</v>
      </c>
      <c r="X876" t="inlineStr">
        <is>
          <t>High</t>
        </is>
      </c>
      <c r="Y876" t="inlineStr">
        <is>
          <t>None</t>
        </is>
      </c>
      <c r="Z876" t="n">
        <v>0.95</v>
      </c>
      <c r="AA876" t="inlineStr">
        <is>
          <t>Valid</t>
        </is>
      </c>
    </row>
    <row r="877">
      <c r="A877" t="inlineStr">
        <is>
          <t>SUP-0088</t>
        </is>
      </c>
      <c r="B877" t="inlineStr">
        <is>
          <t>Packaging Supplier 088</t>
        </is>
      </c>
      <c r="C877" t="inlineStr">
        <is>
          <t>Packaging</t>
        </is>
      </c>
      <c r="D877" t="n">
        <v>2020</v>
      </c>
      <c r="E877" t="n">
        <v>23723958.62</v>
      </c>
      <c r="F877" t="n">
        <v>81952174.28</v>
      </c>
      <c r="G877" t="n">
        <v>23335.7173</v>
      </c>
      <c r="H877" t="n">
        <v>4423.5835</v>
      </c>
      <c r="I877" t="inlineStr"/>
      <c r="J877" t="inlineStr"/>
      <c r="K877" t="n">
        <v>2019</v>
      </c>
      <c r="L877" t="n">
        <v>2035</v>
      </c>
      <c r="M877" t="n">
        <v>0.4862</v>
      </c>
      <c r="N877" t="n">
        <v>0.1913</v>
      </c>
      <c r="O877" t="n">
        <v>2018</v>
      </c>
      <c r="P877" t="n">
        <v>2040</v>
      </c>
      <c r="Q877" t="n">
        <v>0.3112</v>
      </c>
      <c r="R877" t="n">
        <v>702.4188</v>
      </c>
      <c r="S877" t="n">
        <v>0.0010803</v>
      </c>
      <c r="T877" t="n">
        <v>0.00078946</v>
      </c>
      <c r="U877" t="n">
        <v>23335.7173</v>
      </c>
      <c r="V877" t="inlineStr">
        <is>
          <t>Supplier Reported Emissions</t>
        </is>
      </c>
      <c r="W877" t="b">
        <v>0</v>
      </c>
      <c r="X877" t="inlineStr">
        <is>
          <t>High</t>
        </is>
      </c>
      <c r="Y877" t="inlineStr">
        <is>
          <t>Scope_Emissions</t>
        </is>
      </c>
      <c r="Z877" t="n">
        <v>0.95</v>
      </c>
      <c r="AA877" t="inlineStr">
        <is>
          <t>Valid</t>
        </is>
      </c>
    </row>
    <row r="878">
      <c r="A878" t="inlineStr">
        <is>
          <t>SUP-0088</t>
        </is>
      </c>
      <c r="B878" t="inlineStr">
        <is>
          <t>Packaging Supplier 088</t>
        </is>
      </c>
      <c r="C878" t="inlineStr">
        <is>
          <t>Packaging</t>
        </is>
      </c>
      <c r="D878" t="n">
        <v>2021</v>
      </c>
      <c r="E878" t="n">
        <v>26366092.27</v>
      </c>
      <c r="F878" t="n">
        <v>111666862.93</v>
      </c>
      <c r="G878" t="inlineStr"/>
      <c r="H878" t="n">
        <v>4000.2735</v>
      </c>
      <c r="I878" t="n">
        <v>1947.0458</v>
      </c>
      <c r="J878" t="n">
        <v>19321.6806</v>
      </c>
      <c r="K878" t="n">
        <v>2019</v>
      </c>
      <c r="L878" t="n">
        <v>2035</v>
      </c>
      <c r="M878" t="n">
        <v>0.4862</v>
      </c>
      <c r="N878" t="n">
        <v>0.1913</v>
      </c>
      <c r="O878" t="n">
        <v>2018</v>
      </c>
      <c r="P878" t="n">
        <v>2040</v>
      </c>
      <c r="Q878" t="n">
        <v>0.3112</v>
      </c>
      <c r="R878" t="n">
        <v>702.4188</v>
      </c>
      <c r="S878" t="n">
        <v>0.0010803</v>
      </c>
      <c r="T878" t="n">
        <v>0.00078946</v>
      </c>
      <c r="U878" t="n">
        <v>25268.9999</v>
      </c>
      <c r="V878" t="inlineStr">
        <is>
          <t>Scope 1 + Scope 2 + Scope 3</t>
        </is>
      </c>
      <c r="W878" t="b">
        <v>1</v>
      </c>
      <c r="X878" t="inlineStr">
        <is>
          <t>High</t>
        </is>
      </c>
      <c r="Y878" t="inlineStr">
        <is>
          <t>Reported_Emissions</t>
        </is>
      </c>
      <c r="Z878" t="n">
        <v>0.88</v>
      </c>
      <c r="AA878" t="inlineStr">
        <is>
          <t>Valid</t>
        </is>
      </c>
    </row>
    <row r="879">
      <c r="A879" t="inlineStr">
        <is>
          <t>SUP-0088</t>
        </is>
      </c>
      <c r="B879" t="inlineStr">
        <is>
          <t>Packaging Supplier 088</t>
        </is>
      </c>
      <c r="C879" t="inlineStr">
        <is>
          <t>Packaging</t>
        </is>
      </c>
      <c r="D879" t="n">
        <v>2022</v>
      </c>
      <c r="E879" t="n">
        <v>24257059.84</v>
      </c>
      <c r="F879" t="n">
        <v>108391641.06</v>
      </c>
      <c r="G879" t="n">
        <v>26658.3921</v>
      </c>
      <c r="H879" t="n">
        <v>7575.9251</v>
      </c>
      <c r="I879" t="n">
        <v>5361.1951</v>
      </c>
      <c r="J879" t="inlineStr"/>
      <c r="K879" t="n">
        <v>2019</v>
      </c>
      <c r="L879" t="n">
        <v>2035</v>
      </c>
      <c r="M879" t="n">
        <v>0.4862</v>
      </c>
      <c r="N879" t="n">
        <v>0.1913</v>
      </c>
      <c r="O879" t="n">
        <v>2018</v>
      </c>
      <c r="P879" t="n">
        <v>2040</v>
      </c>
      <c r="Q879" t="n">
        <v>0.3112</v>
      </c>
      <c r="R879" t="n">
        <v>702.4188</v>
      </c>
      <c r="S879" t="n">
        <v>0.0010803</v>
      </c>
      <c r="T879" t="n">
        <v>0.00078946</v>
      </c>
      <c r="U879" t="n">
        <v>26658.3921</v>
      </c>
      <c r="V879" t="inlineStr">
        <is>
          <t>Supplier Reported Emissions</t>
        </is>
      </c>
      <c r="W879" t="b">
        <v>0</v>
      </c>
      <c r="X879" t="inlineStr">
        <is>
          <t>High</t>
        </is>
      </c>
      <c r="Y879" t="inlineStr">
        <is>
          <t>Scope_Emissions</t>
        </is>
      </c>
      <c r="Z879" t="n">
        <v>0.95</v>
      </c>
      <c r="AA879" t="inlineStr">
        <is>
          <t>Valid</t>
        </is>
      </c>
    </row>
    <row r="880">
      <c r="A880" t="inlineStr">
        <is>
          <t>SUP-0088</t>
        </is>
      </c>
      <c r="B880" t="inlineStr">
        <is>
          <t>Packaging Supplier 088</t>
        </is>
      </c>
      <c r="C880" t="inlineStr">
        <is>
          <t>Packaging</t>
        </is>
      </c>
      <c r="D880" t="n">
        <v>2023</v>
      </c>
      <c r="E880" t="n">
        <v>31234811.61</v>
      </c>
      <c r="F880" t="n">
        <v>125415025.12</v>
      </c>
      <c r="G880" t="n">
        <v>39939.4808</v>
      </c>
      <c r="H880" t="n">
        <v>3642.8112</v>
      </c>
      <c r="I880" t="n">
        <v>8009.4314</v>
      </c>
      <c r="J880" t="n">
        <v>27155.4463</v>
      </c>
      <c r="K880" t="n">
        <v>2019</v>
      </c>
      <c r="L880" t="n">
        <v>2035</v>
      </c>
      <c r="M880" t="n">
        <v>0.4862</v>
      </c>
      <c r="N880" t="n">
        <v>0.1913</v>
      </c>
      <c r="O880" t="n">
        <v>2018</v>
      </c>
      <c r="P880" t="n">
        <v>2040</v>
      </c>
      <c r="Q880" t="n">
        <v>0.3112</v>
      </c>
      <c r="R880" t="n">
        <v>702.4188</v>
      </c>
      <c r="S880" t="n">
        <v>0.0010803</v>
      </c>
      <c r="T880" t="n">
        <v>0.00078946</v>
      </c>
      <c r="U880" t="n">
        <v>39939.4808</v>
      </c>
      <c r="V880" t="inlineStr">
        <is>
          <t>Supplier Reported Emissions</t>
        </is>
      </c>
      <c r="W880" t="b">
        <v>0</v>
      </c>
      <c r="X880" t="inlineStr">
        <is>
          <t>High</t>
        </is>
      </c>
      <c r="Y880" t="inlineStr">
        <is>
          <t>None</t>
        </is>
      </c>
      <c r="Z880" t="n">
        <v>0.95</v>
      </c>
      <c r="AA880" t="inlineStr">
        <is>
          <t>Valid</t>
        </is>
      </c>
    </row>
    <row r="881">
      <c r="A881" t="inlineStr">
        <is>
          <t>SUP-0088</t>
        </is>
      </c>
      <c r="B881" t="inlineStr">
        <is>
          <t>Packaging Supplier 088</t>
        </is>
      </c>
      <c r="C881" t="inlineStr">
        <is>
          <t>Packaging</t>
        </is>
      </c>
      <c r="D881" t="n">
        <v>2024</v>
      </c>
      <c r="E881" t="n">
        <v>23582117.97</v>
      </c>
      <c r="F881" t="n">
        <v>76755971.09999999</v>
      </c>
      <c r="G881" t="n">
        <v>20140.6729</v>
      </c>
      <c r="H881" t="n">
        <v>4003.0138</v>
      </c>
      <c r="I881" t="inlineStr"/>
      <c r="J881" t="n">
        <v>12780.2569</v>
      </c>
      <c r="K881" t="n">
        <v>2019</v>
      </c>
      <c r="L881" t="n">
        <v>2035</v>
      </c>
      <c r="M881" t="n">
        <v>0.4862</v>
      </c>
      <c r="N881" t="n">
        <v>0.1913</v>
      </c>
      <c r="O881" t="n">
        <v>2018</v>
      </c>
      <c r="P881" t="n">
        <v>2040</v>
      </c>
      <c r="Q881" t="n">
        <v>0.3112</v>
      </c>
      <c r="R881" t="n">
        <v>702.4188</v>
      </c>
      <c r="S881" t="n">
        <v>0.0010803</v>
      </c>
      <c r="T881" t="n">
        <v>0.00078946</v>
      </c>
      <c r="U881" t="n">
        <v>20140.6729</v>
      </c>
      <c r="V881" t="inlineStr">
        <is>
          <t>Supplier Reported Emissions</t>
        </is>
      </c>
      <c r="W881" t="b">
        <v>0</v>
      </c>
      <c r="X881" t="inlineStr">
        <is>
          <t>High</t>
        </is>
      </c>
      <c r="Y881" t="inlineStr">
        <is>
          <t>Scope_Emissions</t>
        </is>
      </c>
      <c r="Z881" t="n">
        <v>0.95</v>
      </c>
      <c r="AA881" t="inlineStr">
        <is>
          <t>Valid</t>
        </is>
      </c>
    </row>
    <row r="882">
      <c r="A882" t="inlineStr">
        <is>
          <t>SUP-0089</t>
        </is>
      </c>
      <c r="B882" t="inlineStr">
        <is>
          <t>Professional Supplier 089</t>
        </is>
      </c>
      <c r="C882" t="inlineStr">
        <is>
          <t>Professional Services</t>
        </is>
      </c>
      <c r="D882" t="n">
        <v>2015</v>
      </c>
      <c r="E882" t="n">
        <v>2537425.14</v>
      </c>
      <c r="F882" t="n">
        <v>11963311.72</v>
      </c>
      <c r="G882" t="n">
        <v>271.3481</v>
      </c>
      <c r="H882" t="inlineStr"/>
      <c r="I882" t="n">
        <v>24.9726</v>
      </c>
      <c r="J882" t="n">
        <v>188.4289</v>
      </c>
      <c r="K882" t="n">
        <v>2021</v>
      </c>
      <c r="L882" t="n">
        <v>2035</v>
      </c>
      <c r="M882" t="n">
        <v>0.3882</v>
      </c>
      <c r="N882" t="n">
        <v>0.2508</v>
      </c>
      <c r="O882" t="n">
        <v>2020</v>
      </c>
      <c r="P882" t="inlineStr"/>
      <c r="Q882" t="inlineStr"/>
      <c r="R882" t="n">
        <v>400.0326</v>
      </c>
      <c r="S882" t="n">
        <v>0.00012906</v>
      </c>
      <c r="T882" t="n">
        <v>0.00019658</v>
      </c>
      <c r="U882" t="n">
        <v>271.3481</v>
      </c>
      <c r="V882" t="inlineStr">
        <is>
          <t>Supplier Reported Emissions</t>
        </is>
      </c>
      <c r="W882" t="b">
        <v>0</v>
      </c>
      <c r="X882" t="inlineStr">
        <is>
          <t>High</t>
        </is>
      </c>
      <c r="Y882" t="inlineStr">
        <is>
          <t>Scope_Emissions</t>
        </is>
      </c>
      <c r="Z882" t="n">
        <v>0.95</v>
      </c>
      <c r="AA882" t="inlineStr">
        <is>
          <t>Valid</t>
        </is>
      </c>
    </row>
    <row r="883">
      <c r="A883" t="inlineStr">
        <is>
          <t>SUP-0089</t>
        </is>
      </c>
      <c r="B883" t="inlineStr">
        <is>
          <t>Professional Supplier 089</t>
        </is>
      </c>
      <c r="C883" t="inlineStr">
        <is>
          <t>Professional Services</t>
        </is>
      </c>
      <c r="D883" t="n">
        <v>2016</v>
      </c>
      <c r="E883" t="n">
        <v>2768259.56</v>
      </c>
      <c r="F883" t="n">
        <v>14759812.15</v>
      </c>
      <c r="G883" t="n">
        <v>281.7592</v>
      </c>
      <c r="H883" t="n">
        <v>71.6507</v>
      </c>
      <c r="I883" t="n">
        <v>48.4433</v>
      </c>
      <c r="J883" t="n">
        <v>152.1737</v>
      </c>
      <c r="K883" t="n">
        <v>2021</v>
      </c>
      <c r="L883" t="n">
        <v>2035</v>
      </c>
      <c r="M883" t="n">
        <v>0.3882</v>
      </c>
      <c r="N883" t="n">
        <v>0.2508</v>
      </c>
      <c r="O883" t="n">
        <v>2020</v>
      </c>
      <c r="P883" t="inlineStr"/>
      <c r="Q883" t="inlineStr"/>
      <c r="R883" t="n">
        <v>400.0326</v>
      </c>
      <c r="S883" t="n">
        <v>0.00012906</v>
      </c>
      <c r="T883" t="n">
        <v>0.00019658</v>
      </c>
      <c r="U883" t="n">
        <v>281.7592</v>
      </c>
      <c r="V883" t="inlineStr">
        <is>
          <t>Supplier Reported Emissions</t>
        </is>
      </c>
      <c r="W883" t="b">
        <v>0</v>
      </c>
      <c r="X883" t="inlineStr">
        <is>
          <t>High</t>
        </is>
      </c>
      <c r="Y883" t="inlineStr">
        <is>
          <t>None</t>
        </is>
      </c>
      <c r="Z883" t="n">
        <v>0.95</v>
      </c>
      <c r="AA883" t="inlineStr">
        <is>
          <t>Valid</t>
        </is>
      </c>
    </row>
    <row r="884">
      <c r="A884" t="inlineStr">
        <is>
          <t>SUP-0089</t>
        </is>
      </c>
      <c r="B884" t="inlineStr">
        <is>
          <t>Professional Supplier 089</t>
        </is>
      </c>
      <c r="C884" t="inlineStr">
        <is>
          <t>Professional Services</t>
        </is>
      </c>
      <c r="D884" t="n">
        <v>2017</v>
      </c>
      <c r="E884" t="n">
        <v>3032830.6</v>
      </c>
      <c r="F884" t="n">
        <v>17319335.59</v>
      </c>
      <c r="G884" t="n">
        <v>335.2869</v>
      </c>
      <c r="H884" t="n">
        <v>47.9985</v>
      </c>
      <c r="I884" t="n">
        <v>35.7254</v>
      </c>
      <c r="J884" t="inlineStr"/>
      <c r="K884" t="n">
        <v>2021</v>
      </c>
      <c r="L884" t="n">
        <v>2035</v>
      </c>
      <c r="M884" t="n">
        <v>0.3882</v>
      </c>
      <c r="N884" t="n">
        <v>0.2508</v>
      </c>
      <c r="O884" t="n">
        <v>2020</v>
      </c>
      <c r="P884" t="inlineStr"/>
      <c r="Q884" t="inlineStr"/>
      <c r="R884" t="n">
        <v>400.0326</v>
      </c>
      <c r="S884" t="n">
        <v>0.00012906</v>
      </c>
      <c r="T884" t="n">
        <v>0.00019658</v>
      </c>
      <c r="U884" t="n">
        <v>335.2869</v>
      </c>
      <c r="V884" t="inlineStr">
        <is>
          <t>Supplier Reported Emissions</t>
        </is>
      </c>
      <c r="W884" t="b">
        <v>0</v>
      </c>
      <c r="X884" t="inlineStr">
        <is>
          <t>High</t>
        </is>
      </c>
      <c r="Y884" t="inlineStr">
        <is>
          <t>Scope_Emissions</t>
        </is>
      </c>
      <c r="Z884" t="n">
        <v>0.95</v>
      </c>
      <c r="AA884" t="inlineStr">
        <is>
          <t>Valid</t>
        </is>
      </c>
    </row>
    <row r="885">
      <c r="A885" t="inlineStr">
        <is>
          <t>SUP-0089</t>
        </is>
      </c>
      <c r="B885" t="inlineStr">
        <is>
          <t>Professional Supplier 089</t>
        </is>
      </c>
      <c r="C885" t="inlineStr">
        <is>
          <t>Professional Services</t>
        </is>
      </c>
      <c r="D885" t="n">
        <v>2018</v>
      </c>
      <c r="E885" t="n">
        <v>3341618.3</v>
      </c>
      <c r="F885" t="n">
        <v>18054329.23</v>
      </c>
      <c r="G885" t="n">
        <v>323.3069</v>
      </c>
      <c r="H885" t="n">
        <v>34.7055</v>
      </c>
      <c r="I885" t="n">
        <v>55.9019</v>
      </c>
      <c r="J885" t="n">
        <v>277.2126</v>
      </c>
      <c r="K885" t="n">
        <v>2021</v>
      </c>
      <c r="L885" t="n">
        <v>2035</v>
      </c>
      <c r="M885" t="n">
        <v>0.3882</v>
      </c>
      <c r="N885" t="n">
        <v>0.2508</v>
      </c>
      <c r="O885" t="n">
        <v>2020</v>
      </c>
      <c r="P885" t="inlineStr"/>
      <c r="Q885" t="inlineStr"/>
      <c r="R885" t="n">
        <v>400.0326</v>
      </c>
      <c r="S885" t="n">
        <v>0.00012906</v>
      </c>
      <c r="T885" t="n">
        <v>0.00019658</v>
      </c>
      <c r="U885" t="n">
        <v>323.3069</v>
      </c>
      <c r="V885" t="inlineStr">
        <is>
          <t>Supplier Reported Emissions</t>
        </is>
      </c>
      <c r="W885" t="b">
        <v>0</v>
      </c>
      <c r="X885" t="inlineStr">
        <is>
          <t>High</t>
        </is>
      </c>
      <c r="Y885" t="inlineStr">
        <is>
          <t>None</t>
        </is>
      </c>
      <c r="Z885" t="n">
        <v>0.95</v>
      </c>
      <c r="AA885" t="inlineStr">
        <is>
          <t>Valid</t>
        </is>
      </c>
    </row>
    <row r="886">
      <c r="A886" t="inlineStr">
        <is>
          <t>SUP-0089</t>
        </is>
      </c>
      <c r="B886" t="inlineStr">
        <is>
          <t>Professional Supplier 089</t>
        </is>
      </c>
      <c r="C886" t="inlineStr">
        <is>
          <t>Professional Services</t>
        </is>
      </c>
      <c r="D886" t="n">
        <v>2019</v>
      </c>
      <c r="E886" t="n">
        <v>3471994.11</v>
      </c>
      <c r="F886" t="n">
        <v>17534567.82</v>
      </c>
      <c r="G886" t="inlineStr"/>
      <c r="H886" t="inlineStr"/>
      <c r="I886" t="n">
        <v>38.5534</v>
      </c>
      <c r="J886" t="inlineStr"/>
      <c r="K886" t="n">
        <v>2021</v>
      </c>
      <c r="L886" t="n">
        <v>2035</v>
      </c>
      <c r="M886" t="n">
        <v>0.3882</v>
      </c>
      <c r="N886" t="n">
        <v>0.2508</v>
      </c>
      <c r="O886" t="n">
        <v>2020</v>
      </c>
      <c r="P886" t="inlineStr"/>
      <c r="Q886" t="inlineStr"/>
      <c r="R886" t="n">
        <v>400.0326</v>
      </c>
      <c r="S886" t="n">
        <v>0.00012906</v>
      </c>
      <c r="T886" t="n">
        <v>0.00019658</v>
      </c>
      <c r="U886" t="n">
        <v>448.0956</v>
      </c>
      <c r="V886" t="inlineStr">
        <is>
          <t>Spend-Based Estimate</t>
        </is>
      </c>
      <c r="W886" t="b">
        <v>1</v>
      </c>
      <c r="X886" t="inlineStr">
        <is>
          <t>Medium</t>
        </is>
      </c>
      <c r="Y886" t="inlineStr">
        <is>
          <t>Reported_Emissions; Scope_Emissions</t>
        </is>
      </c>
      <c r="Z886" t="n">
        <v>0.7</v>
      </c>
      <c r="AA886" t="inlineStr">
        <is>
          <t>Valid</t>
        </is>
      </c>
    </row>
    <row r="887">
      <c r="A887" t="inlineStr">
        <is>
          <t>SUP-0089</t>
        </is>
      </c>
      <c r="B887" t="inlineStr">
        <is>
          <t>Professional Supplier 089</t>
        </is>
      </c>
      <c r="C887" t="inlineStr">
        <is>
          <t>Professional Services</t>
        </is>
      </c>
      <c r="D887" t="n">
        <v>2020</v>
      </c>
      <c r="E887" t="n">
        <v>4605517.45</v>
      </c>
      <c r="F887" t="n">
        <v>23896527.28</v>
      </c>
      <c r="G887" t="n">
        <v>456.4388</v>
      </c>
      <c r="H887" t="inlineStr"/>
      <c r="I887" t="n">
        <v>84.3145</v>
      </c>
      <c r="J887" t="n">
        <v>283.8666</v>
      </c>
      <c r="K887" t="n">
        <v>2021</v>
      </c>
      <c r="L887" t="n">
        <v>2035</v>
      </c>
      <c r="M887" t="n">
        <v>0.3882</v>
      </c>
      <c r="N887" t="n">
        <v>0.2508</v>
      </c>
      <c r="O887" t="n">
        <v>2020</v>
      </c>
      <c r="P887" t="inlineStr"/>
      <c r="Q887" t="inlineStr"/>
      <c r="R887" t="n">
        <v>400.0326</v>
      </c>
      <c r="S887" t="n">
        <v>0.00012906</v>
      </c>
      <c r="T887" t="n">
        <v>0.00019658</v>
      </c>
      <c r="U887" t="n">
        <v>456.4388</v>
      </c>
      <c r="V887" t="inlineStr">
        <is>
          <t>Supplier Reported Emissions</t>
        </is>
      </c>
      <c r="W887" t="b">
        <v>0</v>
      </c>
      <c r="X887" t="inlineStr">
        <is>
          <t>High</t>
        </is>
      </c>
      <c r="Y887" t="inlineStr">
        <is>
          <t>Scope_Emissions</t>
        </is>
      </c>
      <c r="Z887" t="n">
        <v>0.95</v>
      </c>
      <c r="AA887" t="inlineStr">
        <is>
          <t>Valid</t>
        </is>
      </c>
    </row>
    <row r="888">
      <c r="A888" t="inlineStr">
        <is>
          <t>SUP-0089</t>
        </is>
      </c>
      <c r="B888" t="inlineStr">
        <is>
          <t>Professional Supplier 089</t>
        </is>
      </c>
      <c r="C888" t="inlineStr">
        <is>
          <t>Professional Services</t>
        </is>
      </c>
      <c r="D888" t="n">
        <v>2021</v>
      </c>
      <c r="E888" t="n">
        <v>4080232.47</v>
      </c>
      <c r="F888" t="n">
        <v>20820658.8</v>
      </c>
      <c r="G888" t="n">
        <v>399.1534</v>
      </c>
      <c r="H888" t="n">
        <v>102.4045</v>
      </c>
      <c r="I888" t="n">
        <v>75.1832</v>
      </c>
      <c r="J888" t="n">
        <v>211.0162</v>
      </c>
      <c r="K888" t="n">
        <v>2021</v>
      </c>
      <c r="L888" t="n">
        <v>2035</v>
      </c>
      <c r="M888" t="n">
        <v>0.3882</v>
      </c>
      <c r="N888" t="n">
        <v>0.2508</v>
      </c>
      <c r="O888" t="n">
        <v>2020</v>
      </c>
      <c r="P888" t="inlineStr"/>
      <c r="Q888" t="inlineStr"/>
      <c r="R888" t="n">
        <v>400.0326</v>
      </c>
      <c r="S888" t="n">
        <v>0.00012906</v>
      </c>
      <c r="T888" t="n">
        <v>0.00019658</v>
      </c>
      <c r="U888" t="n">
        <v>399.1534</v>
      </c>
      <c r="V888" t="inlineStr">
        <is>
          <t>Supplier Reported Emissions</t>
        </is>
      </c>
      <c r="W888" t="b">
        <v>0</v>
      </c>
      <c r="X888" t="inlineStr">
        <is>
          <t>High</t>
        </is>
      </c>
      <c r="Y888" t="inlineStr">
        <is>
          <t>None</t>
        </is>
      </c>
      <c r="Z888" t="n">
        <v>0.95</v>
      </c>
      <c r="AA888" t="inlineStr">
        <is>
          <t>Valid</t>
        </is>
      </c>
    </row>
    <row r="889">
      <c r="A889" t="inlineStr">
        <is>
          <t>SUP-0089</t>
        </is>
      </c>
      <c r="B889" t="inlineStr">
        <is>
          <t>Professional Supplier 089</t>
        </is>
      </c>
      <c r="C889" t="inlineStr">
        <is>
          <t>Professional Services</t>
        </is>
      </c>
      <c r="D889" t="n">
        <v>2022</v>
      </c>
      <c r="E889" t="n">
        <v>4902981.46</v>
      </c>
      <c r="F889" t="n">
        <v>21320328.92</v>
      </c>
      <c r="G889" t="n">
        <v>379.6291</v>
      </c>
      <c r="H889" t="n">
        <v>98.995</v>
      </c>
      <c r="I889" t="n">
        <v>36.9428</v>
      </c>
      <c r="J889" t="n">
        <v>226.2609</v>
      </c>
      <c r="K889" t="n">
        <v>2021</v>
      </c>
      <c r="L889" t="n">
        <v>2035</v>
      </c>
      <c r="M889" t="n">
        <v>0.3882</v>
      </c>
      <c r="N889" t="n">
        <v>0.2508</v>
      </c>
      <c r="O889" t="n">
        <v>2020</v>
      </c>
      <c r="P889" t="inlineStr"/>
      <c r="Q889" t="inlineStr"/>
      <c r="R889" t="n">
        <v>400.0326</v>
      </c>
      <c r="S889" t="n">
        <v>0.00012906</v>
      </c>
      <c r="T889" t="n">
        <v>0.00019658</v>
      </c>
      <c r="U889" t="n">
        <v>379.6291</v>
      </c>
      <c r="V889" t="inlineStr">
        <is>
          <t>Supplier Reported Emissions</t>
        </is>
      </c>
      <c r="W889" t="b">
        <v>0</v>
      </c>
      <c r="X889" t="inlineStr">
        <is>
          <t>High</t>
        </is>
      </c>
      <c r="Y889" t="inlineStr">
        <is>
          <t>None</t>
        </is>
      </c>
      <c r="Z889" t="n">
        <v>0.95</v>
      </c>
      <c r="AA889" t="inlineStr">
        <is>
          <t>Valid</t>
        </is>
      </c>
    </row>
    <row r="890">
      <c r="A890" t="inlineStr">
        <is>
          <t>SUP-0089</t>
        </is>
      </c>
      <c r="B890" t="inlineStr">
        <is>
          <t>Professional Supplier 089</t>
        </is>
      </c>
      <c r="C890" t="inlineStr">
        <is>
          <t>Professional Services</t>
        </is>
      </c>
      <c r="D890" t="n">
        <v>2023</v>
      </c>
      <c r="E890" t="n">
        <v>4752991.39</v>
      </c>
      <c r="F890" t="n">
        <v>29338102.65</v>
      </c>
      <c r="G890" t="n">
        <v>359.9385</v>
      </c>
      <c r="H890" t="n">
        <v>35.5903</v>
      </c>
      <c r="I890" t="n">
        <v>75.86069999999999</v>
      </c>
      <c r="J890" t="n">
        <v>261.8281</v>
      </c>
      <c r="K890" t="n">
        <v>2021</v>
      </c>
      <c r="L890" t="n">
        <v>2035</v>
      </c>
      <c r="M890" t="n">
        <v>0.3882</v>
      </c>
      <c r="N890" t="n">
        <v>0.2508</v>
      </c>
      <c r="O890" t="n">
        <v>2020</v>
      </c>
      <c r="P890" t="inlineStr"/>
      <c r="Q890" t="inlineStr"/>
      <c r="R890" t="n">
        <v>400.0326</v>
      </c>
      <c r="S890" t="n">
        <v>0.00012906</v>
      </c>
      <c r="T890" t="n">
        <v>0.00019658</v>
      </c>
      <c r="U890" t="n">
        <v>359.9385</v>
      </c>
      <c r="V890" t="inlineStr">
        <is>
          <t>Supplier Reported Emissions</t>
        </is>
      </c>
      <c r="W890" t="b">
        <v>0</v>
      </c>
      <c r="X890" t="inlineStr">
        <is>
          <t>High</t>
        </is>
      </c>
      <c r="Y890" t="inlineStr">
        <is>
          <t>None</t>
        </is>
      </c>
      <c r="Z890" t="n">
        <v>0.95</v>
      </c>
      <c r="AA890" t="inlineStr">
        <is>
          <t>Valid</t>
        </is>
      </c>
    </row>
    <row r="891">
      <c r="A891" t="inlineStr">
        <is>
          <t>SUP-0089</t>
        </is>
      </c>
      <c r="B891" t="inlineStr">
        <is>
          <t>Professional Supplier 089</t>
        </is>
      </c>
      <c r="C891" t="inlineStr">
        <is>
          <t>Professional Services</t>
        </is>
      </c>
      <c r="D891" t="n">
        <v>2024</v>
      </c>
      <c r="E891" t="inlineStr"/>
      <c r="F891" t="n">
        <v>30853113.55</v>
      </c>
      <c r="G891" t="n">
        <v>579.8129</v>
      </c>
      <c r="H891" t="n">
        <v>67.901</v>
      </c>
      <c r="I891" t="n">
        <v>87.2749</v>
      </c>
      <c r="J891" t="n">
        <v>408.4152</v>
      </c>
      <c r="K891" t="n">
        <v>2021</v>
      </c>
      <c r="L891" t="n">
        <v>2035</v>
      </c>
      <c r="M891" t="n">
        <v>0.3882</v>
      </c>
      <c r="N891" t="n">
        <v>0.2508</v>
      </c>
      <c r="O891" t="n">
        <v>2020</v>
      </c>
      <c r="P891" t="inlineStr"/>
      <c r="Q891" t="inlineStr"/>
      <c r="R891" t="n">
        <v>400.0326</v>
      </c>
      <c r="S891" t="n">
        <v>0.00012906</v>
      </c>
      <c r="T891" t="n">
        <v>0.00019658</v>
      </c>
      <c r="U891" t="n">
        <v>579.8129</v>
      </c>
      <c r="V891" t="inlineStr">
        <is>
          <t>Supplier Reported Emissions</t>
        </is>
      </c>
      <c r="W891" t="b">
        <v>0</v>
      </c>
      <c r="X891" t="inlineStr">
        <is>
          <t>High</t>
        </is>
      </c>
      <c r="Y891" t="inlineStr">
        <is>
          <t>Gross_Spend</t>
        </is>
      </c>
      <c r="Z891" t="n">
        <v>0.95</v>
      </c>
      <c r="AA891" t="inlineStr">
        <is>
          <t>Valid</t>
        </is>
      </c>
    </row>
    <row r="892">
      <c r="A892" t="inlineStr">
        <is>
          <t>SUP-0090</t>
        </is>
      </c>
      <c r="B892" t="inlineStr">
        <is>
          <t>Textiles Supplier 090</t>
        </is>
      </c>
      <c r="C892" t="inlineStr">
        <is>
          <t>Textiles</t>
        </is>
      </c>
      <c r="D892" t="n">
        <v>2015</v>
      </c>
      <c r="E892" t="n">
        <v>10977244.51</v>
      </c>
      <c r="F892" t="n">
        <v>38393919.43</v>
      </c>
      <c r="G892" t="inlineStr"/>
      <c r="H892" t="n">
        <v>522.5501</v>
      </c>
      <c r="I892" t="inlineStr"/>
      <c r="J892" t="n">
        <v>1975.6151</v>
      </c>
      <c r="K892" t="n">
        <v>2018</v>
      </c>
      <c r="L892" t="n">
        <v>2040</v>
      </c>
      <c r="M892" t="n">
        <v>0.2819</v>
      </c>
      <c r="N892" t="n">
        <v>0.1127</v>
      </c>
      <c r="O892" t="n">
        <v>2019</v>
      </c>
      <c r="P892" t="n">
        <v>2030</v>
      </c>
      <c r="Q892" t="n">
        <v>0.3171</v>
      </c>
      <c r="R892" t="n">
        <v>401.7335</v>
      </c>
      <c r="S892" t="n">
        <v>0.00029221</v>
      </c>
      <c r="T892" t="n">
        <v>0.00017343</v>
      </c>
      <c r="U892" t="n">
        <v>3207.6606</v>
      </c>
      <c r="V892" t="inlineStr">
        <is>
          <t>Spend-Based Estimate</t>
        </is>
      </c>
      <c r="W892" t="b">
        <v>1</v>
      </c>
      <c r="X892" t="inlineStr">
        <is>
          <t>Medium</t>
        </is>
      </c>
      <c r="Y892" t="inlineStr">
        <is>
          <t>Reported_Emissions; Scope_Emissions</t>
        </is>
      </c>
      <c r="Z892" t="n">
        <v>0.7</v>
      </c>
      <c r="AA892" t="inlineStr">
        <is>
          <t>Valid</t>
        </is>
      </c>
    </row>
    <row r="893">
      <c r="A893" t="inlineStr">
        <is>
          <t>SUP-0090</t>
        </is>
      </c>
      <c r="B893" t="inlineStr">
        <is>
          <t>Textiles Supplier 090</t>
        </is>
      </c>
      <c r="C893" t="inlineStr">
        <is>
          <t>Textiles</t>
        </is>
      </c>
      <c r="D893" t="n">
        <v>2016</v>
      </c>
      <c r="E893" t="n">
        <v>10882258.94</v>
      </c>
      <c r="F893" t="n">
        <v>32711069.91</v>
      </c>
      <c r="G893" t="n">
        <v>3294.71</v>
      </c>
      <c r="H893" t="n">
        <v>426.2312</v>
      </c>
      <c r="I893" t="n">
        <v>617.6352000000001</v>
      </c>
      <c r="J893" t="n">
        <v>2256.4637</v>
      </c>
      <c r="K893" t="n">
        <v>2018</v>
      </c>
      <c r="L893" t="n">
        <v>2040</v>
      </c>
      <c r="M893" t="n">
        <v>0.2819</v>
      </c>
      <c r="N893" t="n">
        <v>0.1127</v>
      </c>
      <c r="O893" t="n">
        <v>2019</v>
      </c>
      <c r="P893" t="n">
        <v>2030</v>
      </c>
      <c r="Q893" t="n">
        <v>0.3171</v>
      </c>
      <c r="R893" t="n">
        <v>401.7335</v>
      </c>
      <c r="S893" t="n">
        <v>0.00029221</v>
      </c>
      <c r="T893" t="n">
        <v>0.00017343</v>
      </c>
      <c r="U893" t="n">
        <v>3294.71</v>
      </c>
      <c r="V893" t="inlineStr">
        <is>
          <t>Supplier Reported Emissions</t>
        </is>
      </c>
      <c r="W893" t="b">
        <v>0</v>
      </c>
      <c r="X893" t="inlineStr">
        <is>
          <t>High</t>
        </is>
      </c>
      <c r="Y893" t="inlineStr">
        <is>
          <t>None</t>
        </is>
      </c>
      <c r="Z893" t="n">
        <v>0.95</v>
      </c>
      <c r="AA893" t="inlineStr">
        <is>
          <t>Valid</t>
        </is>
      </c>
    </row>
    <row r="894">
      <c r="A894" t="inlineStr">
        <is>
          <t>SUP-0090</t>
        </is>
      </c>
      <c r="B894" t="inlineStr">
        <is>
          <t>Textiles Supplier 090</t>
        </is>
      </c>
      <c r="C894" t="inlineStr">
        <is>
          <t>Textiles</t>
        </is>
      </c>
      <c r="D894" t="n">
        <v>2017</v>
      </c>
      <c r="E894" t="n">
        <v>12204133.04</v>
      </c>
      <c r="F894" t="n">
        <v>35479863.93</v>
      </c>
      <c r="G894" t="n">
        <v>4409.8805</v>
      </c>
      <c r="H894" t="n">
        <v>1089.6293</v>
      </c>
      <c r="I894" t="n">
        <v>358.3464</v>
      </c>
      <c r="J894" t="n">
        <v>3268.5101</v>
      </c>
      <c r="K894" t="n">
        <v>2018</v>
      </c>
      <c r="L894" t="n">
        <v>2040</v>
      </c>
      <c r="M894" t="n">
        <v>0.2819</v>
      </c>
      <c r="N894" t="n">
        <v>0.1127</v>
      </c>
      <c r="O894" t="n">
        <v>2019</v>
      </c>
      <c r="P894" t="n">
        <v>2030</v>
      </c>
      <c r="Q894" t="n">
        <v>0.3171</v>
      </c>
      <c r="R894" t="n">
        <v>401.7335</v>
      </c>
      <c r="S894" t="n">
        <v>0.00029221</v>
      </c>
      <c r="T894" t="n">
        <v>0.00017343</v>
      </c>
      <c r="U894" t="n">
        <v>4409.8805</v>
      </c>
      <c r="V894" t="inlineStr">
        <is>
          <t>Supplier Reported Emissions</t>
        </is>
      </c>
      <c r="W894" t="b">
        <v>0</v>
      </c>
      <c r="X894" t="inlineStr">
        <is>
          <t>High</t>
        </is>
      </c>
      <c r="Y894" t="inlineStr">
        <is>
          <t>None</t>
        </is>
      </c>
      <c r="Z894" t="n">
        <v>0.95</v>
      </c>
      <c r="AA894" t="inlineStr">
        <is>
          <t>Valid</t>
        </is>
      </c>
    </row>
    <row r="895">
      <c r="A895" t="inlineStr">
        <is>
          <t>SUP-0090</t>
        </is>
      </c>
      <c r="B895" t="inlineStr">
        <is>
          <t>Textiles Supplier 090</t>
        </is>
      </c>
      <c r="C895" t="inlineStr">
        <is>
          <t>Textiles</t>
        </is>
      </c>
      <c r="D895" t="n">
        <v>2018</v>
      </c>
      <c r="E895" t="inlineStr"/>
      <c r="F895" t="n">
        <v>34916176.58</v>
      </c>
      <c r="G895" t="n">
        <v>4216.2456</v>
      </c>
      <c r="H895" t="n">
        <v>958.4054</v>
      </c>
      <c r="I895" t="inlineStr"/>
      <c r="J895" t="n">
        <v>2758.3129</v>
      </c>
      <c r="K895" t="n">
        <v>2018</v>
      </c>
      <c r="L895" t="n">
        <v>2040</v>
      </c>
      <c r="M895" t="n">
        <v>0.2819</v>
      </c>
      <c r="N895" t="n">
        <v>0.1127</v>
      </c>
      <c r="O895" t="n">
        <v>2019</v>
      </c>
      <c r="P895" t="n">
        <v>2030</v>
      </c>
      <c r="Q895" t="n">
        <v>0.3171</v>
      </c>
      <c r="R895" t="n">
        <v>401.7335</v>
      </c>
      <c r="S895" t="n">
        <v>0.00029221</v>
      </c>
      <c r="T895" t="n">
        <v>0.00017343</v>
      </c>
      <c r="U895" t="n">
        <v>4216.2456</v>
      </c>
      <c r="V895" t="inlineStr">
        <is>
          <t>Supplier Reported Emissions</t>
        </is>
      </c>
      <c r="W895" t="b">
        <v>0</v>
      </c>
      <c r="X895" t="inlineStr">
        <is>
          <t>High</t>
        </is>
      </c>
      <c r="Y895" t="inlineStr">
        <is>
          <t>Gross_Spend; Scope_Emissions</t>
        </is>
      </c>
      <c r="Z895" t="n">
        <v>0.95</v>
      </c>
      <c r="AA895" t="inlineStr">
        <is>
          <t>Valid</t>
        </is>
      </c>
    </row>
    <row r="896">
      <c r="A896" t="inlineStr">
        <is>
          <t>SUP-0090</t>
        </is>
      </c>
      <c r="B896" t="inlineStr">
        <is>
          <t>Textiles Supplier 090</t>
        </is>
      </c>
      <c r="C896" t="inlineStr">
        <is>
          <t>Textiles</t>
        </is>
      </c>
      <c r="D896" t="n">
        <v>2019</v>
      </c>
      <c r="E896" t="n">
        <v>12324797.33</v>
      </c>
      <c r="F896" t="inlineStr"/>
      <c r="G896" t="inlineStr"/>
      <c r="H896" t="n">
        <v>1059.4644</v>
      </c>
      <c r="I896" t="n">
        <v>707.2794</v>
      </c>
      <c r="J896" t="n">
        <v>3107.5946</v>
      </c>
      <c r="K896" t="n">
        <v>2018</v>
      </c>
      <c r="L896" t="n">
        <v>2040</v>
      </c>
      <c r="M896" t="n">
        <v>0.2819</v>
      </c>
      <c r="N896" t="n">
        <v>0.1127</v>
      </c>
      <c r="O896" t="n">
        <v>2019</v>
      </c>
      <c r="P896" t="n">
        <v>2030</v>
      </c>
      <c r="Q896" t="n">
        <v>0.3171</v>
      </c>
      <c r="R896" t="n">
        <v>401.7335</v>
      </c>
      <c r="S896" t="n">
        <v>0.00029221</v>
      </c>
      <c r="T896" t="n">
        <v>0.00017343</v>
      </c>
      <c r="U896" t="n">
        <v>4874.3384</v>
      </c>
      <c r="V896" t="inlineStr">
        <is>
          <t>Scope 1 + Scope 2 + Scope 3</t>
        </is>
      </c>
      <c r="W896" t="b">
        <v>1</v>
      </c>
      <c r="X896" t="inlineStr">
        <is>
          <t>High</t>
        </is>
      </c>
      <c r="Y896" t="inlineStr">
        <is>
          <t>Reported_Emissions; Revenue</t>
        </is>
      </c>
      <c r="Z896" t="n">
        <v>0.88</v>
      </c>
      <c r="AA896" t="inlineStr">
        <is>
          <t>Valid</t>
        </is>
      </c>
    </row>
    <row r="897">
      <c r="A897" t="inlineStr">
        <is>
          <t>SUP-0090</t>
        </is>
      </c>
      <c r="B897" t="inlineStr">
        <is>
          <t>Textiles Supplier 090</t>
        </is>
      </c>
      <c r="C897" t="inlineStr">
        <is>
          <t>Textiles</t>
        </is>
      </c>
      <c r="D897" t="n">
        <v>2020</v>
      </c>
      <c r="E897" t="n">
        <v>15217196.92</v>
      </c>
      <c r="F897" t="n">
        <v>34607891.95</v>
      </c>
      <c r="G897" t="inlineStr"/>
      <c r="H897" t="n">
        <v>1356.0811</v>
      </c>
      <c r="I897" t="n">
        <v>465.6163</v>
      </c>
      <c r="J897" t="inlineStr"/>
      <c r="K897" t="n">
        <v>2018</v>
      </c>
      <c r="L897" t="n">
        <v>2040</v>
      </c>
      <c r="M897" t="n">
        <v>0.2819</v>
      </c>
      <c r="N897" t="n">
        <v>0.1127</v>
      </c>
      <c r="O897" t="n">
        <v>2019</v>
      </c>
      <c r="P897" t="n">
        <v>2030</v>
      </c>
      <c r="Q897" t="n">
        <v>0.3171</v>
      </c>
      <c r="R897" t="n">
        <v>401.7335</v>
      </c>
      <c r="S897" t="n">
        <v>0.00029221</v>
      </c>
      <c r="T897" t="n">
        <v>0.00017343</v>
      </c>
      <c r="U897" t="n">
        <v>4446.6171</v>
      </c>
      <c r="V897" t="inlineStr">
        <is>
          <t>Spend-Based Estimate</t>
        </is>
      </c>
      <c r="W897" t="b">
        <v>1</v>
      </c>
      <c r="X897" t="inlineStr">
        <is>
          <t>Medium</t>
        </is>
      </c>
      <c r="Y897" t="inlineStr">
        <is>
          <t>Reported_Emissions; Scope_Emissions</t>
        </is>
      </c>
      <c r="Z897" t="n">
        <v>0.7</v>
      </c>
      <c r="AA897" t="inlineStr">
        <is>
          <t>Valid</t>
        </is>
      </c>
    </row>
    <row r="898">
      <c r="A898" t="inlineStr">
        <is>
          <t>SUP-0090</t>
        </is>
      </c>
      <c r="B898" t="inlineStr">
        <is>
          <t>Textiles Supplier 090</t>
        </is>
      </c>
      <c r="C898" t="inlineStr">
        <is>
          <t>Textiles</t>
        </is>
      </c>
      <c r="D898" t="n">
        <v>2021</v>
      </c>
      <c r="E898" t="n">
        <v>14050617.42</v>
      </c>
      <c r="F898" t="n">
        <v>44391306.22</v>
      </c>
      <c r="G898" t="n">
        <v>5652.9662</v>
      </c>
      <c r="H898" t="n">
        <v>1206.562</v>
      </c>
      <c r="I898" t="n">
        <v>890.5444</v>
      </c>
      <c r="J898" t="n">
        <v>3352.1932</v>
      </c>
      <c r="K898" t="n">
        <v>2018</v>
      </c>
      <c r="L898" t="n">
        <v>2040</v>
      </c>
      <c r="M898" t="n">
        <v>0.2819</v>
      </c>
      <c r="N898" t="n">
        <v>0.1127</v>
      </c>
      <c r="O898" t="n">
        <v>2019</v>
      </c>
      <c r="P898" t="n">
        <v>2030</v>
      </c>
      <c r="Q898" t="n">
        <v>0.3171</v>
      </c>
      <c r="R898" t="n">
        <v>401.7335</v>
      </c>
      <c r="S898" t="n">
        <v>0.00029221</v>
      </c>
      <c r="T898" t="n">
        <v>0.00017343</v>
      </c>
      <c r="U898" t="n">
        <v>5652.9662</v>
      </c>
      <c r="V898" t="inlineStr">
        <is>
          <t>Supplier Reported Emissions</t>
        </is>
      </c>
      <c r="W898" t="b">
        <v>0</v>
      </c>
      <c r="X898" t="inlineStr">
        <is>
          <t>High</t>
        </is>
      </c>
      <c r="Y898" t="inlineStr">
        <is>
          <t>None</t>
        </is>
      </c>
      <c r="Z898" t="n">
        <v>0.95</v>
      </c>
      <c r="AA898" t="inlineStr">
        <is>
          <t>Valid</t>
        </is>
      </c>
    </row>
    <row r="899">
      <c r="A899" t="inlineStr">
        <is>
          <t>SUP-0090</t>
        </is>
      </c>
      <c r="B899" t="inlineStr">
        <is>
          <t>Textiles Supplier 090</t>
        </is>
      </c>
      <c r="C899" t="inlineStr">
        <is>
          <t>Textiles</t>
        </is>
      </c>
      <c r="D899" t="n">
        <v>2022</v>
      </c>
      <c r="E899" t="inlineStr"/>
      <c r="F899" t="n">
        <v>50083063.92</v>
      </c>
      <c r="G899" t="n">
        <v>5048.0684</v>
      </c>
      <c r="H899" t="n">
        <v>976.0864</v>
      </c>
      <c r="I899" t="n">
        <v>931.7053</v>
      </c>
      <c r="J899" t="n">
        <v>3207.0798</v>
      </c>
      <c r="K899" t="n">
        <v>2018</v>
      </c>
      <c r="L899" t="n">
        <v>2040</v>
      </c>
      <c r="M899" t="n">
        <v>0.2819</v>
      </c>
      <c r="N899" t="n">
        <v>0.1127</v>
      </c>
      <c r="O899" t="n">
        <v>2019</v>
      </c>
      <c r="P899" t="n">
        <v>2030</v>
      </c>
      <c r="Q899" t="n">
        <v>0.3171</v>
      </c>
      <c r="R899" t="n">
        <v>401.7335</v>
      </c>
      <c r="S899" t="n">
        <v>0.00029221</v>
      </c>
      <c r="T899" t="n">
        <v>0.00017343</v>
      </c>
      <c r="U899" t="n">
        <v>5048.0684</v>
      </c>
      <c r="V899" t="inlineStr">
        <is>
          <t>Supplier Reported Emissions</t>
        </is>
      </c>
      <c r="W899" t="b">
        <v>0</v>
      </c>
      <c r="X899" t="inlineStr">
        <is>
          <t>High</t>
        </is>
      </c>
      <c r="Y899" t="inlineStr">
        <is>
          <t>Gross_Spend</t>
        </is>
      </c>
      <c r="Z899" t="n">
        <v>0.95</v>
      </c>
      <c r="AA899" t="inlineStr">
        <is>
          <t>Valid</t>
        </is>
      </c>
    </row>
    <row r="900">
      <c r="A900" t="inlineStr">
        <is>
          <t>SUP-0090</t>
        </is>
      </c>
      <c r="B900" t="inlineStr">
        <is>
          <t>Textiles Supplier 090</t>
        </is>
      </c>
      <c r="C900" t="inlineStr">
        <is>
          <t>Textiles</t>
        </is>
      </c>
      <c r="D900" t="n">
        <v>2023</v>
      </c>
      <c r="E900" t="n">
        <v>15211585.19</v>
      </c>
      <c r="F900" t="inlineStr"/>
      <c r="G900" t="n">
        <v>5275.7761</v>
      </c>
      <c r="H900" t="n">
        <v>537.796</v>
      </c>
      <c r="I900" t="inlineStr"/>
      <c r="J900" t="n">
        <v>3558.9452</v>
      </c>
      <c r="K900" t="n">
        <v>2018</v>
      </c>
      <c r="L900" t="n">
        <v>2040</v>
      </c>
      <c r="M900" t="n">
        <v>0.2819</v>
      </c>
      <c r="N900" t="n">
        <v>0.1127</v>
      </c>
      <c r="O900" t="n">
        <v>2019</v>
      </c>
      <c r="P900" t="n">
        <v>2030</v>
      </c>
      <c r="Q900" t="n">
        <v>0.3171</v>
      </c>
      <c r="R900" t="n">
        <v>401.7335</v>
      </c>
      <c r="S900" t="n">
        <v>0.00029221</v>
      </c>
      <c r="T900" t="n">
        <v>0.00017343</v>
      </c>
      <c r="U900" t="n">
        <v>5275.7761</v>
      </c>
      <c r="V900" t="inlineStr">
        <is>
          <t>Supplier Reported Emissions</t>
        </is>
      </c>
      <c r="W900" t="b">
        <v>0</v>
      </c>
      <c r="X900" t="inlineStr">
        <is>
          <t>High</t>
        </is>
      </c>
      <c r="Y900" t="inlineStr">
        <is>
          <t>Revenue; Scope_Emissions</t>
        </is>
      </c>
      <c r="Z900" t="n">
        <v>0.95</v>
      </c>
      <c r="AA900" t="inlineStr">
        <is>
          <t>Valid</t>
        </is>
      </c>
    </row>
    <row r="901">
      <c r="A901" t="inlineStr">
        <is>
          <t>SUP-0090</t>
        </is>
      </c>
      <c r="B901" t="inlineStr">
        <is>
          <t>Textiles Supplier 090</t>
        </is>
      </c>
      <c r="C901" t="inlineStr">
        <is>
          <t>Textiles</t>
        </is>
      </c>
      <c r="D901" t="n">
        <v>2024</v>
      </c>
      <c r="E901" t="n">
        <v>16851633.72</v>
      </c>
      <c r="F901" t="n">
        <v>61760802.61</v>
      </c>
      <c r="G901" t="inlineStr"/>
      <c r="H901" t="n">
        <v>1090.9428</v>
      </c>
      <c r="I901" t="n">
        <v>488.8649</v>
      </c>
      <c r="J901" t="n">
        <v>4233.7622</v>
      </c>
      <c r="K901" t="n">
        <v>2018</v>
      </c>
      <c r="L901" t="n">
        <v>2040</v>
      </c>
      <c r="M901" t="n">
        <v>0.2819</v>
      </c>
      <c r="N901" t="n">
        <v>0.1127</v>
      </c>
      <c r="O901" t="n">
        <v>2019</v>
      </c>
      <c r="P901" t="n">
        <v>2030</v>
      </c>
      <c r="Q901" t="n">
        <v>0.3171</v>
      </c>
      <c r="R901" t="n">
        <v>401.7335</v>
      </c>
      <c r="S901" t="n">
        <v>0.00029221</v>
      </c>
      <c r="T901" t="n">
        <v>0.00017343</v>
      </c>
      <c r="U901" t="n">
        <v>5813.5699</v>
      </c>
      <c r="V901" t="inlineStr">
        <is>
          <t>Scope 1 + Scope 2 + Scope 3</t>
        </is>
      </c>
      <c r="W901" t="b">
        <v>1</v>
      </c>
      <c r="X901" t="inlineStr">
        <is>
          <t>High</t>
        </is>
      </c>
      <c r="Y901" t="inlineStr">
        <is>
          <t>Reported_Emissions</t>
        </is>
      </c>
      <c r="Z901" t="n">
        <v>0.88</v>
      </c>
      <c r="AA901" t="inlineStr">
        <is>
          <t>Valid</t>
        </is>
      </c>
    </row>
    <row r="902">
      <c r="A902" t="inlineStr">
        <is>
          <t>SUP-0091</t>
        </is>
      </c>
      <c r="B902" t="inlineStr">
        <is>
          <t>Professional Supplier 091</t>
        </is>
      </c>
      <c r="C902" t="inlineStr">
        <is>
          <t>Professional Services</t>
        </is>
      </c>
      <c r="D902" t="n">
        <v>2015</v>
      </c>
      <c r="E902" t="n">
        <v>26497870.78</v>
      </c>
      <c r="F902" t="n">
        <v>109993307.13</v>
      </c>
      <c r="G902" t="inlineStr"/>
      <c r="H902" t="n">
        <v>537.8057</v>
      </c>
      <c r="I902" t="inlineStr"/>
      <c r="J902" t="n">
        <v>2471.9477</v>
      </c>
      <c r="K902" t="inlineStr"/>
      <c r="L902" t="inlineStr"/>
      <c r="M902" t="inlineStr"/>
      <c r="N902" t="inlineStr"/>
      <c r="O902" t="n">
        <v>2020</v>
      </c>
      <c r="P902" t="inlineStr"/>
      <c r="Q902" t="inlineStr"/>
      <c r="R902" t="n">
        <v>400.0326</v>
      </c>
      <c r="S902" t="n">
        <v>0.00012906</v>
      </c>
      <c r="T902" t="n">
        <v>0.00019658</v>
      </c>
      <c r="U902" t="n">
        <v>3419.8152</v>
      </c>
      <c r="V902" t="inlineStr">
        <is>
          <t>Spend-Based Estimate</t>
        </is>
      </c>
      <c r="W902" t="b">
        <v>1</v>
      </c>
      <c r="X902" t="inlineStr">
        <is>
          <t>Medium</t>
        </is>
      </c>
      <c r="Y902" t="inlineStr">
        <is>
          <t>Reported_Emissions; Scope_Emissions</t>
        </is>
      </c>
      <c r="Z902" t="n">
        <v>0.7</v>
      </c>
      <c r="AA902" t="inlineStr">
        <is>
          <t>Valid</t>
        </is>
      </c>
    </row>
    <row r="903">
      <c r="A903" t="inlineStr">
        <is>
          <t>SUP-0091</t>
        </is>
      </c>
      <c r="B903" t="inlineStr">
        <is>
          <t>Professional Supplier 091</t>
        </is>
      </c>
      <c r="C903" t="inlineStr">
        <is>
          <t>Professional Services</t>
        </is>
      </c>
      <c r="D903" t="n">
        <v>2016</v>
      </c>
      <c r="E903" t="n">
        <v>26296651.13</v>
      </c>
      <c r="F903" t="n">
        <v>140546176.8</v>
      </c>
      <c r="G903" t="inlineStr"/>
      <c r="H903" t="n">
        <v>610.6882000000001</v>
      </c>
      <c r="I903" t="n">
        <v>980.1045</v>
      </c>
      <c r="J903" t="n">
        <v>2970.6315</v>
      </c>
      <c r="K903" t="inlineStr"/>
      <c r="L903" t="inlineStr"/>
      <c r="M903" t="inlineStr"/>
      <c r="N903" t="inlineStr"/>
      <c r="O903" t="n">
        <v>2020</v>
      </c>
      <c r="P903" t="inlineStr"/>
      <c r="Q903" t="inlineStr"/>
      <c r="R903" t="n">
        <v>400.0326</v>
      </c>
      <c r="S903" t="n">
        <v>0.00012906</v>
      </c>
      <c r="T903" t="n">
        <v>0.00019658</v>
      </c>
      <c r="U903" t="n">
        <v>4561.4242</v>
      </c>
      <c r="V903" t="inlineStr">
        <is>
          <t>Scope 1 + Scope 2 + Scope 3</t>
        </is>
      </c>
      <c r="W903" t="b">
        <v>1</v>
      </c>
      <c r="X903" t="inlineStr">
        <is>
          <t>High</t>
        </is>
      </c>
      <c r="Y903" t="inlineStr">
        <is>
          <t>Reported_Emissions</t>
        </is>
      </c>
      <c r="Z903" t="n">
        <v>0.88</v>
      </c>
      <c r="AA903" t="inlineStr">
        <is>
          <t>Valid</t>
        </is>
      </c>
    </row>
    <row r="904">
      <c r="A904" t="inlineStr">
        <is>
          <t>SUP-0091</t>
        </is>
      </c>
      <c r="B904" t="inlineStr">
        <is>
          <t>Professional Supplier 091</t>
        </is>
      </c>
      <c r="C904" t="inlineStr">
        <is>
          <t>Professional Services</t>
        </is>
      </c>
      <c r="D904" t="n">
        <v>2017</v>
      </c>
      <c r="E904" t="n">
        <v>23571473.37</v>
      </c>
      <c r="F904" t="n">
        <v>109015816.5</v>
      </c>
      <c r="G904" t="n">
        <v>4159.6574</v>
      </c>
      <c r="H904" t="n">
        <v>1101.3486</v>
      </c>
      <c r="I904" t="inlineStr"/>
      <c r="J904" t="n">
        <v>2584.2048</v>
      </c>
      <c r="K904" t="inlineStr"/>
      <c r="L904" t="inlineStr"/>
      <c r="M904" t="inlineStr"/>
      <c r="N904" t="inlineStr"/>
      <c r="O904" t="n">
        <v>2020</v>
      </c>
      <c r="P904" t="inlineStr"/>
      <c r="Q904" t="inlineStr"/>
      <c r="R904" t="n">
        <v>400.0326</v>
      </c>
      <c r="S904" t="n">
        <v>0.00012906</v>
      </c>
      <c r="T904" t="n">
        <v>0.00019658</v>
      </c>
      <c r="U904" t="n">
        <v>4159.6574</v>
      </c>
      <c r="V904" t="inlineStr">
        <is>
          <t>Supplier Reported Emissions</t>
        </is>
      </c>
      <c r="W904" t="b">
        <v>0</v>
      </c>
      <c r="X904" t="inlineStr">
        <is>
          <t>High</t>
        </is>
      </c>
      <c r="Y904" t="inlineStr">
        <is>
          <t>Scope_Emissions</t>
        </is>
      </c>
      <c r="Z904" t="n">
        <v>0.95</v>
      </c>
      <c r="AA904" t="inlineStr">
        <is>
          <t>Valid</t>
        </is>
      </c>
    </row>
    <row r="905">
      <c r="A905" t="inlineStr">
        <is>
          <t>SUP-0091</t>
        </is>
      </c>
      <c r="B905" t="inlineStr">
        <is>
          <t>Professional Supplier 091</t>
        </is>
      </c>
      <c r="C905" t="inlineStr">
        <is>
          <t>Professional Services</t>
        </is>
      </c>
      <c r="D905" t="n">
        <v>2018</v>
      </c>
      <c r="E905" t="n">
        <v>32032078.87</v>
      </c>
      <c r="F905" t="n">
        <v>124899237.61</v>
      </c>
      <c r="G905" t="n">
        <v>4050.244</v>
      </c>
      <c r="H905" t="n">
        <v>1020.1183</v>
      </c>
      <c r="I905" t="n">
        <v>635.2374</v>
      </c>
      <c r="J905" t="n">
        <v>2620.9443</v>
      </c>
      <c r="K905" t="inlineStr"/>
      <c r="L905" t="inlineStr"/>
      <c r="M905" t="inlineStr"/>
      <c r="N905" t="inlineStr"/>
      <c r="O905" t="n">
        <v>2020</v>
      </c>
      <c r="P905" t="inlineStr"/>
      <c r="Q905" t="inlineStr"/>
      <c r="R905" t="n">
        <v>400.0326</v>
      </c>
      <c r="S905" t="n">
        <v>0.00012906</v>
      </c>
      <c r="T905" t="n">
        <v>0.00019658</v>
      </c>
      <c r="U905" t="n">
        <v>4050.244</v>
      </c>
      <c r="V905" t="inlineStr">
        <is>
          <t>Supplier Reported Emissions</t>
        </is>
      </c>
      <c r="W905" t="b">
        <v>0</v>
      </c>
      <c r="X905" t="inlineStr">
        <is>
          <t>High</t>
        </is>
      </c>
      <c r="Y905" t="inlineStr">
        <is>
          <t>None</t>
        </is>
      </c>
      <c r="Z905" t="n">
        <v>0.95</v>
      </c>
      <c r="AA905" t="inlineStr">
        <is>
          <t>Valid</t>
        </is>
      </c>
    </row>
    <row r="906">
      <c r="A906" t="inlineStr">
        <is>
          <t>SUP-0091</t>
        </is>
      </c>
      <c r="B906" t="inlineStr">
        <is>
          <t>Professional Supplier 091</t>
        </is>
      </c>
      <c r="C906" t="inlineStr">
        <is>
          <t>Professional Services</t>
        </is>
      </c>
      <c r="D906" t="n">
        <v>2019</v>
      </c>
      <c r="E906" t="n">
        <v>30246746.82</v>
      </c>
      <c r="F906" t="inlineStr"/>
      <c r="G906" t="n">
        <v>4698.1315</v>
      </c>
      <c r="H906" t="n">
        <v>1097.0595</v>
      </c>
      <c r="I906" t="n">
        <v>1046.3507</v>
      </c>
      <c r="J906" t="n">
        <v>2965.7377</v>
      </c>
      <c r="K906" t="inlineStr"/>
      <c r="L906" t="inlineStr"/>
      <c r="M906" t="inlineStr"/>
      <c r="N906" t="inlineStr"/>
      <c r="O906" t="n">
        <v>2020</v>
      </c>
      <c r="P906" t="inlineStr"/>
      <c r="Q906" t="inlineStr"/>
      <c r="R906" t="n">
        <v>400.0326</v>
      </c>
      <c r="S906" t="n">
        <v>0.00012906</v>
      </c>
      <c r="T906" t="n">
        <v>0.00019658</v>
      </c>
      <c r="U906" t="n">
        <v>4698.1315</v>
      </c>
      <c r="V906" t="inlineStr">
        <is>
          <t>Supplier Reported Emissions</t>
        </is>
      </c>
      <c r="W906" t="b">
        <v>0</v>
      </c>
      <c r="X906" t="inlineStr">
        <is>
          <t>High</t>
        </is>
      </c>
      <c r="Y906" t="inlineStr">
        <is>
          <t>Revenue</t>
        </is>
      </c>
      <c r="Z906" t="n">
        <v>0.95</v>
      </c>
      <c r="AA906" t="inlineStr">
        <is>
          <t>Valid</t>
        </is>
      </c>
    </row>
    <row r="907">
      <c r="A907" t="inlineStr">
        <is>
          <t>SUP-0091</t>
        </is>
      </c>
      <c r="B907" t="inlineStr">
        <is>
          <t>Professional Supplier 091</t>
        </is>
      </c>
      <c r="C907" t="inlineStr">
        <is>
          <t>Professional Services</t>
        </is>
      </c>
      <c r="D907" t="n">
        <v>2020</v>
      </c>
      <c r="E907" t="n">
        <v>28816066.22</v>
      </c>
      <c r="F907" t="n">
        <v>180060235.04</v>
      </c>
      <c r="G907" t="inlineStr"/>
      <c r="H907" t="n">
        <v>746.8702</v>
      </c>
      <c r="I907" t="n">
        <v>336.2986</v>
      </c>
      <c r="J907" t="n">
        <v>3747.5983</v>
      </c>
      <c r="K907" t="inlineStr"/>
      <c r="L907" t="inlineStr"/>
      <c r="M907" t="inlineStr"/>
      <c r="N907" t="inlineStr"/>
      <c r="O907" t="n">
        <v>2020</v>
      </c>
      <c r="P907" t="inlineStr"/>
      <c r="Q907" t="inlineStr"/>
      <c r="R907" t="n">
        <v>400.0326</v>
      </c>
      <c r="S907" t="n">
        <v>0.00012906</v>
      </c>
      <c r="T907" t="n">
        <v>0.00019658</v>
      </c>
      <c r="U907" t="n">
        <v>4830.7671</v>
      </c>
      <c r="V907" t="inlineStr">
        <is>
          <t>Scope 1 + Scope 2 + Scope 3</t>
        </is>
      </c>
      <c r="W907" t="b">
        <v>1</v>
      </c>
      <c r="X907" t="inlineStr">
        <is>
          <t>High</t>
        </is>
      </c>
      <c r="Y907" t="inlineStr">
        <is>
          <t>Reported_Emissions</t>
        </is>
      </c>
      <c r="Z907" t="n">
        <v>0.88</v>
      </c>
      <c r="AA907" t="inlineStr">
        <is>
          <t>Valid</t>
        </is>
      </c>
    </row>
    <row r="908">
      <c r="A908" t="inlineStr">
        <is>
          <t>SUP-0091</t>
        </is>
      </c>
      <c r="B908" t="inlineStr">
        <is>
          <t>Professional Supplier 091</t>
        </is>
      </c>
      <c r="C908" t="inlineStr">
        <is>
          <t>Professional Services</t>
        </is>
      </c>
      <c r="D908" t="n">
        <v>2021</v>
      </c>
      <c r="E908" t="n">
        <v>32167448.2</v>
      </c>
      <c r="F908" t="n">
        <v>172537687.82</v>
      </c>
      <c r="G908" t="inlineStr"/>
      <c r="H908" t="n">
        <v>1428.3576</v>
      </c>
      <c r="I908" t="n">
        <v>791.5410000000001</v>
      </c>
      <c r="J908" t="inlineStr"/>
      <c r="K908" t="inlineStr"/>
      <c r="L908" t="inlineStr"/>
      <c r="M908" t="inlineStr"/>
      <c r="N908" t="inlineStr"/>
      <c r="O908" t="n">
        <v>2020</v>
      </c>
      <c r="P908" t="inlineStr"/>
      <c r="Q908" t="inlineStr"/>
      <c r="R908" t="n">
        <v>400.0326</v>
      </c>
      <c r="S908" t="n">
        <v>0.00012906</v>
      </c>
      <c r="T908" t="n">
        <v>0.00019658</v>
      </c>
      <c r="U908" t="n">
        <v>4151.5309</v>
      </c>
      <c r="V908" t="inlineStr">
        <is>
          <t>Spend-Based Estimate</t>
        </is>
      </c>
      <c r="W908" t="b">
        <v>1</v>
      </c>
      <c r="X908" t="inlineStr">
        <is>
          <t>Medium</t>
        </is>
      </c>
      <c r="Y908" t="inlineStr">
        <is>
          <t>Reported_Emissions; Scope_Emissions</t>
        </is>
      </c>
      <c r="Z908" t="n">
        <v>0.7</v>
      </c>
      <c r="AA908" t="inlineStr">
        <is>
          <t>Valid</t>
        </is>
      </c>
    </row>
    <row r="909">
      <c r="A909" t="inlineStr">
        <is>
          <t>SUP-0091</t>
        </is>
      </c>
      <c r="B909" t="inlineStr">
        <is>
          <t>Professional Supplier 091</t>
        </is>
      </c>
      <c r="C909" t="inlineStr">
        <is>
          <t>Professional Services</t>
        </is>
      </c>
      <c r="D909" t="n">
        <v>2022</v>
      </c>
      <c r="E909" t="n">
        <v>32800513.48</v>
      </c>
      <c r="F909" t="n">
        <v>168816139.15</v>
      </c>
      <c r="G909" t="n">
        <v>4233.3856</v>
      </c>
      <c r="H909" t="n">
        <v>540.6127</v>
      </c>
      <c r="I909" t="n">
        <v>579.4011</v>
      </c>
      <c r="J909" t="inlineStr"/>
      <c r="K909" t="inlineStr"/>
      <c r="L909" t="inlineStr"/>
      <c r="M909" t="inlineStr"/>
      <c r="N909" t="inlineStr"/>
      <c r="O909" t="n">
        <v>2020</v>
      </c>
      <c r="P909" t="inlineStr"/>
      <c r="Q909" t="inlineStr"/>
      <c r="R909" t="n">
        <v>400.0326</v>
      </c>
      <c r="S909" t="n">
        <v>0.00012906</v>
      </c>
      <c r="T909" t="n">
        <v>0.00019658</v>
      </c>
      <c r="U909" t="n">
        <v>4233.3856</v>
      </c>
      <c r="V909" t="inlineStr">
        <is>
          <t>Supplier Reported Emissions</t>
        </is>
      </c>
      <c r="W909" t="b">
        <v>0</v>
      </c>
      <c r="X909" t="inlineStr">
        <is>
          <t>High</t>
        </is>
      </c>
      <c r="Y909" t="inlineStr">
        <is>
          <t>Scope_Emissions</t>
        </is>
      </c>
      <c r="Z909" t="n">
        <v>0.95</v>
      </c>
      <c r="AA909" t="inlineStr">
        <is>
          <t>Valid</t>
        </is>
      </c>
    </row>
    <row r="910">
      <c r="A910" t="inlineStr">
        <is>
          <t>SUP-0091</t>
        </is>
      </c>
      <c r="B910" t="inlineStr">
        <is>
          <t>Professional Supplier 091</t>
        </is>
      </c>
      <c r="C910" t="inlineStr">
        <is>
          <t>Professional Services</t>
        </is>
      </c>
      <c r="D910" t="n">
        <v>2023</v>
      </c>
      <c r="E910" t="n">
        <v>32171882.21</v>
      </c>
      <c r="F910" t="n">
        <v>168204092.84</v>
      </c>
      <c r="G910" t="n">
        <v>5746.4931</v>
      </c>
      <c r="H910" t="inlineStr"/>
      <c r="I910" t="inlineStr"/>
      <c r="J910" t="inlineStr"/>
      <c r="K910" t="inlineStr"/>
      <c r="L910" t="inlineStr"/>
      <c r="M910" t="inlineStr"/>
      <c r="N910" t="inlineStr"/>
      <c r="O910" t="n">
        <v>2020</v>
      </c>
      <c r="P910" t="inlineStr"/>
      <c r="Q910" t="inlineStr"/>
      <c r="R910" t="n">
        <v>400.0326</v>
      </c>
      <c r="S910" t="n">
        <v>0.00012906</v>
      </c>
      <c r="T910" t="n">
        <v>0.00019658</v>
      </c>
      <c r="U910" t="n">
        <v>5746.4931</v>
      </c>
      <c r="V910" t="inlineStr">
        <is>
          <t>Supplier Reported Emissions</t>
        </is>
      </c>
      <c r="W910" t="b">
        <v>0</v>
      </c>
      <c r="X910" t="inlineStr">
        <is>
          <t>High</t>
        </is>
      </c>
      <c r="Y910" t="inlineStr">
        <is>
          <t>Scope_Emissions</t>
        </is>
      </c>
      <c r="Z910" t="n">
        <v>0.95</v>
      </c>
      <c r="AA910" t="inlineStr">
        <is>
          <t>Valid</t>
        </is>
      </c>
    </row>
    <row r="911">
      <c r="A911" t="inlineStr">
        <is>
          <t>SUP-0091</t>
        </is>
      </c>
      <c r="B911" t="inlineStr">
        <is>
          <t>Professional Supplier 091</t>
        </is>
      </c>
      <c r="C911" t="inlineStr">
        <is>
          <t>Professional Services</t>
        </is>
      </c>
      <c r="D911" t="n">
        <v>2024</v>
      </c>
      <c r="E911" t="n">
        <v>40971367.96</v>
      </c>
      <c r="F911" t="n">
        <v>151901369.24</v>
      </c>
      <c r="G911" t="n">
        <v>7596.4693</v>
      </c>
      <c r="H911" t="n">
        <v>1299.2721</v>
      </c>
      <c r="I911" t="n">
        <v>965.5072</v>
      </c>
      <c r="J911" t="n">
        <v>5158.2355</v>
      </c>
      <c r="K911" t="inlineStr"/>
      <c r="L911" t="inlineStr"/>
      <c r="M911" t="inlineStr"/>
      <c r="N911" t="inlineStr"/>
      <c r="O911" t="n">
        <v>2020</v>
      </c>
      <c r="P911" t="inlineStr"/>
      <c r="Q911" t="inlineStr"/>
      <c r="R911" t="n">
        <v>400.0326</v>
      </c>
      <c r="S911" t="n">
        <v>0.00012906</v>
      </c>
      <c r="T911" t="n">
        <v>0.00019658</v>
      </c>
      <c r="U911" t="n">
        <v>7596.4693</v>
      </c>
      <c r="V911" t="inlineStr">
        <is>
          <t>Supplier Reported Emissions</t>
        </is>
      </c>
      <c r="W911" t="b">
        <v>0</v>
      </c>
      <c r="X911" t="inlineStr">
        <is>
          <t>High</t>
        </is>
      </c>
      <c r="Y911" t="inlineStr">
        <is>
          <t>None</t>
        </is>
      </c>
      <c r="Z911" t="n">
        <v>0.95</v>
      </c>
      <c r="AA911" t="inlineStr">
        <is>
          <t>Valid</t>
        </is>
      </c>
    </row>
    <row r="912">
      <c r="A912" t="inlineStr">
        <is>
          <t>SUP-0092</t>
        </is>
      </c>
      <c r="B912" t="inlineStr">
        <is>
          <t>Metals Supplier 092</t>
        </is>
      </c>
      <c r="C912" t="inlineStr">
        <is>
          <t>Metals</t>
        </is>
      </c>
      <c r="D912" t="n">
        <v>2015</v>
      </c>
      <c r="E912" t="n">
        <v>18362761.57</v>
      </c>
      <c r="F912" t="n">
        <v>41061715.89</v>
      </c>
      <c r="G912" t="inlineStr"/>
      <c r="H912" t="n">
        <v>6165.1457</v>
      </c>
      <c r="I912" t="n">
        <v>5042.352</v>
      </c>
      <c r="J912" t="n">
        <v>12310.0097</v>
      </c>
      <c r="K912" t="inlineStr"/>
      <c r="L912" t="inlineStr"/>
      <c r="M912" t="inlineStr"/>
      <c r="N912" t="inlineStr"/>
      <c r="O912" t="n">
        <v>2019</v>
      </c>
      <c r="P912" t="n">
        <v>2030</v>
      </c>
      <c r="Q912" t="n">
        <v>0.3852</v>
      </c>
      <c r="R912" t="n">
        <v>158.2904</v>
      </c>
      <c r="S912" t="n">
        <v>0.00100695</v>
      </c>
      <c r="T912" t="n">
        <v>0.00065008</v>
      </c>
      <c r="U912" t="n">
        <v>23517.5074</v>
      </c>
      <c r="V912" t="inlineStr">
        <is>
          <t>Scope 1 + Scope 2 + Scope 3</t>
        </is>
      </c>
      <c r="W912" t="b">
        <v>1</v>
      </c>
      <c r="X912" t="inlineStr">
        <is>
          <t>High</t>
        </is>
      </c>
      <c r="Y912" t="inlineStr">
        <is>
          <t>Reported_Emissions</t>
        </is>
      </c>
      <c r="Z912" t="n">
        <v>0.88</v>
      </c>
      <c r="AA912" t="inlineStr">
        <is>
          <t>Valid</t>
        </is>
      </c>
    </row>
    <row r="913">
      <c r="A913" t="inlineStr">
        <is>
          <t>SUP-0092</t>
        </is>
      </c>
      <c r="B913" t="inlineStr">
        <is>
          <t>Metals Supplier 092</t>
        </is>
      </c>
      <c r="C913" t="inlineStr">
        <is>
          <t>Metals</t>
        </is>
      </c>
      <c r="D913" t="n">
        <v>2016</v>
      </c>
      <c r="E913" t="n">
        <v>17205126.74</v>
      </c>
      <c r="F913" t="n">
        <v>34316063.24</v>
      </c>
      <c r="G913" t="n">
        <v>16844.0409</v>
      </c>
      <c r="H913" t="n">
        <v>3001.3032</v>
      </c>
      <c r="I913" t="n">
        <v>3898.1969</v>
      </c>
      <c r="J913" t="n">
        <v>10845.8739</v>
      </c>
      <c r="K913" t="inlineStr"/>
      <c r="L913" t="inlineStr"/>
      <c r="M913" t="inlineStr"/>
      <c r="N913" t="inlineStr"/>
      <c r="O913" t="n">
        <v>2019</v>
      </c>
      <c r="P913" t="n">
        <v>2030</v>
      </c>
      <c r="Q913" t="n">
        <v>0.3852</v>
      </c>
      <c r="R913" t="n">
        <v>158.2904</v>
      </c>
      <c r="S913" t="n">
        <v>0.00100695</v>
      </c>
      <c r="T913" t="n">
        <v>0.00065008</v>
      </c>
      <c r="U913" t="n">
        <v>16844.0409</v>
      </c>
      <c r="V913" t="inlineStr">
        <is>
          <t>Supplier Reported Emissions</t>
        </is>
      </c>
      <c r="W913" t="b">
        <v>0</v>
      </c>
      <c r="X913" t="inlineStr">
        <is>
          <t>High</t>
        </is>
      </c>
      <c r="Y913" t="inlineStr">
        <is>
          <t>None</t>
        </is>
      </c>
      <c r="Z913" t="n">
        <v>0.95</v>
      </c>
      <c r="AA913" t="inlineStr">
        <is>
          <t>Valid</t>
        </is>
      </c>
    </row>
    <row r="914">
      <c r="A914" t="inlineStr">
        <is>
          <t>SUP-0092</t>
        </is>
      </c>
      <c r="B914" t="inlineStr">
        <is>
          <t>Metals Supplier 092</t>
        </is>
      </c>
      <c r="C914" t="inlineStr">
        <is>
          <t>Metals</t>
        </is>
      </c>
      <c r="D914" t="n">
        <v>2017</v>
      </c>
      <c r="E914" t="n">
        <v>21264577.25</v>
      </c>
      <c r="F914" t="inlineStr"/>
      <c r="G914" t="n">
        <v>23836.8608</v>
      </c>
      <c r="H914" t="n">
        <v>6022.1626</v>
      </c>
      <c r="I914" t="n">
        <v>2471.6626</v>
      </c>
      <c r="J914" t="n">
        <v>15329.0092</v>
      </c>
      <c r="K914" t="inlineStr"/>
      <c r="L914" t="inlineStr"/>
      <c r="M914" t="inlineStr"/>
      <c r="N914" t="inlineStr"/>
      <c r="O914" t="n">
        <v>2019</v>
      </c>
      <c r="P914" t="n">
        <v>2030</v>
      </c>
      <c r="Q914" t="n">
        <v>0.3852</v>
      </c>
      <c r="R914" t="n">
        <v>158.2904</v>
      </c>
      <c r="S914" t="n">
        <v>0.00100695</v>
      </c>
      <c r="T914" t="n">
        <v>0.00065008</v>
      </c>
      <c r="U914" t="n">
        <v>23836.8608</v>
      </c>
      <c r="V914" t="inlineStr">
        <is>
          <t>Supplier Reported Emissions</t>
        </is>
      </c>
      <c r="W914" t="b">
        <v>0</v>
      </c>
      <c r="X914" t="inlineStr">
        <is>
          <t>High</t>
        </is>
      </c>
      <c r="Y914" t="inlineStr">
        <is>
          <t>Revenue</t>
        </is>
      </c>
      <c r="Z914" t="n">
        <v>0.95</v>
      </c>
      <c r="AA914" t="inlineStr">
        <is>
          <t>Valid</t>
        </is>
      </c>
    </row>
    <row r="915">
      <c r="A915" t="inlineStr">
        <is>
          <t>SUP-0092</t>
        </is>
      </c>
      <c r="B915" t="inlineStr">
        <is>
          <t>Metals Supplier 092</t>
        </is>
      </c>
      <c r="C915" t="inlineStr">
        <is>
          <t>Metals</t>
        </is>
      </c>
      <c r="D915" t="n">
        <v>2018</v>
      </c>
      <c r="E915" t="n">
        <v>18096725.04</v>
      </c>
      <c r="F915" t="n">
        <v>40148997.13</v>
      </c>
      <c r="G915" t="n">
        <v>23748.8956</v>
      </c>
      <c r="H915" t="n">
        <v>4723.8016</v>
      </c>
      <c r="I915" t="n">
        <v>4857.7461</v>
      </c>
      <c r="J915" t="n">
        <v>14386.4153</v>
      </c>
      <c r="K915" t="inlineStr"/>
      <c r="L915" t="inlineStr"/>
      <c r="M915" t="inlineStr"/>
      <c r="N915" t="inlineStr"/>
      <c r="O915" t="n">
        <v>2019</v>
      </c>
      <c r="P915" t="n">
        <v>2030</v>
      </c>
      <c r="Q915" t="n">
        <v>0.3852</v>
      </c>
      <c r="R915" t="n">
        <v>158.2904</v>
      </c>
      <c r="S915" t="n">
        <v>0.00100695</v>
      </c>
      <c r="T915" t="n">
        <v>0.00065008</v>
      </c>
      <c r="U915" t="n">
        <v>23748.8956</v>
      </c>
      <c r="V915" t="inlineStr">
        <is>
          <t>Supplier Reported Emissions</t>
        </is>
      </c>
      <c r="W915" t="b">
        <v>0</v>
      </c>
      <c r="X915" t="inlineStr">
        <is>
          <t>High</t>
        </is>
      </c>
      <c r="Y915" t="inlineStr">
        <is>
          <t>None</t>
        </is>
      </c>
      <c r="Z915" t="n">
        <v>0.95</v>
      </c>
      <c r="AA915" t="inlineStr">
        <is>
          <t>Valid</t>
        </is>
      </c>
    </row>
    <row r="916">
      <c r="A916" t="inlineStr">
        <is>
          <t>SUP-0092</t>
        </is>
      </c>
      <c r="B916" t="inlineStr">
        <is>
          <t>Metals Supplier 092</t>
        </is>
      </c>
      <c r="C916" t="inlineStr">
        <is>
          <t>Metals</t>
        </is>
      </c>
      <c r="D916" t="n">
        <v>2019</v>
      </c>
      <c r="E916" t="n">
        <v>16686374.31</v>
      </c>
      <c r="F916" t="n">
        <v>33992484.03</v>
      </c>
      <c r="G916" t="inlineStr"/>
      <c r="H916" t="n">
        <v>2439.4797</v>
      </c>
      <c r="I916" t="n">
        <v>3288.3464</v>
      </c>
      <c r="J916" t="n">
        <v>11455.8814</v>
      </c>
      <c r="K916" t="inlineStr"/>
      <c r="L916" t="inlineStr"/>
      <c r="M916" t="inlineStr"/>
      <c r="N916" t="inlineStr"/>
      <c r="O916" t="n">
        <v>2019</v>
      </c>
      <c r="P916" t="n">
        <v>2030</v>
      </c>
      <c r="Q916" t="n">
        <v>0.3852</v>
      </c>
      <c r="R916" t="n">
        <v>158.2904</v>
      </c>
      <c r="S916" t="n">
        <v>0.00100695</v>
      </c>
      <c r="T916" t="n">
        <v>0.00065008</v>
      </c>
      <c r="U916" t="n">
        <v>17183.7075</v>
      </c>
      <c r="V916" t="inlineStr">
        <is>
          <t>Scope 1 + Scope 2 + Scope 3</t>
        </is>
      </c>
      <c r="W916" t="b">
        <v>1</v>
      </c>
      <c r="X916" t="inlineStr">
        <is>
          <t>High</t>
        </is>
      </c>
      <c r="Y916" t="inlineStr">
        <is>
          <t>Reported_Emissions</t>
        </is>
      </c>
      <c r="Z916" t="n">
        <v>0.88</v>
      </c>
      <c r="AA916" t="inlineStr">
        <is>
          <t>Valid</t>
        </is>
      </c>
    </row>
    <row r="917">
      <c r="A917" t="inlineStr">
        <is>
          <t>SUP-0092</t>
        </is>
      </c>
      <c r="B917" t="inlineStr">
        <is>
          <t>Metals Supplier 092</t>
        </is>
      </c>
      <c r="C917" t="inlineStr">
        <is>
          <t>Metals</t>
        </is>
      </c>
      <c r="D917" t="n">
        <v>2020</v>
      </c>
      <c r="E917" t="n">
        <v>19700802.48</v>
      </c>
      <c r="F917" t="n">
        <v>38788606.44</v>
      </c>
      <c r="G917" t="n">
        <v>21660.9477</v>
      </c>
      <c r="H917" t="n">
        <v>2847.7212</v>
      </c>
      <c r="I917" t="n">
        <v>1929.1128</v>
      </c>
      <c r="J917" t="n">
        <v>17588.882</v>
      </c>
      <c r="K917" t="inlineStr"/>
      <c r="L917" t="inlineStr"/>
      <c r="M917" t="inlineStr"/>
      <c r="N917" t="inlineStr"/>
      <c r="O917" t="n">
        <v>2019</v>
      </c>
      <c r="P917" t="n">
        <v>2030</v>
      </c>
      <c r="Q917" t="n">
        <v>0.3852</v>
      </c>
      <c r="R917" t="n">
        <v>158.2904</v>
      </c>
      <c r="S917" t="n">
        <v>0.00100695</v>
      </c>
      <c r="T917" t="n">
        <v>0.00065008</v>
      </c>
      <c r="U917" t="n">
        <v>21660.9477</v>
      </c>
      <c r="V917" t="inlineStr">
        <is>
          <t>Supplier Reported Emissions</t>
        </is>
      </c>
      <c r="W917" t="b">
        <v>0</v>
      </c>
      <c r="X917" t="inlineStr">
        <is>
          <t>High</t>
        </is>
      </c>
      <c r="Y917" t="inlineStr">
        <is>
          <t>None</t>
        </is>
      </c>
      <c r="Z917" t="n">
        <v>0.95</v>
      </c>
      <c r="AA917" t="inlineStr">
        <is>
          <t>Valid</t>
        </is>
      </c>
    </row>
    <row r="918">
      <c r="A918" t="inlineStr">
        <is>
          <t>SUP-0092</t>
        </is>
      </c>
      <c r="B918" t="inlineStr">
        <is>
          <t>Metals Supplier 092</t>
        </is>
      </c>
      <c r="C918" t="inlineStr">
        <is>
          <t>Metals</t>
        </is>
      </c>
      <c r="D918" t="n">
        <v>2021</v>
      </c>
      <c r="E918" t="n">
        <v>18995674.42</v>
      </c>
      <c r="F918" t="n">
        <v>39179304.47</v>
      </c>
      <c r="G918" t="inlineStr"/>
      <c r="H918" t="n">
        <v>3940.2459</v>
      </c>
      <c r="I918" t="n">
        <v>1580.5567</v>
      </c>
      <c r="J918" t="n">
        <v>9170.919900000001</v>
      </c>
      <c r="K918" t="inlineStr"/>
      <c r="L918" t="inlineStr"/>
      <c r="M918" t="inlineStr"/>
      <c r="N918" t="inlineStr"/>
      <c r="O918" t="n">
        <v>2019</v>
      </c>
      <c r="P918" t="n">
        <v>2030</v>
      </c>
      <c r="Q918" t="n">
        <v>0.3852</v>
      </c>
      <c r="R918" t="n">
        <v>158.2904</v>
      </c>
      <c r="S918" t="n">
        <v>0.00100695</v>
      </c>
      <c r="T918" t="n">
        <v>0.00065008</v>
      </c>
      <c r="U918" t="n">
        <v>14691.7225</v>
      </c>
      <c r="V918" t="inlineStr">
        <is>
          <t>Scope 1 + Scope 2 + Scope 3</t>
        </is>
      </c>
      <c r="W918" t="b">
        <v>1</v>
      </c>
      <c r="X918" t="inlineStr">
        <is>
          <t>High</t>
        </is>
      </c>
      <c r="Y918" t="inlineStr">
        <is>
          <t>Reported_Emissions</t>
        </is>
      </c>
      <c r="Z918" t="n">
        <v>0.88</v>
      </c>
      <c r="AA918" t="inlineStr">
        <is>
          <t>Valid</t>
        </is>
      </c>
    </row>
    <row r="919">
      <c r="A919" t="inlineStr">
        <is>
          <t>SUP-0092</t>
        </is>
      </c>
      <c r="B919" t="inlineStr">
        <is>
          <t>Metals Supplier 092</t>
        </is>
      </c>
      <c r="C919" t="inlineStr">
        <is>
          <t>Metals</t>
        </is>
      </c>
      <c r="D919" t="n">
        <v>2022</v>
      </c>
      <c r="E919" t="n">
        <v>19140805.04</v>
      </c>
      <c r="F919" t="n">
        <v>33790408.92</v>
      </c>
      <c r="G919" t="n">
        <v>14600.1146</v>
      </c>
      <c r="H919" t="n">
        <v>3212.9252</v>
      </c>
      <c r="I919" t="n">
        <v>2114.1551</v>
      </c>
      <c r="J919" t="n">
        <v>8485.100899999999</v>
      </c>
      <c r="K919" t="inlineStr"/>
      <c r="L919" t="inlineStr"/>
      <c r="M919" t="inlineStr"/>
      <c r="N919" t="inlineStr"/>
      <c r="O919" t="n">
        <v>2019</v>
      </c>
      <c r="P919" t="n">
        <v>2030</v>
      </c>
      <c r="Q919" t="n">
        <v>0.3852</v>
      </c>
      <c r="R919" t="n">
        <v>158.2904</v>
      </c>
      <c r="S919" t="n">
        <v>0.00100695</v>
      </c>
      <c r="T919" t="n">
        <v>0.00065008</v>
      </c>
      <c r="U919" t="n">
        <v>14600.1146</v>
      </c>
      <c r="V919" t="inlineStr">
        <is>
          <t>Supplier Reported Emissions</t>
        </is>
      </c>
      <c r="W919" t="b">
        <v>0</v>
      </c>
      <c r="X919" t="inlineStr">
        <is>
          <t>High</t>
        </is>
      </c>
      <c r="Y919" t="inlineStr">
        <is>
          <t>None</t>
        </is>
      </c>
      <c r="Z919" t="n">
        <v>0.95</v>
      </c>
      <c r="AA919" t="inlineStr">
        <is>
          <t>Valid</t>
        </is>
      </c>
    </row>
    <row r="920">
      <c r="A920" t="inlineStr">
        <is>
          <t>SUP-0092</t>
        </is>
      </c>
      <c r="B920" t="inlineStr">
        <is>
          <t>Metals Supplier 092</t>
        </is>
      </c>
      <c r="C920" t="inlineStr">
        <is>
          <t>Metals</t>
        </is>
      </c>
      <c r="D920" t="n">
        <v>2023</v>
      </c>
      <c r="E920" t="n">
        <v>17032719.24</v>
      </c>
      <c r="F920" t="n">
        <v>58231765.14</v>
      </c>
      <c r="G920" t="n">
        <v>17196.8365</v>
      </c>
      <c r="H920" t="n">
        <v>4374.5367</v>
      </c>
      <c r="I920" t="n">
        <v>2585.1197</v>
      </c>
      <c r="J920" t="n">
        <v>10437.0795</v>
      </c>
      <c r="K920" t="inlineStr"/>
      <c r="L920" t="inlineStr"/>
      <c r="M920" t="inlineStr"/>
      <c r="N920" t="inlineStr"/>
      <c r="O920" t="n">
        <v>2019</v>
      </c>
      <c r="P920" t="n">
        <v>2030</v>
      </c>
      <c r="Q920" t="n">
        <v>0.3852</v>
      </c>
      <c r="R920" t="n">
        <v>158.2904</v>
      </c>
      <c r="S920" t="n">
        <v>0.00100695</v>
      </c>
      <c r="T920" t="n">
        <v>0.00065008</v>
      </c>
      <c r="U920" t="n">
        <v>17196.8365</v>
      </c>
      <c r="V920" t="inlineStr">
        <is>
          <t>Supplier Reported Emissions</t>
        </is>
      </c>
      <c r="W920" t="b">
        <v>0</v>
      </c>
      <c r="X920" t="inlineStr">
        <is>
          <t>High</t>
        </is>
      </c>
      <c r="Y920" t="inlineStr">
        <is>
          <t>None</t>
        </is>
      </c>
      <c r="Z920" t="n">
        <v>0.95</v>
      </c>
      <c r="AA920" t="inlineStr">
        <is>
          <t>Valid</t>
        </is>
      </c>
    </row>
    <row r="921">
      <c r="A921" t="inlineStr">
        <is>
          <t>SUP-0092</t>
        </is>
      </c>
      <c r="B921" t="inlineStr">
        <is>
          <t>Metals Supplier 092</t>
        </is>
      </c>
      <c r="C921" t="inlineStr">
        <is>
          <t>Metals</t>
        </is>
      </c>
      <c r="D921" t="n">
        <v>2024</v>
      </c>
      <c r="E921" t="n">
        <v>17950763.75</v>
      </c>
      <c r="F921" t="n">
        <v>35763609.62</v>
      </c>
      <c r="G921" t="n">
        <v>14843.6709</v>
      </c>
      <c r="H921" t="inlineStr"/>
      <c r="I921" t="n">
        <v>2484.2007</v>
      </c>
      <c r="J921" t="inlineStr"/>
      <c r="K921" t="inlineStr"/>
      <c r="L921" t="inlineStr"/>
      <c r="M921" t="inlineStr"/>
      <c r="N921" t="inlineStr"/>
      <c r="O921" t="n">
        <v>2019</v>
      </c>
      <c r="P921" t="n">
        <v>2030</v>
      </c>
      <c r="Q921" t="n">
        <v>0.3852</v>
      </c>
      <c r="R921" t="n">
        <v>158.2904</v>
      </c>
      <c r="S921" t="n">
        <v>0.00100695</v>
      </c>
      <c r="T921" t="n">
        <v>0.00065008</v>
      </c>
      <c r="U921" t="n">
        <v>14843.6709</v>
      </c>
      <c r="V921" t="inlineStr">
        <is>
          <t>Supplier Reported Emissions</t>
        </is>
      </c>
      <c r="W921" t="b">
        <v>0</v>
      </c>
      <c r="X921" t="inlineStr">
        <is>
          <t>High</t>
        </is>
      </c>
      <c r="Y921" t="inlineStr">
        <is>
          <t>Scope_Emissions</t>
        </is>
      </c>
      <c r="Z921" t="n">
        <v>0.95</v>
      </c>
      <c r="AA921" t="inlineStr">
        <is>
          <t>Valid</t>
        </is>
      </c>
    </row>
    <row r="922">
      <c r="A922" t="inlineStr">
        <is>
          <t>SUP-0093</t>
        </is>
      </c>
      <c r="B922" t="inlineStr">
        <is>
          <t>Chemicals Supplier 093</t>
        </is>
      </c>
      <c r="C922" t="inlineStr">
        <is>
          <t>Chemicals</t>
        </is>
      </c>
      <c r="D922" t="n">
        <v>2015</v>
      </c>
      <c r="E922" t="n">
        <v>17550487.72</v>
      </c>
      <c r="F922" t="inlineStr"/>
      <c r="G922" t="n">
        <v>18204.4056</v>
      </c>
      <c r="H922" t="n">
        <v>5434.1913</v>
      </c>
      <c r="I922" t="n">
        <v>3627.9657</v>
      </c>
      <c r="J922" t="n">
        <v>10735.5294</v>
      </c>
      <c r="K922" t="inlineStr"/>
      <c r="L922" t="inlineStr"/>
      <c r="M922" t="inlineStr"/>
      <c r="N922" t="inlineStr"/>
      <c r="O922" t="n">
        <v>2019</v>
      </c>
      <c r="P922" t="n">
        <v>2035</v>
      </c>
      <c r="Q922" t="n">
        <v>0.5229</v>
      </c>
      <c r="R922" t="n">
        <v>506.3191</v>
      </c>
      <c r="S922" t="n">
        <v>0.00100149</v>
      </c>
      <c r="T922" t="n">
        <v>0.00047124</v>
      </c>
      <c r="U922" t="n">
        <v>18204.4056</v>
      </c>
      <c r="V922" t="inlineStr">
        <is>
          <t>Supplier Reported Emissions</t>
        </is>
      </c>
      <c r="W922" t="b">
        <v>0</v>
      </c>
      <c r="X922" t="inlineStr">
        <is>
          <t>High</t>
        </is>
      </c>
      <c r="Y922" t="inlineStr">
        <is>
          <t>Revenue</t>
        </is>
      </c>
      <c r="Z922" t="n">
        <v>0.95</v>
      </c>
      <c r="AA922" t="inlineStr">
        <is>
          <t>Valid</t>
        </is>
      </c>
    </row>
    <row r="923">
      <c r="A923" t="inlineStr">
        <is>
          <t>SUP-0093</t>
        </is>
      </c>
      <c r="B923" t="inlineStr">
        <is>
          <t>Chemicals Supplier 093</t>
        </is>
      </c>
      <c r="C923" t="inlineStr">
        <is>
          <t>Chemicals</t>
        </is>
      </c>
      <c r="D923" t="n">
        <v>2016</v>
      </c>
      <c r="E923" t="n">
        <v>17422384.32</v>
      </c>
      <c r="F923" t="n">
        <v>84992815.98999999</v>
      </c>
      <c r="G923" t="n">
        <v>16131.7329</v>
      </c>
      <c r="H923" t="n">
        <v>3704.7271</v>
      </c>
      <c r="I923" t="n">
        <v>3304.8134</v>
      </c>
      <c r="J923" t="n">
        <v>8828.243899999999</v>
      </c>
      <c r="K923" t="inlineStr"/>
      <c r="L923" t="inlineStr"/>
      <c r="M923" t="inlineStr"/>
      <c r="N923" t="inlineStr"/>
      <c r="O923" t="n">
        <v>2019</v>
      </c>
      <c r="P923" t="n">
        <v>2035</v>
      </c>
      <c r="Q923" t="n">
        <v>0.5229</v>
      </c>
      <c r="R923" t="n">
        <v>506.3191</v>
      </c>
      <c r="S923" t="n">
        <v>0.00100149</v>
      </c>
      <c r="T923" t="n">
        <v>0.00047124</v>
      </c>
      <c r="U923" t="n">
        <v>16131.7329</v>
      </c>
      <c r="V923" t="inlineStr">
        <is>
          <t>Supplier Reported Emissions</t>
        </is>
      </c>
      <c r="W923" t="b">
        <v>0</v>
      </c>
      <c r="X923" t="inlineStr">
        <is>
          <t>High</t>
        </is>
      </c>
      <c r="Y923" t="inlineStr">
        <is>
          <t>None</t>
        </is>
      </c>
      <c r="Z923" t="n">
        <v>0.95</v>
      </c>
      <c r="AA923" t="inlineStr">
        <is>
          <t>Valid</t>
        </is>
      </c>
    </row>
    <row r="924">
      <c r="A924" t="inlineStr">
        <is>
          <t>SUP-0093</t>
        </is>
      </c>
      <c r="B924" t="inlineStr">
        <is>
          <t>Chemicals Supplier 093</t>
        </is>
      </c>
      <c r="C924" t="inlineStr">
        <is>
          <t>Chemicals</t>
        </is>
      </c>
      <c r="D924" t="n">
        <v>2017</v>
      </c>
      <c r="E924" t="n">
        <v>17534809.77</v>
      </c>
      <c r="F924" t="n">
        <v>99377304.53</v>
      </c>
      <c r="G924" t="inlineStr"/>
      <c r="H924" t="n">
        <v>2792.0897</v>
      </c>
      <c r="I924" t="n">
        <v>2854.7827</v>
      </c>
      <c r="J924" t="n">
        <v>14078.6323</v>
      </c>
      <c r="K924" t="inlineStr"/>
      <c r="L924" t="inlineStr"/>
      <c r="M924" t="inlineStr"/>
      <c r="N924" t="inlineStr"/>
      <c r="O924" t="n">
        <v>2019</v>
      </c>
      <c r="P924" t="n">
        <v>2035</v>
      </c>
      <c r="Q924" t="n">
        <v>0.5229</v>
      </c>
      <c r="R924" t="n">
        <v>506.3191</v>
      </c>
      <c r="S924" t="n">
        <v>0.00100149</v>
      </c>
      <c r="T924" t="n">
        <v>0.00047124</v>
      </c>
      <c r="U924" t="n">
        <v>19725.5047</v>
      </c>
      <c r="V924" t="inlineStr">
        <is>
          <t>Scope 1 + Scope 2 + Scope 3</t>
        </is>
      </c>
      <c r="W924" t="b">
        <v>1</v>
      </c>
      <c r="X924" t="inlineStr">
        <is>
          <t>High</t>
        </is>
      </c>
      <c r="Y924" t="inlineStr">
        <is>
          <t>Reported_Emissions</t>
        </is>
      </c>
      <c r="Z924" t="n">
        <v>0.88</v>
      </c>
      <c r="AA924" t="inlineStr">
        <is>
          <t>Valid</t>
        </is>
      </c>
    </row>
    <row r="925">
      <c r="A925" t="inlineStr">
        <is>
          <t>SUP-0093</t>
        </is>
      </c>
      <c r="B925" t="inlineStr">
        <is>
          <t>Chemicals Supplier 093</t>
        </is>
      </c>
      <c r="C925" t="inlineStr">
        <is>
          <t>Chemicals</t>
        </is>
      </c>
      <c r="D925" t="n">
        <v>2018</v>
      </c>
      <c r="E925" t="n">
        <v>20545588.23</v>
      </c>
      <c r="F925" t="n">
        <v>79880039.58</v>
      </c>
      <c r="G925" t="n">
        <v>24047.28</v>
      </c>
      <c r="H925" t="n">
        <v>5384.5826</v>
      </c>
      <c r="I925" t="inlineStr"/>
      <c r="J925" t="n">
        <v>16284.0046</v>
      </c>
      <c r="K925" t="inlineStr"/>
      <c r="L925" t="inlineStr"/>
      <c r="M925" t="inlineStr"/>
      <c r="N925" t="inlineStr"/>
      <c r="O925" t="n">
        <v>2019</v>
      </c>
      <c r="P925" t="n">
        <v>2035</v>
      </c>
      <c r="Q925" t="n">
        <v>0.5229</v>
      </c>
      <c r="R925" t="n">
        <v>506.3191</v>
      </c>
      <c r="S925" t="n">
        <v>0.00100149</v>
      </c>
      <c r="T925" t="n">
        <v>0.00047124</v>
      </c>
      <c r="U925" t="n">
        <v>24047.28</v>
      </c>
      <c r="V925" t="inlineStr">
        <is>
          <t>Supplier Reported Emissions</t>
        </is>
      </c>
      <c r="W925" t="b">
        <v>0</v>
      </c>
      <c r="X925" t="inlineStr">
        <is>
          <t>High</t>
        </is>
      </c>
      <c r="Y925" t="inlineStr">
        <is>
          <t>Scope_Emissions</t>
        </is>
      </c>
      <c r="Z925" t="n">
        <v>0.95</v>
      </c>
      <c r="AA925" t="inlineStr">
        <is>
          <t>Valid</t>
        </is>
      </c>
    </row>
    <row r="926">
      <c r="A926" t="inlineStr">
        <is>
          <t>SUP-0093</t>
        </is>
      </c>
      <c r="B926" t="inlineStr">
        <is>
          <t>Chemicals Supplier 093</t>
        </is>
      </c>
      <c r="C926" t="inlineStr">
        <is>
          <t>Chemicals</t>
        </is>
      </c>
      <c r="D926" t="n">
        <v>2019</v>
      </c>
      <c r="E926" t="inlineStr"/>
      <c r="F926" t="n">
        <v>108675722.77</v>
      </c>
      <c r="G926" t="n">
        <v>20701.093</v>
      </c>
      <c r="H926" t="inlineStr"/>
      <c r="I926" t="n">
        <v>1368.5909</v>
      </c>
      <c r="J926" t="inlineStr"/>
      <c r="K926" t="inlineStr"/>
      <c r="L926" t="inlineStr"/>
      <c r="M926" t="inlineStr"/>
      <c r="N926" t="inlineStr"/>
      <c r="O926" t="n">
        <v>2019</v>
      </c>
      <c r="P926" t="n">
        <v>2035</v>
      </c>
      <c r="Q926" t="n">
        <v>0.5229</v>
      </c>
      <c r="R926" t="n">
        <v>506.3191</v>
      </c>
      <c r="S926" t="n">
        <v>0.00100149</v>
      </c>
      <c r="T926" t="n">
        <v>0.00047124</v>
      </c>
      <c r="U926" t="n">
        <v>20701.093</v>
      </c>
      <c r="V926" t="inlineStr">
        <is>
          <t>Supplier Reported Emissions</t>
        </is>
      </c>
      <c r="W926" t="b">
        <v>0</v>
      </c>
      <c r="X926" t="inlineStr">
        <is>
          <t>High</t>
        </is>
      </c>
      <c r="Y926" t="inlineStr">
        <is>
          <t>Gross_Spend; Scope_Emissions</t>
        </is>
      </c>
      <c r="Z926" t="n">
        <v>0.95</v>
      </c>
      <c r="AA926" t="inlineStr">
        <is>
          <t>Valid</t>
        </is>
      </c>
    </row>
    <row r="927">
      <c r="A927" t="inlineStr">
        <is>
          <t>SUP-0093</t>
        </is>
      </c>
      <c r="B927" t="inlineStr">
        <is>
          <t>Chemicals Supplier 093</t>
        </is>
      </c>
      <c r="C927" t="inlineStr">
        <is>
          <t>Chemicals</t>
        </is>
      </c>
      <c r="D927" t="n">
        <v>2020</v>
      </c>
      <c r="E927" t="n">
        <v>21329949.32</v>
      </c>
      <c r="F927" t="n">
        <v>126596455.65</v>
      </c>
      <c r="G927" t="n">
        <v>22684.4219</v>
      </c>
      <c r="H927" t="inlineStr"/>
      <c r="I927" t="inlineStr"/>
      <c r="J927" t="n">
        <v>16155.276</v>
      </c>
      <c r="K927" t="inlineStr"/>
      <c r="L927" t="inlineStr"/>
      <c r="M927" t="inlineStr"/>
      <c r="N927" t="inlineStr"/>
      <c r="O927" t="n">
        <v>2019</v>
      </c>
      <c r="P927" t="n">
        <v>2035</v>
      </c>
      <c r="Q927" t="n">
        <v>0.5229</v>
      </c>
      <c r="R927" t="n">
        <v>506.3191</v>
      </c>
      <c r="S927" t="n">
        <v>0.00100149</v>
      </c>
      <c r="T927" t="n">
        <v>0.00047124</v>
      </c>
      <c r="U927" t="n">
        <v>22684.4219</v>
      </c>
      <c r="V927" t="inlineStr">
        <is>
          <t>Supplier Reported Emissions</t>
        </is>
      </c>
      <c r="W927" t="b">
        <v>0</v>
      </c>
      <c r="X927" t="inlineStr">
        <is>
          <t>High</t>
        </is>
      </c>
      <c r="Y927" t="inlineStr">
        <is>
          <t>Scope_Emissions</t>
        </is>
      </c>
      <c r="Z927" t="n">
        <v>0.95</v>
      </c>
      <c r="AA927" t="inlineStr">
        <is>
          <t>Valid</t>
        </is>
      </c>
    </row>
    <row r="928">
      <c r="A928" t="inlineStr">
        <is>
          <t>SUP-0093</t>
        </is>
      </c>
      <c r="B928" t="inlineStr">
        <is>
          <t>Chemicals Supplier 093</t>
        </is>
      </c>
      <c r="C928" t="inlineStr">
        <is>
          <t>Chemicals</t>
        </is>
      </c>
      <c r="D928" t="n">
        <v>2021</v>
      </c>
      <c r="E928" t="n">
        <v>24035063.03</v>
      </c>
      <c r="F928" t="n">
        <v>131560175.27</v>
      </c>
      <c r="G928" t="n">
        <v>20050.6863</v>
      </c>
      <c r="H928" t="n">
        <v>3630.0533</v>
      </c>
      <c r="I928" t="n">
        <v>2297.5145</v>
      </c>
      <c r="J928" t="n">
        <v>14120.1503</v>
      </c>
      <c r="K928" t="inlineStr"/>
      <c r="L928" t="inlineStr"/>
      <c r="M928" t="inlineStr"/>
      <c r="N928" t="inlineStr"/>
      <c r="O928" t="n">
        <v>2019</v>
      </c>
      <c r="P928" t="n">
        <v>2035</v>
      </c>
      <c r="Q928" t="n">
        <v>0.5229</v>
      </c>
      <c r="R928" t="n">
        <v>506.3191</v>
      </c>
      <c r="S928" t="n">
        <v>0.00100149</v>
      </c>
      <c r="T928" t="n">
        <v>0.00047124</v>
      </c>
      <c r="U928" t="n">
        <v>20050.6863</v>
      </c>
      <c r="V928" t="inlineStr">
        <is>
          <t>Supplier Reported Emissions</t>
        </is>
      </c>
      <c r="W928" t="b">
        <v>0</v>
      </c>
      <c r="X928" t="inlineStr">
        <is>
          <t>High</t>
        </is>
      </c>
      <c r="Y928" t="inlineStr">
        <is>
          <t>None</t>
        </is>
      </c>
      <c r="Z928" t="n">
        <v>0.95</v>
      </c>
      <c r="AA928" t="inlineStr">
        <is>
          <t>Valid</t>
        </is>
      </c>
    </row>
    <row r="929">
      <c r="A929" t="inlineStr">
        <is>
          <t>SUP-0093</t>
        </is>
      </c>
      <c r="B929" t="inlineStr">
        <is>
          <t>Chemicals Supplier 093</t>
        </is>
      </c>
      <c r="C929" t="inlineStr">
        <is>
          <t>Chemicals</t>
        </is>
      </c>
      <c r="D929" t="n">
        <v>2022</v>
      </c>
      <c r="E929" t="n">
        <v>25836099.39</v>
      </c>
      <c r="F929" t="n">
        <v>104461689.13</v>
      </c>
      <c r="G929" t="inlineStr"/>
      <c r="H929" t="n">
        <v>6276.9328</v>
      </c>
      <c r="I929" t="n">
        <v>4742.3885</v>
      </c>
      <c r="J929" t="n">
        <v>11787.5644</v>
      </c>
      <c r="K929" t="inlineStr"/>
      <c r="L929" t="inlineStr"/>
      <c r="M929" t="inlineStr"/>
      <c r="N929" t="inlineStr"/>
      <c r="O929" t="n">
        <v>2019</v>
      </c>
      <c r="P929" t="n">
        <v>2035</v>
      </c>
      <c r="Q929" t="n">
        <v>0.5229</v>
      </c>
      <c r="R929" t="n">
        <v>506.3191</v>
      </c>
      <c r="S929" t="n">
        <v>0.00100149</v>
      </c>
      <c r="T929" t="n">
        <v>0.00047124</v>
      </c>
      <c r="U929" t="n">
        <v>22806.8857</v>
      </c>
      <c r="V929" t="inlineStr">
        <is>
          <t>Scope 1 + Scope 2 + Scope 3</t>
        </is>
      </c>
      <c r="W929" t="b">
        <v>1</v>
      </c>
      <c r="X929" t="inlineStr">
        <is>
          <t>High</t>
        </is>
      </c>
      <c r="Y929" t="inlineStr">
        <is>
          <t>Reported_Emissions</t>
        </is>
      </c>
      <c r="Z929" t="n">
        <v>0.88</v>
      </c>
      <c r="AA929" t="inlineStr">
        <is>
          <t>Valid</t>
        </is>
      </c>
    </row>
    <row r="930">
      <c r="A930" t="inlineStr">
        <is>
          <t>SUP-0093</t>
        </is>
      </c>
      <c r="B930" t="inlineStr">
        <is>
          <t>Chemicals Supplier 093</t>
        </is>
      </c>
      <c r="C930" t="inlineStr">
        <is>
          <t>Chemicals</t>
        </is>
      </c>
      <c r="D930" t="n">
        <v>2023</v>
      </c>
      <c r="E930" t="n">
        <v>27562546.21</v>
      </c>
      <c r="F930" t="n">
        <v>114454890.92</v>
      </c>
      <c r="G930" t="n">
        <v>27480.9507</v>
      </c>
      <c r="H930" t="n">
        <v>3371.1842</v>
      </c>
      <c r="I930" t="n">
        <v>3495.2452</v>
      </c>
      <c r="J930" t="inlineStr"/>
      <c r="K930" t="inlineStr"/>
      <c r="L930" t="inlineStr"/>
      <c r="M930" t="inlineStr"/>
      <c r="N930" t="inlineStr"/>
      <c r="O930" t="n">
        <v>2019</v>
      </c>
      <c r="P930" t="n">
        <v>2035</v>
      </c>
      <c r="Q930" t="n">
        <v>0.5229</v>
      </c>
      <c r="R930" t="n">
        <v>506.3191</v>
      </c>
      <c r="S930" t="n">
        <v>0.00100149</v>
      </c>
      <c r="T930" t="n">
        <v>0.00047124</v>
      </c>
      <c r="U930" t="n">
        <v>27480.9507</v>
      </c>
      <c r="V930" t="inlineStr">
        <is>
          <t>Supplier Reported Emissions</t>
        </is>
      </c>
      <c r="W930" t="b">
        <v>0</v>
      </c>
      <c r="X930" t="inlineStr">
        <is>
          <t>High</t>
        </is>
      </c>
      <c r="Y930" t="inlineStr">
        <is>
          <t>Scope_Emissions</t>
        </is>
      </c>
      <c r="Z930" t="n">
        <v>0.95</v>
      </c>
      <c r="AA930" t="inlineStr">
        <is>
          <t>Valid</t>
        </is>
      </c>
    </row>
    <row r="931">
      <c r="A931" t="inlineStr">
        <is>
          <t>SUP-0093</t>
        </is>
      </c>
      <c r="B931" t="inlineStr">
        <is>
          <t>Chemicals Supplier 093</t>
        </is>
      </c>
      <c r="C931" t="inlineStr">
        <is>
          <t>Chemicals</t>
        </is>
      </c>
      <c r="D931" t="n">
        <v>2024</v>
      </c>
      <c r="E931" t="n">
        <v>32321142.26</v>
      </c>
      <c r="F931" t="n">
        <v>110130794.79</v>
      </c>
      <c r="G931" t="n">
        <v>37700.998</v>
      </c>
      <c r="H931" t="n">
        <v>3881.9187</v>
      </c>
      <c r="I931" t="n">
        <v>3542.427</v>
      </c>
      <c r="J931" t="n">
        <v>31290.2093</v>
      </c>
      <c r="K931" t="inlineStr"/>
      <c r="L931" t="inlineStr"/>
      <c r="M931" t="inlineStr"/>
      <c r="N931" t="inlineStr"/>
      <c r="O931" t="n">
        <v>2019</v>
      </c>
      <c r="P931" t="n">
        <v>2035</v>
      </c>
      <c r="Q931" t="n">
        <v>0.5229</v>
      </c>
      <c r="R931" t="n">
        <v>506.3191</v>
      </c>
      <c r="S931" t="n">
        <v>0.00100149</v>
      </c>
      <c r="T931" t="n">
        <v>0.00047124</v>
      </c>
      <c r="U931" t="n">
        <v>37700.998</v>
      </c>
      <c r="V931" t="inlineStr">
        <is>
          <t>Supplier Reported Emissions</t>
        </is>
      </c>
      <c r="W931" t="b">
        <v>0</v>
      </c>
      <c r="X931" t="inlineStr">
        <is>
          <t>High</t>
        </is>
      </c>
      <c r="Y931" t="inlineStr">
        <is>
          <t>None</t>
        </is>
      </c>
      <c r="Z931" t="n">
        <v>0.95</v>
      </c>
      <c r="AA931" t="inlineStr">
        <is>
          <t>Valid</t>
        </is>
      </c>
    </row>
    <row r="932">
      <c r="A932" t="inlineStr">
        <is>
          <t>SUP-0094</t>
        </is>
      </c>
      <c r="B932" t="inlineStr">
        <is>
          <t>Metals Supplier 094</t>
        </is>
      </c>
      <c r="C932" t="inlineStr">
        <is>
          <t>Metals</t>
        </is>
      </c>
      <c r="D932" t="n">
        <v>2015</v>
      </c>
      <c r="E932" t="n">
        <v>5831023.79</v>
      </c>
      <c r="F932" t="n">
        <v>33459249.59</v>
      </c>
      <c r="G932" t="n">
        <v>3968.8943</v>
      </c>
      <c r="H932" t="n">
        <v>1001.6098</v>
      </c>
      <c r="I932" t="n">
        <v>308.7531</v>
      </c>
      <c r="J932" t="n">
        <v>2946.5413</v>
      </c>
      <c r="K932" t="n">
        <v>2018</v>
      </c>
      <c r="L932" t="n">
        <v>2040</v>
      </c>
      <c r="M932" t="n">
        <v>0.3585</v>
      </c>
      <c r="N932" t="n">
        <v>0.1294</v>
      </c>
      <c r="O932" t="n">
        <v>2019</v>
      </c>
      <c r="P932" t="n">
        <v>2030</v>
      </c>
      <c r="Q932" t="n">
        <v>0.3852</v>
      </c>
      <c r="R932" t="n">
        <v>158.2904</v>
      </c>
      <c r="S932" t="n">
        <v>0.00100695</v>
      </c>
      <c r="T932" t="n">
        <v>0.00065008</v>
      </c>
      <c r="U932" t="n">
        <v>3968.8943</v>
      </c>
      <c r="V932" t="inlineStr">
        <is>
          <t>Supplier Reported Emissions</t>
        </is>
      </c>
      <c r="W932" t="b">
        <v>0</v>
      </c>
      <c r="X932" t="inlineStr">
        <is>
          <t>High</t>
        </is>
      </c>
      <c r="Y932" t="inlineStr">
        <is>
          <t>None</t>
        </is>
      </c>
      <c r="Z932" t="n">
        <v>0.95</v>
      </c>
      <c r="AA932" t="inlineStr">
        <is>
          <t>Valid</t>
        </is>
      </c>
    </row>
    <row r="933">
      <c r="A933" t="inlineStr">
        <is>
          <t>SUP-0094</t>
        </is>
      </c>
      <c r="B933" t="inlineStr">
        <is>
          <t>Metals Supplier 094</t>
        </is>
      </c>
      <c r="C933" t="inlineStr">
        <is>
          <t>Metals</t>
        </is>
      </c>
      <c r="D933" t="n">
        <v>2016</v>
      </c>
      <c r="E933" t="n">
        <v>5806331.79</v>
      </c>
      <c r="F933" t="n">
        <v>34363644.47</v>
      </c>
      <c r="G933" t="n">
        <v>4489.2792</v>
      </c>
      <c r="H933" t="n">
        <v>889.3587</v>
      </c>
      <c r="I933" t="n">
        <v>877.0348</v>
      </c>
      <c r="J933" t="n">
        <v>2753.1149</v>
      </c>
      <c r="K933" t="n">
        <v>2018</v>
      </c>
      <c r="L933" t="n">
        <v>2040</v>
      </c>
      <c r="M933" t="n">
        <v>0.3585</v>
      </c>
      <c r="N933" t="n">
        <v>0.1294</v>
      </c>
      <c r="O933" t="n">
        <v>2019</v>
      </c>
      <c r="P933" t="n">
        <v>2030</v>
      </c>
      <c r="Q933" t="n">
        <v>0.3852</v>
      </c>
      <c r="R933" t="n">
        <v>158.2904</v>
      </c>
      <c r="S933" t="n">
        <v>0.00100695</v>
      </c>
      <c r="T933" t="n">
        <v>0.00065008</v>
      </c>
      <c r="U933" t="n">
        <v>4489.2792</v>
      </c>
      <c r="V933" t="inlineStr">
        <is>
          <t>Supplier Reported Emissions</t>
        </is>
      </c>
      <c r="W933" t="b">
        <v>0</v>
      </c>
      <c r="X933" t="inlineStr">
        <is>
          <t>High</t>
        </is>
      </c>
      <c r="Y933" t="inlineStr">
        <is>
          <t>None</t>
        </is>
      </c>
      <c r="Z933" t="n">
        <v>0.95</v>
      </c>
      <c r="AA933" t="inlineStr">
        <is>
          <t>Valid</t>
        </is>
      </c>
    </row>
    <row r="934">
      <c r="A934" t="inlineStr">
        <is>
          <t>SUP-0094</t>
        </is>
      </c>
      <c r="B934" t="inlineStr">
        <is>
          <t>Metals Supplier 094</t>
        </is>
      </c>
      <c r="C934" t="inlineStr">
        <is>
          <t>Metals</t>
        </is>
      </c>
      <c r="D934" t="n">
        <v>2017</v>
      </c>
      <c r="E934" t="n">
        <v>5582145.35</v>
      </c>
      <c r="F934" t="inlineStr"/>
      <c r="G934" t="n">
        <v>3956.043</v>
      </c>
      <c r="H934" t="inlineStr"/>
      <c r="I934" t="n">
        <v>725.3893</v>
      </c>
      <c r="J934" t="n">
        <v>2764.6761</v>
      </c>
      <c r="K934" t="n">
        <v>2018</v>
      </c>
      <c r="L934" t="n">
        <v>2040</v>
      </c>
      <c r="M934" t="n">
        <v>0.3585</v>
      </c>
      <c r="N934" t="n">
        <v>0.1294</v>
      </c>
      <c r="O934" t="n">
        <v>2019</v>
      </c>
      <c r="P934" t="n">
        <v>2030</v>
      </c>
      <c r="Q934" t="n">
        <v>0.3852</v>
      </c>
      <c r="R934" t="n">
        <v>158.2904</v>
      </c>
      <c r="S934" t="n">
        <v>0.00100695</v>
      </c>
      <c r="T934" t="n">
        <v>0.00065008</v>
      </c>
      <c r="U934" t="n">
        <v>3956.043</v>
      </c>
      <c r="V934" t="inlineStr">
        <is>
          <t>Supplier Reported Emissions</t>
        </is>
      </c>
      <c r="W934" t="b">
        <v>0</v>
      </c>
      <c r="X934" t="inlineStr">
        <is>
          <t>High</t>
        </is>
      </c>
      <c r="Y934" t="inlineStr">
        <is>
          <t>Revenue; Scope_Emissions</t>
        </is>
      </c>
      <c r="Z934" t="n">
        <v>0.95</v>
      </c>
      <c r="AA934" t="inlineStr">
        <is>
          <t>Valid</t>
        </is>
      </c>
    </row>
    <row r="935">
      <c r="A935" t="inlineStr">
        <is>
          <t>SUP-0094</t>
        </is>
      </c>
      <c r="B935" t="inlineStr">
        <is>
          <t>Metals Supplier 094</t>
        </is>
      </c>
      <c r="C935" t="inlineStr">
        <is>
          <t>Metals</t>
        </is>
      </c>
      <c r="D935" t="n">
        <v>2018</v>
      </c>
      <c r="E935" t="n">
        <v>6112252.74</v>
      </c>
      <c r="F935" t="n">
        <v>35506612.82</v>
      </c>
      <c r="G935" t="n">
        <v>4230.3408</v>
      </c>
      <c r="H935" t="n">
        <v>941.1227</v>
      </c>
      <c r="I935" t="n">
        <v>674.1255</v>
      </c>
      <c r="J935" t="n">
        <v>2879.8282</v>
      </c>
      <c r="K935" t="n">
        <v>2018</v>
      </c>
      <c r="L935" t="n">
        <v>2040</v>
      </c>
      <c r="M935" t="n">
        <v>0.3585</v>
      </c>
      <c r="N935" t="n">
        <v>0.1294</v>
      </c>
      <c r="O935" t="n">
        <v>2019</v>
      </c>
      <c r="P935" t="n">
        <v>2030</v>
      </c>
      <c r="Q935" t="n">
        <v>0.3852</v>
      </c>
      <c r="R935" t="n">
        <v>158.2904</v>
      </c>
      <c r="S935" t="n">
        <v>0.00100695</v>
      </c>
      <c r="T935" t="n">
        <v>0.00065008</v>
      </c>
      <c r="U935" t="n">
        <v>4230.3408</v>
      </c>
      <c r="V935" t="inlineStr">
        <is>
          <t>Supplier Reported Emissions</t>
        </is>
      </c>
      <c r="W935" t="b">
        <v>0</v>
      </c>
      <c r="X935" t="inlineStr">
        <is>
          <t>High</t>
        </is>
      </c>
      <c r="Y935" t="inlineStr">
        <is>
          <t>None</t>
        </is>
      </c>
      <c r="Z935" t="n">
        <v>0.95</v>
      </c>
      <c r="AA935" t="inlineStr">
        <is>
          <t>Valid</t>
        </is>
      </c>
    </row>
    <row r="936">
      <c r="A936" t="inlineStr">
        <is>
          <t>SUP-0094</t>
        </is>
      </c>
      <c r="B936" t="inlineStr">
        <is>
          <t>Metals Supplier 094</t>
        </is>
      </c>
      <c r="C936" t="inlineStr">
        <is>
          <t>Metals</t>
        </is>
      </c>
      <c r="D936" t="n">
        <v>2019</v>
      </c>
      <c r="E936" t="n">
        <v>5213865.9</v>
      </c>
      <c r="F936" t="n">
        <v>36084123.19</v>
      </c>
      <c r="G936" t="n">
        <v>4630.4172</v>
      </c>
      <c r="H936" t="n">
        <v>1188.4871</v>
      </c>
      <c r="I936" t="n">
        <v>324.3361</v>
      </c>
      <c r="J936" t="inlineStr"/>
      <c r="K936" t="n">
        <v>2018</v>
      </c>
      <c r="L936" t="n">
        <v>2040</v>
      </c>
      <c r="M936" t="n">
        <v>0.3585</v>
      </c>
      <c r="N936" t="n">
        <v>0.1294</v>
      </c>
      <c r="O936" t="n">
        <v>2019</v>
      </c>
      <c r="P936" t="n">
        <v>2030</v>
      </c>
      <c r="Q936" t="n">
        <v>0.3852</v>
      </c>
      <c r="R936" t="n">
        <v>158.2904</v>
      </c>
      <c r="S936" t="n">
        <v>0.00100695</v>
      </c>
      <c r="T936" t="n">
        <v>0.00065008</v>
      </c>
      <c r="U936" t="n">
        <v>4630.4172</v>
      </c>
      <c r="V936" t="inlineStr">
        <is>
          <t>Supplier Reported Emissions</t>
        </is>
      </c>
      <c r="W936" t="b">
        <v>0</v>
      </c>
      <c r="X936" t="inlineStr">
        <is>
          <t>High</t>
        </is>
      </c>
      <c r="Y936" t="inlineStr">
        <is>
          <t>Scope_Emissions</t>
        </is>
      </c>
      <c r="Z936" t="n">
        <v>0.95</v>
      </c>
      <c r="AA936" t="inlineStr">
        <is>
          <t>Valid</t>
        </is>
      </c>
    </row>
    <row r="937">
      <c r="A937" t="inlineStr">
        <is>
          <t>SUP-0094</t>
        </is>
      </c>
      <c r="B937" t="inlineStr">
        <is>
          <t>Metals Supplier 094</t>
        </is>
      </c>
      <c r="C937" t="inlineStr">
        <is>
          <t>Metals</t>
        </is>
      </c>
      <c r="D937" t="n">
        <v>2020</v>
      </c>
      <c r="E937" t="n">
        <v>5964448.43</v>
      </c>
      <c r="F937" t="n">
        <v>32010166.96</v>
      </c>
      <c r="G937" t="n">
        <v>5428.1748</v>
      </c>
      <c r="H937" t="inlineStr"/>
      <c r="I937" t="n">
        <v>958.3618</v>
      </c>
      <c r="J937" t="n">
        <v>3881.6159</v>
      </c>
      <c r="K937" t="n">
        <v>2018</v>
      </c>
      <c r="L937" t="n">
        <v>2040</v>
      </c>
      <c r="M937" t="n">
        <v>0.3585</v>
      </c>
      <c r="N937" t="n">
        <v>0.1294</v>
      </c>
      <c r="O937" t="n">
        <v>2019</v>
      </c>
      <c r="P937" t="n">
        <v>2030</v>
      </c>
      <c r="Q937" t="n">
        <v>0.3852</v>
      </c>
      <c r="R937" t="n">
        <v>158.2904</v>
      </c>
      <c r="S937" t="n">
        <v>0.00100695</v>
      </c>
      <c r="T937" t="n">
        <v>0.00065008</v>
      </c>
      <c r="U937" t="n">
        <v>5428.1748</v>
      </c>
      <c r="V937" t="inlineStr">
        <is>
          <t>Supplier Reported Emissions</t>
        </is>
      </c>
      <c r="W937" t="b">
        <v>0</v>
      </c>
      <c r="X937" t="inlineStr">
        <is>
          <t>High</t>
        </is>
      </c>
      <c r="Y937" t="inlineStr">
        <is>
          <t>Scope_Emissions</t>
        </is>
      </c>
      <c r="Z937" t="n">
        <v>0.95</v>
      </c>
      <c r="AA937" t="inlineStr">
        <is>
          <t>Valid</t>
        </is>
      </c>
    </row>
    <row r="938">
      <c r="A938" t="inlineStr">
        <is>
          <t>SUP-0094</t>
        </is>
      </c>
      <c r="B938" t="inlineStr">
        <is>
          <t>Metals Supplier 094</t>
        </is>
      </c>
      <c r="C938" t="inlineStr">
        <is>
          <t>Metals</t>
        </is>
      </c>
      <c r="D938" t="n">
        <v>2021</v>
      </c>
      <c r="E938" t="n">
        <v>5331432.09</v>
      </c>
      <c r="F938" t="n">
        <v>29913386.17</v>
      </c>
      <c r="G938" t="inlineStr"/>
      <c r="H938" t="n">
        <v>893.7749</v>
      </c>
      <c r="I938" t="n">
        <v>381.263</v>
      </c>
      <c r="J938" t="inlineStr"/>
      <c r="K938" t="n">
        <v>2018</v>
      </c>
      <c r="L938" t="n">
        <v>2040</v>
      </c>
      <c r="M938" t="n">
        <v>0.3585</v>
      </c>
      <c r="N938" t="n">
        <v>0.1294</v>
      </c>
      <c r="O938" t="n">
        <v>2019</v>
      </c>
      <c r="P938" t="n">
        <v>2030</v>
      </c>
      <c r="Q938" t="n">
        <v>0.3852</v>
      </c>
      <c r="R938" t="n">
        <v>158.2904</v>
      </c>
      <c r="S938" t="n">
        <v>0.00100695</v>
      </c>
      <c r="T938" t="n">
        <v>0.00065008</v>
      </c>
      <c r="U938" t="n">
        <v>5368.4855</v>
      </c>
      <c r="V938" t="inlineStr">
        <is>
          <t>Spend-Based Estimate</t>
        </is>
      </c>
      <c r="W938" t="b">
        <v>1</v>
      </c>
      <c r="X938" t="inlineStr">
        <is>
          <t>Medium</t>
        </is>
      </c>
      <c r="Y938" t="inlineStr">
        <is>
          <t>Reported_Emissions; Scope_Emissions</t>
        </is>
      </c>
      <c r="Z938" t="n">
        <v>0.7</v>
      </c>
      <c r="AA938" t="inlineStr">
        <is>
          <t>Valid</t>
        </is>
      </c>
    </row>
    <row r="939">
      <c r="A939" t="inlineStr">
        <is>
          <t>SUP-0094</t>
        </is>
      </c>
      <c r="B939" t="inlineStr">
        <is>
          <t>Metals Supplier 094</t>
        </is>
      </c>
      <c r="C939" t="inlineStr">
        <is>
          <t>Metals</t>
        </is>
      </c>
      <c r="D939" t="n">
        <v>2022</v>
      </c>
      <c r="E939" t="n">
        <v>5958205.95</v>
      </c>
      <c r="F939" t="n">
        <v>23371215.1</v>
      </c>
      <c r="G939" t="inlineStr"/>
      <c r="H939" t="n">
        <v>750.6292</v>
      </c>
      <c r="I939" t="n">
        <v>656.8754</v>
      </c>
      <c r="J939" t="n">
        <v>3489.2561</v>
      </c>
      <c r="K939" t="n">
        <v>2018</v>
      </c>
      <c r="L939" t="n">
        <v>2040</v>
      </c>
      <c r="M939" t="n">
        <v>0.3585</v>
      </c>
      <c r="N939" t="n">
        <v>0.1294</v>
      </c>
      <c r="O939" t="n">
        <v>2019</v>
      </c>
      <c r="P939" t="n">
        <v>2030</v>
      </c>
      <c r="Q939" t="n">
        <v>0.3852</v>
      </c>
      <c r="R939" t="n">
        <v>158.2904</v>
      </c>
      <c r="S939" t="n">
        <v>0.00100695</v>
      </c>
      <c r="T939" t="n">
        <v>0.00065008</v>
      </c>
      <c r="U939" t="n">
        <v>4896.7607</v>
      </c>
      <c r="V939" t="inlineStr">
        <is>
          <t>Scope 1 + Scope 2 + Scope 3</t>
        </is>
      </c>
      <c r="W939" t="b">
        <v>1</v>
      </c>
      <c r="X939" t="inlineStr">
        <is>
          <t>High</t>
        </is>
      </c>
      <c r="Y939" t="inlineStr">
        <is>
          <t>Reported_Emissions</t>
        </is>
      </c>
      <c r="Z939" t="n">
        <v>0.88</v>
      </c>
      <c r="AA939" t="inlineStr">
        <is>
          <t>Valid</t>
        </is>
      </c>
    </row>
    <row r="940">
      <c r="A940" t="inlineStr">
        <is>
          <t>SUP-0094</t>
        </is>
      </c>
      <c r="B940" t="inlineStr">
        <is>
          <t>Metals Supplier 094</t>
        </is>
      </c>
      <c r="C940" t="inlineStr">
        <is>
          <t>Metals</t>
        </is>
      </c>
      <c r="D940" t="n">
        <v>2023</v>
      </c>
      <c r="E940" t="n">
        <v>5609704.58</v>
      </c>
      <c r="F940" t="n">
        <v>26967893.59</v>
      </c>
      <c r="G940" t="n">
        <v>4340.8718</v>
      </c>
      <c r="H940" t="n">
        <v>544.372</v>
      </c>
      <c r="I940" t="n">
        <v>547.3463</v>
      </c>
      <c r="J940" t="n">
        <v>3291.4925</v>
      </c>
      <c r="K940" t="n">
        <v>2018</v>
      </c>
      <c r="L940" t="n">
        <v>2040</v>
      </c>
      <c r="M940" t="n">
        <v>0.3585</v>
      </c>
      <c r="N940" t="n">
        <v>0.1294</v>
      </c>
      <c r="O940" t="n">
        <v>2019</v>
      </c>
      <c r="P940" t="n">
        <v>2030</v>
      </c>
      <c r="Q940" t="n">
        <v>0.3852</v>
      </c>
      <c r="R940" t="n">
        <v>158.2904</v>
      </c>
      <c r="S940" t="n">
        <v>0.00100695</v>
      </c>
      <c r="T940" t="n">
        <v>0.00065008</v>
      </c>
      <c r="U940" t="n">
        <v>4340.8718</v>
      </c>
      <c r="V940" t="inlineStr">
        <is>
          <t>Supplier Reported Emissions</t>
        </is>
      </c>
      <c r="W940" t="b">
        <v>0</v>
      </c>
      <c r="X940" t="inlineStr">
        <is>
          <t>High</t>
        </is>
      </c>
      <c r="Y940" t="inlineStr">
        <is>
          <t>None</t>
        </is>
      </c>
      <c r="Z940" t="n">
        <v>0.95</v>
      </c>
      <c r="AA940" t="inlineStr">
        <is>
          <t>Valid</t>
        </is>
      </c>
    </row>
    <row r="941">
      <c r="A941" t="inlineStr">
        <is>
          <t>SUP-0094</t>
        </is>
      </c>
      <c r="B941" t="inlineStr">
        <is>
          <t>Metals Supplier 094</t>
        </is>
      </c>
      <c r="C941" t="inlineStr">
        <is>
          <t>Metals</t>
        </is>
      </c>
      <c r="D941" t="n">
        <v>2024</v>
      </c>
      <c r="E941" t="n">
        <v>5180906.03</v>
      </c>
      <c r="F941" t="n">
        <v>36358089.83</v>
      </c>
      <c r="G941" t="n">
        <v>3526.873</v>
      </c>
      <c r="H941" t="n">
        <v>334.3378</v>
      </c>
      <c r="I941" t="n">
        <v>746.4705</v>
      </c>
      <c r="J941" t="inlineStr"/>
      <c r="K941" t="n">
        <v>2018</v>
      </c>
      <c r="L941" t="n">
        <v>2040</v>
      </c>
      <c r="M941" t="n">
        <v>0.3585</v>
      </c>
      <c r="N941" t="n">
        <v>0.1294</v>
      </c>
      <c r="O941" t="n">
        <v>2019</v>
      </c>
      <c r="P941" t="n">
        <v>2030</v>
      </c>
      <c r="Q941" t="n">
        <v>0.3852</v>
      </c>
      <c r="R941" t="n">
        <v>158.2904</v>
      </c>
      <c r="S941" t="n">
        <v>0.00100695</v>
      </c>
      <c r="T941" t="n">
        <v>0.00065008</v>
      </c>
      <c r="U941" t="n">
        <v>3526.873</v>
      </c>
      <c r="V941" t="inlineStr">
        <is>
          <t>Supplier Reported Emissions</t>
        </is>
      </c>
      <c r="W941" t="b">
        <v>0</v>
      </c>
      <c r="X941" t="inlineStr">
        <is>
          <t>High</t>
        </is>
      </c>
      <c r="Y941" t="inlineStr">
        <is>
          <t>Scope_Emissions</t>
        </is>
      </c>
      <c r="Z941" t="n">
        <v>0.95</v>
      </c>
      <c r="AA941" t="inlineStr">
        <is>
          <t>Valid</t>
        </is>
      </c>
    </row>
    <row r="942">
      <c r="A942" t="inlineStr">
        <is>
          <t>SUP-0095</t>
        </is>
      </c>
      <c r="B942" t="inlineStr">
        <is>
          <t>Agriculture Supplier 095</t>
        </is>
      </c>
      <c r="C942" t="inlineStr">
        <is>
          <t>Agriculture</t>
        </is>
      </c>
      <c r="D942" t="n">
        <v>2015</v>
      </c>
      <c r="E942" t="n">
        <v>16490770.64</v>
      </c>
      <c r="F942" t="n">
        <v>38453512.01</v>
      </c>
      <c r="G942" t="n">
        <v>13068.6868</v>
      </c>
      <c r="H942" t="inlineStr"/>
      <c r="I942" t="n">
        <v>2349.5479</v>
      </c>
      <c r="J942" t="inlineStr"/>
      <c r="K942" t="n">
        <v>2018</v>
      </c>
      <c r="L942" t="n">
        <v>2040</v>
      </c>
      <c r="M942" t="n">
        <v>0.4968</v>
      </c>
      <c r="N942" t="n">
        <v>0.2905</v>
      </c>
      <c r="O942" t="n">
        <v>2018</v>
      </c>
      <c r="P942" t="inlineStr"/>
      <c r="Q942" t="inlineStr"/>
      <c r="R942" t="n">
        <v>529.8294</v>
      </c>
      <c r="S942" t="n">
        <v>0.00091413</v>
      </c>
      <c r="T942" t="n">
        <v>0.00096913</v>
      </c>
      <c r="U942" t="n">
        <v>13068.6868</v>
      </c>
      <c r="V942" t="inlineStr">
        <is>
          <t>Supplier Reported Emissions</t>
        </is>
      </c>
      <c r="W942" t="b">
        <v>0</v>
      </c>
      <c r="X942" t="inlineStr">
        <is>
          <t>High</t>
        </is>
      </c>
      <c r="Y942" t="inlineStr">
        <is>
          <t>Scope_Emissions</t>
        </is>
      </c>
      <c r="Z942" t="n">
        <v>0.95</v>
      </c>
      <c r="AA942" t="inlineStr">
        <is>
          <t>Valid</t>
        </is>
      </c>
    </row>
    <row r="943">
      <c r="A943" t="inlineStr">
        <is>
          <t>SUP-0095</t>
        </is>
      </c>
      <c r="B943" t="inlineStr">
        <is>
          <t>Agriculture Supplier 095</t>
        </is>
      </c>
      <c r="C943" t="inlineStr">
        <is>
          <t>Agriculture</t>
        </is>
      </c>
      <c r="D943" t="n">
        <v>2016</v>
      </c>
      <c r="E943" t="n">
        <v>16758257.12</v>
      </c>
      <c r="F943" t="n">
        <v>35386237.05</v>
      </c>
      <c r="G943" t="n">
        <v>11081.602</v>
      </c>
      <c r="H943" t="n">
        <v>1465.3982</v>
      </c>
      <c r="I943" t="n">
        <v>2377.8844</v>
      </c>
      <c r="J943" t="n">
        <v>7695.4339</v>
      </c>
      <c r="K943" t="n">
        <v>2018</v>
      </c>
      <c r="L943" t="n">
        <v>2040</v>
      </c>
      <c r="M943" t="n">
        <v>0.4968</v>
      </c>
      <c r="N943" t="n">
        <v>0.2905</v>
      </c>
      <c r="O943" t="n">
        <v>2018</v>
      </c>
      <c r="P943" t="inlineStr"/>
      <c r="Q943" t="inlineStr"/>
      <c r="R943" t="n">
        <v>529.8294</v>
      </c>
      <c r="S943" t="n">
        <v>0.00091413</v>
      </c>
      <c r="T943" t="n">
        <v>0.00096913</v>
      </c>
      <c r="U943" t="n">
        <v>11081.602</v>
      </c>
      <c r="V943" t="inlineStr">
        <is>
          <t>Supplier Reported Emissions</t>
        </is>
      </c>
      <c r="W943" t="b">
        <v>0</v>
      </c>
      <c r="X943" t="inlineStr">
        <is>
          <t>High</t>
        </is>
      </c>
      <c r="Y943" t="inlineStr">
        <is>
          <t>None</t>
        </is>
      </c>
      <c r="Z943" t="n">
        <v>0.95</v>
      </c>
      <c r="AA943" t="inlineStr">
        <is>
          <t>Valid</t>
        </is>
      </c>
    </row>
    <row r="944">
      <c r="A944" t="inlineStr">
        <is>
          <t>SUP-0095</t>
        </is>
      </c>
      <c r="B944" t="inlineStr">
        <is>
          <t>Agriculture Supplier 095</t>
        </is>
      </c>
      <c r="C944" t="inlineStr">
        <is>
          <t>Agriculture</t>
        </is>
      </c>
      <c r="D944" t="n">
        <v>2017</v>
      </c>
      <c r="E944" t="inlineStr"/>
      <c r="F944" t="n">
        <v>33878184.3</v>
      </c>
      <c r="G944" t="n">
        <v>10357.9064</v>
      </c>
      <c r="H944" t="n">
        <v>1690.2616</v>
      </c>
      <c r="I944" t="inlineStr"/>
      <c r="J944" t="n">
        <v>7475.9182</v>
      </c>
      <c r="K944" t="n">
        <v>2018</v>
      </c>
      <c r="L944" t="n">
        <v>2040</v>
      </c>
      <c r="M944" t="n">
        <v>0.4968</v>
      </c>
      <c r="N944" t="n">
        <v>0.2905</v>
      </c>
      <c r="O944" t="n">
        <v>2018</v>
      </c>
      <c r="P944" t="inlineStr"/>
      <c r="Q944" t="inlineStr"/>
      <c r="R944" t="n">
        <v>529.8294</v>
      </c>
      <c r="S944" t="n">
        <v>0.00091413</v>
      </c>
      <c r="T944" t="n">
        <v>0.00096913</v>
      </c>
      <c r="U944" t="n">
        <v>10357.9064</v>
      </c>
      <c r="V944" t="inlineStr">
        <is>
          <t>Supplier Reported Emissions</t>
        </is>
      </c>
      <c r="W944" t="b">
        <v>0</v>
      </c>
      <c r="X944" t="inlineStr">
        <is>
          <t>High</t>
        </is>
      </c>
      <c r="Y944" t="inlineStr">
        <is>
          <t>Gross_Spend; Scope_Emissions</t>
        </is>
      </c>
      <c r="Z944" t="n">
        <v>0.95</v>
      </c>
      <c r="AA944" t="inlineStr">
        <is>
          <t>Valid</t>
        </is>
      </c>
    </row>
    <row r="945">
      <c r="A945" t="inlineStr">
        <is>
          <t>SUP-0095</t>
        </is>
      </c>
      <c r="B945" t="inlineStr">
        <is>
          <t>Agriculture Supplier 095</t>
        </is>
      </c>
      <c r="C945" t="inlineStr">
        <is>
          <t>Agriculture</t>
        </is>
      </c>
      <c r="D945" t="n">
        <v>2018</v>
      </c>
      <c r="E945" t="n">
        <v>13858713.09</v>
      </c>
      <c r="F945" t="n">
        <v>38665577.55</v>
      </c>
      <c r="G945" t="n">
        <v>6539.1665</v>
      </c>
      <c r="H945" t="n">
        <v>1100.3808</v>
      </c>
      <c r="I945" t="n">
        <v>670.8347</v>
      </c>
      <c r="J945" t="n">
        <v>4367.8639</v>
      </c>
      <c r="K945" t="n">
        <v>2018</v>
      </c>
      <c r="L945" t="n">
        <v>2040</v>
      </c>
      <c r="M945" t="n">
        <v>0.4968</v>
      </c>
      <c r="N945" t="n">
        <v>0.2905</v>
      </c>
      <c r="O945" t="n">
        <v>2018</v>
      </c>
      <c r="P945" t="inlineStr"/>
      <c r="Q945" t="inlineStr"/>
      <c r="R945" t="n">
        <v>529.8294</v>
      </c>
      <c r="S945" t="n">
        <v>0.00091413</v>
      </c>
      <c r="T945" t="n">
        <v>0.00096913</v>
      </c>
      <c r="U945" t="n">
        <v>6539.1665</v>
      </c>
      <c r="V945" t="inlineStr">
        <is>
          <t>Supplier Reported Emissions</t>
        </is>
      </c>
      <c r="W945" t="b">
        <v>0</v>
      </c>
      <c r="X945" t="inlineStr">
        <is>
          <t>High</t>
        </is>
      </c>
      <c r="Y945" t="inlineStr">
        <is>
          <t>None</t>
        </is>
      </c>
      <c r="Z945" t="n">
        <v>0.95</v>
      </c>
      <c r="AA945" t="inlineStr">
        <is>
          <t>Valid</t>
        </is>
      </c>
    </row>
    <row r="946">
      <c r="A946" t="inlineStr">
        <is>
          <t>SUP-0095</t>
        </is>
      </c>
      <c r="B946" t="inlineStr">
        <is>
          <t>Agriculture Supplier 095</t>
        </is>
      </c>
      <c r="C946" t="inlineStr">
        <is>
          <t>Agriculture</t>
        </is>
      </c>
      <c r="D946" t="n">
        <v>2019</v>
      </c>
      <c r="E946" t="n">
        <v>16376741.22</v>
      </c>
      <c r="F946" t="n">
        <v>30923573.04</v>
      </c>
      <c r="G946" t="n">
        <v>10380.8397</v>
      </c>
      <c r="H946" t="n">
        <v>1347.7986</v>
      </c>
      <c r="I946" t="n">
        <v>1839.0307</v>
      </c>
      <c r="J946" t="inlineStr"/>
      <c r="K946" t="n">
        <v>2018</v>
      </c>
      <c r="L946" t="n">
        <v>2040</v>
      </c>
      <c r="M946" t="n">
        <v>0.4968</v>
      </c>
      <c r="N946" t="n">
        <v>0.2905</v>
      </c>
      <c r="O946" t="n">
        <v>2018</v>
      </c>
      <c r="P946" t="inlineStr"/>
      <c r="Q946" t="inlineStr"/>
      <c r="R946" t="n">
        <v>529.8294</v>
      </c>
      <c r="S946" t="n">
        <v>0.00091413</v>
      </c>
      <c r="T946" t="n">
        <v>0.00096913</v>
      </c>
      <c r="U946" t="n">
        <v>10380.8397</v>
      </c>
      <c r="V946" t="inlineStr">
        <is>
          <t>Supplier Reported Emissions</t>
        </is>
      </c>
      <c r="W946" t="b">
        <v>0</v>
      </c>
      <c r="X946" t="inlineStr">
        <is>
          <t>High</t>
        </is>
      </c>
      <c r="Y946" t="inlineStr">
        <is>
          <t>Scope_Emissions</t>
        </is>
      </c>
      <c r="Z946" t="n">
        <v>0.95</v>
      </c>
      <c r="AA946" t="inlineStr">
        <is>
          <t>Valid</t>
        </is>
      </c>
    </row>
    <row r="947">
      <c r="A947" t="inlineStr">
        <is>
          <t>SUP-0095</t>
        </is>
      </c>
      <c r="B947" t="inlineStr">
        <is>
          <t>Agriculture Supplier 095</t>
        </is>
      </c>
      <c r="C947" t="inlineStr">
        <is>
          <t>Agriculture</t>
        </is>
      </c>
      <c r="D947" t="n">
        <v>2020</v>
      </c>
      <c r="E947" t="n">
        <v>16404105.53</v>
      </c>
      <c r="F947" t="n">
        <v>36959577.37</v>
      </c>
      <c r="G947" t="n">
        <v>8201.4692</v>
      </c>
      <c r="H947" t="n">
        <v>1669.0652</v>
      </c>
      <c r="I947" t="inlineStr"/>
      <c r="J947" t="n">
        <v>5160.6957</v>
      </c>
      <c r="K947" t="n">
        <v>2018</v>
      </c>
      <c r="L947" t="n">
        <v>2040</v>
      </c>
      <c r="M947" t="n">
        <v>0.4968</v>
      </c>
      <c r="N947" t="n">
        <v>0.2905</v>
      </c>
      <c r="O947" t="n">
        <v>2018</v>
      </c>
      <c r="P947" t="inlineStr"/>
      <c r="Q947" t="inlineStr"/>
      <c r="R947" t="n">
        <v>529.8294</v>
      </c>
      <c r="S947" t="n">
        <v>0.00091413</v>
      </c>
      <c r="T947" t="n">
        <v>0.00096913</v>
      </c>
      <c r="U947" t="n">
        <v>8201.4692</v>
      </c>
      <c r="V947" t="inlineStr">
        <is>
          <t>Supplier Reported Emissions</t>
        </is>
      </c>
      <c r="W947" t="b">
        <v>0</v>
      </c>
      <c r="X947" t="inlineStr">
        <is>
          <t>High</t>
        </is>
      </c>
      <c r="Y947" t="inlineStr">
        <is>
          <t>Scope_Emissions</t>
        </is>
      </c>
      <c r="Z947" t="n">
        <v>0.95</v>
      </c>
      <c r="AA947" t="inlineStr">
        <is>
          <t>Valid</t>
        </is>
      </c>
    </row>
    <row r="948">
      <c r="A948" t="inlineStr">
        <is>
          <t>SUP-0095</t>
        </is>
      </c>
      <c r="B948" t="inlineStr">
        <is>
          <t>Agriculture Supplier 095</t>
        </is>
      </c>
      <c r="C948" t="inlineStr">
        <is>
          <t>Agriculture</t>
        </is>
      </c>
      <c r="D948" t="n">
        <v>2021</v>
      </c>
      <c r="E948" t="n">
        <v>16071713.01</v>
      </c>
      <c r="F948" t="n">
        <v>31933403.69</v>
      </c>
      <c r="G948" t="n">
        <v>10159.8546</v>
      </c>
      <c r="H948" t="n">
        <v>2447.8487</v>
      </c>
      <c r="I948" t="n">
        <v>872.6523</v>
      </c>
      <c r="J948" t="n">
        <v>6313.2486</v>
      </c>
      <c r="K948" t="n">
        <v>2018</v>
      </c>
      <c r="L948" t="n">
        <v>2040</v>
      </c>
      <c r="M948" t="n">
        <v>0.4968</v>
      </c>
      <c r="N948" t="n">
        <v>0.2905</v>
      </c>
      <c r="O948" t="n">
        <v>2018</v>
      </c>
      <c r="P948" t="inlineStr"/>
      <c r="Q948" t="inlineStr"/>
      <c r="R948" t="n">
        <v>529.8294</v>
      </c>
      <c r="S948" t="n">
        <v>0.00091413</v>
      </c>
      <c r="T948" t="n">
        <v>0.00096913</v>
      </c>
      <c r="U948" t="n">
        <v>10159.8546</v>
      </c>
      <c r="V948" t="inlineStr">
        <is>
          <t>Supplier Reported Emissions</t>
        </is>
      </c>
      <c r="W948" t="b">
        <v>0</v>
      </c>
      <c r="X948" t="inlineStr">
        <is>
          <t>High</t>
        </is>
      </c>
      <c r="Y948" t="inlineStr">
        <is>
          <t>None</t>
        </is>
      </c>
      <c r="Z948" t="n">
        <v>0.95</v>
      </c>
      <c r="AA948" t="inlineStr">
        <is>
          <t>Valid</t>
        </is>
      </c>
    </row>
    <row r="949">
      <c r="A949" t="inlineStr">
        <is>
          <t>SUP-0095</t>
        </is>
      </c>
      <c r="B949" t="inlineStr">
        <is>
          <t>Agriculture Supplier 095</t>
        </is>
      </c>
      <c r="C949" t="inlineStr">
        <is>
          <t>Agriculture</t>
        </is>
      </c>
      <c r="D949" t="n">
        <v>2022</v>
      </c>
      <c r="E949" t="n">
        <v>16507431.47</v>
      </c>
      <c r="F949" t="n">
        <v>40869492.95</v>
      </c>
      <c r="G949" t="n">
        <v>8629.0628</v>
      </c>
      <c r="H949" t="n">
        <v>1135.375</v>
      </c>
      <c r="I949" t="n">
        <v>1564.1491</v>
      </c>
      <c r="J949" t="n">
        <v>5981.08</v>
      </c>
      <c r="K949" t="n">
        <v>2018</v>
      </c>
      <c r="L949" t="n">
        <v>2040</v>
      </c>
      <c r="M949" t="n">
        <v>0.4968</v>
      </c>
      <c r="N949" t="n">
        <v>0.2905</v>
      </c>
      <c r="O949" t="n">
        <v>2018</v>
      </c>
      <c r="P949" t="inlineStr"/>
      <c r="Q949" t="inlineStr"/>
      <c r="R949" t="n">
        <v>529.8294</v>
      </c>
      <c r="S949" t="n">
        <v>0.00091413</v>
      </c>
      <c r="T949" t="n">
        <v>0.00096913</v>
      </c>
      <c r="U949" t="n">
        <v>8629.0628</v>
      </c>
      <c r="V949" t="inlineStr">
        <is>
          <t>Supplier Reported Emissions</t>
        </is>
      </c>
      <c r="W949" t="b">
        <v>0</v>
      </c>
      <c r="X949" t="inlineStr">
        <is>
          <t>High</t>
        </is>
      </c>
      <c r="Y949" t="inlineStr">
        <is>
          <t>None</t>
        </is>
      </c>
      <c r="Z949" t="n">
        <v>0.95</v>
      </c>
      <c r="AA949" t="inlineStr">
        <is>
          <t>Valid</t>
        </is>
      </c>
    </row>
    <row r="950">
      <c r="A950" t="inlineStr">
        <is>
          <t>SUP-0095</t>
        </is>
      </c>
      <c r="B950" t="inlineStr">
        <is>
          <t>Agriculture Supplier 095</t>
        </is>
      </c>
      <c r="C950" t="inlineStr">
        <is>
          <t>Agriculture</t>
        </is>
      </c>
      <c r="D950" t="n">
        <v>2023</v>
      </c>
      <c r="E950" t="n">
        <v>15739776.08</v>
      </c>
      <c r="F950" t="n">
        <v>41147123.68</v>
      </c>
      <c r="G950" t="n">
        <v>7452.3333</v>
      </c>
      <c r="H950" t="n">
        <v>1791.0429</v>
      </c>
      <c r="I950" t="n">
        <v>1323.9868</v>
      </c>
      <c r="J950" t="n">
        <v>4480.5003</v>
      </c>
      <c r="K950" t="n">
        <v>2018</v>
      </c>
      <c r="L950" t="n">
        <v>2040</v>
      </c>
      <c r="M950" t="n">
        <v>0.4968</v>
      </c>
      <c r="N950" t="n">
        <v>0.2905</v>
      </c>
      <c r="O950" t="n">
        <v>2018</v>
      </c>
      <c r="P950" t="inlineStr"/>
      <c r="Q950" t="inlineStr"/>
      <c r="R950" t="n">
        <v>529.8294</v>
      </c>
      <c r="S950" t="n">
        <v>0.00091413</v>
      </c>
      <c r="T950" t="n">
        <v>0.00096913</v>
      </c>
      <c r="U950" t="n">
        <v>7452.3333</v>
      </c>
      <c r="V950" t="inlineStr">
        <is>
          <t>Supplier Reported Emissions</t>
        </is>
      </c>
      <c r="W950" t="b">
        <v>0</v>
      </c>
      <c r="X950" t="inlineStr">
        <is>
          <t>High</t>
        </is>
      </c>
      <c r="Y950" t="inlineStr">
        <is>
          <t>None</t>
        </is>
      </c>
      <c r="Z950" t="n">
        <v>0.95</v>
      </c>
      <c r="AA950" t="inlineStr">
        <is>
          <t>Valid</t>
        </is>
      </c>
    </row>
    <row r="951">
      <c r="A951" t="inlineStr">
        <is>
          <t>SUP-0095</t>
        </is>
      </c>
      <c r="B951" t="inlineStr">
        <is>
          <t>Agriculture Supplier 095</t>
        </is>
      </c>
      <c r="C951" t="inlineStr">
        <is>
          <t>Agriculture</t>
        </is>
      </c>
      <c r="D951" t="n">
        <v>2024</v>
      </c>
      <c r="E951" t="inlineStr"/>
      <c r="F951" t="n">
        <v>49121994.19</v>
      </c>
      <c r="G951" t="n">
        <v>6732.3688</v>
      </c>
      <c r="H951" t="n">
        <v>1847.7828</v>
      </c>
      <c r="I951" t="n">
        <v>1079.75</v>
      </c>
      <c r="J951" t="n">
        <v>4534.0926</v>
      </c>
      <c r="K951" t="n">
        <v>2018</v>
      </c>
      <c r="L951" t="n">
        <v>2040</v>
      </c>
      <c r="M951" t="n">
        <v>0.4968</v>
      </c>
      <c r="N951" t="n">
        <v>0.2905</v>
      </c>
      <c r="O951" t="n">
        <v>2018</v>
      </c>
      <c r="P951" t="inlineStr"/>
      <c r="Q951" t="inlineStr"/>
      <c r="R951" t="n">
        <v>529.8294</v>
      </c>
      <c r="S951" t="n">
        <v>0.00091413</v>
      </c>
      <c r="T951" t="n">
        <v>0.00096913</v>
      </c>
      <c r="U951" t="n">
        <v>6732.3688</v>
      </c>
      <c r="V951" t="inlineStr">
        <is>
          <t>Supplier Reported Emissions</t>
        </is>
      </c>
      <c r="W951" t="b">
        <v>0</v>
      </c>
      <c r="X951" t="inlineStr">
        <is>
          <t>High</t>
        </is>
      </c>
      <c r="Y951" t="inlineStr">
        <is>
          <t>Gross_Spend</t>
        </is>
      </c>
      <c r="Z951" t="n">
        <v>0.95</v>
      </c>
      <c r="AA951" t="inlineStr">
        <is>
          <t>Valid</t>
        </is>
      </c>
    </row>
    <row r="952">
      <c r="A952" t="inlineStr">
        <is>
          <t>SUP-0096</t>
        </is>
      </c>
      <c r="B952" t="inlineStr">
        <is>
          <t>Agriculture Supplier 096</t>
        </is>
      </c>
      <c r="C952" t="inlineStr">
        <is>
          <t>Agriculture</t>
        </is>
      </c>
      <c r="D952" t="n">
        <v>2015</v>
      </c>
      <c r="E952" t="n">
        <v>16781320.79</v>
      </c>
      <c r="F952" t="n">
        <v>37690631.84</v>
      </c>
      <c r="G952" t="n">
        <v>14296.492</v>
      </c>
      <c r="H952" t="inlineStr"/>
      <c r="I952" t="n">
        <v>2514.2418</v>
      </c>
      <c r="J952" t="inlineStr"/>
      <c r="K952" t="n">
        <v>2021</v>
      </c>
      <c r="L952" t="n">
        <v>2040</v>
      </c>
      <c r="M952" t="n">
        <v>0.619</v>
      </c>
      <c r="N952" t="n">
        <v>0.2241</v>
      </c>
      <c r="O952" t="n">
        <v>2018</v>
      </c>
      <c r="P952" t="inlineStr"/>
      <c r="Q952" t="inlineStr"/>
      <c r="R952" t="n">
        <v>529.8294</v>
      </c>
      <c r="S952" t="n">
        <v>0.00091413</v>
      </c>
      <c r="T952" t="n">
        <v>0.00096913</v>
      </c>
      <c r="U952" t="n">
        <v>14296.492</v>
      </c>
      <c r="V952" t="inlineStr">
        <is>
          <t>Supplier Reported Emissions</t>
        </is>
      </c>
      <c r="W952" t="b">
        <v>0</v>
      </c>
      <c r="X952" t="inlineStr">
        <is>
          <t>High</t>
        </is>
      </c>
      <c r="Y952" t="inlineStr">
        <is>
          <t>Scope_Emissions</t>
        </is>
      </c>
      <c r="Z952" t="n">
        <v>0.95</v>
      </c>
      <c r="AA952" t="inlineStr">
        <is>
          <t>Valid</t>
        </is>
      </c>
    </row>
    <row r="953">
      <c r="A953" t="inlineStr">
        <is>
          <t>SUP-0096</t>
        </is>
      </c>
      <c r="B953" t="inlineStr">
        <is>
          <t>Agriculture Supplier 096</t>
        </is>
      </c>
      <c r="C953" t="inlineStr">
        <is>
          <t>Agriculture</t>
        </is>
      </c>
      <c r="D953" t="n">
        <v>2016</v>
      </c>
      <c r="E953" t="n">
        <v>15102285.29</v>
      </c>
      <c r="F953" t="inlineStr"/>
      <c r="G953" t="n">
        <v>12433.9986</v>
      </c>
      <c r="H953" t="n">
        <v>2166.0814</v>
      </c>
      <c r="I953" t="inlineStr"/>
      <c r="J953" t="inlineStr"/>
      <c r="K953" t="n">
        <v>2021</v>
      </c>
      <c r="L953" t="n">
        <v>2040</v>
      </c>
      <c r="M953" t="n">
        <v>0.619</v>
      </c>
      <c r="N953" t="n">
        <v>0.2241</v>
      </c>
      <c r="O953" t="n">
        <v>2018</v>
      </c>
      <c r="P953" t="inlineStr"/>
      <c r="Q953" t="inlineStr"/>
      <c r="R953" t="n">
        <v>529.8294</v>
      </c>
      <c r="S953" t="n">
        <v>0.00091413</v>
      </c>
      <c r="T953" t="n">
        <v>0.00096913</v>
      </c>
      <c r="U953" t="n">
        <v>12433.9986</v>
      </c>
      <c r="V953" t="inlineStr">
        <is>
          <t>Supplier Reported Emissions</t>
        </is>
      </c>
      <c r="W953" t="b">
        <v>0</v>
      </c>
      <c r="X953" t="inlineStr">
        <is>
          <t>High</t>
        </is>
      </c>
      <c r="Y953" t="inlineStr">
        <is>
          <t>Revenue; Scope_Emissions</t>
        </is>
      </c>
      <c r="Z953" t="n">
        <v>0.95</v>
      </c>
      <c r="AA953" t="inlineStr">
        <is>
          <t>Valid</t>
        </is>
      </c>
    </row>
    <row r="954">
      <c r="A954" t="inlineStr">
        <is>
          <t>SUP-0096</t>
        </is>
      </c>
      <c r="B954" t="inlineStr">
        <is>
          <t>Agriculture Supplier 096</t>
        </is>
      </c>
      <c r="C954" t="inlineStr">
        <is>
          <t>Agriculture</t>
        </is>
      </c>
      <c r="D954" t="n">
        <v>2017</v>
      </c>
      <c r="E954" t="n">
        <v>19070999.21</v>
      </c>
      <c r="F954" t="n">
        <v>39559223.51</v>
      </c>
      <c r="G954" t="n">
        <v>15629.0538</v>
      </c>
      <c r="H954" t="n">
        <v>2048.0736</v>
      </c>
      <c r="I954" t="n">
        <v>1248.2862</v>
      </c>
      <c r="J954" t="n">
        <v>11112.014</v>
      </c>
      <c r="K954" t="n">
        <v>2021</v>
      </c>
      <c r="L954" t="n">
        <v>2040</v>
      </c>
      <c r="M954" t="n">
        <v>0.619</v>
      </c>
      <c r="N954" t="n">
        <v>0.2241</v>
      </c>
      <c r="O954" t="n">
        <v>2018</v>
      </c>
      <c r="P954" t="inlineStr"/>
      <c r="Q954" t="inlineStr"/>
      <c r="R954" t="n">
        <v>529.8294</v>
      </c>
      <c r="S954" t="n">
        <v>0.00091413</v>
      </c>
      <c r="T954" t="n">
        <v>0.00096913</v>
      </c>
      <c r="U954" t="n">
        <v>15629.0538</v>
      </c>
      <c r="V954" t="inlineStr">
        <is>
          <t>Supplier Reported Emissions</t>
        </is>
      </c>
      <c r="W954" t="b">
        <v>0</v>
      </c>
      <c r="X954" t="inlineStr">
        <is>
          <t>High</t>
        </is>
      </c>
      <c r="Y954" t="inlineStr">
        <is>
          <t>None</t>
        </is>
      </c>
      <c r="Z954" t="n">
        <v>0.95</v>
      </c>
      <c r="AA954" t="inlineStr">
        <is>
          <t>Valid</t>
        </is>
      </c>
    </row>
    <row r="955">
      <c r="A955" t="inlineStr">
        <is>
          <t>SUP-0096</t>
        </is>
      </c>
      <c r="B955" t="inlineStr">
        <is>
          <t>Agriculture Supplier 096</t>
        </is>
      </c>
      <c r="C955" t="inlineStr">
        <is>
          <t>Agriculture</t>
        </is>
      </c>
      <c r="D955" t="n">
        <v>2018</v>
      </c>
      <c r="E955" t="n">
        <v>18245801.71</v>
      </c>
      <c r="F955" t="n">
        <v>40100793.61</v>
      </c>
      <c r="G955" t="inlineStr"/>
      <c r="H955" t="n">
        <v>1826.0662</v>
      </c>
      <c r="I955" t="n">
        <v>2183.819</v>
      </c>
      <c r="J955" t="inlineStr"/>
      <c r="K955" t="n">
        <v>2021</v>
      </c>
      <c r="L955" t="n">
        <v>2040</v>
      </c>
      <c r="M955" t="n">
        <v>0.619</v>
      </c>
      <c r="N955" t="n">
        <v>0.2241</v>
      </c>
      <c r="O955" t="n">
        <v>2018</v>
      </c>
      <c r="P955" t="inlineStr"/>
      <c r="Q955" t="inlineStr"/>
      <c r="R955" t="n">
        <v>529.8294</v>
      </c>
      <c r="S955" t="n">
        <v>0.00091413</v>
      </c>
      <c r="T955" t="n">
        <v>0.00096913</v>
      </c>
      <c r="U955" t="n">
        <v>16679.0347</v>
      </c>
      <c r="V955" t="inlineStr">
        <is>
          <t>Spend-Based Estimate</t>
        </is>
      </c>
      <c r="W955" t="b">
        <v>1</v>
      </c>
      <c r="X955" t="inlineStr">
        <is>
          <t>Medium</t>
        </is>
      </c>
      <c r="Y955" t="inlineStr">
        <is>
          <t>Reported_Emissions; Scope_Emissions</t>
        </is>
      </c>
      <c r="Z955" t="n">
        <v>0.7</v>
      </c>
      <c r="AA955" t="inlineStr">
        <is>
          <t>Valid</t>
        </is>
      </c>
    </row>
    <row r="956">
      <c r="A956" t="inlineStr">
        <is>
          <t>SUP-0096</t>
        </is>
      </c>
      <c r="B956" t="inlineStr">
        <is>
          <t>Agriculture Supplier 096</t>
        </is>
      </c>
      <c r="C956" t="inlineStr">
        <is>
          <t>Agriculture</t>
        </is>
      </c>
      <c r="D956" t="n">
        <v>2019</v>
      </c>
      <c r="E956" t="inlineStr"/>
      <c r="F956" t="n">
        <v>37583427.75</v>
      </c>
      <c r="G956" t="n">
        <v>13936.0763</v>
      </c>
      <c r="H956" t="inlineStr"/>
      <c r="I956" t="n">
        <v>2110.5567</v>
      </c>
      <c r="J956" t="n">
        <v>10847.8613</v>
      </c>
      <c r="K956" t="n">
        <v>2021</v>
      </c>
      <c r="L956" t="n">
        <v>2040</v>
      </c>
      <c r="M956" t="n">
        <v>0.619</v>
      </c>
      <c r="N956" t="n">
        <v>0.2241</v>
      </c>
      <c r="O956" t="n">
        <v>2018</v>
      </c>
      <c r="P956" t="inlineStr"/>
      <c r="Q956" t="inlineStr"/>
      <c r="R956" t="n">
        <v>529.8294</v>
      </c>
      <c r="S956" t="n">
        <v>0.00091413</v>
      </c>
      <c r="T956" t="n">
        <v>0.00096913</v>
      </c>
      <c r="U956" t="n">
        <v>13936.0763</v>
      </c>
      <c r="V956" t="inlineStr">
        <is>
          <t>Supplier Reported Emissions</t>
        </is>
      </c>
      <c r="W956" t="b">
        <v>0</v>
      </c>
      <c r="X956" t="inlineStr">
        <is>
          <t>High</t>
        </is>
      </c>
      <c r="Y956" t="inlineStr">
        <is>
          <t>Gross_Spend; Scope_Emissions</t>
        </is>
      </c>
      <c r="Z956" t="n">
        <v>0.95</v>
      </c>
      <c r="AA956" t="inlineStr">
        <is>
          <t>Valid</t>
        </is>
      </c>
    </row>
    <row r="957">
      <c r="A957" t="inlineStr">
        <is>
          <t>SUP-0096</t>
        </is>
      </c>
      <c r="B957" t="inlineStr">
        <is>
          <t>Agriculture Supplier 096</t>
        </is>
      </c>
      <c r="C957" t="inlineStr">
        <is>
          <t>Agriculture</t>
        </is>
      </c>
      <c r="D957" t="n">
        <v>2020</v>
      </c>
      <c r="E957" t="n">
        <v>21782837.06</v>
      </c>
      <c r="F957" t="n">
        <v>36716808.21</v>
      </c>
      <c r="G957" t="n">
        <v>17748.9738</v>
      </c>
      <c r="H957" t="n">
        <v>1264.6111</v>
      </c>
      <c r="I957" t="n">
        <v>3029.7264</v>
      </c>
      <c r="J957" t="n">
        <v>11454.1854</v>
      </c>
      <c r="K957" t="n">
        <v>2021</v>
      </c>
      <c r="L957" t="n">
        <v>2040</v>
      </c>
      <c r="M957" t="n">
        <v>0.619</v>
      </c>
      <c r="N957" t="n">
        <v>0.2241</v>
      </c>
      <c r="O957" t="n">
        <v>2018</v>
      </c>
      <c r="P957" t="inlineStr"/>
      <c r="Q957" t="inlineStr"/>
      <c r="R957" t="n">
        <v>529.8294</v>
      </c>
      <c r="S957" t="n">
        <v>0.00091413</v>
      </c>
      <c r="T957" t="n">
        <v>0.00096913</v>
      </c>
      <c r="U957" t="n">
        <v>17748.9738</v>
      </c>
      <c r="V957" t="inlineStr">
        <is>
          <t>Supplier Reported Emissions</t>
        </is>
      </c>
      <c r="W957" t="b">
        <v>0</v>
      </c>
      <c r="X957" t="inlineStr">
        <is>
          <t>High</t>
        </is>
      </c>
      <c r="Y957" t="inlineStr">
        <is>
          <t>None</t>
        </is>
      </c>
      <c r="Z957" t="n">
        <v>0.95</v>
      </c>
      <c r="AA957" t="inlineStr">
        <is>
          <t>Valid</t>
        </is>
      </c>
    </row>
    <row r="958">
      <c r="A958" t="inlineStr">
        <is>
          <t>SUP-0096</t>
        </is>
      </c>
      <c r="B958" t="inlineStr">
        <is>
          <t>Agriculture Supplier 096</t>
        </is>
      </c>
      <c r="C958" t="inlineStr">
        <is>
          <t>Agriculture</t>
        </is>
      </c>
      <c r="D958" t="n">
        <v>2021</v>
      </c>
      <c r="E958" t="inlineStr"/>
      <c r="F958" t="n">
        <v>44237265.39</v>
      </c>
      <c r="G958" t="n">
        <v>13705.6022</v>
      </c>
      <c r="H958" t="inlineStr"/>
      <c r="I958" t="n">
        <v>2312.1149</v>
      </c>
      <c r="J958" t="n">
        <v>7439.4003</v>
      </c>
      <c r="K958" t="n">
        <v>2021</v>
      </c>
      <c r="L958" t="n">
        <v>2040</v>
      </c>
      <c r="M958" t="n">
        <v>0.619</v>
      </c>
      <c r="N958" t="n">
        <v>0.2241</v>
      </c>
      <c r="O958" t="n">
        <v>2018</v>
      </c>
      <c r="P958" t="inlineStr"/>
      <c r="Q958" t="inlineStr"/>
      <c r="R958" t="n">
        <v>529.8294</v>
      </c>
      <c r="S958" t="n">
        <v>0.00091413</v>
      </c>
      <c r="T958" t="n">
        <v>0.00096913</v>
      </c>
      <c r="U958" t="n">
        <v>13705.6022</v>
      </c>
      <c r="V958" t="inlineStr">
        <is>
          <t>Supplier Reported Emissions</t>
        </is>
      </c>
      <c r="W958" t="b">
        <v>0</v>
      </c>
      <c r="X958" t="inlineStr">
        <is>
          <t>High</t>
        </is>
      </c>
      <c r="Y958" t="inlineStr">
        <is>
          <t>Gross_Spend; Scope_Emissions</t>
        </is>
      </c>
      <c r="Z958" t="n">
        <v>0.95</v>
      </c>
      <c r="AA958" t="inlineStr">
        <is>
          <t>Valid</t>
        </is>
      </c>
    </row>
    <row r="959">
      <c r="A959" t="inlineStr">
        <is>
          <t>SUP-0096</t>
        </is>
      </c>
      <c r="B959" t="inlineStr">
        <is>
          <t>Agriculture Supplier 096</t>
        </is>
      </c>
      <c r="C959" t="inlineStr">
        <is>
          <t>Agriculture</t>
        </is>
      </c>
      <c r="D959" t="n">
        <v>2022</v>
      </c>
      <c r="E959" t="inlineStr"/>
      <c r="F959" t="n">
        <v>69072565.56999999</v>
      </c>
      <c r="G959" t="n">
        <v>12707.8739</v>
      </c>
      <c r="H959" t="n">
        <v>1960.168</v>
      </c>
      <c r="I959" t="n">
        <v>2476.5212</v>
      </c>
      <c r="J959" t="n">
        <v>8172.3054</v>
      </c>
      <c r="K959" t="n">
        <v>2021</v>
      </c>
      <c r="L959" t="n">
        <v>2040</v>
      </c>
      <c r="M959" t="n">
        <v>0.619</v>
      </c>
      <c r="N959" t="n">
        <v>0.2241</v>
      </c>
      <c r="O959" t="n">
        <v>2018</v>
      </c>
      <c r="P959" t="inlineStr"/>
      <c r="Q959" t="inlineStr"/>
      <c r="R959" t="n">
        <v>529.8294</v>
      </c>
      <c r="S959" t="n">
        <v>0.00091413</v>
      </c>
      <c r="T959" t="n">
        <v>0.00096913</v>
      </c>
      <c r="U959" t="n">
        <v>12707.8739</v>
      </c>
      <c r="V959" t="inlineStr">
        <is>
          <t>Supplier Reported Emissions</t>
        </is>
      </c>
      <c r="W959" t="b">
        <v>0</v>
      </c>
      <c r="X959" t="inlineStr">
        <is>
          <t>High</t>
        </is>
      </c>
      <c r="Y959" t="inlineStr">
        <is>
          <t>Gross_Spend</t>
        </is>
      </c>
      <c r="Z959" t="n">
        <v>0.95</v>
      </c>
      <c r="AA959" t="inlineStr">
        <is>
          <t>Valid</t>
        </is>
      </c>
    </row>
    <row r="960">
      <c r="A960" t="inlineStr">
        <is>
          <t>SUP-0096</t>
        </is>
      </c>
      <c r="B960" t="inlineStr">
        <is>
          <t>Agriculture Supplier 096</t>
        </is>
      </c>
      <c r="C960" t="inlineStr">
        <is>
          <t>Agriculture</t>
        </is>
      </c>
      <c r="D960" t="n">
        <v>2023</v>
      </c>
      <c r="E960" t="n">
        <v>24506718.63</v>
      </c>
      <c r="F960" t="n">
        <v>64105900.51</v>
      </c>
      <c r="G960" t="n">
        <v>13128.2596</v>
      </c>
      <c r="H960" t="n">
        <v>1063.7206</v>
      </c>
      <c r="I960" t="inlineStr"/>
      <c r="J960" t="n">
        <v>11041.4944</v>
      </c>
      <c r="K960" t="n">
        <v>2021</v>
      </c>
      <c r="L960" t="n">
        <v>2040</v>
      </c>
      <c r="M960" t="n">
        <v>0.619</v>
      </c>
      <c r="N960" t="n">
        <v>0.2241</v>
      </c>
      <c r="O960" t="n">
        <v>2018</v>
      </c>
      <c r="P960" t="inlineStr"/>
      <c r="Q960" t="inlineStr"/>
      <c r="R960" t="n">
        <v>529.8294</v>
      </c>
      <c r="S960" t="n">
        <v>0.00091413</v>
      </c>
      <c r="T960" t="n">
        <v>0.00096913</v>
      </c>
      <c r="U960" t="n">
        <v>13128.2596</v>
      </c>
      <c r="V960" t="inlineStr">
        <is>
          <t>Supplier Reported Emissions</t>
        </is>
      </c>
      <c r="W960" t="b">
        <v>0</v>
      </c>
      <c r="X960" t="inlineStr">
        <is>
          <t>High</t>
        </is>
      </c>
      <c r="Y960" t="inlineStr">
        <is>
          <t>Scope_Emissions</t>
        </is>
      </c>
      <c r="Z960" t="n">
        <v>0.95</v>
      </c>
      <c r="AA960" t="inlineStr">
        <is>
          <t>Valid</t>
        </is>
      </c>
    </row>
    <row r="961">
      <c r="A961" t="inlineStr">
        <is>
          <t>SUP-0096</t>
        </is>
      </c>
      <c r="B961" t="inlineStr">
        <is>
          <t>Agriculture Supplier 096</t>
        </is>
      </c>
      <c r="C961" t="inlineStr">
        <is>
          <t>Agriculture</t>
        </is>
      </c>
      <c r="D961" t="n">
        <v>2024</v>
      </c>
      <c r="E961" t="n">
        <v>26282460.39</v>
      </c>
      <c r="F961" t="n">
        <v>77949166.12</v>
      </c>
      <c r="G961" t="n">
        <v>12075.9287</v>
      </c>
      <c r="H961" t="n">
        <v>2825.7717</v>
      </c>
      <c r="I961" t="inlineStr"/>
      <c r="J961" t="n">
        <v>8136.1406</v>
      </c>
      <c r="K961" t="n">
        <v>2021</v>
      </c>
      <c r="L961" t="n">
        <v>2040</v>
      </c>
      <c r="M961" t="n">
        <v>0.619</v>
      </c>
      <c r="N961" t="n">
        <v>0.2241</v>
      </c>
      <c r="O961" t="n">
        <v>2018</v>
      </c>
      <c r="P961" t="inlineStr"/>
      <c r="Q961" t="inlineStr"/>
      <c r="R961" t="n">
        <v>529.8294</v>
      </c>
      <c r="S961" t="n">
        <v>0.00091413</v>
      </c>
      <c r="T961" t="n">
        <v>0.00096913</v>
      </c>
      <c r="U961" t="n">
        <v>12075.9287</v>
      </c>
      <c r="V961" t="inlineStr">
        <is>
          <t>Supplier Reported Emissions</t>
        </is>
      </c>
      <c r="W961" t="b">
        <v>0</v>
      </c>
      <c r="X961" t="inlineStr">
        <is>
          <t>High</t>
        </is>
      </c>
      <c r="Y961" t="inlineStr">
        <is>
          <t>Scope_Emissions</t>
        </is>
      </c>
      <c r="Z961" t="n">
        <v>0.95</v>
      </c>
      <c r="AA961" t="inlineStr">
        <is>
          <t>Valid</t>
        </is>
      </c>
    </row>
    <row r="962">
      <c r="A962" t="inlineStr">
        <is>
          <t>SUP-0097</t>
        </is>
      </c>
      <c r="B962" t="inlineStr">
        <is>
          <t>Metals Supplier 097</t>
        </is>
      </c>
      <c r="C962" t="inlineStr">
        <is>
          <t>Metals</t>
        </is>
      </c>
      <c r="D962" t="n">
        <v>2015</v>
      </c>
      <c r="E962" t="n">
        <v>16050608.71</v>
      </c>
      <c r="F962" t="n">
        <v>73432054.13</v>
      </c>
      <c r="G962" t="n">
        <v>9635.8848</v>
      </c>
      <c r="H962" t="n">
        <v>1958.3645</v>
      </c>
      <c r="I962" t="n">
        <v>1243.2236</v>
      </c>
      <c r="J962" t="n">
        <v>6051.1046</v>
      </c>
      <c r="K962" t="n">
        <v>2018</v>
      </c>
      <c r="L962" t="n">
        <v>2030</v>
      </c>
      <c r="M962" t="n">
        <v>0.503</v>
      </c>
      <c r="N962" t="n">
        <v>0.297</v>
      </c>
      <c r="O962" t="n">
        <v>2019</v>
      </c>
      <c r="P962" t="n">
        <v>2030</v>
      </c>
      <c r="Q962" t="n">
        <v>0.3852</v>
      </c>
      <c r="R962" t="n">
        <v>158.2904</v>
      </c>
      <c r="S962" t="n">
        <v>0.00100695</v>
      </c>
      <c r="T962" t="n">
        <v>0.00065008</v>
      </c>
      <c r="U962" t="n">
        <v>9635.8848</v>
      </c>
      <c r="V962" t="inlineStr">
        <is>
          <t>Supplier Reported Emissions</t>
        </is>
      </c>
      <c r="W962" t="b">
        <v>0</v>
      </c>
      <c r="X962" t="inlineStr">
        <is>
          <t>High</t>
        </is>
      </c>
      <c r="Y962" t="inlineStr">
        <is>
          <t>None</t>
        </is>
      </c>
      <c r="Z962" t="n">
        <v>0.95</v>
      </c>
      <c r="AA962" t="inlineStr">
        <is>
          <t>Valid</t>
        </is>
      </c>
    </row>
    <row r="963">
      <c r="A963" t="inlineStr">
        <is>
          <t>SUP-0097</t>
        </is>
      </c>
      <c r="B963" t="inlineStr">
        <is>
          <t>Metals Supplier 097</t>
        </is>
      </c>
      <c r="C963" t="inlineStr">
        <is>
          <t>Metals</t>
        </is>
      </c>
      <c r="D963" t="n">
        <v>2016</v>
      </c>
      <c r="E963" t="n">
        <v>16629860.39</v>
      </c>
      <c r="F963" t="n">
        <v>64335328.21</v>
      </c>
      <c r="G963" t="n">
        <v>9866.5723</v>
      </c>
      <c r="H963" t="inlineStr"/>
      <c r="I963" t="n">
        <v>1274.2001</v>
      </c>
      <c r="J963" t="n">
        <v>6674.9871</v>
      </c>
      <c r="K963" t="n">
        <v>2018</v>
      </c>
      <c r="L963" t="n">
        <v>2030</v>
      </c>
      <c r="M963" t="n">
        <v>0.503</v>
      </c>
      <c r="N963" t="n">
        <v>0.297</v>
      </c>
      <c r="O963" t="n">
        <v>2019</v>
      </c>
      <c r="P963" t="n">
        <v>2030</v>
      </c>
      <c r="Q963" t="n">
        <v>0.3852</v>
      </c>
      <c r="R963" t="n">
        <v>158.2904</v>
      </c>
      <c r="S963" t="n">
        <v>0.00100695</v>
      </c>
      <c r="T963" t="n">
        <v>0.00065008</v>
      </c>
      <c r="U963" t="n">
        <v>9866.5723</v>
      </c>
      <c r="V963" t="inlineStr">
        <is>
          <t>Supplier Reported Emissions</t>
        </is>
      </c>
      <c r="W963" t="b">
        <v>0</v>
      </c>
      <c r="X963" t="inlineStr">
        <is>
          <t>High</t>
        </is>
      </c>
      <c r="Y963" t="inlineStr">
        <is>
          <t>Scope_Emissions</t>
        </is>
      </c>
      <c r="Z963" t="n">
        <v>0.95</v>
      </c>
      <c r="AA963" t="inlineStr">
        <is>
          <t>Valid</t>
        </is>
      </c>
    </row>
    <row r="964">
      <c r="A964" t="inlineStr">
        <is>
          <t>SUP-0097</t>
        </is>
      </c>
      <c r="B964" t="inlineStr">
        <is>
          <t>Metals Supplier 097</t>
        </is>
      </c>
      <c r="C964" t="inlineStr">
        <is>
          <t>Metals</t>
        </is>
      </c>
      <c r="D964" t="n">
        <v>2017</v>
      </c>
      <c r="E964" t="n">
        <v>17893796.79</v>
      </c>
      <c r="F964" t="n">
        <v>69669367.39</v>
      </c>
      <c r="G964" t="n">
        <v>11240.5652</v>
      </c>
      <c r="H964" t="n">
        <v>3351.9805</v>
      </c>
      <c r="I964" t="n">
        <v>1402.1635</v>
      </c>
      <c r="J964" t="n">
        <v>7393.4622</v>
      </c>
      <c r="K964" t="n">
        <v>2018</v>
      </c>
      <c r="L964" t="n">
        <v>2030</v>
      </c>
      <c r="M964" t="n">
        <v>0.503</v>
      </c>
      <c r="N964" t="n">
        <v>0.297</v>
      </c>
      <c r="O964" t="n">
        <v>2019</v>
      </c>
      <c r="P964" t="n">
        <v>2030</v>
      </c>
      <c r="Q964" t="n">
        <v>0.3852</v>
      </c>
      <c r="R964" t="n">
        <v>158.2904</v>
      </c>
      <c r="S964" t="n">
        <v>0.00100695</v>
      </c>
      <c r="T964" t="n">
        <v>0.00065008</v>
      </c>
      <c r="U964" t="n">
        <v>11240.5652</v>
      </c>
      <c r="V964" t="inlineStr">
        <is>
          <t>Supplier Reported Emissions</t>
        </is>
      </c>
      <c r="W964" t="b">
        <v>0</v>
      </c>
      <c r="X964" t="inlineStr">
        <is>
          <t>High</t>
        </is>
      </c>
      <c r="Y964" t="inlineStr">
        <is>
          <t>None</t>
        </is>
      </c>
      <c r="Z964" t="n">
        <v>0.95</v>
      </c>
      <c r="AA964" t="inlineStr">
        <is>
          <t>Valid</t>
        </is>
      </c>
    </row>
    <row r="965">
      <c r="A965" t="inlineStr">
        <is>
          <t>SUP-0097</t>
        </is>
      </c>
      <c r="B965" t="inlineStr">
        <is>
          <t>Metals Supplier 097</t>
        </is>
      </c>
      <c r="C965" t="inlineStr">
        <is>
          <t>Metals</t>
        </is>
      </c>
      <c r="D965" t="n">
        <v>2018</v>
      </c>
      <c r="E965" t="n">
        <v>18547562.44</v>
      </c>
      <c r="F965" t="n">
        <v>83559554.28</v>
      </c>
      <c r="G965" t="n">
        <v>16874.6723</v>
      </c>
      <c r="H965" t="n">
        <v>1770.1895</v>
      </c>
      <c r="I965" t="inlineStr"/>
      <c r="J965" t="n">
        <v>12699.5778</v>
      </c>
      <c r="K965" t="n">
        <v>2018</v>
      </c>
      <c r="L965" t="n">
        <v>2030</v>
      </c>
      <c r="M965" t="n">
        <v>0.503</v>
      </c>
      <c r="N965" t="n">
        <v>0.297</v>
      </c>
      <c r="O965" t="n">
        <v>2019</v>
      </c>
      <c r="P965" t="n">
        <v>2030</v>
      </c>
      <c r="Q965" t="n">
        <v>0.3852</v>
      </c>
      <c r="R965" t="n">
        <v>158.2904</v>
      </c>
      <c r="S965" t="n">
        <v>0.00100695</v>
      </c>
      <c r="T965" t="n">
        <v>0.00065008</v>
      </c>
      <c r="U965" t="n">
        <v>16874.6723</v>
      </c>
      <c r="V965" t="inlineStr">
        <is>
          <t>Supplier Reported Emissions</t>
        </is>
      </c>
      <c r="W965" t="b">
        <v>0</v>
      </c>
      <c r="X965" t="inlineStr">
        <is>
          <t>High</t>
        </is>
      </c>
      <c r="Y965" t="inlineStr">
        <is>
          <t>Scope_Emissions</t>
        </is>
      </c>
      <c r="Z965" t="n">
        <v>0.95</v>
      </c>
      <c r="AA965" t="inlineStr">
        <is>
          <t>Valid</t>
        </is>
      </c>
    </row>
    <row r="966">
      <c r="A966" t="inlineStr">
        <is>
          <t>SUP-0097</t>
        </is>
      </c>
      <c r="B966" t="inlineStr">
        <is>
          <t>Metals Supplier 097</t>
        </is>
      </c>
      <c r="C966" t="inlineStr">
        <is>
          <t>Metals</t>
        </is>
      </c>
      <c r="D966" t="n">
        <v>2019</v>
      </c>
      <c r="E966" t="n">
        <v>22072879.2</v>
      </c>
      <c r="F966" t="n">
        <v>109638800.59</v>
      </c>
      <c r="G966" t="n">
        <v>18506.5719</v>
      </c>
      <c r="H966" t="n">
        <v>3822.5209</v>
      </c>
      <c r="I966" t="n">
        <v>3099.7697</v>
      </c>
      <c r="J966" t="n">
        <v>11751.3403</v>
      </c>
      <c r="K966" t="n">
        <v>2018</v>
      </c>
      <c r="L966" t="n">
        <v>2030</v>
      </c>
      <c r="M966" t="n">
        <v>0.503</v>
      </c>
      <c r="N966" t="n">
        <v>0.297</v>
      </c>
      <c r="O966" t="n">
        <v>2019</v>
      </c>
      <c r="P966" t="n">
        <v>2030</v>
      </c>
      <c r="Q966" t="n">
        <v>0.3852</v>
      </c>
      <c r="R966" t="n">
        <v>158.2904</v>
      </c>
      <c r="S966" t="n">
        <v>0.00100695</v>
      </c>
      <c r="T966" t="n">
        <v>0.00065008</v>
      </c>
      <c r="U966" t="n">
        <v>18506.5719</v>
      </c>
      <c r="V966" t="inlineStr">
        <is>
          <t>Supplier Reported Emissions</t>
        </is>
      </c>
      <c r="W966" t="b">
        <v>0</v>
      </c>
      <c r="X966" t="inlineStr">
        <is>
          <t>High</t>
        </is>
      </c>
      <c r="Y966" t="inlineStr">
        <is>
          <t>None</t>
        </is>
      </c>
      <c r="Z966" t="n">
        <v>0.95</v>
      </c>
      <c r="AA966" t="inlineStr">
        <is>
          <t>Valid</t>
        </is>
      </c>
    </row>
    <row r="967">
      <c r="A967" t="inlineStr">
        <is>
          <t>SUP-0097</t>
        </is>
      </c>
      <c r="B967" t="inlineStr">
        <is>
          <t>Metals Supplier 097</t>
        </is>
      </c>
      <c r="C967" t="inlineStr">
        <is>
          <t>Metals</t>
        </is>
      </c>
      <c r="D967" t="n">
        <v>2020</v>
      </c>
      <c r="E967" t="n">
        <v>22599227.7</v>
      </c>
      <c r="F967" t="n">
        <v>95284885.36</v>
      </c>
      <c r="G967" t="n">
        <v>13848.6334</v>
      </c>
      <c r="H967" t="n">
        <v>3503.0968</v>
      </c>
      <c r="I967" t="n">
        <v>2091.6811</v>
      </c>
      <c r="J967" t="n">
        <v>7451.168</v>
      </c>
      <c r="K967" t="n">
        <v>2018</v>
      </c>
      <c r="L967" t="n">
        <v>2030</v>
      </c>
      <c r="M967" t="n">
        <v>0.503</v>
      </c>
      <c r="N967" t="n">
        <v>0.297</v>
      </c>
      <c r="O967" t="n">
        <v>2019</v>
      </c>
      <c r="P967" t="n">
        <v>2030</v>
      </c>
      <c r="Q967" t="n">
        <v>0.3852</v>
      </c>
      <c r="R967" t="n">
        <v>158.2904</v>
      </c>
      <c r="S967" t="n">
        <v>0.00100695</v>
      </c>
      <c r="T967" t="n">
        <v>0.00065008</v>
      </c>
      <c r="U967" t="n">
        <v>13848.6334</v>
      </c>
      <c r="V967" t="inlineStr">
        <is>
          <t>Supplier Reported Emissions</t>
        </is>
      </c>
      <c r="W967" t="b">
        <v>0</v>
      </c>
      <c r="X967" t="inlineStr">
        <is>
          <t>High</t>
        </is>
      </c>
      <c r="Y967" t="inlineStr">
        <is>
          <t>None</t>
        </is>
      </c>
      <c r="Z967" t="n">
        <v>0.95</v>
      </c>
      <c r="AA967" t="inlineStr">
        <is>
          <t>Valid</t>
        </is>
      </c>
    </row>
    <row r="968">
      <c r="A968" t="inlineStr">
        <is>
          <t>SUP-0097</t>
        </is>
      </c>
      <c r="B968" t="inlineStr">
        <is>
          <t>Metals Supplier 097</t>
        </is>
      </c>
      <c r="C968" t="inlineStr">
        <is>
          <t>Metals</t>
        </is>
      </c>
      <c r="D968" t="n">
        <v>2021</v>
      </c>
      <c r="E968" t="n">
        <v>26539194.18</v>
      </c>
      <c r="F968" t="n">
        <v>136607500.04</v>
      </c>
      <c r="G968" t="inlineStr"/>
      <c r="H968" t="n">
        <v>1919.6596</v>
      </c>
      <c r="I968" t="n">
        <v>4260.7527</v>
      </c>
      <c r="J968" t="n">
        <v>14536.9255</v>
      </c>
      <c r="K968" t="n">
        <v>2018</v>
      </c>
      <c r="L968" t="n">
        <v>2030</v>
      </c>
      <c r="M968" t="n">
        <v>0.503</v>
      </c>
      <c r="N968" t="n">
        <v>0.297</v>
      </c>
      <c r="O968" t="n">
        <v>2019</v>
      </c>
      <c r="P968" t="n">
        <v>2030</v>
      </c>
      <c r="Q968" t="n">
        <v>0.3852</v>
      </c>
      <c r="R968" t="n">
        <v>158.2904</v>
      </c>
      <c r="S968" t="n">
        <v>0.00100695</v>
      </c>
      <c r="T968" t="n">
        <v>0.00065008</v>
      </c>
      <c r="U968" t="n">
        <v>20717.3378</v>
      </c>
      <c r="V968" t="inlineStr">
        <is>
          <t>Scope 1 + Scope 2 + Scope 3</t>
        </is>
      </c>
      <c r="W968" t="b">
        <v>1</v>
      </c>
      <c r="X968" t="inlineStr">
        <is>
          <t>High</t>
        </is>
      </c>
      <c r="Y968" t="inlineStr">
        <is>
          <t>Reported_Emissions</t>
        </is>
      </c>
      <c r="Z968" t="n">
        <v>0.88</v>
      </c>
      <c r="AA968" t="inlineStr">
        <is>
          <t>Valid</t>
        </is>
      </c>
    </row>
    <row r="969">
      <c r="A969" t="inlineStr">
        <is>
          <t>SUP-0097</t>
        </is>
      </c>
      <c r="B969" t="inlineStr">
        <is>
          <t>Metals Supplier 097</t>
        </is>
      </c>
      <c r="C969" t="inlineStr">
        <is>
          <t>Metals</t>
        </is>
      </c>
      <c r="D969" t="n">
        <v>2022</v>
      </c>
      <c r="E969" t="n">
        <v>27585638.88</v>
      </c>
      <c r="F969" t="n">
        <v>127976578.96</v>
      </c>
      <c r="G969" t="n">
        <v>20305.1862</v>
      </c>
      <c r="H969" t="n">
        <v>1794.1866</v>
      </c>
      <c r="I969" t="inlineStr"/>
      <c r="J969" t="n">
        <v>14886.9655</v>
      </c>
      <c r="K969" t="n">
        <v>2018</v>
      </c>
      <c r="L969" t="n">
        <v>2030</v>
      </c>
      <c r="M969" t="n">
        <v>0.503</v>
      </c>
      <c r="N969" t="n">
        <v>0.297</v>
      </c>
      <c r="O969" t="n">
        <v>2019</v>
      </c>
      <c r="P969" t="n">
        <v>2030</v>
      </c>
      <c r="Q969" t="n">
        <v>0.3852</v>
      </c>
      <c r="R969" t="n">
        <v>158.2904</v>
      </c>
      <c r="S969" t="n">
        <v>0.00100695</v>
      </c>
      <c r="T969" t="n">
        <v>0.00065008</v>
      </c>
      <c r="U969" t="n">
        <v>20305.1862</v>
      </c>
      <c r="V969" t="inlineStr">
        <is>
          <t>Supplier Reported Emissions</t>
        </is>
      </c>
      <c r="W969" t="b">
        <v>0</v>
      </c>
      <c r="X969" t="inlineStr">
        <is>
          <t>High</t>
        </is>
      </c>
      <c r="Y969" t="inlineStr">
        <is>
          <t>Scope_Emissions</t>
        </is>
      </c>
      <c r="Z969" t="n">
        <v>0.95</v>
      </c>
      <c r="AA969" t="inlineStr">
        <is>
          <t>Valid</t>
        </is>
      </c>
    </row>
    <row r="970">
      <c r="A970" t="inlineStr">
        <is>
          <t>SUP-0097</t>
        </is>
      </c>
      <c r="B970" t="inlineStr">
        <is>
          <t>Metals Supplier 097</t>
        </is>
      </c>
      <c r="C970" t="inlineStr">
        <is>
          <t>Metals</t>
        </is>
      </c>
      <c r="D970" t="n">
        <v>2023</v>
      </c>
      <c r="E970" t="n">
        <v>32314970.54</v>
      </c>
      <c r="F970" t="n">
        <v>158089843.12</v>
      </c>
      <c r="G970" t="n">
        <v>20845.3905</v>
      </c>
      <c r="H970" t="n">
        <v>4311.2278</v>
      </c>
      <c r="I970" t="n">
        <v>3270.6861</v>
      </c>
      <c r="J970" t="inlineStr"/>
      <c r="K970" t="n">
        <v>2018</v>
      </c>
      <c r="L970" t="n">
        <v>2030</v>
      </c>
      <c r="M970" t="n">
        <v>0.503</v>
      </c>
      <c r="N970" t="n">
        <v>0.297</v>
      </c>
      <c r="O970" t="n">
        <v>2019</v>
      </c>
      <c r="P970" t="n">
        <v>2030</v>
      </c>
      <c r="Q970" t="n">
        <v>0.3852</v>
      </c>
      <c r="R970" t="n">
        <v>158.2904</v>
      </c>
      <c r="S970" t="n">
        <v>0.00100695</v>
      </c>
      <c r="T970" t="n">
        <v>0.00065008</v>
      </c>
      <c r="U970" t="n">
        <v>20845.3905</v>
      </c>
      <c r="V970" t="inlineStr">
        <is>
          <t>Supplier Reported Emissions</t>
        </is>
      </c>
      <c r="W970" t="b">
        <v>0</v>
      </c>
      <c r="X970" t="inlineStr">
        <is>
          <t>High</t>
        </is>
      </c>
      <c r="Y970" t="inlineStr">
        <is>
          <t>Scope_Emissions</t>
        </is>
      </c>
      <c r="Z970" t="n">
        <v>0.95</v>
      </c>
      <c r="AA970" t="inlineStr">
        <is>
          <t>Valid</t>
        </is>
      </c>
    </row>
    <row r="971">
      <c r="A971" t="inlineStr">
        <is>
          <t>SUP-0097</t>
        </is>
      </c>
      <c r="B971" t="inlineStr">
        <is>
          <t>Metals Supplier 097</t>
        </is>
      </c>
      <c r="C971" t="inlineStr">
        <is>
          <t>Metals</t>
        </is>
      </c>
      <c r="D971" t="n">
        <v>2024</v>
      </c>
      <c r="E971" t="n">
        <v>32953405.51</v>
      </c>
      <c r="F971" t="n">
        <v>145705756.05</v>
      </c>
      <c r="G971" t="inlineStr"/>
      <c r="H971" t="n">
        <v>5509.4482</v>
      </c>
      <c r="I971" t="n">
        <v>4069.722</v>
      </c>
      <c r="J971" t="n">
        <v>10757.1777</v>
      </c>
      <c r="K971" t="n">
        <v>2018</v>
      </c>
      <c r="L971" t="n">
        <v>2030</v>
      </c>
      <c r="M971" t="n">
        <v>0.503</v>
      </c>
      <c r="N971" t="n">
        <v>0.297</v>
      </c>
      <c r="O971" t="n">
        <v>2019</v>
      </c>
      <c r="P971" t="n">
        <v>2030</v>
      </c>
      <c r="Q971" t="n">
        <v>0.3852</v>
      </c>
      <c r="R971" t="n">
        <v>158.2904</v>
      </c>
      <c r="S971" t="n">
        <v>0.00100695</v>
      </c>
      <c r="T971" t="n">
        <v>0.00065008</v>
      </c>
      <c r="U971" t="n">
        <v>20336.3479</v>
      </c>
      <c r="V971" t="inlineStr">
        <is>
          <t>Scope 1 + Scope 2 + Scope 3</t>
        </is>
      </c>
      <c r="W971" t="b">
        <v>1</v>
      </c>
      <c r="X971" t="inlineStr">
        <is>
          <t>High</t>
        </is>
      </c>
      <c r="Y971" t="inlineStr">
        <is>
          <t>Reported_Emissions</t>
        </is>
      </c>
      <c r="Z971" t="n">
        <v>0.88</v>
      </c>
      <c r="AA971" t="inlineStr">
        <is>
          <t>Valid</t>
        </is>
      </c>
    </row>
    <row r="972">
      <c r="A972" t="inlineStr">
        <is>
          <t>SUP-0098</t>
        </is>
      </c>
      <c r="B972" t="inlineStr">
        <is>
          <t>Agriculture Supplier 098</t>
        </is>
      </c>
      <c r="C972" t="inlineStr">
        <is>
          <t>Agriculture</t>
        </is>
      </c>
      <c r="D972" t="n">
        <v>2015</v>
      </c>
      <c r="E972" t="n">
        <v>21219874.02</v>
      </c>
      <c r="F972" t="n">
        <v>28427347.43</v>
      </c>
      <c r="G972" t="n">
        <v>20224.32</v>
      </c>
      <c r="H972" t="n">
        <v>2033.2105</v>
      </c>
      <c r="I972" t="n">
        <v>4065.9638</v>
      </c>
      <c r="J972" t="n">
        <v>13936.4717</v>
      </c>
      <c r="K972" t="n">
        <v>2018</v>
      </c>
      <c r="L972" t="n">
        <v>2040</v>
      </c>
      <c r="M972" t="n">
        <v>0.6899999999999999</v>
      </c>
      <c r="N972" t="n">
        <v>0.3364</v>
      </c>
      <c r="O972" t="n">
        <v>2018</v>
      </c>
      <c r="P972" t="inlineStr"/>
      <c r="Q972" t="inlineStr"/>
      <c r="R972" t="n">
        <v>529.8294</v>
      </c>
      <c r="S972" t="n">
        <v>0.00091413</v>
      </c>
      <c r="T972" t="n">
        <v>0.00096913</v>
      </c>
      <c r="U972" t="n">
        <v>20224.32</v>
      </c>
      <c r="V972" t="inlineStr">
        <is>
          <t>Supplier Reported Emissions</t>
        </is>
      </c>
      <c r="W972" t="b">
        <v>0</v>
      </c>
      <c r="X972" t="inlineStr">
        <is>
          <t>High</t>
        </is>
      </c>
      <c r="Y972" t="inlineStr">
        <is>
          <t>None</t>
        </is>
      </c>
      <c r="Z972" t="n">
        <v>0.95</v>
      </c>
      <c r="AA972" t="inlineStr">
        <is>
          <t>Valid</t>
        </is>
      </c>
    </row>
    <row r="973">
      <c r="A973" t="inlineStr">
        <is>
          <t>SUP-0098</t>
        </is>
      </c>
      <c r="B973" t="inlineStr">
        <is>
          <t>Agriculture Supplier 098</t>
        </is>
      </c>
      <c r="C973" t="inlineStr">
        <is>
          <t>Agriculture</t>
        </is>
      </c>
      <c r="D973" t="n">
        <v>2016</v>
      </c>
      <c r="E973" t="inlineStr"/>
      <c r="F973" t="n">
        <v>29926243.71</v>
      </c>
      <c r="G973" t="n">
        <v>22399.9143</v>
      </c>
      <c r="H973" t="n">
        <v>2544.4173</v>
      </c>
      <c r="I973" t="n">
        <v>2858.0953</v>
      </c>
      <c r="J973" t="n">
        <v>17497.6713</v>
      </c>
      <c r="K973" t="n">
        <v>2018</v>
      </c>
      <c r="L973" t="n">
        <v>2040</v>
      </c>
      <c r="M973" t="n">
        <v>0.6899999999999999</v>
      </c>
      <c r="N973" t="n">
        <v>0.3364</v>
      </c>
      <c r="O973" t="n">
        <v>2018</v>
      </c>
      <c r="P973" t="inlineStr"/>
      <c r="Q973" t="inlineStr"/>
      <c r="R973" t="n">
        <v>529.8294</v>
      </c>
      <c r="S973" t="n">
        <v>0.00091413</v>
      </c>
      <c r="T973" t="n">
        <v>0.00096913</v>
      </c>
      <c r="U973" t="n">
        <v>22399.9143</v>
      </c>
      <c r="V973" t="inlineStr">
        <is>
          <t>Supplier Reported Emissions</t>
        </is>
      </c>
      <c r="W973" t="b">
        <v>0</v>
      </c>
      <c r="X973" t="inlineStr">
        <is>
          <t>High</t>
        </is>
      </c>
      <c r="Y973" t="inlineStr">
        <is>
          <t>Gross_Spend</t>
        </is>
      </c>
      <c r="Z973" t="n">
        <v>0.95</v>
      </c>
      <c r="AA973" t="inlineStr">
        <is>
          <t>Valid</t>
        </is>
      </c>
    </row>
    <row r="974">
      <c r="A974" t="inlineStr">
        <is>
          <t>SUP-0098</t>
        </is>
      </c>
      <c r="B974" t="inlineStr">
        <is>
          <t>Agriculture Supplier 098</t>
        </is>
      </c>
      <c r="C974" t="inlineStr">
        <is>
          <t>Agriculture</t>
        </is>
      </c>
      <c r="D974" t="n">
        <v>2017</v>
      </c>
      <c r="E974" t="n">
        <v>25590307.83</v>
      </c>
      <c r="F974" t="inlineStr"/>
      <c r="G974" t="n">
        <v>23602.7128</v>
      </c>
      <c r="H974" t="n">
        <v>6022.7032</v>
      </c>
      <c r="I974" t="n">
        <v>3123.3159</v>
      </c>
      <c r="J974" t="n">
        <v>14171.4175</v>
      </c>
      <c r="K974" t="n">
        <v>2018</v>
      </c>
      <c r="L974" t="n">
        <v>2040</v>
      </c>
      <c r="M974" t="n">
        <v>0.6899999999999999</v>
      </c>
      <c r="N974" t="n">
        <v>0.3364</v>
      </c>
      <c r="O974" t="n">
        <v>2018</v>
      </c>
      <c r="P974" t="inlineStr"/>
      <c r="Q974" t="inlineStr"/>
      <c r="R974" t="n">
        <v>529.8294</v>
      </c>
      <c r="S974" t="n">
        <v>0.00091413</v>
      </c>
      <c r="T974" t="n">
        <v>0.00096913</v>
      </c>
      <c r="U974" t="n">
        <v>23602.7128</v>
      </c>
      <c r="V974" t="inlineStr">
        <is>
          <t>Supplier Reported Emissions</t>
        </is>
      </c>
      <c r="W974" t="b">
        <v>0</v>
      </c>
      <c r="X974" t="inlineStr">
        <is>
          <t>High</t>
        </is>
      </c>
      <c r="Y974" t="inlineStr">
        <is>
          <t>Revenue</t>
        </is>
      </c>
      <c r="Z974" t="n">
        <v>0.95</v>
      </c>
      <c r="AA974" t="inlineStr">
        <is>
          <t>Valid</t>
        </is>
      </c>
    </row>
    <row r="975">
      <c r="A975" t="inlineStr">
        <is>
          <t>SUP-0098</t>
        </is>
      </c>
      <c r="B975" t="inlineStr">
        <is>
          <t>Agriculture Supplier 098</t>
        </is>
      </c>
      <c r="C975" t="inlineStr">
        <is>
          <t>Agriculture</t>
        </is>
      </c>
      <c r="D975" t="n">
        <v>2018</v>
      </c>
      <c r="E975" t="n">
        <v>27721107.9</v>
      </c>
      <c r="F975" t="n">
        <v>36027090.11</v>
      </c>
      <c r="G975" t="n">
        <v>34657.8376</v>
      </c>
      <c r="H975" t="n">
        <v>4571.8907</v>
      </c>
      <c r="I975" t="inlineStr"/>
      <c r="J975" t="n">
        <v>27659.5181</v>
      </c>
      <c r="K975" t="n">
        <v>2018</v>
      </c>
      <c r="L975" t="n">
        <v>2040</v>
      </c>
      <c r="M975" t="n">
        <v>0.6899999999999999</v>
      </c>
      <c r="N975" t="n">
        <v>0.3364</v>
      </c>
      <c r="O975" t="n">
        <v>2018</v>
      </c>
      <c r="P975" t="inlineStr"/>
      <c r="Q975" t="inlineStr"/>
      <c r="R975" t="n">
        <v>529.8294</v>
      </c>
      <c r="S975" t="n">
        <v>0.00091413</v>
      </c>
      <c r="T975" t="n">
        <v>0.00096913</v>
      </c>
      <c r="U975" t="n">
        <v>34657.8376</v>
      </c>
      <c r="V975" t="inlineStr">
        <is>
          <t>Supplier Reported Emissions</t>
        </is>
      </c>
      <c r="W975" t="b">
        <v>0</v>
      </c>
      <c r="X975" t="inlineStr">
        <is>
          <t>High</t>
        </is>
      </c>
      <c r="Y975" t="inlineStr">
        <is>
          <t>Scope_Emissions</t>
        </is>
      </c>
      <c r="Z975" t="n">
        <v>0.95</v>
      </c>
      <c r="AA975" t="inlineStr">
        <is>
          <t>Valid</t>
        </is>
      </c>
    </row>
    <row r="976">
      <c r="A976" t="inlineStr">
        <is>
          <t>SUP-0098</t>
        </is>
      </c>
      <c r="B976" t="inlineStr">
        <is>
          <t>Agriculture Supplier 098</t>
        </is>
      </c>
      <c r="C976" t="inlineStr">
        <is>
          <t>Agriculture</t>
        </is>
      </c>
      <c r="D976" t="n">
        <v>2019</v>
      </c>
      <c r="E976" t="n">
        <v>26030738.06</v>
      </c>
      <c r="F976" t="n">
        <v>46305299.57</v>
      </c>
      <c r="G976" t="n">
        <v>27538.9975</v>
      </c>
      <c r="H976" t="n">
        <v>6424.2634</v>
      </c>
      <c r="I976" t="n">
        <v>6208.2264</v>
      </c>
      <c r="J976" t="inlineStr"/>
      <c r="K976" t="n">
        <v>2018</v>
      </c>
      <c r="L976" t="n">
        <v>2040</v>
      </c>
      <c r="M976" t="n">
        <v>0.6899999999999999</v>
      </c>
      <c r="N976" t="n">
        <v>0.3364</v>
      </c>
      <c r="O976" t="n">
        <v>2018</v>
      </c>
      <c r="P976" t="inlineStr"/>
      <c r="Q976" t="inlineStr"/>
      <c r="R976" t="n">
        <v>529.8294</v>
      </c>
      <c r="S976" t="n">
        <v>0.00091413</v>
      </c>
      <c r="T976" t="n">
        <v>0.00096913</v>
      </c>
      <c r="U976" t="n">
        <v>27538.9975</v>
      </c>
      <c r="V976" t="inlineStr">
        <is>
          <t>Supplier Reported Emissions</t>
        </is>
      </c>
      <c r="W976" t="b">
        <v>0</v>
      </c>
      <c r="X976" t="inlineStr">
        <is>
          <t>High</t>
        </is>
      </c>
      <c r="Y976" t="inlineStr">
        <is>
          <t>Scope_Emissions</t>
        </is>
      </c>
      <c r="Z976" t="n">
        <v>0.95</v>
      </c>
      <c r="AA976" t="inlineStr">
        <is>
          <t>Valid</t>
        </is>
      </c>
    </row>
    <row r="977">
      <c r="A977" t="inlineStr">
        <is>
          <t>SUP-0098</t>
        </is>
      </c>
      <c r="B977" t="inlineStr">
        <is>
          <t>Agriculture Supplier 098</t>
        </is>
      </c>
      <c r="C977" t="inlineStr">
        <is>
          <t>Agriculture</t>
        </is>
      </c>
      <c r="D977" t="n">
        <v>2020</v>
      </c>
      <c r="E977" t="n">
        <v>26771814.62</v>
      </c>
      <c r="F977" t="n">
        <v>38837296.31</v>
      </c>
      <c r="G977" t="inlineStr"/>
      <c r="H977" t="inlineStr"/>
      <c r="I977" t="inlineStr"/>
      <c r="J977" t="n">
        <v>22384.3216</v>
      </c>
      <c r="K977" t="n">
        <v>2018</v>
      </c>
      <c r="L977" t="n">
        <v>2040</v>
      </c>
      <c r="M977" t="n">
        <v>0.6899999999999999</v>
      </c>
      <c r="N977" t="n">
        <v>0.3364</v>
      </c>
      <c r="O977" t="n">
        <v>2018</v>
      </c>
      <c r="P977" t="inlineStr"/>
      <c r="Q977" t="inlineStr"/>
      <c r="R977" t="n">
        <v>529.8294</v>
      </c>
      <c r="S977" t="n">
        <v>0.00091413</v>
      </c>
      <c r="T977" t="n">
        <v>0.00096913</v>
      </c>
      <c r="U977" t="n">
        <v>24472.9189</v>
      </c>
      <c r="V977" t="inlineStr">
        <is>
          <t>Spend-Based Estimate</t>
        </is>
      </c>
      <c r="W977" t="b">
        <v>1</v>
      </c>
      <c r="X977" t="inlineStr">
        <is>
          <t>Medium</t>
        </is>
      </c>
      <c r="Y977" t="inlineStr">
        <is>
          <t>Reported_Emissions; Scope_Emissions</t>
        </is>
      </c>
      <c r="Z977" t="n">
        <v>0.7</v>
      </c>
      <c r="AA977" t="inlineStr">
        <is>
          <t>Valid</t>
        </is>
      </c>
    </row>
    <row r="978">
      <c r="A978" t="inlineStr">
        <is>
          <t>SUP-0098</t>
        </is>
      </c>
      <c r="B978" t="inlineStr">
        <is>
          <t>Agriculture Supplier 098</t>
        </is>
      </c>
      <c r="C978" t="inlineStr">
        <is>
          <t>Agriculture</t>
        </is>
      </c>
      <c r="D978" t="n">
        <v>2021</v>
      </c>
      <c r="E978" t="n">
        <v>36306342.81</v>
      </c>
      <c r="F978" t="n">
        <v>52950151.7</v>
      </c>
      <c r="G978" t="n">
        <v>36605.8878</v>
      </c>
      <c r="H978" t="n">
        <v>3987.6357</v>
      </c>
      <c r="I978" t="n">
        <v>3255.1376</v>
      </c>
      <c r="J978" t="n">
        <v>28049.803</v>
      </c>
      <c r="K978" t="n">
        <v>2018</v>
      </c>
      <c r="L978" t="n">
        <v>2040</v>
      </c>
      <c r="M978" t="n">
        <v>0.6899999999999999</v>
      </c>
      <c r="N978" t="n">
        <v>0.3364</v>
      </c>
      <c r="O978" t="n">
        <v>2018</v>
      </c>
      <c r="P978" t="inlineStr"/>
      <c r="Q978" t="inlineStr"/>
      <c r="R978" t="n">
        <v>529.8294</v>
      </c>
      <c r="S978" t="n">
        <v>0.00091413</v>
      </c>
      <c r="T978" t="n">
        <v>0.00096913</v>
      </c>
      <c r="U978" t="n">
        <v>36605.8878</v>
      </c>
      <c r="V978" t="inlineStr">
        <is>
          <t>Supplier Reported Emissions</t>
        </is>
      </c>
      <c r="W978" t="b">
        <v>0</v>
      </c>
      <c r="X978" t="inlineStr">
        <is>
          <t>High</t>
        </is>
      </c>
      <c r="Y978" t="inlineStr">
        <is>
          <t>None</t>
        </is>
      </c>
      <c r="Z978" t="n">
        <v>0.95</v>
      </c>
      <c r="AA978" t="inlineStr">
        <is>
          <t>Valid</t>
        </is>
      </c>
    </row>
    <row r="979">
      <c r="A979" t="inlineStr">
        <is>
          <t>SUP-0098</t>
        </is>
      </c>
      <c r="B979" t="inlineStr">
        <is>
          <t>Agriculture Supplier 098</t>
        </is>
      </c>
      <c r="C979" t="inlineStr">
        <is>
          <t>Agriculture</t>
        </is>
      </c>
      <c r="D979" t="n">
        <v>2022</v>
      </c>
      <c r="E979" t="n">
        <v>30656854.48</v>
      </c>
      <c r="F979" t="n">
        <v>30469154.39</v>
      </c>
      <c r="G979" t="n">
        <v>27547.4615</v>
      </c>
      <c r="H979" t="n">
        <v>7131.4291</v>
      </c>
      <c r="I979" t="n">
        <v>5252.4238</v>
      </c>
      <c r="J979" t="n">
        <v>14006.9675</v>
      </c>
      <c r="K979" t="n">
        <v>2018</v>
      </c>
      <c r="L979" t="n">
        <v>2040</v>
      </c>
      <c r="M979" t="n">
        <v>0.6899999999999999</v>
      </c>
      <c r="N979" t="n">
        <v>0.3364</v>
      </c>
      <c r="O979" t="n">
        <v>2018</v>
      </c>
      <c r="P979" t="inlineStr"/>
      <c r="Q979" t="inlineStr"/>
      <c r="R979" t="n">
        <v>529.8294</v>
      </c>
      <c r="S979" t="n">
        <v>0.00091413</v>
      </c>
      <c r="T979" t="n">
        <v>0.00096913</v>
      </c>
      <c r="U979" t="n">
        <v>27547.4615</v>
      </c>
      <c r="V979" t="inlineStr">
        <is>
          <t>Supplier Reported Emissions</t>
        </is>
      </c>
      <c r="W979" t="b">
        <v>0</v>
      </c>
      <c r="X979" t="inlineStr">
        <is>
          <t>High</t>
        </is>
      </c>
      <c r="Y979" t="inlineStr">
        <is>
          <t>None</t>
        </is>
      </c>
      <c r="Z979" t="n">
        <v>0.95</v>
      </c>
      <c r="AA979" t="inlineStr">
        <is>
          <t>Valid</t>
        </is>
      </c>
    </row>
    <row r="980">
      <c r="A980" t="inlineStr">
        <is>
          <t>SUP-0098</t>
        </is>
      </c>
      <c r="B980" t="inlineStr">
        <is>
          <t>Agriculture Supplier 098</t>
        </is>
      </c>
      <c r="C980" t="inlineStr">
        <is>
          <t>Agriculture</t>
        </is>
      </c>
      <c r="D980" t="n">
        <v>2023</v>
      </c>
      <c r="E980" t="n">
        <v>40208981.4</v>
      </c>
      <c r="F980" t="n">
        <v>49920417.27</v>
      </c>
      <c r="G980" t="n">
        <v>41350.8285</v>
      </c>
      <c r="H980" t="n">
        <v>11743.5712</v>
      </c>
      <c r="I980" t="inlineStr"/>
      <c r="J980" t="n">
        <v>28334.1324</v>
      </c>
      <c r="K980" t="n">
        <v>2018</v>
      </c>
      <c r="L980" t="n">
        <v>2040</v>
      </c>
      <c r="M980" t="n">
        <v>0.6899999999999999</v>
      </c>
      <c r="N980" t="n">
        <v>0.3364</v>
      </c>
      <c r="O980" t="n">
        <v>2018</v>
      </c>
      <c r="P980" t="inlineStr"/>
      <c r="Q980" t="inlineStr"/>
      <c r="R980" t="n">
        <v>529.8294</v>
      </c>
      <c r="S980" t="n">
        <v>0.00091413</v>
      </c>
      <c r="T980" t="n">
        <v>0.00096913</v>
      </c>
      <c r="U980" t="n">
        <v>41350.8285</v>
      </c>
      <c r="V980" t="inlineStr">
        <is>
          <t>Supplier Reported Emissions</t>
        </is>
      </c>
      <c r="W980" t="b">
        <v>0</v>
      </c>
      <c r="X980" t="inlineStr">
        <is>
          <t>High</t>
        </is>
      </c>
      <c r="Y980" t="inlineStr">
        <is>
          <t>Scope_Emissions</t>
        </is>
      </c>
      <c r="Z980" t="n">
        <v>0.95</v>
      </c>
      <c r="AA980" t="inlineStr">
        <is>
          <t>Valid</t>
        </is>
      </c>
    </row>
    <row r="981">
      <c r="A981" t="inlineStr">
        <is>
          <t>SUP-0098</t>
        </is>
      </c>
      <c r="B981" t="inlineStr">
        <is>
          <t>Agriculture Supplier 098</t>
        </is>
      </c>
      <c r="C981" t="inlineStr">
        <is>
          <t>Agriculture</t>
        </is>
      </c>
      <c r="D981" t="n">
        <v>2024</v>
      </c>
      <c r="E981" t="n">
        <v>35509573.74</v>
      </c>
      <c r="F981" t="n">
        <v>59361089.2</v>
      </c>
      <c r="G981" t="inlineStr"/>
      <c r="H981" t="inlineStr"/>
      <c r="I981" t="n">
        <v>6571.6934</v>
      </c>
      <c r="J981" t="n">
        <v>28060.4535</v>
      </c>
      <c r="K981" t="n">
        <v>2018</v>
      </c>
      <c r="L981" t="n">
        <v>2040</v>
      </c>
      <c r="M981" t="n">
        <v>0.6899999999999999</v>
      </c>
      <c r="N981" t="n">
        <v>0.3364</v>
      </c>
      <c r="O981" t="n">
        <v>2018</v>
      </c>
      <c r="P981" t="inlineStr"/>
      <c r="Q981" t="inlineStr"/>
      <c r="R981" t="n">
        <v>529.8294</v>
      </c>
      <c r="S981" t="n">
        <v>0.00091413</v>
      </c>
      <c r="T981" t="n">
        <v>0.00096913</v>
      </c>
      <c r="U981" t="n">
        <v>32460.3666</v>
      </c>
      <c r="V981" t="inlineStr">
        <is>
          <t>Spend-Based Estimate</t>
        </is>
      </c>
      <c r="W981" t="b">
        <v>1</v>
      </c>
      <c r="X981" t="inlineStr">
        <is>
          <t>Medium</t>
        </is>
      </c>
      <c r="Y981" t="inlineStr">
        <is>
          <t>Reported_Emissions; Scope_Emissions</t>
        </is>
      </c>
      <c r="Z981" t="n">
        <v>0.7</v>
      </c>
      <c r="AA981" t="inlineStr">
        <is>
          <t>Valid</t>
        </is>
      </c>
    </row>
    <row r="982">
      <c r="A982" t="inlineStr">
        <is>
          <t>SUP-0099</t>
        </is>
      </c>
      <c r="B982" t="inlineStr">
        <is>
          <t>Electronics Supplier 099</t>
        </is>
      </c>
      <c r="C982" t="inlineStr">
        <is>
          <t>Electronics</t>
        </is>
      </c>
      <c r="D982" t="n">
        <v>2015</v>
      </c>
      <c r="E982" t="n">
        <v>14709253.82</v>
      </c>
      <c r="F982" t="n">
        <v>87746642.73</v>
      </c>
      <c r="G982" t="n">
        <v>10913.1623</v>
      </c>
      <c r="H982" t="n">
        <v>2542.6203</v>
      </c>
      <c r="I982" t="inlineStr"/>
      <c r="J982" t="n">
        <v>7301.0176</v>
      </c>
      <c r="K982" t="inlineStr"/>
      <c r="L982" t="inlineStr"/>
      <c r="M982" t="inlineStr"/>
      <c r="N982" t="inlineStr"/>
      <c r="O982" t="n">
        <v>2018</v>
      </c>
      <c r="P982" t="n">
        <v>2040</v>
      </c>
      <c r="Q982" t="n">
        <v>0.3424</v>
      </c>
      <c r="R982" t="n">
        <v>635.1588</v>
      </c>
      <c r="S982" t="n">
        <v>0.00086105</v>
      </c>
      <c r="T982" t="n">
        <v>0.00013947</v>
      </c>
      <c r="U982" t="n">
        <v>10913.1623</v>
      </c>
      <c r="V982" t="inlineStr">
        <is>
          <t>Supplier Reported Emissions</t>
        </is>
      </c>
      <c r="W982" t="b">
        <v>0</v>
      </c>
      <c r="X982" t="inlineStr">
        <is>
          <t>High</t>
        </is>
      </c>
      <c r="Y982" t="inlineStr">
        <is>
          <t>Scope_Emissions</t>
        </is>
      </c>
      <c r="Z982" t="n">
        <v>0.95</v>
      </c>
      <c r="AA982" t="inlineStr">
        <is>
          <t>Valid</t>
        </is>
      </c>
    </row>
    <row r="983">
      <c r="A983" t="inlineStr">
        <is>
          <t>SUP-0099</t>
        </is>
      </c>
      <c r="B983" t="inlineStr">
        <is>
          <t>Electronics Supplier 099</t>
        </is>
      </c>
      <c r="C983" t="inlineStr">
        <is>
          <t>Electronics</t>
        </is>
      </c>
      <c r="D983" t="n">
        <v>2016</v>
      </c>
      <c r="E983" t="n">
        <v>13558334.08</v>
      </c>
      <c r="F983" t="n">
        <v>85168355.22</v>
      </c>
      <c r="G983" t="n">
        <v>12452.1068</v>
      </c>
      <c r="H983" t="n">
        <v>2537.5706</v>
      </c>
      <c r="I983" t="inlineStr"/>
      <c r="J983" t="inlineStr"/>
      <c r="K983" t="inlineStr"/>
      <c r="L983" t="inlineStr"/>
      <c r="M983" t="inlineStr"/>
      <c r="N983" t="inlineStr"/>
      <c r="O983" t="n">
        <v>2018</v>
      </c>
      <c r="P983" t="n">
        <v>2040</v>
      </c>
      <c r="Q983" t="n">
        <v>0.3424</v>
      </c>
      <c r="R983" t="n">
        <v>635.1588</v>
      </c>
      <c r="S983" t="n">
        <v>0.00086105</v>
      </c>
      <c r="T983" t="n">
        <v>0.00013947</v>
      </c>
      <c r="U983" t="n">
        <v>12452.1068</v>
      </c>
      <c r="V983" t="inlineStr">
        <is>
          <t>Supplier Reported Emissions</t>
        </is>
      </c>
      <c r="W983" t="b">
        <v>0</v>
      </c>
      <c r="X983" t="inlineStr">
        <is>
          <t>High</t>
        </is>
      </c>
      <c r="Y983" t="inlineStr">
        <is>
          <t>Scope_Emissions</t>
        </is>
      </c>
      <c r="Z983" t="n">
        <v>0.95</v>
      </c>
      <c r="AA983" t="inlineStr">
        <is>
          <t>Valid</t>
        </is>
      </c>
    </row>
    <row r="984">
      <c r="A984" t="inlineStr">
        <is>
          <t>SUP-0099</t>
        </is>
      </c>
      <c r="B984" t="inlineStr">
        <is>
          <t>Electronics Supplier 099</t>
        </is>
      </c>
      <c r="C984" t="inlineStr">
        <is>
          <t>Electronics</t>
        </is>
      </c>
      <c r="D984" t="n">
        <v>2017</v>
      </c>
      <c r="E984" t="n">
        <v>15018079.93</v>
      </c>
      <c r="F984" t="n">
        <v>86814849.72</v>
      </c>
      <c r="G984" t="n">
        <v>13032.3893</v>
      </c>
      <c r="H984" t="n">
        <v>3523.2068</v>
      </c>
      <c r="I984" t="inlineStr"/>
      <c r="J984" t="inlineStr"/>
      <c r="K984" t="inlineStr"/>
      <c r="L984" t="inlineStr"/>
      <c r="M984" t="inlineStr"/>
      <c r="N984" t="inlineStr"/>
      <c r="O984" t="n">
        <v>2018</v>
      </c>
      <c r="P984" t="n">
        <v>2040</v>
      </c>
      <c r="Q984" t="n">
        <v>0.3424</v>
      </c>
      <c r="R984" t="n">
        <v>635.1588</v>
      </c>
      <c r="S984" t="n">
        <v>0.00086105</v>
      </c>
      <c r="T984" t="n">
        <v>0.00013947</v>
      </c>
      <c r="U984" t="n">
        <v>13032.3893</v>
      </c>
      <c r="V984" t="inlineStr">
        <is>
          <t>Supplier Reported Emissions</t>
        </is>
      </c>
      <c r="W984" t="b">
        <v>0</v>
      </c>
      <c r="X984" t="inlineStr">
        <is>
          <t>High</t>
        </is>
      </c>
      <c r="Y984" t="inlineStr">
        <is>
          <t>Scope_Emissions</t>
        </is>
      </c>
      <c r="Z984" t="n">
        <v>0.95</v>
      </c>
      <c r="AA984" t="inlineStr">
        <is>
          <t>Valid</t>
        </is>
      </c>
    </row>
    <row r="985">
      <c r="A985" t="inlineStr">
        <is>
          <t>SUP-0099</t>
        </is>
      </c>
      <c r="B985" t="inlineStr">
        <is>
          <t>Electronics Supplier 099</t>
        </is>
      </c>
      <c r="C985" t="inlineStr">
        <is>
          <t>Electronics</t>
        </is>
      </c>
      <c r="D985" t="n">
        <v>2018</v>
      </c>
      <c r="E985" t="n">
        <v>14540115.27</v>
      </c>
      <c r="F985" t="n">
        <v>83855993.09999999</v>
      </c>
      <c r="G985" t="inlineStr"/>
      <c r="H985" t="n">
        <v>2947.8066</v>
      </c>
      <c r="I985" t="n">
        <v>802.1461</v>
      </c>
      <c r="J985" t="n">
        <v>6872.3308</v>
      </c>
      <c r="K985" t="inlineStr"/>
      <c r="L985" t="inlineStr"/>
      <c r="M985" t="inlineStr"/>
      <c r="N985" t="inlineStr"/>
      <c r="O985" t="n">
        <v>2018</v>
      </c>
      <c r="P985" t="n">
        <v>2040</v>
      </c>
      <c r="Q985" t="n">
        <v>0.3424</v>
      </c>
      <c r="R985" t="n">
        <v>635.1588</v>
      </c>
      <c r="S985" t="n">
        <v>0.00086105</v>
      </c>
      <c r="T985" t="n">
        <v>0.00013947</v>
      </c>
      <c r="U985" t="n">
        <v>10622.2835</v>
      </c>
      <c r="V985" t="inlineStr">
        <is>
          <t>Scope 1 + Scope 2 + Scope 3</t>
        </is>
      </c>
      <c r="W985" t="b">
        <v>1</v>
      </c>
      <c r="X985" t="inlineStr">
        <is>
          <t>High</t>
        </is>
      </c>
      <c r="Y985" t="inlineStr">
        <is>
          <t>Reported_Emissions</t>
        </is>
      </c>
      <c r="Z985" t="n">
        <v>0.88</v>
      </c>
      <c r="AA985" t="inlineStr">
        <is>
          <t>Valid</t>
        </is>
      </c>
    </row>
    <row r="986">
      <c r="A986" t="inlineStr">
        <is>
          <t>SUP-0099</t>
        </is>
      </c>
      <c r="B986" t="inlineStr">
        <is>
          <t>Electronics Supplier 099</t>
        </is>
      </c>
      <c r="C986" t="inlineStr">
        <is>
          <t>Electronics</t>
        </is>
      </c>
      <c r="D986" t="n">
        <v>2019</v>
      </c>
      <c r="E986" t="n">
        <v>15048292</v>
      </c>
      <c r="F986" t="inlineStr"/>
      <c r="G986" t="n">
        <v>13594.5112</v>
      </c>
      <c r="H986" t="inlineStr"/>
      <c r="I986" t="inlineStr"/>
      <c r="J986" t="n">
        <v>9322.3521</v>
      </c>
      <c r="K986" t="inlineStr"/>
      <c r="L986" t="inlineStr"/>
      <c r="M986" t="inlineStr"/>
      <c r="N986" t="inlineStr"/>
      <c r="O986" t="n">
        <v>2018</v>
      </c>
      <c r="P986" t="n">
        <v>2040</v>
      </c>
      <c r="Q986" t="n">
        <v>0.3424</v>
      </c>
      <c r="R986" t="n">
        <v>635.1588</v>
      </c>
      <c r="S986" t="n">
        <v>0.00086105</v>
      </c>
      <c r="T986" t="n">
        <v>0.00013947</v>
      </c>
      <c r="U986" t="n">
        <v>13594.5112</v>
      </c>
      <c r="V986" t="inlineStr">
        <is>
          <t>Supplier Reported Emissions</t>
        </is>
      </c>
      <c r="W986" t="b">
        <v>0</v>
      </c>
      <c r="X986" t="inlineStr">
        <is>
          <t>High</t>
        </is>
      </c>
      <c r="Y986" t="inlineStr">
        <is>
          <t>Revenue; Scope_Emissions</t>
        </is>
      </c>
      <c r="Z986" t="n">
        <v>0.95</v>
      </c>
      <c r="AA986" t="inlineStr">
        <is>
          <t>Valid</t>
        </is>
      </c>
    </row>
    <row r="987">
      <c r="A987" t="inlineStr">
        <is>
          <t>SUP-0099</t>
        </is>
      </c>
      <c r="B987" t="inlineStr">
        <is>
          <t>Electronics Supplier 099</t>
        </is>
      </c>
      <c r="C987" t="inlineStr">
        <is>
          <t>Electronics</t>
        </is>
      </c>
      <c r="D987" t="n">
        <v>2020</v>
      </c>
      <c r="E987" t="n">
        <v>14433854.38</v>
      </c>
      <c r="F987" t="n">
        <v>99404429.75</v>
      </c>
      <c r="G987" t="n">
        <v>8952.702799999999</v>
      </c>
      <c r="H987" t="n">
        <v>2138.1948</v>
      </c>
      <c r="I987" t="n">
        <v>1710.1923</v>
      </c>
      <c r="J987" t="n">
        <v>4667.7708</v>
      </c>
      <c r="K987" t="inlineStr"/>
      <c r="L987" t="inlineStr"/>
      <c r="M987" t="inlineStr"/>
      <c r="N987" t="inlineStr"/>
      <c r="O987" t="n">
        <v>2018</v>
      </c>
      <c r="P987" t="n">
        <v>2040</v>
      </c>
      <c r="Q987" t="n">
        <v>0.3424</v>
      </c>
      <c r="R987" t="n">
        <v>635.1588</v>
      </c>
      <c r="S987" t="n">
        <v>0.00086105</v>
      </c>
      <c r="T987" t="n">
        <v>0.00013947</v>
      </c>
      <c r="U987" t="n">
        <v>8952.702799999999</v>
      </c>
      <c r="V987" t="inlineStr">
        <is>
          <t>Supplier Reported Emissions</t>
        </is>
      </c>
      <c r="W987" t="b">
        <v>0</v>
      </c>
      <c r="X987" t="inlineStr">
        <is>
          <t>High</t>
        </is>
      </c>
      <c r="Y987" t="inlineStr">
        <is>
          <t>None</t>
        </is>
      </c>
      <c r="Z987" t="n">
        <v>0.95</v>
      </c>
      <c r="AA987" t="inlineStr">
        <is>
          <t>Valid</t>
        </is>
      </c>
    </row>
    <row r="988">
      <c r="A988" t="inlineStr">
        <is>
          <t>SUP-0099</t>
        </is>
      </c>
      <c r="B988" t="inlineStr">
        <is>
          <t>Electronics Supplier 099</t>
        </is>
      </c>
      <c r="C988" t="inlineStr">
        <is>
          <t>Electronics</t>
        </is>
      </c>
      <c r="D988" t="n">
        <v>2021</v>
      </c>
      <c r="E988" t="n">
        <v>16007365.5</v>
      </c>
      <c r="F988" t="inlineStr"/>
      <c r="G988" t="n">
        <v>10769.1306</v>
      </c>
      <c r="H988" t="n">
        <v>1205.084</v>
      </c>
      <c r="I988" t="n">
        <v>2380.2258</v>
      </c>
      <c r="J988" t="n">
        <v>8060.5457</v>
      </c>
      <c r="K988" t="inlineStr"/>
      <c r="L988" t="inlineStr"/>
      <c r="M988" t="inlineStr"/>
      <c r="N988" t="inlineStr"/>
      <c r="O988" t="n">
        <v>2018</v>
      </c>
      <c r="P988" t="n">
        <v>2040</v>
      </c>
      <c r="Q988" t="n">
        <v>0.3424</v>
      </c>
      <c r="R988" t="n">
        <v>635.1588</v>
      </c>
      <c r="S988" t="n">
        <v>0.00086105</v>
      </c>
      <c r="T988" t="n">
        <v>0.00013947</v>
      </c>
      <c r="U988" t="n">
        <v>10769.1306</v>
      </c>
      <c r="V988" t="inlineStr">
        <is>
          <t>Supplier Reported Emissions</t>
        </is>
      </c>
      <c r="W988" t="b">
        <v>0</v>
      </c>
      <c r="X988" t="inlineStr">
        <is>
          <t>High</t>
        </is>
      </c>
      <c r="Y988" t="inlineStr">
        <is>
          <t>Revenue</t>
        </is>
      </c>
      <c r="Z988" t="n">
        <v>0.95</v>
      </c>
      <c r="AA988" t="inlineStr">
        <is>
          <t>Valid</t>
        </is>
      </c>
    </row>
    <row r="989">
      <c r="A989" t="inlineStr">
        <is>
          <t>SUP-0099</t>
        </is>
      </c>
      <c r="B989" t="inlineStr">
        <is>
          <t>Electronics Supplier 099</t>
        </is>
      </c>
      <c r="C989" t="inlineStr">
        <is>
          <t>Electronics</t>
        </is>
      </c>
      <c r="D989" t="n">
        <v>2022</v>
      </c>
      <c r="E989" t="n">
        <v>12525158.36</v>
      </c>
      <c r="F989" t="n">
        <v>95946762.11</v>
      </c>
      <c r="G989" t="n">
        <v>7842.5051</v>
      </c>
      <c r="H989" t="n">
        <v>1613.3503</v>
      </c>
      <c r="I989" t="inlineStr"/>
      <c r="J989" t="n">
        <v>5178.1343</v>
      </c>
      <c r="K989" t="inlineStr"/>
      <c r="L989" t="inlineStr"/>
      <c r="M989" t="inlineStr"/>
      <c r="N989" t="inlineStr"/>
      <c r="O989" t="n">
        <v>2018</v>
      </c>
      <c r="P989" t="n">
        <v>2040</v>
      </c>
      <c r="Q989" t="n">
        <v>0.3424</v>
      </c>
      <c r="R989" t="n">
        <v>635.1588</v>
      </c>
      <c r="S989" t="n">
        <v>0.00086105</v>
      </c>
      <c r="T989" t="n">
        <v>0.00013947</v>
      </c>
      <c r="U989" t="n">
        <v>7842.5051</v>
      </c>
      <c r="V989" t="inlineStr">
        <is>
          <t>Supplier Reported Emissions</t>
        </is>
      </c>
      <c r="W989" t="b">
        <v>0</v>
      </c>
      <c r="X989" t="inlineStr">
        <is>
          <t>High</t>
        </is>
      </c>
      <c r="Y989" t="inlineStr">
        <is>
          <t>Scope_Emissions</t>
        </is>
      </c>
      <c r="Z989" t="n">
        <v>0.95</v>
      </c>
      <c r="AA989" t="inlineStr">
        <is>
          <t>Valid</t>
        </is>
      </c>
    </row>
    <row r="990">
      <c r="A990" t="inlineStr">
        <is>
          <t>SUP-0099</t>
        </is>
      </c>
      <c r="B990" t="inlineStr">
        <is>
          <t>Electronics Supplier 099</t>
        </is>
      </c>
      <c r="C990" t="inlineStr">
        <is>
          <t>Electronics</t>
        </is>
      </c>
      <c r="D990" t="n">
        <v>2023</v>
      </c>
      <c r="E990" t="n">
        <v>17167097.16</v>
      </c>
      <c r="F990" t="n">
        <v>85081699.51000001</v>
      </c>
      <c r="G990" t="inlineStr"/>
      <c r="H990" t="n">
        <v>3227.9566</v>
      </c>
      <c r="I990" t="inlineStr"/>
      <c r="J990" t="n">
        <v>7327.4956</v>
      </c>
      <c r="K990" t="inlineStr"/>
      <c r="L990" t="inlineStr"/>
      <c r="M990" t="inlineStr"/>
      <c r="N990" t="inlineStr"/>
      <c r="O990" t="n">
        <v>2018</v>
      </c>
      <c r="P990" t="n">
        <v>2040</v>
      </c>
      <c r="Q990" t="n">
        <v>0.3424</v>
      </c>
      <c r="R990" t="n">
        <v>635.1588</v>
      </c>
      <c r="S990" t="n">
        <v>0.00086105</v>
      </c>
      <c r="T990" t="n">
        <v>0.00013947</v>
      </c>
      <c r="U990" t="n">
        <v>14781.729</v>
      </c>
      <c r="V990" t="inlineStr">
        <is>
          <t>Spend-Based Estimate</t>
        </is>
      </c>
      <c r="W990" t="b">
        <v>1</v>
      </c>
      <c r="X990" t="inlineStr">
        <is>
          <t>Medium</t>
        </is>
      </c>
      <c r="Y990" t="inlineStr">
        <is>
          <t>Reported_Emissions; Scope_Emissions</t>
        </is>
      </c>
      <c r="Z990" t="n">
        <v>0.7</v>
      </c>
      <c r="AA990" t="inlineStr">
        <is>
          <t>Valid</t>
        </is>
      </c>
    </row>
    <row r="991">
      <c r="A991" t="inlineStr">
        <is>
          <t>SUP-0099</t>
        </is>
      </c>
      <c r="B991" t="inlineStr">
        <is>
          <t>Electronics Supplier 099</t>
        </is>
      </c>
      <c r="C991" t="inlineStr">
        <is>
          <t>Electronics</t>
        </is>
      </c>
      <c r="D991" t="n">
        <v>2024</v>
      </c>
      <c r="E991" t="n">
        <v>16552919.08</v>
      </c>
      <c r="F991" t="n">
        <v>106880751</v>
      </c>
      <c r="G991" t="inlineStr"/>
      <c r="H991" t="inlineStr"/>
      <c r="I991" t="n">
        <v>464.4015</v>
      </c>
      <c r="J991" t="inlineStr"/>
      <c r="K991" t="inlineStr"/>
      <c r="L991" t="inlineStr"/>
      <c r="M991" t="inlineStr"/>
      <c r="N991" t="inlineStr"/>
      <c r="O991" t="n">
        <v>2018</v>
      </c>
      <c r="P991" t="n">
        <v>2040</v>
      </c>
      <c r="Q991" t="n">
        <v>0.3424</v>
      </c>
      <c r="R991" t="n">
        <v>635.1588</v>
      </c>
      <c r="S991" t="n">
        <v>0.00086105</v>
      </c>
      <c r="T991" t="n">
        <v>0.00013947</v>
      </c>
      <c r="U991" t="n">
        <v>14252.891</v>
      </c>
      <c r="V991" t="inlineStr">
        <is>
          <t>Spend-Based Estimate</t>
        </is>
      </c>
      <c r="W991" t="b">
        <v>1</v>
      </c>
      <c r="X991" t="inlineStr">
        <is>
          <t>Medium</t>
        </is>
      </c>
      <c r="Y991" t="inlineStr">
        <is>
          <t>Reported_Emissions; Scope_Emissions</t>
        </is>
      </c>
      <c r="Z991" t="n">
        <v>0.7</v>
      </c>
      <c r="AA991" t="inlineStr">
        <is>
          <t>Valid</t>
        </is>
      </c>
    </row>
    <row r="992">
      <c r="A992" t="inlineStr">
        <is>
          <t>SUP-0100</t>
        </is>
      </c>
      <c r="B992" t="inlineStr">
        <is>
          <t>Textiles Supplier 100</t>
        </is>
      </c>
      <c r="C992" t="inlineStr">
        <is>
          <t>Textiles</t>
        </is>
      </c>
      <c r="D992" t="n">
        <v>2015</v>
      </c>
      <c r="E992" t="n">
        <v>24077649.16</v>
      </c>
      <c r="F992" t="n">
        <v>114869410.81</v>
      </c>
      <c r="G992" t="inlineStr"/>
      <c r="H992" t="n">
        <v>754.3521</v>
      </c>
      <c r="I992" t="n">
        <v>1466.0442</v>
      </c>
      <c r="J992" t="n">
        <v>6351.3771</v>
      </c>
      <c r="K992" t="n">
        <v>2021</v>
      </c>
      <c r="L992" t="n">
        <v>2040</v>
      </c>
      <c r="M992" t="n">
        <v>0.4388</v>
      </c>
      <c r="N992" t="n">
        <v>0.2538</v>
      </c>
      <c r="O992" t="n">
        <v>2019</v>
      </c>
      <c r="P992" t="n">
        <v>2030</v>
      </c>
      <c r="Q992" t="n">
        <v>0.3171</v>
      </c>
      <c r="R992" t="n">
        <v>401.7335</v>
      </c>
      <c r="S992" t="n">
        <v>0.00029221</v>
      </c>
      <c r="T992" t="n">
        <v>0.00017343</v>
      </c>
      <c r="U992" t="n">
        <v>8571.7734</v>
      </c>
      <c r="V992" t="inlineStr">
        <is>
          <t>Scope 1 + Scope 2 + Scope 3</t>
        </is>
      </c>
      <c r="W992" t="b">
        <v>1</v>
      </c>
      <c r="X992" t="inlineStr">
        <is>
          <t>High</t>
        </is>
      </c>
      <c r="Y992" t="inlineStr">
        <is>
          <t>Reported_Emissions</t>
        </is>
      </c>
      <c r="Z992" t="n">
        <v>0.88</v>
      </c>
      <c r="AA992" t="inlineStr">
        <is>
          <t>Valid</t>
        </is>
      </c>
    </row>
    <row r="993">
      <c r="A993" t="inlineStr">
        <is>
          <t>SUP-0100</t>
        </is>
      </c>
      <c r="B993" t="inlineStr">
        <is>
          <t>Textiles Supplier 100</t>
        </is>
      </c>
      <c r="C993" t="inlineStr">
        <is>
          <t>Textiles</t>
        </is>
      </c>
      <c r="D993" t="n">
        <v>2016</v>
      </c>
      <c r="E993" t="n">
        <v>28248463.33</v>
      </c>
      <c r="F993" t="n">
        <v>128330113.96</v>
      </c>
      <c r="G993" t="n">
        <v>6782.9068</v>
      </c>
      <c r="H993" t="inlineStr"/>
      <c r="I993" t="inlineStr"/>
      <c r="J993" t="n">
        <v>4265.4737</v>
      </c>
      <c r="K993" t="n">
        <v>2021</v>
      </c>
      <c r="L993" t="n">
        <v>2040</v>
      </c>
      <c r="M993" t="n">
        <v>0.4388</v>
      </c>
      <c r="N993" t="n">
        <v>0.2538</v>
      </c>
      <c r="O993" t="n">
        <v>2019</v>
      </c>
      <c r="P993" t="n">
        <v>2030</v>
      </c>
      <c r="Q993" t="n">
        <v>0.3171</v>
      </c>
      <c r="R993" t="n">
        <v>401.7335</v>
      </c>
      <c r="S993" t="n">
        <v>0.00029221</v>
      </c>
      <c r="T993" t="n">
        <v>0.00017343</v>
      </c>
      <c r="U993" t="n">
        <v>6782.9068</v>
      </c>
      <c r="V993" t="inlineStr">
        <is>
          <t>Supplier Reported Emissions</t>
        </is>
      </c>
      <c r="W993" t="b">
        <v>0</v>
      </c>
      <c r="X993" t="inlineStr">
        <is>
          <t>High</t>
        </is>
      </c>
      <c r="Y993" t="inlineStr">
        <is>
          <t>Scope_Emissions</t>
        </is>
      </c>
      <c r="Z993" t="n">
        <v>0.95</v>
      </c>
      <c r="AA993" t="inlineStr">
        <is>
          <t>Valid</t>
        </is>
      </c>
    </row>
    <row r="994">
      <c r="A994" t="inlineStr">
        <is>
          <t>SUP-0100</t>
        </is>
      </c>
      <c r="B994" t="inlineStr">
        <is>
          <t>Textiles Supplier 100</t>
        </is>
      </c>
      <c r="C994" t="inlineStr">
        <is>
          <t>Textiles</t>
        </is>
      </c>
      <c r="D994" t="n">
        <v>2017</v>
      </c>
      <c r="E994" t="n">
        <v>27877277.24</v>
      </c>
      <c r="F994" t="n">
        <v>153768786.51</v>
      </c>
      <c r="G994" t="inlineStr"/>
      <c r="H994" t="n">
        <v>927.7815000000001</v>
      </c>
      <c r="I994" t="n">
        <v>871.8684</v>
      </c>
      <c r="J994" t="n">
        <v>5083.6728</v>
      </c>
      <c r="K994" t="n">
        <v>2021</v>
      </c>
      <c r="L994" t="n">
        <v>2040</v>
      </c>
      <c r="M994" t="n">
        <v>0.4388</v>
      </c>
      <c r="N994" t="n">
        <v>0.2538</v>
      </c>
      <c r="O994" t="n">
        <v>2019</v>
      </c>
      <c r="P994" t="n">
        <v>2030</v>
      </c>
      <c r="Q994" t="n">
        <v>0.3171</v>
      </c>
      <c r="R994" t="n">
        <v>401.7335</v>
      </c>
      <c r="S994" t="n">
        <v>0.00029221</v>
      </c>
      <c r="T994" t="n">
        <v>0.00017343</v>
      </c>
      <c r="U994" t="n">
        <v>6883.3227</v>
      </c>
      <c r="V994" t="inlineStr">
        <is>
          <t>Scope 1 + Scope 2 + Scope 3</t>
        </is>
      </c>
      <c r="W994" t="b">
        <v>1</v>
      </c>
      <c r="X994" t="inlineStr">
        <is>
          <t>High</t>
        </is>
      </c>
      <c r="Y994" t="inlineStr">
        <is>
          <t>Reported_Emissions</t>
        </is>
      </c>
      <c r="Z994" t="n">
        <v>0.88</v>
      </c>
      <c r="AA994" t="inlineStr">
        <is>
          <t>Valid</t>
        </is>
      </c>
    </row>
    <row r="995">
      <c r="A995" t="inlineStr">
        <is>
          <t>SUP-0100</t>
        </is>
      </c>
      <c r="B995" t="inlineStr">
        <is>
          <t>Textiles Supplier 100</t>
        </is>
      </c>
      <c r="C995" t="inlineStr">
        <is>
          <t>Textiles</t>
        </is>
      </c>
      <c r="D995" t="n">
        <v>2018</v>
      </c>
      <c r="E995" t="n">
        <v>32419173.14</v>
      </c>
      <c r="F995" t="n">
        <v>125283671.32</v>
      </c>
      <c r="G995" t="n">
        <v>9316.503000000001</v>
      </c>
      <c r="H995" t="n">
        <v>2403.3629</v>
      </c>
      <c r="I995" t="n">
        <v>852.7097</v>
      </c>
      <c r="J995" t="n">
        <v>5468.8365</v>
      </c>
      <c r="K995" t="n">
        <v>2021</v>
      </c>
      <c r="L995" t="n">
        <v>2040</v>
      </c>
      <c r="M995" t="n">
        <v>0.4388</v>
      </c>
      <c r="N995" t="n">
        <v>0.2538</v>
      </c>
      <c r="O995" t="n">
        <v>2019</v>
      </c>
      <c r="P995" t="n">
        <v>2030</v>
      </c>
      <c r="Q995" t="n">
        <v>0.3171</v>
      </c>
      <c r="R995" t="n">
        <v>401.7335</v>
      </c>
      <c r="S995" t="n">
        <v>0.00029221</v>
      </c>
      <c r="T995" t="n">
        <v>0.00017343</v>
      </c>
      <c r="U995" t="n">
        <v>9316.503000000001</v>
      </c>
      <c r="V995" t="inlineStr">
        <is>
          <t>Supplier Reported Emissions</t>
        </is>
      </c>
      <c r="W995" t="b">
        <v>0</v>
      </c>
      <c r="X995" t="inlineStr">
        <is>
          <t>High</t>
        </is>
      </c>
      <c r="Y995" t="inlineStr">
        <is>
          <t>None</t>
        </is>
      </c>
      <c r="Z995" t="n">
        <v>0.95</v>
      </c>
      <c r="AA995" t="inlineStr">
        <is>
          <t>Valid</t>
        </is>
      </c>
    </row>
    <row r="996">
      <c r="A996" t="inlineStr">
        <is>
          <t>SUP-0100</t>
        </is>
      </c>
      <c r="B996" t="inlineStr">
        <is>
          <t>Textiles Supplier 100</t>
        </is>
      </c>
      <c r="C996" t="inlineStr">
        <is>
          <t>Textiles</t>
        </is>
      </c>
      <c r="D996" t="n">
        <v>2019</v>
      </c>
      <c r="E996" t="inlineStr"/>
      <c r="F996" t="n">
        <v>171637330.5</v>
      </c>
      <c r="G996" t="inlineStr"/>
      <c r="H996" t="n">
        <v>1918.8855</v>
      </c>
      <c r="I996" t="n">
        <v>688.3483</v>
      </c>
      <c r="J996" t="n">
        <v>5604.5426</v>
      </c>
      <c r="K996" t="n">
        <v>2021</v>
      </c>
      <c r="L996" t="n">
        <v>2040</v>
      </c>
      <c r="M996" t="n">
        <v>0.4388</v>
      </c>
      <c r="N996" t="n">
        <v>0.2538</v>
      </c>
      <c r="O996" t="n">
        <v>2019</v>
      </c>
      <c r="P996" t="n">
        <v>2030</v>
      </c>
      <c r="Q996" t="n">
        <v>0.3171</v>
      </c>
      <c r="R996" t="n">
        <v>401.7335</v>
      </c>
      <c r="S996" t="n">
        <v>0.00029221</v>
      </c>
      <c r="T996" t="n">
        <v>0.00017343</v>
      </c>
      <c r="U996" t="n">
        <v>8211.776400000001</v>
      </c>
      <c r="V996" t="inlineStr">
        <is>
          <t>Scope 1 + Scope 2 + Scope 3</t>
        </is>
      </c>
      <c r="W996" t="b">
        <v>1</v>
      </c>
      <c r="X996" t="inlineStr">
        <is>
          <t>High</t>
        </is>
      </c>
      <c r="Y996" t="inlineStr">
        <is>
          <t>Gross_Spend; Reported_Emissions</t>
        </is>
      </c>
      <c r="Z996" t="n">
        <v>0.88</v>
      </c>
      <c r="AA996" t="inlineStr">
        <is>
          <t>Valid</t>
        </is>
      </c>
    </row>
    <row r="997">
      <c r="A997" t="inlineStr">
        <is>
          <t>SUP-0100</t>
        </is>
      </c>
      <c r="B997" t="inlineStr">
        <is>
          <t>Textiles Supplier 100</t>
        </is>
      </c>
      <c r="C997" t="inlineStr">
        <is>
          <t>Textiles</t>
        </is>
      </c>
      <c r="D997" t="n">
        <v>2020</v>
      </c>
      <c r="E997" t="n">
        <v>41064494.16</v>
      </c>
      <c r="F997" t="n">
        <v>146171481.97</v>
      </c>
      <c r="G997" t="n">
        <v>11382.6272</v>
      </c>
      <c r="H997" t="n">
        <v>1613.8315</v>
      </c>
      <c r="I997" t="n">
        <v>841.7051</v>
      </c>
      <c r="J997" t="n">
        <v>9267.7809</v>
      </c>
      <c r="K997" t="n">
        <v>2021</v>
      </c>
      <c r="L997" t="n">
        <v>2040</v>
      </c>
      <c r="M997" t="n">
        <v>0.4388</v>
      </c>
      <c r="N997" t="n">
        <v>0.2538</v>
      </c>
      <c r="O997" t="n">
        <v>2019</v>
      </c>
      <c r="P997" t="n">
        <v>2030</v>
      </c>
      <c r="Q997" t="n">
        <v>0.3171</v>
      </c>
      <c r="R997" t="n">
        <v>401.7335</v>
      </c>
      <c r="S997" t="n">
        <v>0.00029221</v>
      </c>
      <c r="T997" t="n">
        <v>0.00017343</v>
      </c>
      <c r="U997" t="n">
        <v>11382.6272</v>
      </c>
      <c r="V997" t="inlineStr">
        <is>
          <t>Supplier Reported Emissions</t>
        </is>
      </c>
      <c r="W997" t="b">
        <v>0</v>
      </c>
      <c r="X997" t="inlineStr">
        <is>
          <t>High</t>
        </is>
      </c>
      <c r="Y997" t="inlineStr">
        <is>
          <t>None</t>
        </is>
      </c>
      <c r="Z997" t="n">
        <v>0.95</v>
      </c>
      <c r="AA997" t="inlineStr">
        <is>
          <t>Valid</t>
        </is>
      </c>
    </row>
    <row r="998">
      <c r="A998" t="inlineStr">
        <is>
          <t>SUP-0100</t>
        </is>
      </c>
      <c r="B998" t="inlineStr">
        <is>
          <t>Textiles Supplier 100</t>
        </is>
      </c>
      <c r="C998" t="inlineStr">
        <is>
          <t>Textiles</t>
        </is>
      </c>
      <c r="D998" t="n">
        <v>2021</v>
      </c>
      <c r="E998" t="n">
        <v>44559077.45</v>
      </c>
      <c r="F998" t="n">
        <v>235184541.18</v>
      </c>
      <c r="G998" t="n">
        <v>9067.2328</v>
      </c>
      <c r="H998" t="n">
        <v>1248.1582</v>
      </c>
      <c r="I998" t="n">
        <v>752.4075</v>
      </c>
      <c r="J998" t="inlineStr"/>
      <c r="K998" t="n">
        <v>2021</v>
      </c>
      <c r="L998" t="n">
        <v>2040</v>
      </c>
      <c r="M998" t="n">
        <v>0.4388</v>
      </c>
      <c r="N998" t="n">
        <v>0.2538</v>
      </c>
      <c r="O998" t="n">
        <v>2019</v>
      </c>
      <c r="P998" t="n">
        <v>2030</v>
      </c>
      <c r="Q998" t="n">
        <v>0.3171</v>
      </c>
      <c r="R998" t="n">
        <v>401.7335</v>
      </c>
      <c r="S998" t="n">
        <v>0.00029221</v>
      </c>
      <c r="T998" t="n">
        <v>0.00017343</v>
      </c>
      <c r="U998" t="n">
        <v>9067.2328</v>
      </c>
      <c r="V998" t="inlineStr">
        <is>
          <t>Supplier Reported Emissions</t>
        </is>
      </c>
      <c r="W998" t="b">
        <v>0</v>
      </c>
      <c r="X998" t="inlineStr">
        <is>
          <t>High</t>
        </is>
      </c>
      <c r="Y998" t="inlineStr">
        <is>
          <t>Scope_Emissions</t>
        </is>
      </c>
      <c r="Z998" t="n">
        <v>0.95</v>
      </c>
      <c r="AA998" t="inlineStr">
        <is>
          <t>Valid</t>
        </is>
      </c>
    </row>
    <row r="999">
      <c r="A999" t="inlineStr">
        <is>
          <t>SUP-0100</t>
        </is>
      </c>
      <c r="B999" t="inlineStr">
        <is>
          <t>Textiles Supplier 100</t>
        </is>
      </c>
      <c r="C999" t="inlineStr">
        <is>
          <t>Textiles</t>
        </is>
      </c>
      <c r="D999" t="n">
        <v>2022</v>
      </c>
      <c r="E999" t="n">
        <v>40656496.2</v>
      </c>
      <c r="F999" t="n">
        <v>236627460.09</v>
      </c>
      <c r="G999" t="inlineStr"/>
      <c r="H999" t="n">
        <v>558.8783</v>
      </c>
      <c r="I999" t="n">
        <v>476.4322</v>
      </c>
      <c r="J999" t="n">
        <v>5650.5532</v>
      </c>
      <c r="K999" t="n">
        <v>2021</v>
      </c>
      <c r="L999" t="n">
        <v>2040</v>
      </c>
      <c r="M999" t="n">
        <v>0.4388</v>
      </c>
      <c r="N999" t="n">
        <v>0.2538</v>
      </c>
      <c r="O999" t="n">
        <v>2019</v>
      </c>
      <c r="P999" t="n">
        <v>2030</v>
      </c>
      <c r="Q999" t="n">
        <v>0.3171</v>
      </c>
      <c r="R999" t="n">
        <v>401.7335</v>
      </c>
      <c r="S999" t="n">
        <v>0.00029221</v>
      </c>
      <c r="T999" t="n">
        <v>0.00017343</v>
      </c>
      <c r="U999" t="n">
        <v>6685.8637</v>
      </c>
      <c r="V999" t="inlineStr">
        <is>
          <t>Scope 1 + Scope 2 + Scope 3</t>
        </is>
      </c>
      <c r="W999" t="b">
        <v>1</v>
      </c>
      <c r="X999" t="inlineStr">
        <is>
          <t>High</t>
        </is>
      </c>
      <c r="Y999" t="inlineStr">
        <is>
          <t>Reported_Emissions</t>
        </is>
      </c>
      <c r="Z999" t="n">
        <v>0.88</v>
      </c>
      <c r="AA999" t="inlineStr">
        <is>
          <t>Valid</t>
        </is>
      </c>
    </row>
    <row r="1000">
      <c r="A1000" t="inlineStr">
        <is>
          <t>SUP-0100</t>
        </is>
      </c>
      <c r="B1000" t="inlineStr">
        <is>
          <t>Textiles Supplier 100</t>
        </is>
      </c>
      <c r="C1000" t="inlineStr">
        <is>
          <t>Textiles</t>
        </is>
      </c>
      <c r="D1000" t="n">
        <v>2023</v>
      </c>
      <c r="E1000" t="n">
        <v>47567002.51</v>
      </c>
      <c r="F1000" t="n">
        <v>205917877.98</v>
      </c>
      <c r="G1000" t="n">
        <v>11137.5876</v>
      </c>
      <c r="H1000" t="n">
        <v>1844.7517</v>
      </c>
      <c r="I1000" t="n">
        <v>1345.7122</v>
      </c>
      <c r="J1000" t="n">
        <v>7763.3734</v>
      </c>
      <c r="K1000" t="n">
        <v>2021</v>
      </c>
      <c r="L1000" t="n">
        <v>2040</v>
      </c>
      <c r="M1000" t="n">
        <v>0.4388</v>
      </c>
      <c r="N1000" t="n">
        <v>0.2538</v>
      </c>
      <c r="O1000" t="n">
        <v>2019</v>
      </c>
      <c r="P1000" t="n">
        <v>2030</v>
      </c>
      <c r="Q1000" t="n">
        <v>0.3171</v>
      </c>
      <c r="R1000" t="n">
        <v>401.7335</v>
      </c>
      <c r="S1000" t="n">
        <v>0.00029221</v>
      </c>
      <c r="T1000" t="n">
        <v>0.00017343</v>
      </c>
      <c r="U1000" t="n">
        <v>11137.5876</v>
      </c>
      <c r="V1000" t="inlineStr">
        <is>
          <t>Supplier Reported Emissions</t>
        </is>
      </c>
      <c r="W1000" t="b">
        <v>0</v>
      </c>
      <c r="X1000" t="inlineStr">
        <is>
          <t>High</t>
        </is>
      </c>
      <c r="Y1000" t="inlineStr">
        <is>
          <t>None</t>
        </is>
      </c>
      <c r="Z1000" t="n">
        <v>0.95</v>
      </c>
      <c r="AA1000" t="inlineStr">
        <is>
          <t>Valid</t>
        </is>
      </c>
    </row>
    <row r="1001">
      <c r="A1001" t="inlineStr">
        <is>
          <t>SUP-0100</t>
        </is>
      </c>
      <c r="B1001" t="inlineStr">
        <is>
          <t>Textiles Supplier 100</t>
        </is>
      </c>
      <c r="C1001" t="inlineStr">
        <is>
          <t>Textiles</t>
        </is>
      </c>
      <c r="D1001" t="n">
        <v>2024</v>
      </c>
      <c r="E1001" t="n">
        <v>45670132.94</v>
      </c>
      <c r="F1001" t="n">
        <v>258354383.57</v>
      </c>
      <c r="G1001" t="n">
        <v>10082.4327</v>
      </c>
      <c r="H1001" t="n">
        <v>1145.0433</v>
      </c>
      <c r="I1001" t="inlineStr"/>
      <c r="J1001" t="n">
        <v>6668.5072</v>
      </c>
      <c r="K1001" t="n">
        <v>2021</v>
      </c>
      <c r="L1001" t="n">
        <v>2040</v>
      </c>
      <c r="M1001" t="n">
        <v>0.4388</v>
      </c>
      <c r="N1001" t="n">
        <v>0.2538</v>
      </c>
      <c r="O1001" t="n">
        <v>2019</v>
      </c>
      <c r="P1001" t="n">
        <v>2030</v>
      </c>
      <c r="Q1001" t="n">
        <v>0.3171</v>
      </c>
      <c r="R1001" t="n">
        <v>401.7335</v>
      </c>
      <c r="S1001" t="n">
        <v>0.00029221</v>
      </c>
      <c r="T1001" t="n">
        <v>0.00017343</v>
      </c>
      <c r="U1001" t="n">
        <v>10082.4327</v>
      </c>
      <c r="V1001" t="inlineStr">
        <is>
          <t>Supplier Reported Emissions</t>
        </is>
      </c>
      <c r="W1001" t="b">
        <v>0</v>
      </c>
      <c r="X1001" t="inlineStr">
        <is>
          <t>High</t>
        </is>
      </c>
      <c r="Y1001" t="inlineStr">
        <is>
          <t>Scope_Emissions</t>
        </is>
      </c>
      <c r="Z1001" t="n">
        <v>0.95</v>
      </c>
      <c r="AA1001" t="inlineStr">
        <is>
          <t>Valid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Supplier_ID</t>
        </is>
      </c>
      <c r="B1" t="inlineStr">
        <is>
          <t>Supplier_Name</t>
        </is>
      </c>
      <c r="C1" t="inlineStr">
        <is>
          <t>Supplier_Industry</t>
        </is>
      </c>
      <c r="D1" t="inlineStr">
        <is>
          <t>Supplier_Year</t>
        </is>
      </c>
      <c r="E1" t="inlineStr">
        <is>
          <t>Baseline_Year</t>
        </is>
      </c>
      <c r="F1" t="inlineStr">
        <is>
          <t>Target_Year</t>
        </is>
      </c>
      <c r="G1" t="inlineStr">
        <is>
          <t>Reported_Emissions</t>
        </is>
      </c>
      <c r="H1" t="inlineStr">
        <is>
          <t>Scope1_Emission</t>
        </is>
      </c>
      <c r="I1" t="inlineStr">
        <is>
          <t>Scope2_Emission</t>
        </is>
      </c>
      <c r="J1" t="inlineStr">
        <is>
          <t>Scope3_Emission</t>
        </is>
      </c>
      <c r="K1" t="inlineStr">
        <is>
          <t>Gross_Spend</t>
        </is>
      </c>
      <c r="L1" t="inlineStr">
        <is>
          <t>Revenue</t>
        </is>
      </c>
      <c r="M1" t="inlineStr">
        <is>
          <t>Total_Emission_Value</t>
        </is>
      </c>
      <c r="N1" t="inlineStr">
        <is>
          <t>Emission_Source_Flag</t>
        </is>
      </c>
      <c r="O1" t="inlineStr">
        <is>
          <t>Fallback_Applied_Flag</t>
        </is>
      </c>
      <c r="P1" t="inlineStr">
        <is>
          <t>Data_Quality_Flag</t>
        </is>
      </c>
      <c r="Q1" t="inlineStr">
        <is>
          <t>Missing_Parameter_Flag</t>
        </is>
      </c>
      <c r="R1" t="inlineStr">
        <is>
          <t>Validation_Flag</t>
        </is>
      </c>
      <c r="S1" t="inlineStr">
        <is>
          <t>Forecast_Year</t>
        </is>
      </c>
      <c r="T1" t="inlineStr">
        <is>
          <t>Forecast_Method_Flag</t>
        </is>
      </c>
      <c r="U1" t="inlineStr">
        <is>
          <t>Baseline_Emission</t>
        </is>
      </c>
      <c r="V1" t="inlineStr">
        <is>
          <t>Target_Emission</t>
        </is>
      </c>
      <c r="W1" t="inlineStr">
        <is>
          <t>Forecast_Emission</t>
        </is>
      </c>
      <c r="X1" t="inlineStr">
        <is>
          <t>Glide_Path_Emission</t>
        </is>
      </c>
      <c r="Y1" t="inlineStr">
        <is>
          <t>Absolute_Reduction</t>
        </is>
      </c>
      <c r="Z1" t="inlineStr">
        <is>
          <t>Emission_Intensity</t>
        </is>
      </c>
      <c r="AA1" t="inlineStr">
        <is>
          <t>Intensity_Reduction</t>
        </is>
      </c>
      <c r="AB1" t="inlineStr">
        <is>
          <t>Gap_to_Target</t>
        </is>
      </c>
      <c r="AC1" t="inlineStr">
        <is>
          <t>Annual_Reduction_Required</t>
        </is>
      </c>
      <c r="AD1" t="inlineStr">
        <is>
          <t>Carbon_Budget_Remaining</t>
        </is>
      </c>
      <c r="AE1" t="inlineStr">
        <is>
          <t>Cumulative_Emissions</t>
        </is>
      </c>
      <c r="AF1" t="inlineStr">
        <is>
          <t>Confidence_Score</t>
        </is>
      </c>
      <c r="AG1" t="inlineStr">
        <is>
          <t>Supplier_Risk_Category</t>
        </is>
      </c>
      <c r="AH1" t="inlineStr">
        <is>
          <t>Target_Achievement_Status</t>
        </is>
      </c>
    </row>
    <row r="2">
      <c r="A2" t="inlineStr">
        <is>
          <t>SUP-0001</t>
        </is>
      </c>
      <c r="B2" t="inlineStr">
        <is>
          <t>Professional Supplier 001</t>
        </is>
      </c>
      <c r="C2" t="inlineStr">
        <is>
          <t>Professional Services</t>
        </is>
      </c>
      <c r="D2" t="n">
        <v>2024</v>
      </c>
      <c r="E2" t="n">
        <v>2021</v>
      </c>
      <c r="F2" t="n">
        <v>2040</v>
      </c>
      <c r="G2" t="inlineStr"/>
      <c r="H2" t="n">
        <v>79.7811</v>
      </c>
      <c r="I2" t="n">
        <v>186.6403</v>
      </c>
      <c r="J2" t="n">
        <v>668.1231</v>
      </c>
      <c r="K2" t="n">
        <v>16663864.5</v>
      </c>
      <c r="L2" t="n">
        <v>33844140</v>
      </c>
      <c r="M2" t="n">
        <v>934.5445</v>
      </c>
      <c r="N2" t="inlineStr">
        <is>
          <t>Scope 1 + Scope 2 + Scope 3</t>
        </is>
      </c>
      <c r="O2" t="b">
        <v>1</v>
      </c>
      <c r="P2" t="inlineStr">
        <is>
          <t>High</t>
        </is>
      </c>
      <c r="Q2" t="inlineStr">
        <is>
          <t>Reported_Emissions</t>
        </is>
      </c>
      <c r="R2" t="inlineStr">
        <is>
          <t>Valid</t>
        </is>
      </c>
      <c r="S2" t="n">
        <v>2025</v>
      </c>
      <c r="T2" t="inlineStr">
        <is>
          <t>Supplier Target Pathway</t>
        </is>
      </c>
      <c r="U2" t="n">
        <v>1339.4925</v>
      </c>
      <c r="V2" t="n">
        <v>699.2151</v>
      </c>
      <c r="W2" t="n">
        <v>1204.6973</v>
      </c>
      <c r="X2" t="n">
        <v>1204.6973</v>
      </c>
      <c r="Y2" t="n">
        <v>134.7952</v>
      </c>
      <c r="Z2" t="n">
        <v>7.229e-05</v>
      </c>
      <c r="AA2" t="n">
        <v>0.100632</v>
      </c>
      <c r="AB2" t="n">
        <v>505.4822</v>
      </c>
      <c r="AC2" t="n">
        <v>33.6988</v>
      </c>
      <c r="AD2" t="n">
        <v>9982.7443</v>
      </c>
      <c r="AE2" t="n">
        <v>1204.6973</v>
      </c>
      <c r="AF2" t="n">
        <v>0.986</v>
      </c>
      <c r="AG2" t="inlineStr">
        <is>
          <t>Critical</t>
        </is>
      </c>
      <c r="AH2" t="inlineStr">
        <is>
          <t>On Track to Glide Path</t>
        </is>
      </c>
    </row>
    <row r="3">
      <c r="A3" t="inlineStr">
        <is>
          <t>SUP-0001</t>
        </is>
      </c>
      <c r="B3" t="inlineStr">
        <is>
          <t>Professional Supplier 001</t>
        </is>
      </c>
      <c r="C3" t="inlineStr">
        <is>
          <t>Professional Services</t>
        </is>
      </c>
      <c r="D3" t="n">
        <v>2024</v>
      </c>
      <c r="E3" t="n">
        <v>2021</v>
      </c>
      <c r="F3" t="n">
        <v>2040</v>
      </c>
      <c r="G3" t="inlineStr"/>
      <c r="H3" t="n">
        <v>79.7811</v>
      </c>
      <c r="I3" t="n">
        <v>186.6403</v>
      </c>
      <c r="J3" t="n">
        <v>668.1231</v>
      </c>
      <c r="K3" t="n">
        <v>16663864.5</v>
      </c>
      <c r="L3" t="n">
        <v>33844140</v>
      </c>
      <c r="M3" t="n">
        <v>934.5445</v>
      </c>
      <c r="N3" t="inlineStr">
        <is>
          <t>Scope 1 + Scope 2 + Scope 3</t>
        </is>
      </c>
      <c r="O3" t="b">
        <v>1</v>
      </c>
      <c r="P3" t="inlineStr">
        <is>
          <t>High</t>
        </is>
      </c>
      <c r="Q3" t="inlineStr">
        <is>
          <t>Reported_Emissions</t>
        </is>
      </c>
      <c r="R3" t="inlineStr">
        <is>
          <t>Valid</t>
        </is>
      </c>
      <c r="S3" t="n">
        <v>2026</v>
      </c>
      <c r="T3" t="inlineStr">
        <is>
          <t>Supplier Target Pathway</t>
        </is>
      </c>
      <c r="U3" t="n">
        <v>1339.4925</v>
      </c>
      <c r="V3" t="n">
        <v>699.2151</v>
      </c>
      <c r="W3" t="n">
        <v>1170.9984</v>
      </c>
      <c r="X3" t="n">
        <v>1170.9984</v>
      </c>
      <c r="Y3" t="n">
        <v>168.4941</v>
      </c>
      <c r="Z3" t="n">
        <v>7.027e-05</v>
      </c>
      <c r="AA3" t="n">
        <v>0.125789</v>
      </c>
      <c r="AB3" t="n">
        <v>471.7834</v>
      </c>
      <c r="AC3" t="n">
        <v>33.6988</v>
      </c>
      <c r="AD3" t="n">
        <v>8811.7459</v>
      </c>
      <c r="AE3" t="n">
        <v>2375.6957</v>
      </c>
      <c r="AF3" t="n">
        <v>0.986</v>
      </c>
      <c r="AG3" t="inlineStr">
        <is>
          <t>Critical</t>
        </is>
      </c>
      <c r="AH3" t="inlineStr">
        <is>
          <t>On Track to Glide Path</t>
        </is>
      </c>
    </row>
    <row r="4">
      <c r="A4" t="inlineStr">
        <is>
          <t>SUP-0001</t>
        </is>
      </c>
      <c r="B4" t="inlineStr">
        <is>
          <t>Professional Supplier 001</t>
        </is>
      </c>
      <c r="C4" t="inlineStr">
        <is>
          <t>Professional Services</t>
        </is>
      </c>
      <c r="D4" t="n">
        <v>2024</v>
      </c>
      <c r="E4" t="n">
        <v>2021</v>
      </c>
      <c r="F4" t="n">
        <v>2040</v>
      </c>
      <c r="G4" t="inlineStr"/>
      <c r="H4" t="n">
        <v>79.7811</v>
      </c>
      <c r="I4" t="n">
        <v>186.6403</v>
      </c>
      <c r="J4" t="n">
        <v>668.1231</v>
      </c>
      <c r="K4" t="n">
        <v>16663864.5</v>
      </c>
      <c r="L4" t="n">
        <v>33844140</v>
      </c>
      <c r="M4" t="n">
        <v>934.5445</v>
      </c>
      <c r="N4" t="inlineStr">
        <is>
          <t>Scope 1 + Scope 2 + Scope 3</t>
        </is>
      </c>
      <c r="O4" t="b">
        <v>1</v>
      </c>
      <c r="P4" t="inlineStr">
        <is>
          <t>High</t>
        </is>
      </c>
      <c r="Q4" t="inlineStr">
        <is>
          <t>Reported_Emissions</t>
        </is>
      </c>
      <c r="R4" t="inlineStr">
        <is>
          <t>Valid</t>
        </is>
      </c>
      <c r="S4" t="n">
        <v>2027</v>
      </c>
      <c r="T4" t="inlineStr">
        <is>
          <t>Supplier Target Pathway</t>
        </is>
      </c>
      <c r="U4" t="n">
        <v>1339.4925</v>
      </c>
      <c r="V4" t="n">
        <v>699.2151</v>
      </c>
      <c r="W4" t="n">
        <v>1137.2996</v>
      </c>
      <c r="X4" t="n">
        <v>1137.2996</v>
      </c>
      <c r="Y4" t="n">
        <v>202.1929</v>
      </c>
      <c r="Z4" t="n">
        <v>6.825000000000001e-05</v>
      </c>
      <c r="AA4" t="n">
        <v>0.150947</v>
      </c>
      <c r="AB4" t="n">
        <v>438.0845</v>
      </c>
      <c r="AC4" t="n">
        <v>33.6988</v>
      </c>
      <c r="AD4" t="n">
        <v>7674.4463</v>
      </c>
      <c r="AE4" t="n">
        <v>3512.9953</v>
      </c>
      <c r="AF4" t="n">
        <v>0.986</v>
      </c>
      <c r="AG4" t="inlineStr">
        <is>
          <t>Critical</t>
        </is>
      </c>
      <c r="AH4" t="inlineStr">
        <is>
          <t>On Track to Glide Path</t>
        </is>
      </c>
    </row>
    <row r="5">
      <c r="A5" t="inlineStr">
        <is>
          <t>SUP-0001</t>
        </is>
      </c>
      <c r="B5" t="inlineStr">
        <is>
          <t>Professional Supplier 001</t>
        </is>
      </c>
      <c r="C5" t="inlineStr">
        <is>
          <t>Professional Services</t>
        </is>
      </c>
      <c r="D5" t="n">
        <v>2024</v>
      </c>
      <c r="E5" t="n">
        <v>2021</v>
      </c>
      <c r="F5" t="n">
        <v>2040</v>
      </c>
      <c r="G5" t="inlineStr"/>
      <c r="H5" t="n">
        <v>79.7811</v>
      </c>
      <c r="I5" t="n">
        <v>186.6403</v>
      </c>
      <c r="J5" t="n">
        <v>668.1231</v>
      </c>
      <c r="K5" t="n">
        <v>16663864.5</v>
      </c>
      <c r="L5" t="n">
        <v>33844140</v>
      </c>
      <c r="M5" t="n">
        <v>934.5445</v>
      </c>
      <c r="N5" t="inlineStr">
        <is>
          <t>Scope 1 + Scope 2 + Scope 3</t>
        </is>
      </c>
      <c r="O5" t="b">
        <v>1</v>
      </c>
      <c r="P5" t="inlineStr">
        <is>
          <t>High</t>
        </is>
      </c>
      <c r="Q5" t="inlineStr">
        <is>
          <t>Reported_Emissions</t>
        </is>
      </c>
      <c r="R5" t="inlineStr">
        <is>
          <t>Valid</t>
        </is>
      </c>
      <c r="S5" t="n">
        <v>2028</v>
      </c>
      <c r="T5" t="inlineStr">
        <is>
          <t>Supplier Target Pathway</t>
        </is>
      </c>
      <c r="U5" t="n">
        <v>1339.4925</v>
      </c>
      <c r="V5" t="n">
        <v>699.2151</v>
      </c>
      <c r="W5" t="n">
        <v>1103.6008</v>
      </c>
      <c r="X5" t="n">
        <v>1103.6008</v>
      </c>
      <c r="Y5" t="n">
        <v>235.8917</v>
      </c>
      <c r="Z5" t="n">
        <v>6.622999999999999e-05</v>
      </c>
      <c r="AA5" t="n">
        <v>0.176105</v>
      </c>
      <c r="AB5" t="n">
        <v>404.3857</v>
      </c>
      <c r="AC5" t="n">
        <v>33.6988</v>
      </c>
      <c r="AD5" t="n">
        <v>6570.8455</v>
      </c>
      <c r="AE5" t="n">
        <v>4616.5961</v>
      </c>
      <c r="AF5" t="n">
        <v>0.986</v>
      </c>
      <c r="AG5" t="inlineStr">
        <is>
          <t>Critical</t>
        </is>
      </c>
      <c r="AH5" t="inlineStr">
        <is>
          <t>On Track to Glide Path</t>
        </is>
      </c>
    </row>
    <row r="6">
      <c r="A6" t="inlineStr">
        <is>
          <t>SUP-0001</t>
        </is>
      </c>
      <c r="B6" t="inlineStr">
        <is>
          <t>Professional Supplier 001</t>
        </is>
      </c>
      <c r="C6" t="inlineStr">
        <is>
          <t>Professional Services</t>
        </is>
      </c>
      <c r="D6" t="n">
        <v>2024</v>
      </c>
      <c r="E6" t="n">
        <v>2021</v>
      </c>
      <c r="F6" t="n">
        <v>2040</v>
      </c>
      <c r="G6" t="inlineStr"/>
      <c r="H6" t="n">
        <v>79.7811</v>
      </c>
      <c r="I6" t="n">
        <v>186.6403</v>
      </c>
      <c r="J6" t="n">
        <v>668.1231</v>
      </c>
      <c r="K6" t="n">
        <v>16663864.5</v>
      </c>
      <c r="L6" t="n">
        <v>33844140</v>
      </c>
      <c r="M6" t="n">
        <v>934.5445</v>
      </c>
      <c r="N6" t="inlineStr">
        <is>
          <t>Scope 1 + Scope 2 + Scope 3</t>
        </is>
      </c>
      <c r="O6" t="b">
        <v>1</v>
      </c>
      <c r="P6" t="inlineStr">
        <is>
          <t>High</t>
        </is>
      </c>
      <c r="Q6" t="inlineStr">
        <is>
          <t>Reported_Emissions</t>
        </is>
      </c>
      <c r="R6" t="inlineStr">
        <is>
          <t>Valid</t>
        </is>
      </c>
      <c r="S6" t="n">
        <v>2029</v>
      </c>
      <c r="T6" t="inlineStr">
        <is>
          <t>Supplier Target Pathway</t>
        </is>
      </c>
      <c r="U6" t="n">
        <v>1339.4925</v>
      </c>
      <c r="V6" t="n">
        <v>699.2151</v>
      </c>
      <c r="W6" t="n">
        <v>1069.902</v>
      </c>
      <c r="X6" t="n">
        <v>1069.902</v>
      </c>
      <c r="Y6" t="n">
        <v>269.5905</v>
      </c>
      <c r="Z6" t="n">
        <v>6.42e-05</v>
      </c>
      <c r="AA6" t="n">
        <v>0.201263</v>
      </c>
      <c r="AB6" t="n">
        <v>370.6869</v>
      </c>
      <c r="AC6" t="n">
        <v>33.6988</v>
      </c>
      <c r="AD6" t="n">
        <v>5500.9435</v>
      </c>
      <c r="AE6" t="n">
        <v>5686.4981</v>
      </c>
      <c r="AF6" t="n">
        <v>0.986</v>
      </c>
      <c r="AG6" t="inlineStr">
        <is>
          <t>Critical</t>
        </is>
      </c>
      <c r="AH6" t="inlineStr">
        <is>
          <t>On Track to Glide Path</t>
        </is>
      </c>
    </row>
    <row r="7">
      <c r="A7" t="inlineStr">
        <is>
          <t>SUP-0001</t>
        </is>
      </c>
      <c r="B7" t="inlineStr">
        <is>
          <t>Professional Supplier 001</t>
        </is>
      </c>
      <c r="C7" t="inlineStr">
        <is>
          <t>Professional Services</t>
        </is>
      </c>
      <c r="D7" t="n">
        <v>2024</v>
      </c>
      <c r="E7" t="n">
        <v>2021</v>
      </c>
      <c r="F7" t="n">
        <v>2040</v>
      </c>
      <c r="G7" t="inlineStr"/>
      <c r="H7" t="n">
        <v>79.7811</v>
      </c>
      <c r="I7" t="n">
        <v>186.6403</v>
      </c>
      <c r="J7" t="n">
        <v>668.1231</v>
      </c>
      <c r="K7" t="n">
        <v>16663864.5</v>
      </c>
      <c r="L7" t="n">
        <v>33844140</v>
      </c>
      <c r="M7" t="n">
        <v>934.5445</v>
      </c>
      <c r="N7" t="inlineStr">
        <is>
          <t>Scope 1 + Scope 2 + Scope 3</t>
        </is>
      </c>
      <c r="O7" t="b">
        <v>1</v>
      </c>
      <c r="P7" t="inlineStr">
        <is>
          <t>High</t>
        </is>
      </c>
      <c r="Q7" t="inlineStr">
        <is>
          <t>Reported_Emissions</t>
        </is>
      </c>
      <c r="R7" t="inlineStr">
        <is>
          <t>Valid</t>
        </is>
      </c>
      <c r="S7" t="n">
        <v>2030</v>
      </c>
      <c r="T7" t="inlineStr">
        <is>
          <t>Supplier Target Pathway</t>
        </is>
      </c>
      <c r="U7" t="n">
        <v>1339.4925</v>
      </c>
      <c r="V7" t="n">
        <v>699.2151</v>
      </c>
      <c r="W7" t="n">
        <v>1036.2032</v>
      </c>
      <c r="X7" t="n">
        <v>1036.2032</v>
      </c>
      <c r="Y7" t="n">
        <v>303.2893</v>
      </c>
      <c r="Z7" t="n">
        <v>6.218e-05</v>
      </c>
      <c r="AA7" t="n">
        <v>0.226421</v>
      </c>
      <c r="AB7" t="n">
        <v>336.9881</v>
      </c>
      <c r="AC7" t="n">
        <v>33.6988</v>
      </c>
      <c r="AD7" t="n">
        <v>4464.7403</v>
      </c>
      <c r="AE7" t="n">
        <v>6722.7013</v>
      </c>
      <c r="AF7" t="n">
        <v>0.986</v>
      </c>
      <c r="AG7" t="inlineStr">
        <is>
          <t>Critical</t>
        </is>
      </c>
      <c r="AH7" t="inlineStr">
        <is>
          <t>On Track to Glide Path</t>
        </is>
      </c>
    </row>
    <row r="8">
      <c r="A8" t="inlineStr">
        <is>
          <t>SUP-0001</t>
        </is>
      </c>
      <c r="B8" t="inlineStr">
        <is>
          <t>Professional Supplier 001</t>
        </is>
      </c>
      <c r="C8" t="inlineStr">
        <is>
          <t>Professional Services</t>
        </is>
      </c>
      <c r="D8" t="n">
        <v>2024</v>
      </c>
      <c r="E8" t="n">
        <v>2021</v>
      </c>
      <c r="F8" t="n">
        <v>2040</v>
      </c>
      <c r="G8" t="inlineStr"/>
      <c r="H8" t="n">
        <v>79.7811</v>
      </c>
      <c r="I8" t="n">
        <v>186.6403</v>
      </c>
      <c r="J8" t="n">
        <v>668.1231</v>
      </c>
      <c r="K8" t="n">
        <v>16663864.5</v>
      </c>
      <c r="L8" t="n">
        <v>33844140</v>
      </c>
      <c r="M8" t="n">
        <v>934.5445</v>
      </c>
      <c r="N8" t="inlineStr">
        <is>
          <t>Scope 1 + Scope 2 + Scope 3</t>
        </is>
      </c>
      <c r="O8" t="b">
        <v>1</v>
      </c>
      <c r="P8" t="inlineStr">
        <is>
          <t>High</t>
        </is>
      </c>
      <c r="Q8" t="inlineStr">
        <is>
          <t>Reported_Emissions</t>
        </is>
      </c>
      <c r="R8" t="inlineStr">
        <is>
          <t>Valid</t>
        </is>
      </c>
      <c r="S8" t="n">
        <v>2031</v>
      </c>
      <c r="T8" t="inlineStr">
        <is>
          <t>Supplier Target Pathway</t>
        </is>
      </c>
      <c r="U8" t="n">
        <v>1339.4925</v>
      </c>
      <c r="V8" t="n">
        <v>699.2151</v>
      </c>
      <c r="W8" t="n">
        <v>1002.5044</v>
      </c>
      <c r="X8" t="n">
        <v>1002.5044</v>
      </c>
      <c r="Y8" t="n">
        <v>336.9881</v>
      </c>
      <c r="Z8" t="n">
        <v>6.016e-05</v>
      </c>
      <c r="AA8" t="n">
        <v>0.251579</v>
      </c>
      <c r="AB8" t="n">
        <v>303.2893</v>
      </c>
      <c r="AC8" t="n">
        <v>33.6988</v>
      </c>
      <c r="AD8" t="n">
        <v>3462.2359</v>
      </c>
      <c r="AE8" t="n">
        <v>7725.2057</v>
      </c>
      <c r="AF8" t="n">
        <v>0.986</v>
      </c>
      <c r="AG8" t="inlineStr">
        <is>
          <t>Critical</t>
        </is>
      </c>
      <c r="AH8" t="inlineStr">
        <is>
          <t>On Track to Glide Path</t>
        </is>
      </c>
    </row>
    <row r="9">
      <c r="A9" t="inlineStr">
        <is>
          <t>SUP-0001</t>
        </is>
      </c>
      <c r="B9" t="inlineStr">
        <is>
          <t>Professional Supplier 001</t>
        </is>
      </c>
      <c r="C9" t="inlineStr">
        <is>
          <t>Professional Services</t>
        </is>
      </c>
      <c r="D9" t="n">
        <v>2024</v>
      </c>
      <c r="E9" t="n">
        <v>2021</v>
      </c>
      <c r="F9" t="n">
        <v>2040</v>
      </c>
      <c r="G9" t="inlineStr"/>
      <c r="H9" t="n">
        <v>79.7811</v>
      </c>
      <c r="I9" t="n">
        <v>186.6403</v>
      </c>
      <c r="J9" t="n">
        <v>668.1231</v>
      </c>
      <c r="K9" t="n">
        <v>16663864.5</v>
      </c>
      <c r="L9" t="n">
        <v>33844140</v>
      </c>
      <c r="M9" t="n">
        <v>934.5445</v>
      </c>
      <c r="N9" t="inlineStr">
        <is>
          <t>Scope 1 + Scope 2 + Scope 3</t>
        </is>
      </c>
      <c r="O9" t="b">
        <v>1</v>
      </c>
      <c r="P9" t="inlineStr">
        <is>
          <t>High</t>
        </is>
      </c>
      <c r="Q9" t="inlineStr">
        <is>
          <t>Reported_Emissions</t>
        </is>
      </c>
      <c r="R9" t="inlineStr">
        <is>
          <t>Valid</t>
        </is>
      </c>
      <c r="S9" t="n">
        <v>2032</v>
      </c>
      <c r="T9" t="inlineStr">
        <is>
          <t>Supplier Target Pathway</t>
        </is>
      </c>
      <c r="U9" t="n">
        <v>1339.4925</v>
      </c>
      <c r="V9" t="n">
        <v>699.2151</v>
      </c>
      <c r="W9" t="n">
        <v>968.8056</v>
      </c>
      <c r="X9" t="n">
        <v>968.8056</v>
      </c>
      <c r="Y9" t="n">
        <v>370.6869</v>
      </c>
      <c r="Z9" t="n">
        <v>5.814e-05</v>
      </c>
      <c r="AA9" t="n">
        <v>0.276737</v>
      </c>
      <c r="AB9" t="n">
        <v>269.5905</v>
      </c>
      <c r="AC9" t="n">
        <v>33.6988</v>
      </c>
      <c r="AD9" t="n">
        <v>2493.4303</v>
      </c>
      <c r="AE9" t="n">
        <v>8694.0113</v>
      </c>
      <c r="AF9" t="n">
        <v>0.986</v>
      </c>
      <c r="AG9" t="inlineStr">
        <is>
          <t>Critical</t>
        </is>
      </c>
      <c r="AH9" t="inlineStr">
        <is>
          <t>On Track to Glide Path</t>
        </is>
      </c>
    </row>
    <row r="10">
      <c r="A10" t="inlineStr">
        <is>
          <t>SUP-0001</t>
        </is>
      </c>
      <c r="B10" t="inlineStr">
        <is>
          <t>Professional Supplier 001</t>
        </is>
      </c>
      <c r="C10" t="inlineStr">
        <is>
          <t>Professional Services</t>
        </is>
      </c>
      <c r="D10" t="n">
        <v>2024</v>
      </c>
      <c r="E10" t="n">
        <v>2021</v>
      </c>
      <c r="F10" t="n">
        <v>2040</v>
      </c>
      <c r="G10" t="inlineStr"/>
      <c r="H10" t="n">
        <v>79.7811</v>
      </c>
      <c r="I10" t="n">
        <v>186.6403</v>
      </c>
      <c r="J10" t="n">
        <v>668.1231</v>
      </c>
      <c r="K10" t="n">
        <v>16663864.5</v>
      </c>
      <c r="L10" t="n">
        <v>33844140</v>
      </c>
      <c r="M10" t="n">
        <v>934.5445</v>
      </c>
      <c r="N10" t="inlineStr">
        <is>
          <t>Scope 1 + Scope 2 + Scope 3</t>
        </is>
      </c>
      <c r="O10" t="b">
        <v>1</v>
      </c>
      <c r="P10" t="inlineStr">
        <is>
          <t>High</t>
        </is>
      </c>
      <c r="Q10" t="inlineStr">
        <is>
          <t>Reported_Emissions</t>
        </is>
      </c>
      <c r="R10" t="inlineStr">
        <is>
          <t>Valid</t>
        </is>
      </c>
      <c r="S10" t="n">
        <v>2033</v>
      </c>
      <c r="T10" t="inlineStr">
        <is>
          <t>Supplier Target Pathway</t>
        </is>
      </c>
      <c r="U10" t="n">
        <v>1339.4925</v>
      </c>
      <c r="V10" t="n">
        <v>699.2151</v>
      </c>
      <c r="W10" t="n">
        <v>935.1068</v>
      </c>
      <c r="X10" t="n">
        <v>935.1068</v>
      </c>
      <c r="Y10" t="n">
        <v>404.3857</v>
      </c>
      <c r="Z10" t="n">
        <v>5.612e-05</v>
      </c>
      <c r="AA10" t="n">
        <v>0.301895</v>
      </c>
      <c r="AB10" t="n">
        <v>235.8917</v>
      </c>
      <c r="AC10" t="n">
        <v>33.6988</v>
      </c>
      <c r="AD10" t="n">
        <v>1558.3235</v>
      </c>
      <c r="AE10" t="n">
        <v>9629.1181</v>
      </c>
      <c r="AF10" t="n">
        <v>0.986</v>
      </c>
      <c r="AG10" t="inlineStr">
        <is>
          <t>High</t>
        </is>
      </c>
      <c r="AH10" t="inlineStr">
        <is>
          <t>On Track to Glide Path</t>
        </is>
      </c>
    </row>
    <row r="11">
      <c r="A11" t="inlineStr">
        <is>
          <t>SUP-0001</t>
        </is>
      </c>
      <c r="B11" t="inlineStr">
        <is>
          <t>Professional Supplier 001</t>
        </is>
      </c>
      <c r="C11" t="inlineStr">
        <is>
          <t>Professional Services</t>
        </is>
      </c>
      <c r="D11" t="n">
        <v>2024</v>
      </c>
      <c r="E11" t="n">
        <v>2021</v>
      </c>
      <c r="F11" t="n">
        <v>2040</v>
      </c>
      <c r="G11" t="inlineStr"/>
      <c r="H11" t="n">
        <v>79.7811</v>
      </c>
      <c r="I11" t="n">
        <v>186.6403</v>
      </c>
      <c r="J11" t="n">
        <v>668.1231</v>
      </c>
      <c r="K11" t="n">
        <v>16663864.5</v>
      </c>
      <c r="L11" t="n">
        <v>33844140</v>
      </c>
      <c r="M11" t="n">
        <v>934.5445</v>
      </c>
      <c r="N11" t="inlineStr">
        <is>
          <t>Scope 1 + Scope 2 + Scope 3</t>
        </is>
      </c>
      <c r="O11" t="b">
        <v>1</v>
      </c>
      <c r="P11" t="inlineStr">
        <is>
          <t>High</t>
        </is>
      </c>
      <c r="Q11" t="inlineStr">
        <is>
          <t>Reported_Emissions</t>
        </is>
      </c>
      <c r="R11" t="inlineStr">
        <is>
          <t>Valid</t>
        </is>
      </c>
      <c r="S11" t="n">
        <v>2034</v>
      </c>
      <c r="T11" t="inlineStr">
        <is>
          <t>Supplier Target Pathway</t>
        </is>
      </c>
      <c r="U11" t="n">
        <v>1339.4925</v>
      </c>
      <c r="V11" t="n">
        <v>699.2151</v>
      </c>
      <c r="W11" t="n">
        <v>901.408</v>
      </c>
      <c r="X11" t="n">
        <v>901.408</v>
      </c>
      <c r="Y11" t="n">
        <v>438.0845</v>
      </c>
      <c r="Z11" t="n">
        <v>5.409e-05</v>
      </c>
      <c r="AA11" t="n">
        <v>0.327053</v>
      </c>
      <c r="AB11" t="n">
        <v>202.1929</v>
      </c>
      <c r="AC11" t="n">
        <v>33.6988</v>
      </c>
      <c r="AD11" t="n">
        <v>656.9155</v>
      </c>
      <c r="AE11" t="n">
        <v>10530.5261</v>
      </c>
      <c r="AF11" t="n">
        <v>0.986</v>
      </c>
      <c r="AG11" t="inlineStr">
        <is>
          <t>High</t>
        </is>
      </c>
      <c r="AH11" t="inlineStr">
        <is>
          <t>On Track to Glide Path</t>
        </is>
      </c>
    </row>
    <row r="12">
      <c r="A12" t="inlineStr">
        <is>
          <t>SUP-0001</t>
        </is>
      </c>
      <c r="B12" t="inlineStr">
        <is>
          <t>Professional Supplier 001</t>
        </is>
      </c>
      <c r="C12" t="inlineStr">
        <is>
          <t>Professional Services</t>
        </is>
      </c>
      <c r="D12" t="n">
        <v>2024</v>
      </c>
      <c r="E12" t="n">
        <v>2021</v>
      </c>
      <c r="F12" t="n">
        <v>2040</v>
      </c>
      <c r="G12" t="inlineStr"/>
      <c r="H12" t="n">
        <v>79.7811</v>
      </c>
      <c r="I12" t="n">
        <v>186.6403</v>
      </c>
      <c r="J12" t="n">
        <v>668.1231</v>
      </c>
      <c r="K12" t="n">
        <v>16663864.5</v>
      </c>
      <c r="L12" t="n">
        <v>33844140</v>
      </c>
      <c r="M12" t="n">
        <v>934.5445</v>
      </c>
      <c r="N12" t="inlineStr">
        <is>
          <t>Scope 1 + Scope 2 + Scope 3</t>
        </is>
      </c>
      <c r="O12" t="b">
        <v>1</v>
      </c>
      <c r="P12" t="inlineStr">
        <is>
          <t>High</t>
        </is>
      </c>
      <c r="Q12" t="inlineStr">
        <is>
          <t>Reported_Emissions</t>
        </is>
      </c>
      <c r="R12" t="inlineStr">
        <is>
          <t>Valid</t>
        </is>
      </c>
      <c r="S12" t="n">
        <v>2035</v>
      </c>
      <c r="T12" t="inlineStr">
        <is>
          <t>Supplier Target Pathway</t>
        </is>
      </c>
      <c r="U12" t="n">
        <v>1339.4925</v>
      </c>
      <c r="V12" t="n">
        <v>699.2151</v>
      </c>
      <c r="W12" t="n">
        <v>867.7091</v>
      </c>
      <c r="X12" t="n">
        <v>867.7091</v>
      </c>
      <c r="Y12" t="n">
        <v>471.7834</v>
      </c>
      <c r="Z12" t="n">
        <v>5.207e-05</v>
      </c>
      <c r="AA12" t="n">
        <v>0.352211</v>
      </c>
      <c r="AB12" t="n">
        <v>168.4941</v>
      </c>
      <c r="AC12" t="n">
        <v>33.6988</v>
      </c>
      <c r="AD12" t="n">
        <v>-210.7936</v>
      </c>
      <c r="AE12" t="n">
        <v>11398.2352</v>
      </c>
      <c r="AF12" t="n">
        <v>0.986</v>
      </c>
      <c r="AG12" t="inlineStr">
        <is>
          <t>High</t>
        </is>
      </c>
      <c r="AH12" t="inlineStr">
        <is>
          <t>On Track to Glide Path</t>
        </is>
      </c>
    </row>
    <row r="13">
      <c r="A13" t="inlineStr">
        <is>
          <t>SUP-0001</t>
        </is>
      </c>
      <c r="B13" t="inlineStr">
        <is>
          <t>Professional Supplier 001</t>
        </is>
      </c>
      <c r="C13" t="inlineStr">
        <is>
          <t>Professional Services</t>
        </is>
      </c>
      <c r="D13" t="n">
        <v>2024</v>
      </c>
      <c r="E13" t="n">
        <v>2021</v>
      </c>
      <c r="F13" t="n">
        <v>2040</v>
      </c>
      <c r="G13" t="inlineStr"/>
      <c r="H13" t="n">
        <v>79.7811</v>
      </c>
      <c r="I13" t="n">
        <v>186.6403</v>
      </c>
      <c r="J13" t="n">
        <v>668.1231</v>
      </c>
      <c r="K13" t="n">
        <v>16663864.5</v>
      </c>
      <c r="L13" t="n">
        <v>33844140</v>
      </c>
      <c r="M13" t="n">
        <v>934.5445</v>
      </c>
      <c r="N13" t="inlineStr">
        <is>
          <t>Scope 1 + Scope 2 + Scope 3</t>
        </is>
      </c>
      <c r="O13" t="b">
        <v>1</v>
      </c>
      <c r="P13" t="inlineStr">
        <is>
          <t>High</t>
        </is>
      </c>
      <c r="Q13" t="inlineStr">
        <is>
          <t>Reported_Emissions</t>
        </is>
      </c>
      <c r="R13" t="inlineStr">
        <is>
          <t>Valid</t>
        </is>
      </c>
      <c r="S13" t="n">
        <v>2036</v>
      </c>
      <c r="T13" t="inlineStr">
        <is>
          <t>Supplier Target Pathway</t>
        </is>
      </c>
      <c r="U13" t="n">
        <v>1339.4925</v>
      </c>
      <c r="V13" t="n">
        <v>699.2151</v>
      </c>
      <c r="W13" t="n">
        <v>834.0103</v>
      </c>
      <c r="X13" t="n">
        <v>834.0103</v>
      </c>
      <c r="Y13" t="n">
        <v>505.4822</v>
      </c>
      <c r="Z13" t="n">
        <v>5.005e-05</v>
      </c>
      <c r="AA13" t="n">
        <v>0.377368</v>
      </c>
      <c r="AB13" t="n">
        <v>134.7952</v>
      </c>
      <c r="AC13" t="n">
        <v>33.6988</v>
      </c>
      <c r="AD13" t="n">
        <v>-1044.8039</v>
      </c>
      <c r="AE13" t="n">
        <v>12232.2455</v>
      </c>
      <c r="AF13" t="n">
        <v>0.986</v>
      </c>
      <c r="AG13" t="inlineStr">
        <is>
          <t>High</t>
        </is>
      </c>
      <c r="AH13" t="inlineStr">
        <is>
          <t>On Track to Glide Path</t>
        </is>
      </c>
    </row>
    <row r="14">
      <c r="A14" t="inlineStr">
        <is>
          <t>SUP-0001</t>
        </is>
      </c>
      <c r="B14" t="inlineStr">
        <is>
          <t>Professional Supplier 001</t>
        </is>
      </c>
      <c r="C14" t="inlineStr">
        <is>
          <t>Professional Services</t>
        </is>
      </c>
      <c r="D14" t="n">
        <v>2024</v>
      </c>
      <c r="E14" t="n">
        <v>2021</v>
      </c>
      <c r="F14" t="n">
        <v>2040</v>
      </c>
      <c r="G14" t="inlineStr"/>
      <c r="H14" t="n">
        <v>79.7811</v>
      </c>
      <c r="I14" t="n">
        <v>186.6403</v>
      </c>
      <c r="J14" t="n">
        <v>668.1231</v>
      </c>
      <c r="K14" t="n">
        <v>16663864.5</v>
      </c>
      <c r="L14" t="n">
        <v>33844140</v>
      </c>
      <c r="M14" t="n">
        <v>934.5445</v>
      </c>
      <c r="N14" t="inlineStr">
        <is>
          <t>Scope 1 + Scope 2 + Scope 3</t>
        </is>
      </c>
      <c r="O14" t="b">
        <v>1</v>
      </c>
      <c r="P14" t="inlineStr">
        <is>
          <t>High</t>
        </is>
      </c>
      <c r="Q14" t="inlineStr">
        <is>
          <t>Reported_Emissions</t>
        </is>
      </c>
      <c r="R14" t="inlineStr">
        <is>
          <t>Valid</t>
        </is>
      </c>
      <c r="S14" t="n">
        <v>2037</v>
      </c>
      <c r="T14" t="inlineStr">
        <is>
          <t>Supplier Target Pathway</t>
        </is>
      </c>
      <c r="U14" t="n">
        <v>1339.4925</v>
      </c>
      <c r="V14" t="n">
        <v>699.2151</v>
      </c>
      <c r="W14" t="n">
        <v>800.3115</v>
      </c>
      <c r="X14" t="n">
        <v>800.3115</v>
      </c>
      <c r="Y14" t="n">
        <v>539.181</v>
      </c>
      <c r="Z14" t="n">
        <v>4.803e-05</v>
      </c>
      <c r="AA14" t="n">
        <v>0.402526</v>
      </c>
      <c r="AB14" t="n">
        <v>101.0964</v>
      </c>
      <c r="AC14" t="n">
        <v>33.6988</v>
      </c>
      <c r="AD14" t="n">
        <v>-1845.1154</v>
      </c>
      <c r="AE14" t="n">
        <v>13032.557</v>
      </c>
      <c r="AF14" t="n">
        <v>0.986</v>
      </c>
      <c r="AG14" t="inlineStr">
        <is>
          <t>Medium</t>
        </is>
      </c>
      <c r="AH14" t="inlineStr">
        <is>
          <t>On Track to Glide Path</t>
        </is>
      </c>
    </row>
    <row r="15">
      <c r="A15" t="inlineStr">
        <is>
          <t>SUP-0001</t>
        </is>
      </c>
      <c r="B15" t="inlineStr">
        <is>
          <t>Professional Supplier 001</t>
        </is>
      </c>
      <c r="C15" t="inlineStr">
        <is>
          <t>Professional Services</t>
        </is>
      </c>
      <c r="D15" t="n">
        <v>2024</v>
      </c>
      <c r="E15" t="n">
        <v>2021</v>
      </c>
      <c r="F15" t="n">
        <v>2040</v>
      </c>
      <c r="G15" t="inlineStr"/>
      <c r="H15" t="n">
        <v>79.7811</v>
      </c>
      <c r="I15" t="n">
        <v>186.6403</v>
      </c>
      <c r="J15" t="n">
        <v>668.1231</v>
      </c>
      <c r="K15" t="n">
        <v>16663864.5</v>
      </c>
      <c r="L15" t="n">
        <v>33844140</v>
      </c>
      <c r="M15" t="n">
        <v>934.5445</v>
      </c>
      <c r="N15" t="inlineStr">
        <is>
          <t>Scope 1 + Scope 2 + Scope 3</t>
        </is>
      </c>
      <c r="O15" t="b">
        <v>1</v>
      </c>
      <c r="P15" t="inlineStr">
        <is>
          <t>High</t>
        </is>
      </c>
      <c r="Q15" t="inlineStr">
        <is>
          <t>Reported_Emissions</t>
        </is>
      </c>
      <c r="R15" t="inlineStr">
        <is>
          <t>Valid</t>
        </is>
      </c>
      <c r="S15" t="n">
        <v>2038</v>
      </c>
      <c r="T15" t="inlineStr">
        <is>
          <t>Supplier Target Pathway</t>
        </is>
      </c>
      <c r="U15" t="n">
        <v>1339.4925</v>
      </c>
      <c r="V15" t="n">
        <v>699.2151</v>
      </c>
      <c r="W15" t="n">
        <v>766.6127</v>
      </c>
      <c r="X15" t="n">
        <v>766.6127</v>
      </c>
      <c r="Y15" t="n">
        <v>572.8798</v>
      </c>
      <c r="Z15" t="n">
        <v>4.6e-05</v>
      </c>
      <c r="AA15" t="n">
        <v>0.427684</v>
      </c>
      <c r="AB15" t="n">
        <v>67.3976</v>
      </c>
      <c r="AC15" t="n">
        <v>33.6988</v>
      </c>
      <c r="AD15" t="n">
        <v>-2611.7281</v>
      </c>
      <c r="AE15" t="n">
        <v>13799.1697</v>
      </c>
      <c r="AF15" t="n">
        <v>0.986</v>
      </c>
      <c r="AG15" t="inlineStr">
        <is>
          <t>Medium</t>
        </is>
      </c>
      <c r="AH15" t="inlineStr">
        <is>
          <t>On Track to Glide Path</t>
        </is>
      </c>
    </row>
    <row r="16">
      <c r="A16" t="inlineStr">
        <is>
          <t>SUP-0001</t>
        </is>
      </c>
      <c r="B16" t="inlineStr">
        <is>
          <t>Professional Supplier 001</t>
        </is>
      </c>
      <c r="C16" t="inlineStr">
        <is>
          <t>Professional Services</t>
        </is>
      </c>
      <c r="D16" t="n">
        <v>2024</v>
      </c>
      <c r="E16" t="n">
        <v>2021</v>
      </c>
      <c r="F16" t="n">
        <v>2040</v>
      </c>
      <c r="G16" t="inlineStr"/>
      <c r="H16" t="n">
        <v>79.7811</v>
      </c>
      <c r="I16" t="n">
        <v>186.6403</v>
      </c>
      <c r="J16" t="n">
        <v>668.1231</v>
      </c>
      <c r="K16" t="n">
        <v>16663864.5</v>
      </c>
      <c r="L16" t="n">
        <v>33844140</v>
      </c>
      <c r="M16" t="n">
        <v>934.5445</v>
      </c>
      <c r="N16" t="inlineStr">
        <is>
          <t>Scope 1 + Scope 2 + Scope 3</t>
        </is>
      </c>
      <c r="O16" t="b">
        <v>1</v>
      </c>
      <c r="P16" t="inlineStr">
        <is>
          <t>High</t>
        </is>
      </c>
      <c r="Q16" t="inlineStr">
        <is>
          <t>Reported_Emissions</t>
        </is>
      </c>
      <c r="R16" t="inlineStr">
        <is>
          <t>Valid</t>
        </is>
      </c>
      <c r="S16" t="n">
        <v>2039</v>
      </c>
      <c r="T16" t="inlineStr">
        <is>
          <t>Supplier Target Pathway</t>
        </is>
      </c>
      <c r="U16" t="n">
        <v>1339.4925</v>
      </c>
      <c r="V16" t="n">
        <v>699.2151</v>
      </c>
      <c r="W16" t="n">
        <v>732.9139</v>
      </c>
      <c r="X16" t="n">
        <v>732.9139</v>
      </c>
      <c r="Y16" t="n">
        <v>606.5786000000001</v>
      </c>
      <c r="Z16" t="n">
        <v>4.398e-05</v>
      </c>
      <c r="AA16" t="n">
        <v>0.452842</v>
      </c>
      <c r="AB16" t="n">
        <v>33.6988</v>
      </c>
      <c r="AC16" t="n">
        <v>33.6988</v>
      </c>
      <c r="AD16" t="n">
        <v>-3344.642</v>
      </c>
      <c r="AE16" t="n">
        <v>14532.0836</v>
      </c>
      <c r="AF16" t="n">
        <v>0.986</v>
      </c>
      <c r="AG16" t="inlineStr">
        <is>
          <t>Medium</t>
        </is>
      </c>
      <c r="AH16" t="inlineStr">
        <is>
          <t>On Track to Glide Path</t>
        </is>
      </c>
    </row>
    <row r="17">
      <c r="A17" t="inlineStr">
        <is>
          <t>SUP-0001</t>
        </is>
      </c>
      <c r="B17" t="inlineStr">
        <is>
          <t>Professional Supplier 001</t>
        </is>
      </c>
      <c r="C17" t="inlineStr">
        <is>
          <t>Professional Services</t>
        </is>
      </c>
      <c r="D17" t="n">
        <v>2024</v>
      </c>
      <c r="E17" t="n">
        <v>2021</v>
      </c>
      <c r="F17" t="n">
        <v>2040</v>
      </c>
      <c r="G17" t="inlineStr"/>
      <c r="H17" t="n">
        <v>79.7811</v>
      </c>
      <c r="I17" t="n">
        <v>186.6403</v>
      </c>
      <c r="J17" t="n">
        <v>668.1231</v>
      </c>
      <c r="K17" t="n">
        <v>16663864.5</v>
      </c>
      <c r="L17" t="n">
        <v>33844140</v>
      </c>
      <c r="M17" t="n">
        <v>934.5445</v>
      </c>
      <c r="N17" t="inlineStr">
        <is>
          <t>Scope 1 + Scope 2 + Scope 3</t>
        </is>
      </c>
      <c r="O17" t="b">
        <v>1</v>
      </c>
      <c r="P17" t="inlineStr">
        <is>
          <t>High</t>
        </is>
      </c>
      <c r="Q17" t="inlineStr">
        <is>
          <t>Reported_Emissions</t>
        </is>
      </c>
      <c r="R17" t="inlineStr">
        <is>
          <t>Valid</t>
        </is>
      </c>
      <c r="S17" t="n">
        <v>2040</v>
      </c>
      <c r="T17" t="inlineStr">
        <is>
          <t>Supplier Target Pathway</t>
        </is>
      </c>
      <c r="U17" t="n">
        <v>1339.4925</v>
      </c>
      <c r="V17" t="n">
        <v>699.2151</v>
      </c>
      <c r="W17" t="n">
        <v>699.2151</v>
      </c>
      <c r="X17" t="n">
        <v>699.2151</v>
      </c>
      <c r="Y17" t="n">
        <v>640.2773999999999</v>
      </c>
      <c r="Z17" t="n">
        <v>4.196e-05</v>
      </c>
      <c r="AA17" t="n">
        <v>0.478</v>
      </c>
      <c r="AB17" t="n">
        <v>0</v>
      </c>
      <c r="AC17" t="n">
        <v>33.6988</v>
      </c>
      <c r="AD17" t="n">
        <v>-4043.8571</v>
      </c>
      <c r="AE17" t="n">
        <v>15231.2987</v>
      </c>
      <c r="AF17" t="n">
        <v>0.986</v>
      </c>
      <c r="AG17" t="inlineStr">
        <is>
          <t>Low</t>
        </is>
      </c>
      <c r="AH17" t="inlineStr">
        <is>
          <t>On Track</t>
        </is>
      </c>
    </row>
    <row r="18">
      <c r="A18" t="inlineStr">
        <is>
          <t>SUP-0002</t>
        </is>
      </c>
      <c r="B18" t="inlineStr">
        <is>
          <t>Textiles Supplier 002</t>
        </is>
      </c>
      <c r="C18" t="inlineStr">
        <is>
          <t>Textiles</t>
        </is>
      </c>
      <c r="D18" t="n">
        <v>2024</v>
      </c>
      <c r="E18" t="n">
        <v>2021</v>
      </c>
      <c r="F18" t="n">
        <v>2040</v>
      </c>
      <c r="G18" t="inlineStr"/>
      <c r="H18" t="n">
        <v>959.4414</v>
      </c>
      <c r="I18" t="n">
        <v>990.8535000000001</v>
      </c>
      <c r="J18" t="n">
        <v>7995.6351</v>
      </c>
      <c r="K18" t="n">
        <v>28033642.13</v>
      </c>
      <c r="L18" t="n">
        <v>159297478.5</v>
      </c>
      <c r="M18" t="n">
        <v>9945.93</v>
      </c>
      <c r="N18" t="inlineStr">
        <is>
          <t>Scope 1 + Scope 2 + Scope 3</t>
        </is>
      </c>
      <c r="O18" t="b">
        <v>1</v>
      </c>
      <c r="P18" t="inlineStr">
        <is>
          <t>High</t>
        </is>
      </c>
      <c r="Q18" t="inlineStr">
        <is>
          <t>Reported_Emissions</t>
        </is>
      </c>
      <c r="R18" t="inlineStr">
        <is>
          <t>Valid</t>
        </is>
      </c>
      <c r="S18" t="n">
        <v>2025</v>
      </c>
      <c r="T18" t="inlineStr">
        <is>
          <t>Supplier Target Pathway</t>
        </is>
      </c>
      <c r="U18" t="n">
        <v>7477.5105</v>
      </c>
      <c r="V18" t="n">
        <v>5111.6262</v>
      </c>
      <c r="W18" t="n">
        <v>6979.4296</v>
      </c>
      <c r="X18" t="n">
        <v>6979.4296</v>
      </c>
      <c r="Y18" t="n">
        <v>498.0809</v>
      </c>
      <c r="Z18" t="n">
        <v>0.00024897</v>
      </c>
      <c r="AA18" t="n">
        <v>0.066611</v>
      </c>
      <c r="AB18" t="n">
        <v>1867.8034</v>
      </c>
      <c r="AC18" t="n">
        <v>124.5202</v>
      </c>
      <c r="AD18" t="n">
        <v>74806.58960000001</v>
      </c>
      <c r="AE18" t="n">
        <v>6979.4296</v>
      </c>
      <c r="AF18" t="n">
        <v>0.99</v>
      </c>
      <c r="AG18" t="inlineStr">
        <is>
          <t>Critical</t>
        </is>
      </c>
      <c r="AH18" t="inlineStr">
        <is>
          <t>On Track to Glide Path</t>
        </is>
      </c>
    </row>
    <row r="19">
      <c r="A19" t="inlineStr">
        <is>
          <t>SUP-0002</t>
        </is>
      </c>
      <c r="B19" t="inlineStr">
        <is>
          <t>Textiles Supplier 002</t>
        </is>
      </c>
      <c r="C19" t="inlineStr">
        <is>
          <t>Textiles</t>
        </is>
      </c>
      <c r="D19" t="n">
        <v>2024</v>
      </c>
      <c r="E19" t="n">
        <v>2021</v>
      </c>
      <c r="F19" t="n">
        <v>2040</v>
      </c>
      <c r="G19" t="inlineStr"/>
      <c r="H19" t="n">
        <v>959.4414</v>
      </c>
      <c r="I19" t="n">
        <v>990.8535000000001</v>
      </c>
      <c r="J19" t="n">
        <v>7995.6351</v>
      </c>
      <c r="K19" t="n">
        <v>28033642.13</v>
      </c>
      <c r="L19" t="n">
        <v>159297478.5</v>
      </c>
      <c r="M19" t="n">
        <v>9945.93</v>
      </c>
      <c r="N19" t="inlineStr">
        <is>
          <t>Scope 1 + Scope 2 + Scope 3</t>
        </is>
      </c>
      <c r="O19" t="b">
        <v>1</v>
      </c>
      <c r="P19" t="inlineStr">
        <is>
          <t>High</t>
        </is>
      </c>
      <c r="Q19" t="inlineStr">
        <is>
          <t>Reported_Emissions</t>
        </is>
      </c>
      <c r="R19" t="inlineStr">
        <is>
          <t>Valid</t>
        </is>
      </c>
      <c r="S19" t="n">
        <v>2026</v>
      </c>
      <c r="T19" t="inlineStr">
        <is>
          <t>Supplier Target Pathway</t>
        </is>
      </c>
      <c r="U19" t="n">
        <v>7477.5105</v>
      </c>
      <c r="V19" t="n">
        <v>5111.6262</v>
      </c>
      <c r="W19" t="n">
        <v>6854.9094</v>
      </c>
      <c r="X19" t="n">
        <v>6854.9094</v>
      </c>
      <c r="Y19" t="n">
        <v>622.6011</v>
      </c>
      <c r="Z19" t="n">
        <v>0.00024452</v>
      </c>
      <c r="AA19" t="n">
        <v>0.083263</v>
      </c>
      <c r="AB19" t="n">
        <v>1743.2832</v>
      </c>
      <c r="AC19" t="n">
        <v>124.5202</v>
      </c>
      <c r="AD19" t="n">
        <v>67951.6802</v>
      </c>
      <c r="AE19" t="n">
        <v>13834.339</v>
      </c>
      <c r="AF19" t="n">
        <v>0.99</v>
      </c>
      <c r="AG19" t="inlineStr">
        <is>
          <t>High</t>
        </is>
      </c>
      <c r="AH19" t="inlineStr">
        <is>
          <t>On Track to Glide Path</t>
        </is>
      </c>
    </row>
    <row r="20">
      <c r="A20" t="inlineStr">
        <is>
          <t>SUP-0002</t>
        </is>
      </c>
      <c r="B20" t="inlineStr">
        <is>
          <t>Textiles Supplier 002</t>
        </is>
      </c>
      <c r="C20" t="inlineStr">
        <is>
          <t>Textiles</t>
        </is>
      </c>
      <c r="D20" t="n">
        <v>2024</v>
      </c>
      <c r="E20" t="n">
        <v>2021</v>
      </c>
      <c r="F20" t="n">
        <v>2040</v>
      </c>
      <c r="G20" t="inlineStr"/>
      <c r="H20" t="n">
        <v>959.4414</v>
      </c>
      <c r="I20" t="n">
        <v>990.8535000000001</v>
      </c>
      <c r="J20" t="n">
        <v>7995.6351</v>
      </c>
      <c r="K20" t="n">
        <v>28033642.13</v>
      </c>
      <c r="L20" t="n">
        <v>159297478.5</v>
      </c>
      <c r="M20" t="n">
        <v>9945.93</v>
      </c>
      <c r="N20" t="inlineStr">
        <is>
          <t>Scope 1 + Scope 2 + Scope 3</t>
        </is>
      </c>
      <c r="O20" t="b">
        <v>1</v>
      </c>
      <c r="P20" t="inlineStr">
        <is>
          <t>High</t>
        </is>
      </c>
      <c r="Q20" t="inlineStr">
        <is>
          <t>Reported_Emissions</t>
        </is>
      </c>
      <c r="R20" t="inlineStr">
        <is>
          <t>Valid</t>
        </is>
      </c>
      <c r="S20" t="n">
        <v>2027</v>
      </c>
      <c r="T20" t="inlineStr">
        <is>
          <t>Supplier Target Pathway</t>
        </is>
      </c>
      <c r="U20" t="n">
        <v>7477.5105</v>
      </c>
      <c r="V20" t="n">
        <v>5111.6262</v>
      </c>
      <c r="W20" t="n">
        <v>6730.3891</v>
      </c>
      <c r="X20" t="n">
        <v>6730.3891</v>
      </c>
      <c r="Y20" t="n">
        <v>747.1214</v>
      </c>
      <c r="Z20" t="n">
        <v>0.00024008</v>
      </c>
      <c r="AA20" t="n">
        <v>0.099916</v>
      </c>
      <c r="AB20" t="n">
        <v>1618.763</v>
      </c>
      <c r="AC20" t="n">
        <v>124.5202</v>
      </c>
      <c r="AD20" t="n">
        <v>61221.2911</v>
      </c>
      <c r="AE20" t="n">
        <v>20564.7281</v>
      </c>
      <c r="AF20" t="n">
        <v>0.99</v>
      </c>
      <c r="AG20" t="inlineStr">
        <is>
          <t>High</t>
        </is>
      </c>
      <c r="AH20" t="inlineStr">
        <is>
          <t>On Track to Glide Path</t>
        </is>
      </c>
    </row>
    <row r="21">
      <c r="A21" t="inlineStr">
        <is>
          <t>SUP-0002</t>
        </is>
      </c>
      <c r="B21" t="inlineStr">
        <is>
          <t>Textiles Supplier 002</t>
        </is>
      </c>
      <c r="C21" t="inlineStr">
        <is>
          <t>Textiles</t>
        </is>
      </c>
      <c r="D21" t="n">
        <v>2024</v>
      </c>
      <c r="E21" t="n">
        <v>2021</v>
      </c>
      <c r="F21" t="n">
        <v>2040</v>
      </c>
      <c r="G21" t="inlineStr"/>
      <c r="H21" t="n">
        <v>959.4414</v>
      </c>
      <c r="I21" t="n">
        <v>990.8535000000001</v>
      </c>
      <c r="J21" t="n">
        <v>7995.6351</v>
      </c>
      <c r="K21" t="n">
        <v>28033642.13</v>
      </c>
      <c r="L21" t="n">
        <v>159297478.5</v>
      </c>
      <c r="M21" t="n">
        <v>9945.93</v>
      </c>
      <c r="N21" t="inlineStr">
        <is>
          <t>Scope 1 + Scope 2 + Scope 3</t>
        </is>
      </c>
      <c r="O21" t="b">
        <v>1</v>
      </c>
      <c r="P21" t="inlineStr">
        <is>
          <t>High</t>
        </is>
      </c>
      <c r="Q21" t="inlineStr">
        <is>
          <t>Reported_Emissions</t>
        </is>
      </c>
      <c r="R21" t="inlineStr">
        <is>
          <t>Valid</t>
        </is>
      </c>
      <c r="S21" t="n">
        <v>2028</v>
      </c>
      <c r="T21" t="inlineStr">
        <is>
          <t>Supplier Target Pathway</t>
        </is>
      </c>
      <c r="U21" t="n">
        <v>7477.5105</v>
      </c>
      <c r="V21" t="n">
        <v>5111.6262</v>
      </c>
      <c r="W21" t="n">
        <v>6605.8689</v>
      </c>
      <c r="X21" t="n">
        <v>6605.8689</v>
      </c>
      <c r="Y21" t="n">
        <v>871.6416</v>
      </c>
      <c r="Z21" t="n">
        <v>0.00023564</v>
      </c>
      <c r="AA21" t="n">
        <v>0.116568</v>
      </c>
      <c r="AB21" t="n">
        <v>1494.2427</v>
      </c>
      <c r="AC21" t="n">
        <v>124.5202</v>
      </c>
      <c r="AD21" t="n">
        <v>54615.4222</v>
      </c>
      <c r="AE21" t="n">
        <v>27170.597</v>
      </c>
      <c r="AF21" t="n">
        <v>0.99</v>
      </c>
      <c r="AG21" t="inlineStr">
        <is>
          <t>High</t>
        </is>
      </c>
      <c r="AH21" t="inlineStr">
        <is>
          <t>On Track to Glide Path</t>
        </is>
      </c>
    </row>
    <row r="22">
      <c r="A22" t="inlineStr">
        <is>
          <t>SUP-0002</t>
        </is>
      </c>
      <c r="B22" t="inlineStr">
        <is>
          <t>Textiles Supplier 002</t>
        </is>
      </c>
      <c r="C22" t="inlineStr">
        <is>
          <t>Textiles</t>
        </is>
      </c>
      <c r="D22" t="n">
        <v>2024</v>
      </c>
      <c r="E22" t="n">
        <v>2021</v>
      </c>
      <c r="F22" t="n">
        <v>2040</v>
      </c>
      <c r="G22" t="inlineStr"/>
      <c r="H22" t="n">
        <v>959.4414</v>
      </c>
      <c r="I22" t="n">
        <v>990.8535000000001</v>
      </c>
      <c r="J22" t="n">
        <v>7995.6351</v>
      </c>
      <c r="K22" t="n">
        <v>28033642.13</v>
      </c>
      <c r="L22" t="n">
        <v>159297478.5</v>
      </c>
      <c r="M22" t="n">
        <v>9945.93</v>
      </c>
      <c r="N22" t="inlineStr">
        <is>
          <t>Scope 1 + Scope 2 + Scope 3</t>
        </is>
      </c>
      <c r="O22" t="b">
        <v>1</v>
      </c>
      <c r="P22" t="inlineStr">
        <is>
          <t>High</t>
        </is>
      </c>
      <c r="Q22" t="inlineStr">
        <is>
          <t>Reported_Emissions</t>
        </is>
      </c>
      <c r="R22" t="inlineStr">
        <is>
          <t>Valid</t>
        </is>
      </c>
      <c r="S22" t="n">
        <v>2029</v>
      </c>
      <c r="T22" t="inlineStr">
        <is>
          <t>Supplier Target Pathway</t>
        </is>
      </c>
      <c r="U22" t="n">
        <v>7477.5105</v>
      </c>
      <c r="V22" t="n">
        <v>5111.6262</v>
      </c>
      <c r="W22" t="n">
        <v>6481.3487</v>
      </c>
      <c r="X22" t="n">
        <v>6481.3487</v>
      </c>
      <c r="Y22" t="n">
        <v>996.1618</v>
      </c>
      <c r="Z22" t="n">
        <v>0.0002312</v>
      </c>
      <c r="AA22" t="n">
        <v>0.133221</v>
      </c>
      <c r="AB22" t="n">
        <v>1369.7225</v>
      </c>
      <c r="AC22" t="n">
        <v>124.5202</v>
      </c>
      <c r="AD22" t="n">
        <v>48134.0735</v>
      </c>
      <c r="AE22" t="n">
        <v>33651.9457</v>
      </c>
      <c r="AF22" t="n">
        <v>0.99</v>
      </c>
      <c r="AG22" t="inlineStr">
        <is>
          <t>High</t>
        </is>
      </c>
      <c r="AH22" t="inlineStr">
        <is>
          <t>On Track to Glide Path</t>
        </is>
      </c>
    </row>
    <row r="23">
      <c r="A23" t="inlineStr">
        <is>
          <t>SUP-0002</t>
        </is>
      </c>
      <c r="B23" t="inlineStr">
        <is>
          <t>Textiles Supplier 002</t>
        </is>
      </c>
      <c r="C23" t="inlineStr">
        <is>
          <t>Textiles</t>
        </is>
      </c>
      <c r="D23" t="n">
        <v>2024</v>
      </c>
      <c r="E23" t="n">
        <v>2021</v>
      </c>
      <c r="F23" t="n">
        <v>2040</v>
      </c>
      <c r="G23" t="inlineStr"/>
      <c r="H23" t="n">
        <v>959.4414</v>
      </c>
      <c r="I23" t="n">
        <v>990.8535000000001</v>
      </c>
      <c r="J23" t="n">
        <v>7995.6351</v>
      </c>
      <c r="K23" t="n">
        <v>28033642.13</v>
      </c>
      <c r="L23" t="n">
        <v>159297478.5</v>
      </c>
      <c r="M23" t="n">
        <v>9945.93</v>
      </c>
      <c r="N23" t="inlineStr">
        <is>
          <t>Scope 1 + Scope 2 + Scope 3</t>
        </is>
      </c>
      <c r="O23" t="b">
        <v>1</v>
      </c>
      <c r="P23" t="inlineStr">
        <is>
          <t>High</t>
        </is>
      </c>
      <c r="Q23" t="inlineStr">
        <is>
          <t>Reported_Emissions</t>
        </is>
      </c>
      <c r="R23" t="inlineStr">
        <is>
          <t>Valid</t>
        </is>
      </c>
      <c r="S23" t="n">
        <v>2030</v>
      </c>
      <c r="T23" t="inlineStr">
        <is>
          <t>Supplier Target Pathway</t>
        </is>
      </c>
      <c r="U23" t="n">
        <v>7477.5105</v>
      </c>
      <c r="V23" t="n">
        <v>5111.6262</v>
      </c>
      <c r="W23" t="n">
        <v>6356.8285</v>
      </c>
      <c r="X23" t="n">
        <v>6356.8285</v>
      </c>
      <c r="Y23" t="n">
        <v>1120.682</v>
      </c>
      <c r="Z23" t="n">
        <v>0.00022676</v>
      </c>
      <c r="AA23" t="n">
        <v>0.149874</v>
      </c>
      <c r="AB23" t="n">
        <v>1245.2023</v>
      </c>
      <c r="AC23" t="n">
        <v>124.5202</v>
      </c>
      <c r="AD23" t="n">
        <v>41777.245</v>
      </c>
      <c r="AE23" t="n">
        <v>40008.7742</v>
      </c>
      <c r="AF23" t="n">
        <v>0.99</v>
      </c>
      <c r="AG23" t="inlineStr">
        <is>
          <t>High</t>
        </is>
      </c>
      <c r="AH23" t="inlineStr">
        <is>
          <t>On Track to Glide Path</t>
        </is>
      </c>
    </row>
    <row r="24">
      <c r="A24" t="inlineStr">
        <is>
          <t>SUP-0002</t>
        </is>
      </c>
      <c r="B24" t="inlineStr">
        <is>
          <t>Textiles Supplier 002</t>
        </is>
      </c>
      <c r="C24" t="inlineStr">
        <is>
          <t>Textiles</t>
        </is>
      </c>
      <c r="D24" t="n">
        <v>2024</v>
      </c>
      <c r="E24" t="n">
        <v>2021</v>
      </c>
      <c r="F24" t="n">
        <v>2040</v>
      </c>
      <c r="G24" t="inlineStr"/>
      <c r="H24" t="n">
        <v>959.4414</v>
      </c>
      <c r="I24" t="n">
        <v>990.8535000000001</v>
      </c>
      <c r="J24" t="n">
        <v>7995.6351</v>
      </c>
      <c r="K24" t="n">
        <v>28033642.13</v>
      </c>
      <c r="L24" t="n">
        <v>159297478.5</v>
      </c>
      <c r="M24" t="n">
        <v>9945.93</v>
      </c>
      <c r="N24" t="inlineStr">
        <is>
          <t>Scope 1 + Scope 2 + Scope 3</t>
        </is>
      </c>
      <c r="O24" t="b">
        <v>1</v>
      </c>
      <c r="P24" t="inlineStr">
        <is>
          <t>High</t>
        </is>
      </c>
      <c r="Q24" t="inlineStr">
        <is>
          <t>Reported_Emissions</t>
        </is>
      </c>
      <c r="R24" t="inlineStr">
        <is>
          <t>Valid</t>
        </is>
      </c>
      <c r="S24" t="n">
        <v>2031</v>
      </c>
      <c r="T24" t="inlineStr">
        <is>
          <t>Supplier Target Pathway</t>
        </is>
      </c>
      <c r="U24" t="n">
        <v>7477.5105</v>
      </c>
      <c r="V24" t="n">
        <v>5111.6262</v>
      </c>
      <c r="W24" t="n">
        <v>6232.3082</v>
      </c>
      <c r="X24" t="n">
        <v>6232.3082</v>
      </c>
      <c r="Y24" t="n">
        <v>1245.2023</v>
      </c>
      <c r="Z24" t="n">
        <v>0.00022232</v>
      </c>
      <c r="AA24" t="n">
        <v>0.166526</v>
      </c>
      <c r="AB24" t="n">
        <v>1120.682</v>
      </c>
      <c r="AC24" t="n">
        <v>124.5202</v>
      </c>
      <c r="AD24" t="n">
        <v>35544.9368</v>
      </c>
      <c r="AE24" t="n">
        <v>46241.0824</v>
      </c>
      <c r="AF24" t="n">
        <v>0.99</v>
      </c>
      <c r="AG24" t="inlineStr">
        <is>
          <t>High</t>
        </is>
      </c>
      <c r="AH24" t="inlineStr">
        <is>
          <t>On Track to Glide Path</t>
        </is>
      </c>
    </row>
    <row r="25">
      <c r="A25" t="inlineStr">
        <is>
          <t>SUP-0002</t>
        </is>
      </c>
      <c r="B25" t="inlineStr">
        <is>
          <t>Textiles Supplier 002</t>
        </is>
      </c>
      <c r="C25" t="inlineStr">
        <is>
          <t>Textiles</t>
        </is>
      </c>
      <c r="D25" t="n">
        <v>2024</v>
      </c>
      <c r="E25" t="n">
        <v>2021</v>
      </c>
      <c r="F25" t="n">
        <v>2040</v>
      </c>
      <c r="G25" t="inlineStr"/>
      <c r="H25" t="n">
        <v>959.4414</v>
      </c>
      <c r="I25" t="n">
        <v>990.8535000000001</v>
      </c>
      <c r="J25" t="n">
        <v>7995.6351</v>
      </c>
      <c r="K25" t="n">
        <v>28033642.13</v>
      </c>
      <c r="L25" t="n">
        <v>159297478.5</v>
      </c>
      <c r="M25" t="n">
        <v>9945.93</v>
      </c>
      <c r="N25" t="inlineStr">
        <is>
          <t>Scope 1 + Scope 2 + Scope 3</t>
        </is>
      </c>
      <c r="O25" t="b">
        <v>1</v>
      </c>
      <c r="P25" t="inlineStr">
        <is>
          <t>High</t>
        </is>
      </c>
      <c r="Q25" t="inlineStr">
        <is>
          <t>Reported_Emissions</t>
        </is>
      </c>
      <c r="R25" t="inlineStr">
        <is>
          <t>Valid</t>
        </is>
      </c>
      <c r="S25" t="n">
        <v>2032</v>
      </c>
      <c r="T25" t="inlineStr">
        <is>
          <t>Supplier Target Pathway</t>
        </is>
      </c>
      <c r="U25" t="n">
        <v>7477.5105</v>
      </c>
      <c r="V25" t="n">
        <v>5111.6262</v>
      </c>
      <c r="W25" t="n">
        <v>6107.788</v>
      </c>
      <c r="X25" t="n">
        <v>6107.788</v>
      </c>
      <c r="Y25" t="n">
        <v>1369.7225</v>
      </c>
      <c r="Z25" t="n">
        <v>0.00021787</v>
      </c>
      <c r="AA25" t="n">
        <v>0.183179</v>
      </c>
      <c r="AB25" t="n">
        <v>996.1618</v>
      </c>
      <c r="AC25" t="n">
        <v>124.5202</v>
      </c>
      <c r="AD25" t="n">
        <v>29437.1488</v>
      </c>
      <c r="AE25" t="n">
        <v>52348.8704</v>
      </c>
      <c r="AF25" t="n">
        <v>0.99</v>
      </c>
      <c r="AG25" t="inlineStr">
        <is>
          <t>High</t>
        </is>
      </c>
      <c r="AH25" t="inlineStr">
        <is>
          <t>On Track to Glide Path</t>
        </is>
      </c>
    </row>
    <row r="26">
      <c r="A26" t="inlineStr">
        <is>
          <t>SUP-0002</t>
        </is>
      </c>
      <c r="B26" t="inlineStr">
        <is>
          <t>Textiles Supplier 002</t>
        </is>
      </c>
      <c r="C26" t="inlineStr">
        <is>
          <t>Textiles</t>
        </is>
      </c>
      <c r="D26" t="n">
        <v>2024</v>
      </c>
      <c r="E26" t="n">
        <v>2021</v>
      </c>
      <c r="F26" t="n">
        <v>2040</v>
      </c>
      <c r="G26" t="inlineStr"/>
      <c r="H26" t="n">
        <v>959.4414</v>
      </c>
      <c r="I26" t="n">
        <v>990.8535000000001</v>
      </c>
      <c r="J26" t="n">
        <v>7995.6351</v>
      </c>
      <c r="K26" t="n">
        <v>28033642.13</v>
      </c>
      <c r="L26" t="n">
        <v>159297478.5</v>
      </c>
      <c r="M26" t="n">
        <v>9945.93</v>
      </c>
      <c r="N26" t="inlineStr">
        <is>
          <t>Scope 1 + Scope 2 + Scope 3</t>
        </is>
      </c>
      <c r="O26" t="b">
        <v>1</v>
      </c>
      <c r="P26" t="inlineStr">
        <is>
          <t>High</t>
        </is>
      </c>
      <c r="Q26" t="inlineStr">
        <is>
          <t>Reported_Emissions</t>
        </is>
      </c>
      <c r="R26" t="inlineStr">
        <is>
          <t>Valid</t>
        </is>
      </c>
      <c r="S26" t="n">
        <v>2033</v>
      </c>
      <c r="T26" t="inlineStr">
        <is>
          <t>Supplier Target Pathway</t>
        </is>
      </c>
      <c r="U26" t="n">
        <v>7477.5105</v>
      </c>
      <c r="V26" t="n">
        <v>5111.6262</v>
      </c>
      <c r="W26" t="n">
        <v>5983.2678</v>
      </c>
      <c r="X26" t="n">
        <v>5983.2678</v>
      </c>
      <c r="Y26" t="n">
        <v>1494.2427</v>
      </c>
      <c r="Z26" t="n">
        <v>0.00021343</v>
      </c>
      <c r="AA26" t="n">
        <v>0.199832</v>
      </c>
      <c r="AB26" t="n">
        <v>871.6416</v>
      </c>
      <c r="AC26" t="n">
        <v>124.5202</v>
      </c>
      <c r="AD26" t="n">
        <v>23453.881</v>
      </c>
      <c r="AE26" t="n">
        <v>58332.1382</v>
      </c>
      <c r="AF26" t="n">
        <v>0.99</v>
      </c>
      <c r="AG26" t="inlineStr">
        <is>
          <t>High</t>
        </is>
      </c>
      <c r="AH26" t="inlineStr">
        <is>
          <t>On Track to Glide Path</t>
        </is>
      </c>
    </row>
    <row r="27">
      <c r="A27" t="inlineStr">
        <is>
          <t>SUP-0002</t>
        </is>
      </c>
      <c r="B27" t="inlineStr">
        <is>
          <t>Textiles Supplier 002</t>
        </is>
      </c>
      <c r="C27" t="inlineStr">
        <is>
          <t>Textiles</t>
        </is>
      </c>
      <c r="D27" t="n">
        <v>2024</v>
      </c>
      <c r="E27" t="n">
        <v>2021</v>
      </c>
      <c r="F27" t="n">
        <v>2040</v>
      </c>
      <c r="G27" t="inlineStr"/>
      <c r="H27" t="n">
        <v>959.4414</v>
      </c>
      <c r="I27" t="n">
        <v>990.8535000000001</v>
      </c>
      <c r="J27" t="n">
        <v>7995.6351</v>
      </c>
      <c r="K27" t="n">
        <v>28033642.13</v>
      </c>
      <c r="L27" t="n">
        <v>159297478.5</v>
      </c>
      <c r="M27" t="n">
        <v>9945.93</v>
      </c>
      <c r="N27" t="inlineStr">
        <is>
          <t>Scope 1 + Scope 2 + Scope 3</t>
        </is>
      </c>
      <c r="O27" t="b">
        <v>1</v>
      </c>
      <c r="P27" t="inlineStr">
        <is>
          <t>High</t>
        </is>
      </c>
      <c r="Q27" t="inlineStr">
        <is>
          <t>Reported_Emissions</t>
        </is>
      </c>
      <c r="R27" t="inlineStr">
        <is>
          <t>Valid</t>
        </is>
      </c>
      <c r="S27" t="n">
        <v>2034</v>
      </c>
      <c r="T27" t="inlineStr">
        <is>
          <t>Supplier Target Pathway</t>
        </is>
      </c>
      <c r="U27" t="n">
        <v>7477.5105</v>
      </c>
      <c r="V27" t="n">
        <v>5111.6262</v>
      </c>
      <c r="W27" t="n">
        <v>5858.7475</v>
      </c>
      <c r="X27" t="n">
        <v>5858.7475</v>
      </c>
      <c r="Y27" t="n">
        <v>1618.763</v>
      </c>
      <c r="Z27" t="n">
        <v>0.00020899</v>
      </c>
      <c r="AA27" t="n">
        <v>0.216484</v>
      </c>
      <c r="AB27" t="n">
        <v>747.1214</v>
      </c>
      <c r="AC27" t="n">
        <v>124.5202</v>
      </c>
      <c r="AD27" t="n">
        <v>17595.1335</v>
      </c>
      <c r="AE27" t="n">
        <v>64190.8857</v>
      </c>
      <c r="AF27" t="n">
        <v>0.99</v>
      </c>
      <c r="AG27" t="inlineStr">
        <is>
          <t>Medium</t>
        </is>
      </c>
      <c r="AH27" t="inlineStr">
        <is>
          <t>On Track to Glide Path</t>
        </is>
      </c>
    </row>
    <row r="28">
      <c r="A28" t="inlineStr">
        <is>
          <t>SUP-0002</t>
        </is>
      </c>
      <c r="B28" t="inlineStr">
        <is>
          <t>Textiles Supplier 002</t>
        </is>
      </c>
      <c r="C28" t="inlineStr">
        <is>
          <t>Textiles</t>
        </is>
      </c>
      <c r="D28" t="n">
        <v>2024</v>
      </c>
      <c r="E28" t="n">
        <v>2021</v>
      </c>
      <c r="F28" t="n">
        <v>2040</v>
      </c>
      <c r="G28" t="inlineStr"/>
      <c r="H28" t="n">
        <v>959.4414</v>
      </c>
      <c r="I28" t="n">
        <v>990.8535000000001</v>
      </c>
      <c r="J28" t="n">
        <v>7995.6351</v>
      </c>
      <c r="K28" t="n">
        <v>28033642.13</v>
      </c>
      <c r="L28" t="n">
        <v>159297478.5</v>
      </c>
      <c r="M28" t="n">
        <v>9945.93</v>
      </c>
      <c r="N28" t="inlineStr">
        <is>
          <t>Scope 1 + Scope 2 + Scope 3</t>
        </is>
      </c>
      <c r="O28" t="b">
        <v>1</v>
      </c>
      <c r="P28" t="inlineStr">
        <is>
          <t>High</t>
        </is>
      </c>
      <c r="Q28" t="inlineStr">
        <is>
          <t>Reported_Emissions</t>
        </is>
      </c>
      <c r="R28" t="inlineStr">
        <is>
          <t>Valid</t>
        </is>
      </c>
      <c r="S28" t="n">
        <v>2035</v>
      </c>
      <c r="T28" t="inlineStr">
        <is>
          <t>Supplier Target Pathway</t>
        </is>
      </c>
      <c r="U28" t="n">
        <v>7477.5105</v>
      </c>
      <c r="V28" t="n">
        <v>5111.6262</v>
      </c>
      <c r="W28" t="n">
        <v>5734.2273</v>
      </c>
      <c r="X28" t="n">
        <v>5734.2273</v>
      </c>
      <c r="Y28" t="n">
        <v>1743.2832</v>
      </c>
      <c r="Z28" t="n">
        <v>0.00020455</v>
      </c>
      <c r="AA28" t="n">
        <v>0.233137</v>
      </c>
      <c r="AB28" t="n">
        <v>622.6011</v>
      </c>
      <c r="AC28" t="n">
        <v>124.5202</v>
      </c>
      <c r="AD28" t="n">
        <v>11860.9062</v>
      </c>
      <c r="AE28" t="n">
        <v>69925.113</v>
      </c>
      <c r="AF28" t="n">
        <v>0.99</v>
      </c>
      <c r="AG28" t="inlineStr">
        <is>
          <t>Medium</t>
        </is>
      </c>
      <c r="AH28" t="inlineStr">
        <is>
          <t>On Track to Glide Path</t>
        </is>
      </c>
    </row>
    <row r="29">
      <c r="A29" t="inlineStr">
        <is>
          <t>SUP-0002</t>
        </is>
      </c>
      <c r="B29" t="inlineStr">
        <is>
          <t>Textiles Supplier 002</t>
        </is>
      </c>
      <c r="C29" t="inlineStr">
        <is>
          <t>Textiles</t>
        </is>
      </c>
      <c r="D29" t="n">
        <v>2024</v>
      </c>
      <c r="E29" t="n">
        <v>2021</v>
      </c>
      <c r="F29" t="n">
        <v>2040</v>
      </c>
      <c r="G29" t="inlineStr"/>
      <c r="H29" t="n">
        <v>959.4414</v>
      </c>
      <c r="I29" t="n">
        <v>990.8535000000001</v>
      </c>
      <c r="J29" t="n">
        <v>7995.6351</v>
      </c>
      <c r="K29" t="n">
        <v>28033642.13</v>
      </c>
      <c r="L29" t="n">
        <v>159297478.5</v>
      </c>
      <c r="M29" t="n">
        <v>9945.93</v>
      </c>
      <c r="N29" t="inlineStr">
        <is>
          <t>Scope 1 + Scope 2 + Scope 3</t>
        </is>
      </c>
      <c r="O29" t="b">
        <v>1</v>
      </c>
      <c r="P29" t="inlineStr">
        <is>
          <t>High</t>
        </is>
      </c>
      <c r="Q29" t="inlineStr">
        <is>
          <t>Reported_Emissions</t>
        </is>
      </c>
      <c r="R29" t="inlineStr">
        <is>
          <t>Valid</t>
        </is>
      </c>
      <c r="S29" t="n">
        <v>2036</v>
      </c>
      <c r="T29" t="inlineStr">
        <is>
          <t>Supplier Target Pathway</t>
        </is>
      </c>
      <c r="U29" t="n">
        <v>7477.5105</v>
      </c>
      <c r="V29" t="n">
        <v>5111.6262</v>
      </c>
      <c r="W29" t="n">
        <v>5609.7071</v>
      </c>
      <c r="X29" t="n">
        <v>5609.7071</v>
      </c>
      <c r="Y29" t="n">
        <v>1867.8034</v>
      </c>
      <c r="Z29" t="n">
        <v>0.00020011</v>
      </c>
      <c r="AA29" t="n">
        <v>0.249789</v>
      </c>
      <c r="AB29" t="n">
        <v>498.0809</v>
      </c>
      <c r="AC29" t="n">
        <v>124.5202</v>
      </c>
      <c r="AD29" t="n">
        <v>6251.1991</v>
      </c>
      <c r="AE29" t="n">
        <v>75534.8201</v>
      </c>
      <c r="AF29" t="n">
        <v>0.99</v>
      </c>
      <c r="AG29" t="inlineStr">
        <is>
          <t>Medium</t>
        </is>
      </c>
      <c r="AH29" t="inlineStr">
        <is>
          <t>On Track to Glide Path</t>
        </is>
      </c>
    </row>
    <row r="30">
      <c r="A30" t="inlineStr">
        <is>
          <t>SUP-0002</t>
        </is>
      </c>
      <c r="B30" t="inlineStr">
        <is>
          <t>Textiles Supplier 002</t>
        </is>
      </c>
      <c r="C30" t="inlineStr">
        <is>
          <t>Textiles</t>
        </is>
      </c>
      <c r="D30" t="n">
        <v>2024</v>
      </c>
      <c r="E30" t="n">
        <v>2021</v>
      </c>
      <c r="F30" t="n">
        <v>2040</v>
      </c>
      <c r="G30" t="inlineStr"/>
      <c r="H30" t="n">
        <v>959.4414</v>
      </c>
      <c r="I30" t="n">
        <v>990.8535000000001</v>
      </c>
      <c r="J30" t="n">
        <v>7995.6351</v>
      </c>
      <c r="K30" t="n">
        <v>28033642.13</v>
      </c>
      <c r="L30" t="n">
        <v>159297478.5</v>
      </c>
      <c r="M30" t="n">
        <v>9945.93</v>
      </c>
      <c r="N30" t="inlineStr">
        <is>
          <t>Scope 1 + Scope 2 + Scope 3</t>
        </is>
      </c>
      <c r="O30" t="b">
        <v>1</v>
      </c>
      <c r="P30" t="inlineStr">
        <is>
          <t>High</t>
        </is>
      </c>
      <c r="Q30" t="inlineStr">
        <is>
          <t>Reported_Emissions</t>
        </is>
      </c>
      <c r="R30" t="inlineStr">
        <is>
          <t>Valid</t>
        </is>
      </c>
      <c r="S30" t="n">
        <v>2037</v>
      </c>
      <c r="T30" t="inlineStr">
        <is>
          <t>Supplier Target Pathway</t>
        </is>
      </c>
      <c r="U30" t="n">
        <v>7477.5105</v>
      </c>
      <c r="V30" t="n">
        <v>5111.6262</v>
      </c>
      <c r="W30" t="n">
        <v>5485.1869</v>
      </c>
      <c r="X30" t="n">
        <v>5485.1869</v>
      </c>
      <c r="Y30" t="n">
        <v>1992.3236</v>
      </c>
      <c r="Z30" t="n">
        <v>0.00019566</v>
      </c>
      <c r="AA30" t="n">
        <v>0.266442</v>
      </c>
      <c r="AB30" t="n">
        <v>373.5607</v>
      </c>
      <c r="AC30" t="n">
        <v>124.5202</v>
      </c>
      <c r="AD30" t="n">
        <v>766.0122</v>
      </c>
      <c r="AE30" t="n">
        <v>81020.007</v>
      </c>
      <c r="AF30" t="n">
        <v>0.99</v>
      </c>
      <c r="AG30" t="inlineStr">
        <is>
          <t>Medium</t>
        </is>
      </c>
      <c r="AH30" t="inlineStr">
        <is>
          <t>On Track to Glide Path</t>
        </is>
      </c>
    </row>
    <row r="31">
      <c r="A31" t="inlineStr">
        <is>
          <t>SUP-0002</t>
        </is>
      </c>
      <c r="B31" t="inlineStr">
        <is>
          <t>Textiles Supplier 002</t>
        </is>
      </c>
      <c r="C31" t="inlineStr">
        <is>
          <t>Textiles</t>
        </is>
      </c>
      <c r="D31" t="n">
        <v>2024</v>
      </c>
      <c r="E31" t="n">
        <v>2021</v>
      </c>
      <c r="F31" t="n">
        <v>2040</v>
      </c>
      <c r="G31" t="inlineStr"/>
      <c r="H31" t="n">
        <v>959.4414</v>
      </c>
      <c r="I31" t="n">
        <v>990.8535000000001</v>
      </c>
      <c r="J31" t="n">
        <v>7995.6351</v>
      </c>
      <c r="K31" t="n">
        <v>28033642.13</v>
      </c>
      <c r="L31" t="n">
        <v>159297478.5</v>
      </c>
      <c r="M31" t="n">
        <v>9945.93</v>
      </c>
      <c r="N31" t="inlineStr">
        <is>
          <t>Scope 1 + Scope 2 + Scope 3</t>
        </is>
      </c>
      <c r="O31" t="b">
        <v>1</v>
      </c>
      <c r="P31" t="inlineStr">
        <is>
          <t>High</t>
        </is>
      </c>
      <c r="Q31" t="inlineStr">
        <is>
          <t>Reported_Emissions</t>
        </is>
      </c>
      <c r="R31" t="inlineStr">
        <is>
          <t>Valid</t>
        </is>
      </c>
      <c r="S31" t="n">
        <v>2038</v>
      </c>
      <c r="T31" t="inlineStr">
        <is>
          <t>Supplier Target Pathway</t>
        </is>
      </c>
      <c r="U31" t="n">
        <v>7477.5105</v>
      </c>
      <c r="V31" t="n">
        <v>5111.6262</v>
      </c>
      <c r="W31" t="n">
        <v>5360.6666</v>
      </c>
      <c r="X31" t="n">
        <v>5360.6666</v>
      </c>
      <c r="Y31" t="n">
        <v>2116.8439</v>
      </c>
      <c r="Z31" t="n">
        <v>0.00019122</v>
      </c>
      <c r="AA31" t="n">
        <v>0.283095</v>
      </c>
      <c r="AB31" t="n">
        <v>249.0405</v>
      </c>
      <c r="AC31" t="n">
        <v>124.5202</v>
      </c>
      <c r="AD31" t="n">
        <v>-4594.6544</v>
      </c>
      <c r="AE31" t="n">
        <v>86380.67359999999</v>
      </c>
      <c r="AF31" t="n">
        <v>0.99</v>
      </c>
      <c r="AG31" t="inlineStr">
        <is>
          <t>Medium</t>
        </is>
      </c>
      <c r="AH31" t="inlineStr">
        <is>
          <t>On Track to Glide Path</t>
        </is>
      </c>
    </row>
    <row r="32">
      <c r="A32" t="inlineStr">
        <is>
          <t>SUP-0002</t>
        </is>
      </c>
      <c r="B32" t="inlineStr">
        <is>
          <t>Textiles Supplier 002</t>
        </is>
      </c>
      <c r="C32" t="inlineStr">
        <is>
          <t>Textiles</t>
        </is>
      </c>
      <c r="D32" t="n">
        <v>2024</v>
      </c>
      <c r="E32" t="n">
        <v>2021</v>
      </c>
      <c r="F32" t="n">
        <v>2040</v>
      </c>
      <c r="G32" t="inlineStr"/>
      <c r="H32" t="n">
        <v>959.4414</v>
      </c>
      <c r="I32" t="n">
        <v>990.8535000000001</v>
      </c>
      <c r="J32" t="n">
        <v>7995.6351</v>
      </c>
      <c r="K32" t="n">
        <v>28033642.13</v>
      </c>
      <c r="L32" t="n">
        <v>159297478.5</v>
      </c>
      <c r="M32" t="n">
        <v>9945.93</v>
      </c>
      <c r="N32" t="inlineStr">
        <is>
          <t>Scope 1 + Scope 2 + Scope 3</t>
        </is>
      </c>
      <c r="O32" t="b">
        <v>1</v>
      </c>
      <c r="P32" t="inlineStr">
        <is>
          <t>High</t>
        </is>
      </c>
      <c r="Q32" t="inlineStr">
        <is>
          <t>Reported_Emissions</t>
        </is>
      </c>
      <c r="R32" t="inlineStr">
        <is>
          <t>Valid</t>
        </is>
      </c>
      <c r="S32" t="n">
        <v>2039</v>
      </c>
      <c r="T32" t="inlineStr">
        <is>
          <t>Supplier Target Pathway</t>
        </is>
      </c>
      <c r="U32" t="n">
        <v>7477.5105</v>
      </c>
      <c r="V32" t="n">
        <v>5111.6262</v>
      </c>
      <c r="W32" t="n">
        <v>5236.1464</v>
      </c>
      <c r="X32" t="n">
        <v>5236.1464</v>
      </c>
      <c r="Y32" t="n">
        <v>2241.3641</v>
      </c>
      <c r="Z32" t="n">
        <v>0.00018678</v>
      </c>
      <c r="AA32" t="n">
        <v>0.299747</v>
      </c>
      <c r="AB32" t="n">
        <v>124.5202</v>
      </c>
      <c r="AC32" t="n">
        <v>124.5202</v>
      </c>
      <c r="AD32" t="n">
        <v>-9830.800800000001</v>
      </c>
      <c r="AE32" t="n">
        <v>91616.82000000001</v>
      </c>
      <c r="AF32" t="n">
        <v>0.99</v>
      </c>
      <c r="AG32" t="inlineStr">
        <is>
          <t>Medium</t>
        </is>
      </c>
      <c r="AH32" t="inlineStr">
        <is>
          <t>On Track to Glide Path</t>
        </is>
      </c>
    </row>
    <row r="33">
      <c r="A33" t="inlineStr">
        <is>
          <t>SUP-0002</t>
        </is>
      </c>
      <c r="B33" t="inlineStr">
        <is>
          <t>Textiles Supplier 002</t>
        </is>
      </c>
      <c r="C33" t="inlineStr">
        <is>
          <t>Textiles</t>
        </is>
      </c>
      <c r="D33" t="n">
        <v>2024</v>
      </c>
      <c r="E33" t="n">
        <v>2021</v>
      </c>
      <c r="F33" t="n">
        <v>2040</v>
      </c>
      <c r="G33" t="inlineStr"/>
      <c r="H33" t="n">
        <v>959.4414</v>
      </c>
      <c r="I33" t="n">
        <v>990.8535000000001</v>
      </c>
      <c r="J33" t="n">
        <v>7995.6351</v>
      </c>
      <c r="K33" t="n">
        <v>28033642.13</v>
      </c>
      <c r="L33" t="n">
        <v>159297478.5</v>
      </c>
      <c r="M33" t="n">
        <v>9945.93</v>
      </c>
      <c r="N33" t="inlineStr">
        <is>
          <t>Scope 1 + Scope 2 + Scope 3</t>
        </is>
      </c>
      <c r="O33" t="b">
        <v>1</v>
      </c>
      <c r="P33" t="inlineStr">
        <is>
          <t>High</t>
        </is>
      </c>
      <c r="Q33" t="inlineStr">
        <is>
          <t>Reported_Emissions</t>
        </is>
      </c>
      <c r="R33" t="inlineStr">
        <is>
          <t>Valid</t>
        </is>
      </c>
      <c r="S33" t="n">
        <v>2040</v>
      </c>
      <c r="T33" t="inlineStr">
        <is>
          <t>Supplier Target Pathway</t>
        </is>
      </c>
      <c r="U33" t="n">
        <v>7477.5105</v>
      </c>
      <c r="V33" t="n">
        <v>5111.6262</v>
      </c>
      <c r="W33" t="n">
        <v>5111.6262</v>
      </c>
      <c r="X33" t="n">
        <v>5111.6262</v>
      </c>
      <c r="Y33" t="n">
        <v>2365.8843</v>
      </c>
      <c r="Z33" t="n">
        <v>0.00018234</v>
      </c>
      <c r="AA33" t="n">
        <v>0.3164</v>
      </c>
      <c r="AB33" t="n">
        <v>0</v>
      </c>
      <c r="AC33" t="n">
        <v>124.5202</v>
      </c>
      <c r="AD33" t="n">
        <v>-14942.427</v>
      </c>
      <c r="AE33" t="n">
        <v>96728.44620000001</v>
      </c>
      <c r="AF33" t="n">
        <v>0.99</v>
      </c>
      <c r="AG33" t="inlineStr">
        <is>
          <t>Low</t>
        </is>
      </c>
      <c r="AH33" t="inlineStr">
        <is>
          <t>On Track</t>
        </is>
      </c>
    </row>
    <row r="34">
      <c r="A34" t="inlineStr">
        <is>
          <t>SUP-0003</t>
        </is>
      </c>
      <c r="B34" t="inlineStr">
        <is>
          <t>Electronics Supplier 003</t>
        </is>
      </c>
      <c r="C34" t="inlineStr">
        <is>
          <t>Electronics</t>
        </is>
      </c>
      <c r="D34" t="n">
        <v>2024</v>
      </c>
      <c r="E34" t="n">
        <v>2018</v>
      </c>
      <c r="F34" t="n">
        <v>2030</v>
      </c>
      <c r="G34" t="n">
        <v>6408.6921</v>
      </c>
      <c r="H34" t="n">
        <v>597.869</v>
      </c>
      <c r="I34" t="n">
        <v>724.7649</v>
      </c>
      <c r="J34" t="inlineStr"/>
      <c r="K34" t="n">
        <v>14433482.87</v>
      </c>
      <c r="L34" t="n">
        <v>41008991.04</v>
      </c>
      <c r="M34" t="n">
        <v>6408.6921</v>
      </c>
      <c r="N34" t="inlineStr">
        <is>
          <t>Supplier Reported Emissions</t>
        </is>
      </c>
      <c r="O34" t="b">
        <v>0</v>
      </c>
      <c r="P34" t="inlineStr">
        <is>
          <t>High</t>
        </is>
      </c>
      <c r="Q34" t="inlineStr">
        <is>
          <t>Scope_Emissions</t>
        </is>
      </c>
      <c r="R34" t="inlineStr">
        <is>
          <t>Valid</t>
        </is>
      </c>
      <c r="S34" t="n">
        <v>2025</v>
      </c>
      <c r="T34" t="inlineStr">
        <is>
          <t>Supplier Target Pathway</t>
        </is>
      </c>
      <c r="U34" t="n">
        <v>4242.1461</v>
      </c>
      <c r="V34" t="n">
        <v>2315.3633</v>
      </c>
      <c r="W34" t="n">
        <v>3118.1895</v>
      </c>
      <c r="X34" t="n">
        <v>3118.1895</v>
      </c>
      <c r="Y34" t="n">
        <v>1123.9566</v>
      </c>
      <c r="Z34" t="n">
        <v>0.00021604</v>
      </c>
      <c r="AA34" t="n">
        <v>0.26495</v>
      </c>
      <c r="AB34" t="n">
        <v>802.8261</v>
      </c>
      <c r="AC34" t="n">
        <v>160.5652</v>
      </c>
      <c r="AD34" t="n">
        <v>10773.9903</v>
      </c>
      <c r="AE34" t="n">
        <v>3118.1895</v>
      </c>
      <c r="AF34" t="n">
        <v>0.99</v>
      </c>
      <c r="AG34" t="inlineStr">
        <is>
          <t>High</t>
        </is>
      </c>
      <c r="AH34" t="inlineStr">
        <is>
          <t>On Track to Glide Path</t>
        </is>
      </c>
    </row>
    <row r="35">
      <c r="A35" t="inlineStr">
        <is>
          <t>SUP-0003</t>
        </is>
      </c>
      <c r="B35" t="inlineStr">
        <is>
          <t>Electronics Supplier 003</t>
        </is>
      </c>
      <c r="C35" t="inlineStr">
        <is>
          <t>Electronics</t>
        </is>
      </c>
      <c r="D35" t="n">
        <v>2024</v>
      </c>
      <c r="E35" t="n">
        <v>2018</v>
      </c>
      <c r="F35" t="n">
        <v>2030</v>
      </c>
      <c r="G35" t="n">
        <v>6408.6921</v>
      </c>
      <c r="H35" t="n">
        <v>597.869</v>
      </c>
      <c r="I35" t="n">
        <v>724.7649</v>
      </c>
      <c r="J35" t="inlineStr"/>
      <c r="K35" t="n">
        <v>14433482.87</v>
      </c>
      <c r="L35" t="n">
        <v>41008991.04</v>
      </c>
      <c r="M35" t="n">
        <v>6408.6921</v>
      </c>
      <c r="N35" t="inlineStr">
        <is>
          <t>Supplier Reported Emissions</t>
        </is>
      </c>
      <c r="O35" t="b">
        <v>0</v>
      </c>
      <c r="P35" t="inlineStr">
        <is>
          <t>High</t>
        </is>
      </c>
      <c r="Q35" t="inlineStr">
        <is>
          <t>Scope_Emissions</t>
        </is>
      </c>
      <c r="R35" t="inlineStr">
        <is>
          <t>Valid</t>
        </is>
      </c>
      <c r="S35" t="n">
        <v>2026</v>
      </c>
      <c r="T35" t="inlineStr">
        <is>
          <t>Supplier Target Pathway</t>
        </is>
      </c>
      <c r="U35" t="n">
        <v>4242.1461</v>
      </c>
      <c r="V35" t="n">
        <v>2315.3633</v>
      </c>
      <c r="W35" t="n">
        <v>2957.6243</v>
      </c>
      <c r="X35" t="n">
        <v>2957.6243</v>
      </c>
      <c r="Y35" t="n">
        <v>1284.5218</v>
      </c>
      <c r="Z35" t="n">
        <v>0.00020491</v>
      </c>
      <c r="AA35" t="n">
        <v>0.3028</v>
      </c>
      <c r="AB35" t="n">
        <v>642.2609</v>
      </c>
      <c r="AC35" t="n">
        <v>160.5652</v>
      </c>
      <c r="AD35" t="n">
        <v>7816.366</v>
      </c>
      <c r="AE35" t="n">
        <v>6075.8138</v>
      </c>
      <c r="AF35" t="n">
        <v>0.99</v>
      </c>
      <c r="AG35" t="inlineStr">
        <is>
          <t>High</t>
        </is>
      </c>
      <c r="AH35" t="inlineStr">
        <is>
          <t>On Track to Glide Path</t>
        </is>
      </c>
    </row>
    <row r="36">
      <c r="A36" t="inlineStr">
        <is>
          <t>SUP-0003</t>
        </is>
      </c>
      <c r="B36" t="inlineStr">
        <is>
          <t>Electronics Supplier 003</t>
        </is>
      </c>
      <c r="C36" t="inlineStr">
        <is>
          <t>Electronics</t>
        </is>
      </c>
      <c r="D36" t="n">
        <v>2024</v>
      </c>
      <c r="E36" t="n">
        <v>2018</v>
      </c>
      <c r="F36" t="n">
        <v>2030</v>
      </c>
      <c r="G36" t="n">
        <v>6408.6921</v>
      </c>
      <c r="H36" t="n">
        <v>597.869</v>
      </c>
      <c r="I36" t="n">
        <v>724.7649</v>
      </c>
      <c r="J36" t="inlineStr"/>
      <c r="K36" t="n">
        <v>14433482.87</v>
      </c>
      <c r="L36" t="n">
        <v>41008991.04</v>
      </c>
      <c r="M36" t="n">
        <v>6408.6921</v>
      </c>
      <c r="N36" t="inlineStr">
        <is>
          <t>Supplier Reported Emissions</t>
        </is>
      </c>
      <c r="O36" t="b">
        <v>0</v>
      </c>
      <c r="P36" t="inlineStr">
        <is>
          <t>High</t>
        </is>
      </c>
      <c r="Q36" t="inlineStr">
        <is>
          <t>Scope_Emissions</t>
        </is>
      </c>
      <c r="R36" t="inlineStr">
        <is>
          <t>Valid</t>
        </is>
      </c>
      <c r="S36" t="n">
        <v>2027</v>
      </c>
      <c r="T36" t="inlineStr">
        <is>
          <t>Supplier Target Pathway</t>
        </is>
      </c>
      <c r="U36" t="n">
        <v>4242.1461</v>
      </c>
      <c r="V36" t="n">
        <v>2315.3633</v>
      </c>
      <c r="W36" t="n">
        <v>2797.059</v>
      </c>
      <c r="X36" t="n">
        <v>2797.059</v>
      </c>
      <c r="Y36" t="n">
        <v>1445.0871</v>
      </c>
      <c r="Z36" t="n">
        <v>0.00019379</v>
      </c>
      <c r="AA36" t="n">
        <v>0.34065</v>
      </c>
      <c r="AB36" t="n">
        <v>481.6957</v>
      </c>
      <c r="AC36" t="n">
        <v>160.5652</v>
      </c>
      <c r="AD36" t="n">
        <v>5019.307</v>
      </c>
      <c r="AE36" t="n">
        <v>8872.872799999999</v>
      </c>
      <c r="AF36" t="n">
        <v>0.99</v>
      </c>
      <c r="AG36" t="inlineStr">
        <is>
          <t>High</t>
        </is>
      </c>
      <c r="AH36" t="inlineStr">
        <is>
          <t>On Track to Glide Path</t>
        </is>
      </c>
    </row>
    <row r="37">
      <c r="A37" t="inlineStr">
        <is>
          <t>SUP-0003</t>
        </is>
      </c>
      <c r="B37" t="inlineStr">
        <is>
          <t>Electronics Supplier 003</t>
        </is>
      </c>
      <c r="C37" t="inlineStr">
        <is>
          <t>Electronics</t>
        </is>
      </c>
      <c r="D37" t="n">
        <v>2024</v>
      </c>
      <c r="E37" t="n">
        <v>2018</v>
      </c>
      <c r="F37" t="n">
        <v>2030</v>
      </c>
      <c r="G37" t="n">
        <v>6408.6921</v>
      </c>
      <c r="H37" t="n">
        <v>597.869</v>
      </c>
      <c r="I37" t="n">
        <v>724.7649</v>
      </c>
      <c r="J37" t="inlineStr"/>
      <c r="K37" t="n">
        <v>14433482.87</v>
      </c>
      <c r="L37" t="n">
        <v>41008991.04</v>
      </c>
      <c r="M37" t="n">
        <v>6408.6921</v>
      </c>
      <c r="N37" t="inlineStr">
        <is>
          <t>Supplier Reported Emissions</t>
        </is>
      </c>
      <c r="O37" t="b">
        <v>0</v>
      </c>
      <c r="P37" t="inlineStr">
        <is>
          <t>High</t>
        </is>
      </c>
      <c r="Q37" t="inlineStr">
        <is>
          <t>Scope_Emissions</t>
        </is>
      </c>
      <c r="R37" t="inlineStr">
        <is>
          <t>Valid</t>
        </is>
      </c>
      <c r="S37" t="n">
        <v>2028</v>
      </c>
      <c r="T37" t="inlineStr">
        <is>
          <t>Supplier Target Pathway</t>
        </is>
      </c>
      <c r="U37" t="n">
        <v>4242.1461</v>
      </c>
      <c r="V37" t="n">
        <v>2315.3633</v>
      </c>
      <c r="W37" t="n">
        <v>2636.4938</v>
      </c>
      <c r="X37" t="n">
        <v>2636.4938</v>
      </c>
      <c r="Y37" t="n">
        <v>1605.6523</v>
      </c>
      <c r="Z37" t="n">
        <v>0.00018267</v>
      </c>
      <c r="AA37" t="n">
        <v>0.3785</v>
      </c>
      <c r="AB37" t="n">
        <v>321.1305</v>
      </c>
      <c r="AC37" t="n">
        <v>160.5652</v>
      </c>
      <c r="AD37" t="n">
        <v>2382.8132</v>
      </c>
      <c r="AE37" t="n">
        <v>11509.3666</v>
      </c>
      <c r="AF37" t="n">
        <v>0.99</v>
      </c>
      <c r="AG37" t="inlineStr">
        <is>
          <t>Medium</t>
        </is>
      </c>
      <c r="AH37" t="inlineStr">
        <is>
          <t>On Track to Glide Path</t>
        </is>
      </c>
    </row>
    <row r="38">
      <c r="A38" t="inlineStr">
        <is>
          <t>SUP-0003</t>
        </is>
      </c>
      <c r="B38" t="inlineStr">
        <is>
          <t>Electronics Supplier 003</t>
        </is>
      </c>
      <c r="C38" t="inlineStr">
        <is>
          <t>Electronics</t>
        </is>
      </c>
      <c r="D38" t="n">
        <v>2024</v>
      </c>
      <c r="E38" t="n">
        <v>2018</v>
      </c>
      <c r="F38" t="n">
        <v>2030</v>
      </c>
      <c r="G38" t="n">
        <v>6408.6921</v>
      </c>
      <c r="H38" t="n">
        <v>597.869</v>
      </c>
      <c r="I38" t="n">
        <v>724.7649</v>
      </c>
      <c r="J38" t="inlineStr"/>
      <c r="K38" t="n">
        <v>14433482.87</v>
      </c>
      <c r="L38" t="n">
        <v>41008991.04</v>
      </c>
      <c r="M38" t="n">
        <v>6408.6921</v>
      </c>
      <c r="N38" t="inlineStr">
        <is>
          <t>Supplier Reported Emissions</t>
        </is>
      </c>
      <c r="O38" t="b">
        <v>0</v>
      </c>
      <c r="P38" t="inlineStr">
        <is>
          <t>High</t>
        </is>
      </c>
      <c r="Q38" t="inlineStr">
        <is>
          <t>Scope_Emissions</t>
        </is>
      </c>
      <c r="R38" t="inlineStr">
        <is>
          <t>Valid</t>
        </is>
      </c>
      <c r="S38" t="n">
        <v>2029</v>
      </c>
      <c r="T38" t="inlineStr">
        <is>
          <t>Supplier Target Pathway</t>
        </is>
      </c>
      <c r="U38" t="n">
        <v>4242.1461</v>
      </c>
      <c r="V38" t="n">
        <v>2315.3633</v>
      </c>
      <c r="W38" t="n">
        <v>2475.9286</v>
      </c>
      <c r="X38" t="n">
        <v>2475.9286</v>
      </c>
      <c r="Y38" t="n">
        <v>1766.2175</v>
      </c>
      <c r="Z38" t="n">
        <v>0.00017154</v>
      </c>
      <c r="AA38" t="n">
        <v>0.41635</v>
      </c>
      <c r="AB38" t="n">
        <v>160.5652</v>
      </c>
      <c r="AC38" t="n">
        <v>160.5652</v>
      </c>
      <c r="AD38" t="n">
        <v>-93.11539999999999</v>
      </c>
      <c r="AE38" t="n">
        <v>13985.2952</v>
      </c>
      <c r="AF38" t="n">
        <v>0.99</v>
      </c>
      <c r="AG38" t="inlineStr">
        <is>
          <t>Medium</t>
        </is>
      </c>
      <c r="AH38" t="inlineStr">
        <is>
          <t>On Track to Glide Path</t>
        </is>
      </c>
    </row>
    <row r="39">
      <c r="A39" t="inlineStr">
        <is>
          <t>SUP-0003</t>
        </is>
      </c>
      <c r="B39" t="inlineStr">
        <is>
          <t>Electronics Supplier 003</t>
        </is>
      </c>
      <c r="C39" t="inlineStr">
        <is>
          <t>Electronics</t>
        </is>
      </c>
      <c r="D39" t="n">
        <v>2024</v>
      </c>
      <c r="E39" t="n">
        <v>2018</v>
      </c>
      <c r="F39" t="n">
        <v>2030</v>
      </c>
      <c r="G39" t="n">
        <v>6408.6921</v>
      </c>
      <c r="H39" t="n">
        <v>597.869</v>
      </c>
      <c r="I39" t="n">
        <v>724.7649</v>
      </c>
      <c r="J39" t="inlineStr"/>
      <c r="K39" t="n">
        <v>14433482.87</v>
      </c>
      <c r="L39" t="n">
        <v>41008991.04</v>
      </c>
      <c r="M39" t="n">
        <v>6408.6921</v>
      </c>
      <c r="N39" t="inlineStr">
        <is>
          <t>Supplier Reported Emissions</t>
        </is>
      </c>
      <c r="O39" t="b">
        <v>0</v>
      </c>
      <c r="P39" t="inlineStr">
        <is>
          <t>High</t>
        </is>
      </c>
      <c r="Q39" t="inlineStr">
        <is>
          <t>Scope_Emissions</t>
        </is>
      </c>
      <c r="R39" t="inlineStr">
        <is>
          <t>Valid</t>
        </is>
      </c>
      <c r="S39" t="n">
        <v>2030</v>
      </c>
      <c r="T39" t="inlineStr">
        <is>
          <t>Supplier Target Pathway</t>
        </is>
      </c>
      <c r="U39" t="n">
        <v>4242.1461</v>
      </c>
      <c r="V39" t="n">
        <v>2315.3633</v>
      </c>
      <c r="W39" t="n">
        <v>2315.3633</v>
      </c>
      <c r="X39" t="n">
        <v>2315.3633</v>
      </c>
      <c r="Y39" t="n">
        <v>1926.7828</v>
      </c>
      <c r="Z39" t="n">
        <v>0.00016042</v>
      </c>
      <c r="AA39" t="n">
        <v>0.4542</v>
      </c>
      <c r="AB39" t="n">
        <v>0</v>
      </c>
      <c r="AC39" t="n">
        <v>160.5652</v>
      </c>
      <c r="AD39" t="n">
        <v>-2408.4787</v>
      </c>
      <c r="AE39" t="n">
        <v>16300.6585</v>
      </c>
      <c r="AF39" t="n">
        <v>0.99</v>
      </c>
      <c r="AG39" t="inlineStr">
        <is>
          <t>Low</t>
        </is>
      </c>
      <c r="AH39" t="inlineStr">
        <is>
          <t>On Track</t>
        </is>
      </c>
    </row>
    <row r="40">
      <c r="A40" t="inlineStr">
        <is>
          <t>SUP-0003</t>
        </is>
      </c>
      <c r="B40" t="inlineStr">
        <is>
          <t>Electronics Supplier 003</t>
        </is>
      </c>
      <c r="C40" t="inlineStr">
        <is>
          <t>Electronics</t>
        </is>
      </c>
      <c r="D40" t="n">
        <v>2024</v>
      </c>
      <c r="E40" t="n">
        <v>2018</v>
      </c>
      <c r="F40" t="n">
        <v>2030</v>
      </c>
      <c r="G40" t="n">
        <v>6408.6921</v>
      </c>
      <c r="H40" t="n">
        <v>597.869</v>
      </c>
      <c r="I40" t="n">
        <v>724.7649</v>
      </c>
      <c r="J40" t="inlineStr"/>
      <c r="K40" t="n">
        <v>14433482.87</v>
      </c>
      <c r="L40" t="n">
        <v>41008991.04</v>
      </c>
      <c r="M40" t="n">
        <v>6408.6921</v>
      </c>
      <c r="N40" t="inlineStr">
        <is>
          <t>Supplier Reported Emissions</t>
        </is>
      </c>
      <c r="O40" t="b">
        <v>0</v>
      </c>
      <c r="P40" t="inlineStr">
        <is>
          <t>High</t>
        </is>
      </c>
      <c r="Q40" t="inlineStr">
        <is>
          <t>Scope_Emissions</t>
        </is>
      </c>
      <c r="R40" t="inlineStr">
        <is>
          <t>Valid</t>
        </is>
      </c>
      <c r="S40" t="n">
        <v>2031</v>
      </c>
      <c r="T40" t="inlineStr">
        <is>
          <t>Supplier Target Pathway</t>
        </is>
      </c>
      <c r="U40" t="n">
        <v>4242.1461</v>
      </c>
      <c r="V40" t="n">
        <v>2315.3633</v>
      </c>
      <c r="W40" t="n">
        <v>2315.3633</v>
      </c>
      <c r="X40" t="n">
        <v>2315.3633</v>
      </c>
      <c r="Y40" t="n">
        <v>1926.7828</v>
      </c>
      <c r="Z40" t="n">
        <v>0.00016042</v>
      </c>
      <c r="AA40" t="n">
        <v>0.4542</v>
      </c>
      <c r="AB40" t="n">
        <v>0</v>
      </c>
      <c r="AC40" t="n">
        <v>160.5652</v>
      </c>
      <c r="AD40" t="n">
        <v>-4723.842</v>
      </c>
      <c r="AE40" t="n">
        <v>18616.0218</v>
      </c>
      <c r="AF40" t="n">
        <v>0.99</v>
      </c>
      <c r="AG40" t="inlineStr">
        <is>
          <t>Low</t>
        </is>
      </c>
      <c r="AH40" t="inlineStr">
        <is>
          <t>On Track</t>
        </is>
      </c>
    </row>
    <row r="41">
      <c r="A41" t="inlineStr">
        <is>
          <t>SUP-0003</t>
        </is>
      </c>
      <c r="B41" t="inlineStr">
        <is>
          <t>Electronics Supplier 003</t>
        </is>
      </c>
      <c r="C41" t="inlineStr">
        <is>
          <t>Electronics</t>
        </is>
      </c>
      <c r="D41" t="n">
        <v>2024</v>
      </c>
      <c r="E41" t="n">
        <v>2018</v>
      </c>
      <c r="F41" t="n">
        <v>2030</v>
      </c>
      <c r="G41" t="n">
        <v>6408.6921</v>
      </c>
      <c r="H41" t="n">
        <v>597.869</v>
      </c>
      <c r="I41" t="n">
        <v>724.7649</v>
      </c>
      <c r="J41" t="inlineStr"/>
      <c r="K41" t="n">
        <v>14433482.87</v>
      </c>
      <c r="L41" t="n">
        <v>41008991.04</v>
      </c>
      <c r="M41" t="n">
        <v>6408.6921</v>
      </c>
      <c r="N41" t="inlineStr">
        <is>
          <t>Supplier Reported Emissions</t>
        </is>
      </c>
      <c r="O41" t="b">
        <v>0</v>
      </c>
      <c r="P41" t="inlineStr">
        <is>
          <t>High</t>
        </is>
      </c>
      <c r="Q41" t="inlineStr">
        <is>
          <t>Scope_Emissions</t>
        </is>
      </c>
      <c r="R41" t="inlineStr">
        <is>
          <t>Valid</t>
        </is>
      </c>
      <c r="S41" t="n">
        <v>2032</v>
      </c>
      <c r="T41" t="inlineStr">
        <is>
          <t>Supplier Target Pathway</t>
        </is>
      </c>
      <c r="U41" t="n">
        <v>4242.1461</v>
      </c>
      <c r="V41" t="n">
        <v>2315.3633</v>
      </c>
      <c r="W41" t="n">
        <v>2315.3633</v>
      </c>
      <c r="X41" t="n">
        <v>2315.3633</v>
      </c>
      <c r="Y41" t="n">
        <v>1926.7828</v>
      </c>
      <c r="Z41" t="n">
        <v>0.00016042</v>
      </c>
      <c r="AA41" t="n">
        <v>0.4542</v>
      </c>
      <c r="AB41" t="n">
        <v>0</v>
      </c>
      <c r="AC41" t="n">
        <v>160.5652</v>
      </c>
      <c r="AD41" t="n">
        <v>-7039.2053</v>
      </c>
      <c r="AE41" t="n">
        <v>20931.3851</v>
      </c>
      <c r="AF41" t="n">
        <v>0.99</v>
      </c>
      <c r="AG41" t="inlineStr">
        <is>
          <t>Low</t>
        </is>
      </c>
      <c r="AH41" t="inlineStr">
        <is>
          <t>On Track</t>
        </is>
      </c>
    </row>
    <row r="42">
      <c r="A42" t="inlineStr">
        <is>
          <t>SUP-0003</t>
        </is>
      </c>
      <c r="B42" t="inlineStr">
        <is>
          <t>Electronics Supplier 003</t>
        </is>
      </c>
      <c r="C42" t="inlineStr">
        <is>
          <t>Electronics</t>
        </is>
      </c>
      <c r="D42" t="n">
        <v>2024</v>
      </c>
      <c r="E42" t="n">
        <v>2018</v>
      </c>
      <c r="F42" t="n">
        <v>2030</v>
      </c>
      <c r="G42" t="n">
        <v>6408.6921</v>
      </c>
      <c r="H42" t="n">
        <v>597.869</v>
      </c>
      <c r="I42" t="n">
        <v>724.7649</v>
      </c>
      <c r="J42" t="inlineStr"/>
      <c r="K42" t="n">
        <v>14433482.87</v>
      </c>
      <c r="L42" t="n">
        <v>41008991.04</v>
      </c>
      <c r="M42" t="n">
        <v>6408.6921</v>
      </c>
      <c r="N42" t="inlineStr">
        <is>
          <t>Supplier Reported Emissions</t>
        </is>
      </c>
      <c r="O42" t="b">
        <v>0</v>
      </c>
      <c r="P42" t="inlineStr">
        <is>
          <t>High</t>
        </is>
      </c>
      <c r="Q42" t="inlineStr">
        <is>
          <t>Scope_Emissions</t>
        </is>
      </c>
      <c r="R42" t="inlineStr">
        <is>
          <t>Valid</t>
        </is>
      </c>
      <c r="S42" t="n">
        <v>2033</v>
      </c>
      <c r="T42" t="inlineStr">
        <is>
          <t>Supplier Target Pathway</t>
        </is>
      </c>
      <c r="U42" t="n">
        <v>4242.1461</v>
      </c>
      <c r="V42" t="n">
        <v>2315.3633</v>
      </c>
      <c r="W42" t="n">
        <v>2315.3633</v>
      </c>
      <c r="X42" t="n">
        <v>2315.3633</v>
      </c>
      <c r="Y42" t="n">
        <v>1926.7828</v>
      </c>
      <c r="Z42" t="n">
        <v>0.00016042</v>
      </c>
      <c r="AA42" t="n">
        <v>0.4542</v>
      </c>
      <c r="AB42" t="n">
        <v>0</v>
      </c>
      <c r="AC42" t="n">
        <v>160.5652</v>
      </c>
      <c r="AD42" t="n">
        <v>-9354.568600000001</v>
      </c>
      <c r="AE42" t="n">
        <v>23246.7484</v>
      </c>
      <c r="AF42" t="n">
        <v>0.99</v>
      </c>
      <c r="AG42" t="inlineStr">
        <is>
          <t>Low</t>
        </is>
      </c>
      <c r="AH42" t="inlineStr">
        <is>
          <t>On Track</t>
        </is>
      </c>
    </row>
    <row r="43">
      <c r="A43" t="inlineStr">
        <is>
          <t>SUP-0003</t>
        </is>
      </c>
      <c r="B43" t="inlineStr">
        <is>
          <t>Electronics Supplier 003</t>
        </is>
      </c>
      <c r="C43" t="inlineStr">
        <is>
          <t>Electronics</t>
        </is>
      </c>
      <c r="D43" t="n">
        <v>2024</v>
      </c>
      <c r="E43" t="n">
        <v>2018</v>
      </c>
      <c r="F43" t="n">
        <v>2030</v>
      </c>
      <c r="G43" t="n">
        <v>6408.6921</v>
      </c>
      <c r="H43" t="n">
        <v>597.869</v>
      </c>
      <c r="I43" t="n">
        <v>724.7649</v>
      </c>
      <c r="J43" t="inlineStr"/>
      <c r="K43" t="n">
        <v>14433482.87</v>
      </c>
      <c r="L43" t="n">
        <v>41008991.04</v>
      </c>
      <c r="M43" t="n">
        <v>6408.6921</v>
      </c>
      <c r="N43" t="inlineStr">
        <is>
          <t>Supplier Reported Emissions</t>
        </is>
      </c>
      <c r="O43" t="b">
        <v>0</v>
      </c>
      <c r="P43" t="inlineStr">
        <is>
          <t>High</t>
        </is>
      </c>
      <c r="Q43" t="inlineStr">
        <is>
          <t>Scope_Emissions</t>
        </is>
      </c>
      <c r="R43" t="inlineStr">
        <is>
          <t>Valid</t>
        </is>
      </c>
      <c r="S43" t="n">
        <v>2034</v>
      </c>
      <c r="T43" t="inlineStr">
        <is>
          <t>Supplier Target Pathway</t>
        </is>
      </c>
      <c r="U43" t="n">
        <v>4242.1461</v>
      </c>
      <c r="V43" t="n">
        <v>2315.3633</v>
      </c>
      <c r="W43" t="n">
        <v>2315.3633</v>
      </c>
      <c r="X43" t="n">
        <v>2315.3633</v>
      </c>
      <c r="Y43" t="n">
        <v>1926.7828</v>
      </c>
      <c r="Z43" t="n">
        <v>0.00016042</v>
      </c>
      <c r="AA43" t="n">
        <v>0.4542</v>
      </c>
      <c r="AB43" t="n">
        <v>0</v>
      </c>
      <c r="AC43" t="n">
        <v>160.5652</v>
      </c>
      <c r="AD43" t="n">
        <v>-11669.9319</v>
      </c>
      <c r="AE43" t="n">
        <v>25562.1117</v>
      </c>
      <c r="AF43" t="n">
        <v>0.99</v>
      </c>
      <c r="AG43" t="inlineStr">
        <is>
          <t>Low</t>
        </is>
      </c>
      <c r="AH43" t="inlineStr">
        <is>
          <t>On Track</t>
        </is>
      </c>
    </row>
    <row r="44">
      <c r="A44" t="inlineStr">
        <is>
          <t>SUP-0003</t>
        </is>
      </c>
      <c r="B44" t="inlineStr">
        <is>
          <t>Electronics Supplier 003</t>
        </is>
      </c>
      <c r="C44" t="inlineStr">
        <is>
          <t>Electronics</t>
        </is>
      </c>
      <c r="D44" t="n">
        <v>2024</v>
      </c>
      <c r="E44" t="n">
        <v>2018</v>
      </c>
      <c r="F44" t="n">
        <v>2030</v>
      </c>
      <c r="G44" t="n">
        <v>6408.6921</v>
      </c>
      <c r="H44" t="n">
        <v>597.869</v>
      </c>
      <c r="I44" t="n">
        <v>724.7649</v>
      </c>
      <c r="J44" t="inlineStr"/>
      <c r="K44" t="n">
        <v>14433482.87</v>
      </c>
      <c r="L44" t="n">
        <v>41008991.04</v>
      </c>
      <c r="M44" t="n">
        <v>6408.6921</v>
      </c>
      <c r="N44" t="inlineStr">
        <is>
          <t>Supplier Reported Emissions</t>
        </is>
      </c>
      <c r="O44" t="b">
        <v>0</v>
      </c>
      <c r="P44" t="inlineStr">
        <is>
          <t>High</t>
        </is>
      </c>
      <c r="Q44" t="inlineStr">
        <is>
          <t>Scope_Emissions</t>
        </is>
      </c>
      <c r="R44" t="inlineStr">
        <is>
          <t>Valid</t>
        </is>
      </c>
      <c r="S44" t="n">
        <v>2035</v>
      </c>
      <c r="T44" t="inlineStr">
        <is>
          <t>Supplier Target Pathway</t>
        </is>
      </c>
      <c r="U44" t="n">
        <v>4242.1461</v>
      </c>
      <c r="V44" t="n">
        <v>2315.3633</v>
      </c>
      <c r="W44" t="n">
        <v>2315.3633</v>
      </c>
      <c r="X44" t="n">
        <v>2315.3633</v>
      </c>
      <c r="Y44" t="n">
        <v>1926.7828</v>
      </c>
      <c r="Z44" t="n">
        <v>0.00016042</v>
      </c>
      <c r="AA44" t="n">
        <v>0.4542</v>
      </c>
      <c r="AB44" t="n">
        <v>0</v>
      </c>
      <c r="AC44" t="n">
        <v>160.5652</v>
      </c>
      <c r="AD44" t="n">
        <v>-13985.2952</v>
      </c>
      <c r="AE44" t="n">
        <v>27877.475</v>
      </c>
      <c r="AF44" t="n">
        <v>0.99</v>
      </c>
      <c r="AG44" t="inlineStr">
        <is>
          <t>Low</t>
        </is>
      </c>
      <c r="AH44" t="inlineStr">
        <is>
          <t>On Track</t>
        </is>
      </c>
    </row>
    <row r="45">
      <c r="A45" t="inlineStr">
        <is>
          <t>SUP-0003</t>
        </is>
      </c>
      <c r="B45" t="inlineStr">
        <is>
          <t>Electronics Supplier 003</t>
        </is>
      </c>
      <c r="C45" t="inlineStr">
        <is>
          <t>Electronics</t>
        </is>
      </c>
      <c r="D45" t="n">
        <v>2024</v>
      </c>
      <c r="E45" t="n">
        <v>2018</v>
      </c>
      <c r="F45" t="n">
        <v>2030</v>
      </c>
      <c r="G45" t="n">
        <v>6408.6921</v>
      </c>
      <c r="H45" t="n">
        <v>597.869</v>
      </c>
      <c r="I45" t="n">
        <v>724.7649</v>
      </c>
      <c r="J45" t="inlineStr"/>
      <c r="K45" t="n">
        <v>14433482.87</v>
      </c>
      <c r="L45" t="n">
        <v>41008991.04</v>
      </c>
      <c r="M45" t="n">
        <v>6408.6921</v>
      </c>
      <c r="N45" t="inlineStr">
        <is>
          <t>Supplier Reported Emissions</t>
        </is>
      </c>
      <c r="O45" t="b">
        <v>0</v>
      </c>
      <c r="P45" t="inlineStr">
        <is>
          <t>High</t>
        </is>
      </c>
      <c r="Q45" t="inlineStr">
        <is>
          <t>Scope_Emissions</t>
        </is>
      </c>
      <c r="R45" t="inlineStr">
        <is>
          <t>Valid</t>
        </is>
      </c>
      <c r="S45" t="n">
        <v>2036</v>
      </c>
      <c r="T45" t="inlineStr">
        <is>
          <t>Supplier Target Pathway</t>
        </is>
      </c>
      <c r="U45" t="n">
        <v>4242.1461</v>
      </c>
      <c r="V45" t="n">
        <v>2315.3633</v>
      </c>
      <c r="W45" t="n">
        <v>2315.3633</v>
      </c>
      <c r="X45" t="n">
        <v>2315.3633</v>
      </c>
      <c r="Y45" t="n">
        <v>1926.7828</v>
      </c>
      <c r="Z45" t="n">
        <v>0.00016042</v>
      </c>
      <c r="AA45" t="n">
        <v>0.4542</v>
      </c>
      <c r="AB45" t="n">
        <v>0</v>
      </c>
      <c r="AC45" t="n">
        <v>160.5652</v>
      </c>
      <c r="AD45" t="n">
        <v>-16300.6585</v>
      </c>
      <c r="AE45" t="n">
        <v>30192.8383</v>
      </c>
      <c r="AF45" t="n">
        <v>0.99</v>
      </c>
      <c r="AG45" t="inlineStr">
        <is>
          <t>Low</t>
        </is>
      </c>
      <c r="AH45" t="inlineStr">
        <is>
          <t>On Track</t>
        </is>
      </c>
    </row>
    <row r="46">
      <c r="A46" t="inlineStr">
        <is>
          <t>SUP-0003</t>
        </is>
      </c>
      <c r="B46" t="inlineStr">
        <is>
          <t>Electronics Supplier 003</t>
        </is>
      </c>
      <c r="C46" t="inlineStr">
        <is>
          <t>Electronics</t>
        </is>
      </c>
      <c r="D46" t="n">
        <v>2024</v>
      </c>
      <c r="E46" t="n">
        <v>2018</v>
      </c>
      <c r="F46" t="n">
        <v>2030</v>
      </c>
      <c r="G46" t="n">
        <v>6408.6921</v>
      </c>
      <c r="H46" t="n">
        <v>597.869</v>
      </c>
      <c r="I46" t="n">
        <v>724.7649</v>
      </c>
      <c r="J46" t="inlineStr"/>
      <c r="K46" t="n">
        <v>14433482.87</v>
      </c>
      <c r="L46" t="n">
        <v>41008991.04</v>
      </c>
      <c r="M46" t="n">
        <v>6408.6921</v>
      </c>
      <c r="N46" t="inlineStr">
        <is>
          <t>Supplier Reported Emissions</t>
        </is>
      </c>
      <c r="O46" t="b">
        <v>0</v>
      </c>
      <c r="P46" t="inlineStr">
        <is>
          <t>High</t>
        </is>
      </c>
      <c r="Q46" t="inlineStr">
        <is>
          <t>Scope_Emissions</t>
        </is>
      </c>
      <c r="R46" t="inlineStr">
        <is>
          <t>Valid</t>
        </is>
      </c>
      <c r="S46" t="n">
        <v>2037</v>
      </c>
      <c r="T46" t="inlineStr">
        <is>
          <t>Supplier Target Pathway</t>
        </is>
      </c>
      <c r="U46" t="n">
        <v>4242.1461</v>
      </c>
      <c r="V46" t="n">
        <v>2315.3633</v>
      </c>
      <c r="W46" t="n">
        <v>2315.3633</v>
      </c>
      <c r="X46" t="n">
        <v>2315.3633</v>
      </c>
      <c r="Y46" t="n">
        <v>1926.7828</v>
      </c>
      <c r="Z46" t="n">
        <v>0.00016042</v>
      </c>
      <c r="AA46" t="n">
        <v>0.4542</v>
      </c>
      <c r="AB46" t="n">
        <v>0</v>
      </c>
      <c r="AC46" t="n">
        <v>160.5652</v>
      </c>
      <c r="AD46" t="n">
        <v>-18616.0218</v>
      </c>
      <c r="AE46" t="n">
        <v>32508.2016</v>
      </c>
      <c r="AF46" t="n">
        <v>0.99</v>
      </c>
      <c r="AG46" t="inlineStr">
        <is>
          <t>Low</t>
        </is>
      </c>
      <c r="AH46" t="inlineStr">
        <is>
          <t>On Track</t>
        </is>
      </c>
    </row>
    <row r="47">
      <c r="A47" t="inlineStr">
        <is>
          <t>SUP-0003</t>
        </is>
      </c>
      <c r="B47" t="inlineStr">
        <is>
          <t>Electronics Supplier 003</t>
        </is>
      </c>
      <c r="C47" t="inlineStr">
        <is>
          <t>Electronics</t>
        </is>
      </c>
      <c r="D47" t="n">
        <v>2024</v>
      </c>
      <c r="E47" t="n">
        <v>2018</v>
      </c>
      <c r="F47" t="n">
        <v>2030</v>
      </c>
      <c r="G47" t="n">
        <v>6408.6921</v>
      </c>
      <c r="H47" t="n">
        <v>597.869</v>
      </c>
      <c r="I47" t="n">
        <v>724.7649</v>
      </c>
      <c r="J47" t="inlineStr"/>
      <c r="K47" t="n">
        <v>14433482.87</v>
      </c>
      <c r="L47" t="n">
        <v>41008991.04</v>
      </c>
      <c r="M47" t="n">
        <v>6408.6921</v>
      </c>
      <c r="N47" t="inlineStr">
        <is>
          <t>Supplier Reported Emissions</t>
        </is>
      </c>
      <c r="O47" t="b">
        <v>0</v>
      </c>
      <c r="P47" t="inlineStr">
        <is>
          <t>High</t>
        </is>
      </c>
      <c r="Q47" t="inlineStr">
        <is>
          <t>Scope_Emissions</t>
        </is>
      </c>
      <c r="R47" t="inlineStr">
        <is>
          <t>Valid</t>
        </is>
      </c>
      <c r="S47" t="n">
        <v>2038</v>
      </c>
      <c r="T47" t="inlineStr">
        <is>
          <t>Supplier Target Pathway</t>
        </is>
      </c>
      <c r="U47" t="n">
        <v>4242.1461</v>
      </c>
      <c r="V47" t="n">
        <v>2315.3633</v>
      </c>
      <c r="W47" t="n">
        <v>2315.3633</v>
      </c>
      <c r="X47" t="n">
        <v>2315.3633</v>
      </c>
      <c r="Y47" t="n">
        <v>1926.7828</v>
      </c>
      <c r="Z47" t="n">
        <v>0.00016042</v>
      </c>
      <c r="AA47" t="n">
        <v>0.4542</v>
      </c>
      <c r="AB47" t="n">
        <v>0</v>
      </c>
      <c r="AC47" t="n">
        <v>160.5652</v>
      </c>
      <c r="AD47" t="n">
        <v>-20931.3851</v>
      </c>
      <c r="AE47" t="n">
        <v>34823.5649</v>
      </c>
      <c r="AF47" t="n">
        <v>0.99</v>
      </c>
      <c r="AG47" t="inlineStr">
        <is>
          <t>Low</t>
        </is>
      </c>
      <c r="AH47" t="inlineStr">
        <is>
          <t>On Track</t>
        </is>
      </c>
    </row>
    <row r="48">
      <c r="A48" t="inlineStr">
        <is>
          <t>SUP-0003</t>
        </is>
      </c>
      <c r="B48" t="inlineStr">
        <is>
          <t>Electronics Supplier 003</t>
        </is>
      </c>
      <c r="C48" t="inlineStr">
        <is>
          <t>Electronics</t>
        </is>
      </c>
      <c r="D48" t="n">
        <v>2024</v>
      </c>
      <c r="E48" t="n">
        <v>2018</v>
      </c>
      <c r="F48" t="n">
        <v>2030</v>
      </c>
      <c r="G48" t="n">
        <v>6408.6921</v>
      </c>
      <c r="H48" t="n">
        <v>597.869</v>
      </c>
      <c r="I48" t="n">
        <v>724.7649</v>
      </c>
      <c r="J48" t="inlineStr"/>
      <c r="K48" t="n">
        <v>14433482.87</v>
      </c>
      <c r="L48" t="n">
        <v>41008991.04</v>
      </c>
      <c r="M48" t="n">
        <v>6408.6921</v>
      </c>
      <c r="N48" t="inlineStr">
        <is>
          <t>Supplier Reported Emissions</t>
        </is>
      </c>
      <c r="O48" t="b">
        <v>0</v>
      </c>
      <c r="P48" t="inlineStr">
        <is>
          <t>High</t>
        </is>
      </c>
      <c r="Q48" t="inlineStr">
        <is>
          <t>Scope_Emissions</t>
        </is>
      </c>
      <c r="R48" t="inlineStr">
        <is>
          <t>Valid</t>
        </is>
      </c>
      <c r="S48" t="n">
        <v>2039</v>
      </c>
      <c r="T48" t="inlineStr">
        <is>
          <t>Supplier Target Pathway</t>
        </is>
      </c>
      <c r="U48" t="n">
        <v>4242.1461</v>
      </c>
      <c r="V48" t="n">
        <v>2315.3633</v>
      </c>
      <c r="W48" t="n">
        <v>2315.3633</v>
      </c>
      <c r="X48" t="n">
        <v>2315.3633</v>
      </c>
      <c r="Y48" t="n">
        <v>1926.7828</v>
      </c>
      <c r="Z48" t="n">
        <v>0.00016042</v>
      </c>
      <c r="AA48" t="n">
        <v>0.4542</v>
      </c>
      <c r="AB48" t="n">
        <v>0</v>
      </c>
      <c r="AC48" t="n">
        <v>160.5652</v>
      </c>
      <c r="AD48" t="n">
        <v>-23246.7484</v>
      </c>
      <c r="AE48" t="n">
        <v>37138.9282</v>
      </c>
      <c r="AF48" t="n">
        <v>0.99</v>
      </c>
      <c r="AG48" t="inlineStr">
        <is>
          <t>Low</t>
        </is>
      </c>
      <c r="AH48" t="inlineStr">
        <is>
          <t>On Track</t>
        </is>
      </c>
    </row>
    <row r="49">
      <c r="A49" t="inlineStr">
        <is>
          <t>SUP-0003</t>
        </is>
      </c>
      <c r="B49" t="inlineStr">
        <is>
          <t>Electronics Supplier 003</t>
        </is>
      </c>
      <c r="C49" t="inlineStr">
        <is>
          <t>Electronics</t>
        </is>
      </c>
      <c r="D49" t="n">
        <v>2024</v>
      </c>
      <c r="E49" t="n">
        <v>2018</v>
      </c>
      <c r="F49" t="n">
        <v>2030</v>
      </c>
      <c r="G49" t="n">
        <v>6408.6921</v>
      </c>
      <c r="H49" t="n">
        <v>597.869</v>
      </c>
      <c r="I49" t="n">
        <v>724.7649</v>
      </c>
      <c r="J49" t="inlineStr"/>
      <c r="K49" t="n">
        <v>14433482.87</v>
      </c>
      <c r="L49" t="n">
        <v>41008991.04</v>
      </c>
      <c r="M49" t="n">
        <v>6408.6921</v>
      </c>
      <c r="N49" t="inlineStr">
        <is>
          <t>Supplier Reported Emissions</t>
        </is>
      </c>
      <c r="O49" t="b">
        <v>0</v>
      </c>
      <c r="P49" t="inlineStr">
        <is>
          <t>High</t>
        </is>
      </c>
      <c r="Q49" t="inlineStr">
        <is>
          <t>Scope_Emissions</t>
        </is>
      </c>
      <c r="R49" t="inlineStr">
        <is>
          <t>Valid</t>
        </is>
      </c>
      <c r="S49" t="n">
        <v>2040</v>
      </c>
      <c r="T49" t="inlineStr">
        <is>
          <t>Supplier Target Pathway</t>
        </is>
      </c>
      <c r="U49" t="n">
        <v>4242.1461</v>
      </c>
      <c r="V49" t="n">
        <v>2315.3633</v>
      </c>
      <c r="W49" t="n">
        <v>2315.3633</v>
      </c>
      <c r="X49" t="n">
        <v>2315.3633</v>
      </c>
      <c r="Y49" t="n">
        <v>1926.7828</v>
      </c>
      <c r="Z49" t="n">
        <v>0.00016042</v>
      </c>
      <c r="AA49" t="n">
        <v>0.4542</v>
      </c>
      <c r="AB49" t="n">
        <v>0</v>
      </c>
      <c r="AC49" t="n">
        <v>160.5652</v>
      </c>
      <c r="AD49" t="n">
        <v>-25562.1117</v>
      </c>
      <c r="AE49" t="n">
        <v>39454.2915</v>
      </c>
      <c r="AF49" t="n">
        <v>0.99</v>
      </c>
      <c r="AG49" t="inlineStr">
        <is>
          <t>Low</t>
        </is>
      </c>
      <c r="AH49" t="inlineStr">
        <is>
          <t>On Track</t>
        </is>
      </c>
    </row>
    <row r="50">
      <c r="A50" t="inlineStr">
        <is>
          <t>SUP-0004</t>
        </is>
      </c>
      <c r="B50" t="inlineStr">
        <is>
          <t>Agriculture Supplier 004</t>
        </is>
      </c>
      <c r="C50" t="inlineStr">
        <is>
          <t>Agriculture</t>
        </is>
      </c>
      <c r="D50" t="n">
        <v>2024</v>
      </c>
      <c r="E50" t="n">
        <v>2020</v>
      </c>
      <c r="F50" t="n">
        <v>2040</v>
      </c>
      <c r="G50" t="n">
        <v>3720.5628</v>
      </c>
      <c r="H50" t="n">
        <v>416.9159</v>
      </c>
      <c r="I50" t="n">
        <v>451.7582</v>
      </c>
      <c r="J50" t="n">
        <v>3151.0702</v>
      </c>
      <c r="K50" t="n">
        <v>5955769.2</v>
      </c>
      <c r="L50" t="n">
        <v>37921597.27</v>
      </c>
      <c r="M50" t="n">
        <v>3720.5628</v>
      </c>
      <c r="N50" t="inlineStr">
        <is>
          <t>Supplier Reported Emissions</t>
        </is>
      </c>
      <c r="O50" t="b">
        <v>0</v>
      </c>
      <c r="P50" t="inlineStr">
        <is>
          <t>High</t>
        </is>
      </c>
      <c r="Q50" t="inlineStr">
        <is>
          <t>None</t>
        </is>
      </c>
      <c r="R50" t="inlineStr">
        <is>
          <t>Valid</t>
        </is>
      </c>
      <c r="S50" t="n">
        <v>2025</v>
      </c>
      <c r="T50" t="inlineStr">
        <is>
          <t>Supplier Target Pathway</t>
        </is>
      </c>
      <c r="U50" t="n">
        <v>3982.5637</v>
      </c>
      <c r="V50" t="n">
        <v>1644.0023</v>
      </c>
      <c r="W50" t="n">
        <v>3397.9233</v>
      </c>
      <c r="X50" t="n">
        <v>3397.9233</v>
      </c>
      <c r="Y50" t="n">
        <v>584.6404</v>
      </c>
      <c r="Z50" t="n">
        <v>0.00057053</v>
      </c>
      <c r="AA50" t="n">
        <v>0.1468</v>
      </c>
      <c r="AB50" t="n">
        <v>1753.9211</v>
      </c>
      <c r="AC50" t="n">
        <v>116.9281</v>
      </c>
      <c r="AD50" t="n">
        <v>22906.1135</v>
      </c>
      <c r="AE50" t="n">
        <v>3397.9233</v>
      </c>
      <c r="AF50" t="n">
        <v>0.968</v>
      </c>
      <c r="AG50" t="inlineStr">
        <is>
          <t>Critical</t>
        </is>
      </c>
      <c r="AH50" t="inlineStr">
        <is>
          <t>On Track to Glide Path</t>
        </is>
      </c>
    </row>
    <row r="51">
      <c r="A51" t="inlineStr">
        <is>
          <t>SUP-0004</t>
        </is>
      </c>
      <c r="B51" t="inlineStr">
        <is>
          <t>Agriculture Supplier 004</t>
        </is>
      </c>
      <c r="C51" t="inlineStr">
        <is>
          <t>Agriculture</t>
        </is>
      </c>
      <c r="D51" t="n">
        <v>2024</v>
      </c>
      <c r="E51" t="n">
        <v>2020</v>
      </c>
      <c r="F51" t="n">
        <v>2040</v>
      </c>
      <c r="G51" t="n">
        <v>3720.5628</v>
      </c>
      <c r="H51" t="n">
        <v>416.9159</v>
      </c>
      <c r="I51" t="n">
        <v>451.7582</v>
      </c>
      <c r="J51" t="n">
        <v>3151.0702</v>
      </c>
      <c r="K51" t="n">
        <v>5955769.2</v>
      </c>
      <c r="L51" t="n">
        <v>37921597.27</v>
      </c>
      <c r="M51" t="n">
        <v>3720.5628</v>
      </c>
      <c r="N51" t="inlineStr">
        <is>
          <t>Supplier Reported Emissions</t>
        </is>
      </c>
      <c r="O51" t="b">
        <v>0</v>
      </c>
      <c r="P51" t="inlineStr">
        <is>
          <t>High</t>
        </is>
      </c>
      <c r="Q51" t="inlineStr">
        <is>
          <t>None</t>
        </is>
      </c>
      <c r="R51" t="inlineStr">
        <is>
          <t>Valid</t>
        </is>
      </c>
      <c r="S51" t="n">
        <v>2026</v>
      </c>
      <c r="T51" t="inlineStr">
        <is>
          <t>Supplier Target Pathway</t>
        </is>
      </c>
      <c r="U51" t="n">
        <v>3982.5637</v>
      </c>
      <c r="V51" t="n">
        <v>1644.0023</v>
      </c>
      <c r="W51" t="n">
        <v>3280.9953</v>
      </c>
      <c r="X51" t="n">
        <v>3280.9953</v>
      </c>
      <c r="Y51" t="n">
        <v>701.5684</v>
      </c>
      <c r="Z51" t="n">
        <v>0.00055089</v>
      </c>
      <c r="AA51" t="n">
        <v>0.17616</v>
      </c>
      <c r="AB51" t="n">
        <v>1636.993</v>
      </c>
      <c r="AC51" t="n">
        <v>116.9281</v>
      </c>
      <c r="AD51" t="n">
        <v>19625.1182</v>
      </c>
      <c r="AE51" t="n">
        <v>6678.9186</v>
      </c>
      <c r="AF51" t="n">
        <v>0.968</v>
      </c>
      <c r="AG51" t="inlineStr">
        <is>
          <t>Critical</t>
        </is>
      </c>
      <c r="AH51" t="inlineStr">
        <is>
          <t>On Track to Glide Path</t>
        </is>
      </c>
    </row>
    <row r="52">
      <c r="A52" t="inlineStr">
        <is>
          <t>SUP-0004</t>
        </is>
      </c>
      <c r="B52" t="inlineStr">
        <is>
          <t>Agriculture Supplier 004</t>
        </is>
      </c>
      <c r="C52" t="inlineStr">
        <is>
          <t>Agriculture</t>
        </is>
      </c>
      <c r="D52" t="n">
        <v>2024</v>
      </c>
      <c r="E52" t="n">
        <v>2020</v>
      </c>
      <c r="F52" t="n">
        <v>2040</v>
      </c>
      <c r="G52" t="n">
        <v>3720.5628</v>
      </c>
      <c r="H52" t="n">
        <v>416.9159</v>
      </c>
      <c r="I52" t="n">
        <v>451.7582</v>
      </c>
      <c r="J52" t="n">
        <v>3151.0702</v>
      </c>
      <c r="K52" t="n">
        <v>5955769.2</v>
      </c>
      <c r="L52" t="n">
        <v>37921597.27</v>
      </c>
      <c r="M52" t="n">
        <v>3720.5628</v>
      </c>
      <c r="N52" t="inlineStr">
        <is>
          <t>Supplier Reported Emissions</t>
        </is>
      </c>
      <c r="O52" t="b">
        <v>0</v>
      </c>
      <c r="P52" t="inlineStr">
        <is>
          <t>High</t>
        </is>
      </c>
      <c r="Q52" t="inlineStr">
        <is>
          <t>None</t>
        </is>
      </c>
      <c r="R52" t="inlineStr">
        <is>
          <t>Valid</t>
        </is>
      </c>
      <c r="S52" t="n">
        <v>2027</v>
      </c>
      <c r="T52" t="inlineStr">
        <is>
          <t>Supplier Target Pathway</t>
        </is>
      </c>
      <c r="U52" t="n">
        <v>3982.5637</v>
      </c>
      <c r="V52" t="n">
        <v>1644.0023</v>
      </c>
      <c r="W52" t="n">
        <v>3164.0672</v>
      </c>
      <c r="X52" t="n">
        <v>3164.0672</v>
      </c>
      <c r="Y52" t="n">
        <v>818.4965</v>
      </c>
      <c r="Z52" t="n">
        <v>0.00053126</v>
      </c>
      <c r="AA52" t="n">
        <v>0.20552</v>
      </c>
      <c r="AB52" t="n">
        <v>1520.0649</v>
      </c>
      <c r="AC52" t="n">
        <v>116.9281</v>
      </c>
      <c r="AD52" t="n">
        <v>16461.051</v>
      </c>
      <c r="AE52" t="n">
        <v>9842.9858</v>
      </c>
      <c r="AF52" t="n">
        <v>0.968</v>
      </c>
      <c r="AG52" t="inlineStr">
        <is>
          <t>Critical</t>
        </is>
      </c>
      <c r="AH52" t="inlineStr">
        <is>
          <t>On Track to Glide Path</t>
        </is>
      </c>
    </row>
    <row r="53">
      <c r="A53" t="inlineStr">
        <is>
          <t>SUP-0004</t>
        </is>
      </c>
      <c r="B53" t="inlineStr">
        <is>
          <t>Agriculture Supplier 004</t>
        </is>
      </c>
      <c r="C53" t="inlineStr">
        <is>
          <t>Agriculture</t>
        </is>
      </c>
      <c r="D53" t="n">
        <v>2024</v>
      </c>
      <c r="E53" t="n">
        <v>2020</v>
      </c>
      <c r="F53" t="n">
        <v>2040</v>
      </c>
      <c r="G53" t="n">
        <v>3720.5628</v>
      </c>
      <c r="H53" t="n">
        <v>416.9159</v>
      </c>
      <c r="I53" t="n">
        <v>451.7582</v>
      </c>
      <c r="J53" t="n">
        <v>3151.0702</v>
      </c>
      <c r="K53" t="n">
        <v>5955769.2</v>
      </c>
      <c r="L53" t="n">
        <v>37921597.27</v>
      </c>
      <c r="M53" t="n">
        <v>3720.5628</v>
      </c>
      <c r="N53" t="inlineStr">
        <is>
          <t>Supplier Reported Emissions</t>
        </is>
      </c>
      <c r="O53" t="b">
        <v>0</v>
      </c>
      <c r="P53" t="inlineStr">
        <is>
          <t>High</t>
        </is>
      </c>
      <c r="Q53" t="inlineStr">
        <is>
          <t>None</t>
        </is>
      </c>
      <c r="R53" t="inlineStr">
        <is>
          <t>Valid</t>
        </is>
      </c>
      <c r="S53" t="n">
        <v>2028</v>
      </c>
      <c r="T53" t="inlineStr">
        <is>
          <t>Supplier Target Pathway</t>
        </is>
      </c>
      <c r="U53" t="n">
        <v>3982.5637</v>
      </c>
      <c r="V53" t="n">
        <v>1644.0023</v>
      </c>
      <c r="W53" t="n">
        <v>3047.1391</v>
      </c>
      <c r="X53" t="n">
        <v>3047.1391</v>
      </c>
      <c r="Y53" t="n">
        <v>935.4246000000001</v>
      </c>
      <c r="Z53" t="n">
        <v>0.00051163</v>
      </c>
      <c r="AA53" t="n">
        <v>0.23488</v>
      </c>
      <c r="AB53" t="n">
        <v>1403.1368</v>
      </c>
      <c r="AC53" t="n">
        <v>116.9281</v>
      </c>
      <c r="AD53" t="n">
        <v>13413.9119</v>
      </c>
      <c r="AE53" t="n">
        <v>12890.1249</v>
      </c>
      <c r="AF53" t="n">
        <v>0.968</v>
      </c>
      <c r="AG53" t="inlineStr">
        <is>
          <t>Critical</t>
        </is>
      </c>
      <c r="AH53" t="inlineStr">
        <is>
          <t>On Track to Glide Path</t>
        </is>
      </c>
    </row>
    <row r="54">
      <c r="A54" t="inlineStr">
        <is>
          <t>SUP-0004</t>
        </is>
      </c>
      <c r="B54" t="inlineStr">
        <is>
          <t>Agriculture Supplier 004</t>
        </is>
      </c>
      <c r="C54" t="inlineStr">
        <is>
          <t>Agriculture</t>
        </is>
      </c>
      <c r="D54" t="n">
        <v>2024</v>
      </c>
      <c r="E54" t="n">
        <v>2020</v>
      </c>
      <c r="F54" t="n">
        <v>2040</v>
      </c>
      <c r="G54" t="n">
        <v>3720.5628</v>
      </c>
      <c r="H54" t="n">
        <v>416.9159</v>
      </c>
      <c r="I54" t="n">
        <v>451.7582</v>
      </c>
      <c r="J54" t="n">
        <v>3151.0702</v>
      </c>
      <c r="K54" t="n">
        <v>5955769.2</v>
      </c>
      <c r="L54" t="n">
        <v>37921597.27</v>
      </c>
      <c r="M54" t="n">
        <v>3720.5628</v>
      </c>
      <c r="N54" t="inlineStr">
        <is>
          <t>Supplier Reported Emissions</t>
        </is>
      </c>
      <c r="O54" t="b">
        <v>0</v>
      </c>
      <c r="P54" t="inlineStr">
        <is>
          <t>High</t>
        </is>
      </c>
      <c r="Q54" t="inlineStr">
        <is>
          <t>None</t>
        </is>
      </c>
      <c r="R54" t="inlineStr">
        <is>
          <t>Valid</t>
        </is>
      </c>
      <c r="S54" t="n">
        <v>2029</v>
      </c>
      <c r="T54" t="inlineStr">
        <is>
          <t>Supplier Target Pathway</t>
        </is>
      </c>
      <c r="U54" t="n">
        <v>3982.5637</v>
      </c>
      <c r="V54" t="n">
        <v>1644.0023</v>
      </c>
      <c r="W54" t="n">
        <v>2930.2111</v>
      </c>
      <c r="X54" t="n">
        <v>2930.2111</v>
      </c>
      <c r="Y54" t="n">
        <v>1052.3526</v>
      </c>
      <c r="Z54" t="n">
        <v>0.000492</v>
      </c>
      <c r="AA54" t="n">
        <v>0.26424</v>
      </c>
      <c r="AB54" t="n">
        <v>1286.2088</v>
      </c>
      <c r="AC54" t="n">
        <v>116.9281</v>
      </c>
      <c r="AD54" t="n">
        <v>10483.7008</v>
      </c>
      <c r="AE54" t="n">
        <v>15820.336</v>
      </c>
      <c r="AF54" t="n">
        <v>0.968</v>
      </c>
      <c r="AG54" t="inlineStr">
        <is>
          <t>Critical</t>
        </is>
      </c>
      <c r="AH54" t="inlineStr">
        <is>
          <t>On Track to Glide Path</t>
        </is>
      </c>
    </row>
    <row r="55">
      <c r="A55" t="inlineStr">
        <is>
          <t>SUP-0004</t>
        </is>
      </c>
      <c r="B55" t="inlineStr">
        <is>
          <t>Agriculture Supplier 004</t>
        </is>
      </c>
      <c r="C55" t="inlineStr">
        <is>
          <t>Agriculture</t>
        </is>
      </c>
      <c r="D55" t="n">
        <v>2024</v>
      </c>
      <c r="E55" t="n">
        <v>2020</v>
      </c>
      <c r="F55" t="n">
        <v>2040</v>
      </c>
      <c r="G55" t="n">
        <v>3720.5628</v>
      </c>
      <c r="H55" t="n">
        <v>416.9159</v>
      </c>
      <c r="I55" t="n">
        <v>451.7582</v>
      </c>
      <c r="J55" t="n">
        <v>3151.0702</v>
      </c>
      <c r="K55" t="n">
        <v>5955769.2</v>
      </c>
      <c r="L55" t="n">
        <v>37921597.27</v>
      </c>
      <c r="M55" t="n">
        <v>3720.5628</v>
      </c>
      <c r="N55" t="inlineStr">
        <is>
          <t>Supplier Reported Emissions</t>
        </is>
      </c>
      <c r="O55" t="b">
        <v>0</v>
      </c>
      <c r="P55" t="inlineStr">
        <is>
          <t>High</t>
        </is>
      </c>
      <c r="Q55" t="inlineStr">
        <is>
          <t>None</t>
        </is>
      </c>
      <c r="R55" t="inlineStr">
        <is>
          <t>Valid</t>
        </is>
      </c>
      <c r="S55" t="n">
        <v>2030</v>
      </c>
      <c r="T55" t="inlineStr">
        <is>
          <t>Supplier Target Pathway</t>
        </is>
      </c>
      <c r="U55" t="n">
        <v>3982.5637</v>
      </c>
      <c r="V55" t="n">
        <v>1644.0023</v>
      </c>
      <c r="W55" t="n">
        <v>2813.283</v>
      </c>
      <c r="X55" t="n">
        <v>2813.283</v>
      </c>
      <c r="Y55" t="n">
        <v>1169.2807</v>
      </c>
      <c r="Z55" t="n">
        <v>0.00047236</v>
      </c>
      <c r="AA55" t="n">
        <v>0.2936</v>
      </c>
      <c r="AB55" t="n">
        <v>1169.2807</v>
      </c>
      <c r="AC55" t="n">
        <v>116.9281</v>
      </c>
      <c r="AD55" t="n">
        <v>7670.4178</v>
      </c>
      <c r="AE55" t="n">
        <v>18633.619</v>
      </c>
      <c r="AF55" t="n">
        <v>0.968</v>
      </c>
      <c r="AG55" t="inlineStr">
        <is>
          <t>Critical</t>
        </is>
      </c>
      <c r="AH55" t="inlineStr">
        <is>
          <t>On Track to Glide Path</t>
        </is>
      </c>
    </row>
    <row r="56">
      <c r="A56" t="inlineStr">
        <is>
          <t>SUP-0004</t>
        </is>
      </c>
      <c r="B56" t="inlineStr">
        <is>
          <t>Agriculture Supplier 004</t>
        </is>
      </c>
      <c r="C56" t="inlineStr">
        <is>
          <t>Agriculture</t>
        </is>
      </c>
      <c r="D56" t="n">
        <v>2024</v>
      </c>
      <c r="E56" t="n">
        <v>2020</v>
      </c>
      <c r="F56" t="n">
        <v>2040</v>
      </c>
      <c r="G56" t="n">
        <v>3720.5628</v>
      </c>
      <c r="H56" t="n">
        <v>416.9159</v>
      </c>
      <c r="I56" t="n">
        <v>451.7582</v>
      </c>
      <c r="J56" t="n">
        <v>3151.0702</v>
      </c>
      <c r="K56" t="n">
        <v>5955769.2</v>
      </c>
      <c r="L56" t="n">
        <v>37921597.27</v>
      </c>
      <c r="M56" t="n">
        <v>3720.5628</v>
      </c>
      <c r="N56" t="inlineStr">
        <is>
          <t>Supplier Reported Emissions</t>
        </is>
      </c>
      <c r="O56" t="b">
        <v>0</v>
      </c>
      <c r="P56" t="inlineStr">
        <is>
          <t>High</t>
        </is>
      </c>
      <c r="Q56" t="inlineStr">
        <is>
          <t>None</t>
        </is>
      </c>
      <c r="R56" t="inlineStr">
        <is>
          <t>Valid</t>
        </is>
      </c>
      <c r="S56" t="n">
        <v>2031</v>
      </c>
      <c r="T56" t="inlineStr">
        <is>
          <t>Supplier Target Pathway</t>
        </is>
      </c>
      <c r="U56" t="n">
        <v>3982.5637</v>
      </c>
      <c r="V56" t="n">
        <v>1644.0023</v>
      </c>
      <c r="W56" t="n">
        <v>2696.3549</v>
      </c>
      <c r="X56" t="n">
        <v>2696.3549</v>
      </c>
      <c r="Y56" t="n">
        <v>1286.2088</v>
      </c>
      <c r="Z56" t="n">
        <v>0.00045273</v>
      </c>
      <c r="AA56" t="n">
        <v>0.32296</v>
      </c>
      <c r="AB56" t="n">
        <v>1052.3526</v>
      </c>
      <c r="AC56" t="n">
        <v>116.9281</v>
      </c>
      <c r="AD56" t="n">
        <v>4974.0629</v>
      </c>
      <c r="AE56" t="n">
        <v>21329.9739</v>
      </c>
      <c r="AF56" t="n">
        <v>0.968</v>
      </c>
      <c r="AG56" t="inlineStr">
        <is>
          <t>Critical</t>
        </is>
      </c>
      <c r="AH56" t="inlineStr">
        <is>
          <t>On Track to Glide Path</t>
        </is>
      </c>
    </row>
    <row r="57">
      <c r="A57" t="inlineStr">
        <is>
          <t>SUP-0004</t>
        </is>
      </c>
      <c r="B57" t="inlineStr">
        <is>
          <t>Agriculture Supplier 004</t>
        </is>
      </c>
      <c r="C57" t="inlineStr">
        <is>
          <t>Agriculture</t>
        </is>
      </c>
      <c r="D57" t="n">
        <v>2024</v>
      </c>
      <c r="E57" t="n">
        <v>2020</v>
      </c>
      <c r="F57" t="n">
        <v>2040</v>
      </c>
      <c r="G57" t="n">
        <v>3720.5628</v>
      </c>
      <c r="H57" t="n">
        <v>416.9159</v>
      </c>
      <c r="I57" t="n">
        <v>451.7582</v>
      </c>
      <c r="J57" t="n">
        <v>3151.0702</v>
      </c>
      <c r="K57" t="n">
        <v>5955769.2</v>
      </c>
      <c r="L57" t="n">
        <v>37921597.27</v>
      </c>
      <c r="M57" t="n">
        <v>3720.5628</v>
      </c>
      <c r="N57" t="inlineStr">
        <is>
          <t>Supplier Reported Emissions</t>
        </is>
      </c>
      <c r="O57" t="b">
        <v>0</v>
      </c>
      <c r="P57" t="inlineStr">
        <is>
          <t>High</t>
        </is>
      </c>
      <c r="Q57" t="inlineStr">
        <is>
          <t>None</t>
        </is>
      </c>
      <c r="R57" t="inlineStr">
        <is>
          <t>Valid</t>
        </is>
      </c>
      <c r="S57" t="n">
        <v>2032</v>
      </c>
      <c r="T57" t="inlineStr">
        <is>
          <t>Supplier Target Pathway</t>
        </is>
      </c>
      <c r="U57" t="n">
        <v>3982.5637</v>
      </c>
      <c r="V57" t="n">
        <v>1644.0023</v>
      </c>
      <c r="W57" t="n">
        <v>2579.4269</v>
      </c>
      <c r="X57" t="n">
        <v>2579.4269</v>
      </c>
      <c r="Y57" t="n">
        <v>1403.1368</v>
      </c>
      <c r="Z57" t="n">
        <v>0.0004331</v>
      </c>
      <c r="AA57" t="n">
        <v>0.35232</v>
      </c>
      <c r="AB57" t="n">
        <v>935.4246000000001</v>
      </c>
      <c r="AC57" t="n">
        <v>116.9281</v>
      </c>
      <c r="AD57" t="n">
        <v>2394.636</v>
      </c>
      <c r="AE57" t="n">
        <v>23909.4008</v>
      </c>
      <c r="AF57" t="n">
        <v>0.968</v>
      </c>
      <c r="AG57" t="inlineStr">
        <is>
          <t>Critical</t>
        </is>
      </c>
      <c r="AH57" t="inlineStr">
        <is>
          <t>On Track to Glide Path</t>
        </is>
      </c>
    </row>
    <row r="58">
      <c r="A58" t="inlineStr">
        <is>
          <t>SUP-0004</t>
        </is>
      </c>
      <c r="B58" t="inlineStr">
        <is>
          <t>Agriculture Supplier 004</t>
        </is>
      </c>
      <c r="C58" t="inlineStr">
        <is>
          <t>Agriculture</t>
        </is>
      </c>
      <c r="D58" t="n">
        <v>2024</v>
      </c>
      <c r="E58" t="n">
        <v>2020</v>
      </c>
      <c r="F58" t="n">
        <v>2040</v>
      </c>
      <c r="G58" t="n">
        <v>3720.5628</v>
      </c>
      <c r="H58" t="n">
        <v>416.9159</v>
      </c>
      <c r="I58" t="n">
        <v>451.7582</v>
      </c>
      <c r="J58" t="n">
        <v>3151.0702</v>
      </c>
      <c r="K58" t="n">
        <v>5955769.2</v>
      </c>
      <c r="L58" t="n">
        <v>37921597.27</v>
      </c>
      <c r="M58" t="n">
        <v>3720.5628</v>
      </c>
      <c r="N58" t="inlineStr">
        <is>
          <t>Supplier Reported Emissions</t>
        </is>
      </c>
      <c r="O58" t="b">
        <v>0</v>
      </c>
      <c r="P58" t="inlineStr">
        <is>
          <t>High</t>
        </is>
      </c>
      <c r="Q58" t="inlineStr">
        <is>
          <t>None</t>
        </is>
      </c>
      <c r="R58" t="inlineStr">
        <is>
          <t>Valid</t>
        </is>
      </c>
      <c r="S58" t="n">
        <v>2033</v>
      </c>
      <c r="T58" t="inlineStr">
        <is>
          <t>Supplier Target Pathway</t>
        </is>
      </c>
      <c r="U58" t="n">
        <v>3982.5637</v>
      </c>
      <c r="V58" t="n">
        <v>1644.0023</v>
      </c>
      <c r="W58" t="n">
        <v>2462.4988</v>
      </c>
      <c r="X58" t="n">
        <v>2462.4988</v>
      </c>
      <c r="Y58" t="n">
        <v>1520.0649</v>
      </c>
      <c r="Z58" t="n">
        <v>0.00041346</v>
      </c>
      <c r="AA58" t="n">
        <v>0.38168</v>
      </c>
      <c r="AB58" t="n">
        <v>818.4965</v>
      </c>
      <c r="AC58" t="n">
        <v>116.9281</v>
      </c>
      <c r="AD58" t="n">
        <v>-67.86279999999999</v>
      </c>
      <c r="AE58" t="n">
        <v>26371.8996</v>
      </c>
      <c r="AF58" t="n">
        <v>0.968</v>
      </c>
      <c r="AG58" t="inlineStr">
        <is>
          <t>Critical</t>
        </is>
      </c>
      <c r="AH58" t="inlineStr">
        <is>
          <t>On Track to Glide Path</t>
        </is>
      </c>
    </row>
    <row r="59">
      <c r="A59" t="inlineStr">
        <is>
          <t>SUP-0004</t>
        </is>
      </c>
      <c r="B59" t="inlineStr">
        <is>
          <t>Agriculture Supplier 004</t>
        </is>
      </c>
      <c r="C59" t="inlineStr">
        <is>
          <t>Agriculture</t>
        </is>
      </c>
      <c r="D59" t="n">
        <v>2024</v>
      </c>
      <c r="E59" t="n">
        <v>2020</v>
      </c>
      <c r="F59" t="n">
        <v>2040</v>
      </c>
      <c r="G59" t="n">
        <v>3720.5628</v>
      </c>
      <c r="H59" t="n">
        <v>416.9159</v>
      </c>
      <c r="I59" t="n">
        <v>451.7582</v>
      </c>
      <c r="J59" t="n">
        <v>3151.0702</v>
      </c>
      <c r="K59" t="n">
        <v>5955769.2</v>
      </c>
      <c r="L59" t="n">
        <v>37921597.27</v>
      </c>
      <c r="M59" t="n">
        <v>3720.5628</v>
      </c>
      <c r="N59" t="inlineStr">
        <is>
          <t>Supplier Reported Emissions</t>
        </is>
      </c>
      <c r="O59" t="b">
        <v>0</v>
      </c>
      <c r="P59" t="inlineStr">
        <is>
          <t>High</t>
        </is>
      </c>
      <c r="Q59" t="inlineStr">
        <is>
          <t>None</t>
        </is>
      </c>
      <c r="R59" t="inlineStr">
        <is>
          <t>Valid</t>
        </is>
      </c>
      <c r="S59" t="n">
        <v>2034</v>
      </c>
      <c r="T59" t="inlineStr">
        <is>
          <t>Supplier Target Pathway</t>
        </is>
      </c>
      <c r="U59" t="n">
        <v>3982.5637</v>
      </c>
      <c r="V59" t="n">
        <v>1644.0023</v>
      </c>
      <c r="W59" t="n">
        <v>2345.5707</v>
      </c>
      <c r="X59" t="n">
        <v>2345.5707</v>
      </c>
      <c r="Y59" t="n">
        <v>1636.993</v>
      </c>
      <c r="Z59" t="n">
        <v>0.00039383</v>
      </c>
      <c r="AA59" t="n">
        <v>0.41104</v>
      </c>
      <c r="AB59" t="n">
        <v>701.5684</v>
      </c>
      <c r="AC59" t="n">
        <v>116.9281</v>
      </c>
      <c r="AD59" t="n">
        <v>-2413.4335</v>
      </c>
      <c r="AE59" t="n">
        <v>28717.4703</v>
      </c>
      <c r="AF59" t="n">
        <v>0.968</v>
      </c>
      <c r="AG59" t="inlineStr">
        <is>
          <t>Critical</t>
        </is>
      </c>
      <c r="AH59" t="inlineStr">
        <is>
          <t>On Track to Glide Path</t>
        </is>
      </c>
    </row>
    <row r="60">
      <c r="A60" t="inlineStr">
        <is>
          <t>SUP-0004</t>
        </is>
      </c>
      <c r="B60" t="inlineStr">
        <is>
          <t>Agriculture Supplier 004</t>
        </is>
      </c>
      <c r="C60" t="inlineStr">
        <is>
          <t>Agriculture</t>
        </is>
      </c>
      <c r="D60" t="n">
        <v>2024</v>
      </c>
      <c r="E60" t="n">
        <v>2020</v>
      </c>
      <c r="F60" t="n">
        <v>2040</v>
      </c>
      <c r="G60" t="n">
        <v>3720.5628</v>
      </c>
      <c r="H60" t="n">
        <v>416.9159</v>
      </c>
      <c r="I60" t="n">
        <v>451.7582</v>
      </c>
      <c r="J60" t="n">
        <v>3151.0702</v>
      </c>
      <c r="K60" t="n">
        <v>5955769.2</v>
      </c>
      <c r="L60" t="n">
        <v>37921597.27</v>
      </c>
      <c r="M60" t="n">
        <v>3720.5628</v>
      </c>
      <c r="N60" t="inlineStr">
        <is>
          <t>Supplier Reported Emissions</t>
        </is>
      </c>
      <c r="O60" t="b">
        <v>0</v>
      </c>
      <c r="P60" t="inlineStr">
        <is>
          <t>High</t>
        </is>
      </c>
      <c r="Q60" t="inlineStr">
        <is>
          <t>None</t>
        </is>
      </c>
      <c r="R60" t="inlineStr">
        <is>
          <t>Valid</t>
        </is>
      </c>
      <c r="S60" t="n">
        <v>2035</v>
      </c>
      <c r="T60" t="inlineStr">
        <is>
          <t>Supplier Target Pathway</t>
        </is>
      </c>
      <c r="U60" t="n">
        <v>3982.5637</v>
      </c>
      <c r="V60" t="n">
        <v>1644.0023</v>
      </c>
      <c r="W60" t="n">
        <v>2228.6426</v>
      </c>
      <c r="X60" t="n">
        <v>2228.6426</v>
      </c>
      <c r="Y60" t="n">
        <v>1753.9211</v>
      </c>
      <c r="Z60" t="n">
        <v>0.0003742</v>
      </c>
      <c r="AA60" t="n">
        <v>0.4404</v>
      </c>
      <c r="AB60" t="n">
        <v>584.6404</v>
      </c>
      <c r="AC60" t="n">
        <v>116.9281</v>
      </c>
      <c r="AD60" t="n">
        <v>-4642.0761</v>
      </c>
      <c r="AE60" t="n">
        <v>30946.1129</v>
      </c>
      <c r="AF60" t="n">
        <v>0.968</v>
      </c>
      <c r="AG60" t="inlineStr">
        <is>
          <t>Critical</t>
        </is>
      </c>
      <c r="AH60" t="inlineStr">
        <is>
          <t>On Track to Glide Path</t>
        </is>
      </c>
    </row>
    <row r="61">
      <c r="A61" t="inlineStr">
        <is>
          <t>SUP-0004</t>
        </is>
      </c>
      <c r="B61" t="inlineStr">
        <is>
          <t>Agriculture Supplier 004</t>
        </is>
      </c>
      <c r="C61" t="inlineStr">
        <is>
          <t>Agriculture</t>
        </is>
      </c>
      <c r="D61" t="n">
        <v>2024</v>
      </c>
      <c r="E61" t="n">
        <v>2020</v>
      </c>
      <c r="F61" t="n">
        <v>2040</v>
      </c>
      <c r="G61" t="n">
        <v>3720.5628</v>
      </c>
      <c r="H61" t="n">
        <v>416.9159</v>
      </c>
      <c r="I61" t="n">
        <v>451.7582</v>
      </c>
      <c r="J61" t="n">
        <v>3151.0702</v>
      </c>
      <c r="K61" t="n">
        <v>5955769.2</v>
      </c>
      <c r="L61" t="n">
        <v>37921597.27</v>
      </c>
      <c r="M61" t="n">
        <v>3720.5628</v>
      </c>
      <c r="N61" t="inlineStr">
        <is>
          <t>Supplier Reported Emissions</t>
        </is>
      </c>
      <c r="O61" t="b">
        <v>0</v>
      </c>
      <c r="P61" t="inlineStr">
        <is>
          <t>High</t>
        </is>
      </c>
      <c r="Q61" t="inlineStr">
        <is>
          <t>None</t>
        </is>
      </c>
      <c r="R61" t="inlineStr">
        <is>
          <t>Valid</t>
        </is>
      </c>
      <c r="S61" t="n">
        <v>2036</v>
      </c>
      <c r="T61" t="inlineStr">
        <is>
          <t>Supplier Target Pathway</t>
        </is>
      </c>
      <c r="U61" t="n">
        <v>3982.5637</v>
      </c>
      <c r="V61" t="n">
        <v>1644.0023</v>
      </c>
      <c r="W61" t="n">
        <v>2111.7146</v>
      </c>
      <c r="X61" t="n">
        <v>2111.7146</v>
      </c>
      <c r="Y61" t="n">
        <v>1870.8491</v>
      </c>
      <c r="Z61" t="n">
        <v>0.00035457</v>
      </c>
      <c r="AA61" t="n">
        <v>0.46976</v>
      </c>
      <c r="AB61" t="n">
        <v>467.7123</v>
      </c>
      <c r="AC61" t="n">
        <v>116.9281</v>
      </c>
      <c r="AD61" t="n">
        <v>-6753.7907</v>
      </c>
      <c r="AE61" t="n">
        <v>33057.8275</v>
      </c>
      <c r="AF61" t="n">
        <v>0.968</v>
      </c>
      <c r="AG61" t="inlineStr">
        <is>
          <t>High</t>
        </is>
      </c>
      <c r="AH61" t="inlineStr">
        <is>
          <t>On Track to Glide Path</t>
        </is>
      </c>
    </row>
    <row r="62">
      <c r="A62" t="inlineStr">
        <is>
          <t>SUP-0004</t>
        </is>
      </c>
      <c r="B62" t="inlineStr">
        <is>
          <t>Agriculture Supplier 004</t>
        </is>
      </c>
      <c r="C62" t="inlineStr">
        <is>
          <t>Agriculture</t>
        </is>
      </c>
      <c r="D62" t="n">
        <v>2024</v>
      </c>
      <c r="E62" t="n">
        <v>2020</v>
      </c>
      <c r="F62" t="n">
        <v>2040</v>
      </c>
      <c r="G62" t="n">
        <v>3720.5628</v>
      </c>
      <c r="H62" t="n">
        <v>416.9159</v>
      </c>
      <c r="I62" t="n">
        <v>451.7582</v>
      </c>
      <c r="J62" t="n">
        <v>3151.0702</v>
      </c>
      <c r="K62" t="n">
        <v>5955769.2</v>
      </c>
      <c r="L62" t="n">
        <v>37921597.27</v>
      </c>
      <c r="M62" t="n">
        <v>3720.5628</v>
      </c>
      <c r="N62" t="inlineStr">
        <is>
          <t>Supplier Reported Emissions</t>
        </is>
      </c>
      <c r="O62" t="b">
        <v>0</v>
      </c>
      <c r="P62" t="inlineStr">
        <is>
          <t>High</t>
        </is>
      </c>
      <c r="Q62" t="inlineStr">
        <is>
          <t>None</t>
        </is>
      </c>
      <c r="R62" t="inlineStr">
        <is>
          <t>Valid</t>
        </is>
      </c>
      <c r="S62" t="n">
        <v>2037</v>
      </c>
      <c r="T62" t="inlineStr">
        <is>
          <t>Supplier Target Pathway</t>
        </is>
      </c>
      <c r="U62" t="n">
        <v>3982.5637</v>
      </c>
      <c r="V62" t="n">
        <v>1644.0023</v>
      </c>
      <c r="W62" t="n">
        <v>1994.7865</v>
      </c>
      <c r="X62" t="n">
        <v>1994.7865</v>
      </c>
      <c r="Y62" t="n">
        <v>1987.7772</v>
      </c>
      <c r="Z62" t="n">
        <v>0.00033493</v>
      </c>
      <c r="AA62" t="n">
        <v>0.49912</v>
      </c>
      <c r="AB62" t="n">
        <v>350.7842</v>
      </c>
      <c r="AC62" t="n">
        <v>116.9281</v>
      </c>
      <c r="AD62" t="n">
        <v>-8748.5772</v>
      </c>
      <c r="AE62" t="n">
        <v>35052.614</v>
      </c>
      <c r="AF62" t="n">
        <v>0.968</v>
      </c>
      <c r="AG62" t="inlineStr">
        <is>
          <t>High</t>
        </is>
      </c>
      <c r="AH62" t="inlineStr">
        <is>
          <t>On Track to Glide Path</t>
        </is>
      </c>
    </row>
    <row r="63">
      <c r="A63" t="inlineStr">
        <is>
          <t>SUP-0004</t>
        </is>
      </c>
      <c r="B63" t="inlineStr">
        <is>
          <t>Agriculture Supplier 004</t>
        </is>
      </c>
      <c r="C63" t="inlineStr">
        <is>
          <t>Agriculture</t>
        </is>
      </c>
      <c r="D63" t="n">
        <v>2024</v>
      </c>
      <c r="E63" t="n">
        <v>2020</v>
      </c>
      <c r="F63" t="n">
        <v>2040</v>
      </c>
      <c r="G63" t="n">
        <v>3720.5628</v>
      </c>
      <c r="H63" t="n">
        <v>416.9159</v>
      </c>
      <c r="I63" t="n">
        <v>451.7582</v>
      </c>
      <c r="J63" t="n">
        <v>3151.0702</v>
      </c>
      <c r="K63" t="n">
        <v>5955769.2</v>
      </c>
      <c r="L63" t="n">
        <v>37921597.27</v>
      </c>
      <c r="M63" t="n">
        <v>3720.5628</v>
      </c>
      <c r="N63" t="inlineStr">
        <is>
          <t>Supplier Reported Emissions</t>
        </is>
      </c>
      <c r="O63" t="b">
        <v>0</v>
      </c>
      <c r="P63" t="inlineStr">
        <is>
          <t>High</t>
        </is>
      </c>
      <c r="Q63" t="inlineStr">
        <is>
          <t>None</t>
        </is>
      </c>
      <c r="R63" t="inlineStr">
        <is>
          <t>Valid</t>
        </is>
      </c>
      <c r="S63" t="n">
        <v>2038</v>
      </c>
      <c r="T63" t="inlineStr">
        <is>
          <t>Supplier Target Pathway</t>
        </is>
      </c>
      <c r="U63" t="n">
        <v>3982.5637</v>
      </c>
      <c r="V63" t="n">
        <v>1644.0023</v>
      </c>
      <c r="W63" t="n">
        <v>1877.8584</v>
      </c>
      <c r="X63" t="n">
        <v>1877.8584</v>
      </c>
      <c r="Y63" t="n">
        <v>2104.7053</v>
      </c>
      <c r="Z63" t="n">
        <v>0.0003153</v>
      </c>
      <c r="AA63" t="n">
        <v>0.5284799999999999</v>
      </c>
      <c r="AB63" t="n">
        <v>233.8561</v>
      </c>
      <c r="AC63" t="n">
        <v>116.9281</v>
      </c>
      <c r="AD63" t="n">
        <v>-10626.4356</v>
      </c>
      <c r="AE63" t="n">
        <v>36930.4724</v>
      </c>
      <c r="AF63" t="n">
        <v>0.968</v>
      </c>
      <c r="AG63" t="inlineStr">
        <is>
          <t>Medium</t>
        </is>
      </c>
      <c r="AH63" t="inlineStr">
        <is>
          <t>On Track to Glide Path</t>
        </is>
      </c>
    </row>
    <row r="64">
      <c r="A64" t="inlineStr">
        <is>
          <t>SUP-0004</t>
        </is>
      </c>
      <c r="B64" t="inlineStr">
        <is>
          <t>Agriculture Supplier 004</t>
        </is>
      </c>
      <c r="C64" t="inlineStr">
        <is>
          <t>Agriculture</t>
        </is>
      </c>
      <c r="D64" t="n">
        <v>2024</v>
      </c>
      <c r="E64" t="n">
        <v>2020</v>
      </c>
      <c r="F64" t="n">
        <v>2040</v>
      </c>
      <c r="G64" t="n">
        <v>3720.5628</v>
      </c>
      <c r="H64" t="n">
        <v>416.9159</v>
      </c>
      <c r="I64" t="n">
        <v>451.7582</v>
      </c>
      <c r="J64" t="n">
        <v>3151.0702</v>
      </c>
      <c r="K64" t="n">
        <v>5955769.2</v>
      </c>
      <c r="L64" t="n">
        <v>37921597.27</v>
      </c>
      <c r="M64" t="n">
        <v>3720.5628</v>
      </c>
      <c r="N64" t="inlineStr">
        <is>
          <t>Supplier Reported Emissions</t>
        </is>
      </c>
      <c r="O64" t="b">
        <v>0</v>
      </c>
      <c r="P64" t="inlineStr">
        <is>
          <t>High</t>
        </is>
      </c>
      <c r="Q64" t="inlineStr">
        <is>
          <t>None</t>
        </is>
      </c>
      <c r="R64" t="inlineStr">
        <is>
          <t>Valid</t>
        </is>
      </c>
      <c r="S64" t="n">
        <v>2039</v>
      </c>
      <c r="T64" t="inlineStr">
        <is>
          <t>Supplier Target Pathway</t>
        </is>
      </c>
      <c r="U64" t="n">
        <v>3982.5637</v>
      </c>
      <c r="V64" t="n">
        <v>1644.0023</v>
      </c>
      <c r="W64" t="n">
        <v>1760.9304</v>
      </c>
      <c r="X64" t="n">
        <v>1760.9304</v>
      </c>
      <c r="Y64" t="n">
        <v>2221.6333</v>
      </c>
      <c r="Z64" t="n">
        <v>0.00029567</v>
      </c>
      <c r="AA64" t="n">
        <v>0.55784</v>
      </c>
      <c r="AB64" t="n">
        <v>116.9281</v>
      </c>
      <c r="AC64" t="n">
        <v>116.9281</v>
      </c>
      <c r="AD64" t="n">
        <v>-12387.366</v>
      </c>
      <c r="AE64" t="n">
        <v>38691.4028</v>
      </c>
      <c r="AF64" t="n">
        <v>0.968</v>
      </c>
      <c r="AG64" t="inlineStr">
        <is>
          <t>Medium</t>
        </is>
      </c>
      <c r="AH64" t="inlineStr">
        <is>
          <t>On Track to Glide Path</t>
        </is>
      </c>
    </row>
    <row r="65">
      <c r="A65" t="inlineStr">
        <is>
          <t>SUP-0004</t>
        </is>
      </c>
      <c r="B65" t="inlineStr">
        <is>
          <t>Agriculture Supplier 004</t>
        </is>
      </c>
      <c r="C65" t="inlineStr">
        <is>
          <t>Agriculture</t>
        </is>
      </c>
      <c r="D65" t="n">
        <v>2024</v>
      </c>
      <c r="E65" t="n">
        <v>2020</v>
      </c>
      <c r="F65" t="n">
        <v>2040</v>
      </c>
      <c r="G65" t="n">
        <v>3720.5628</v>
      </c>
      <c r="H65" t="n">
        <v>416.9159</v>
      </c>
      <c r="I65" t="n">
        <v>451.7582</v>
      </c>
      <c r="J65" t="n">
        <v>3151.0702</v>
      </c>
      <c r="K65" t="n">
        <v>5955769.2</v>
      </c>
      <c r="L65" t="n">
        <v>37921597.27</v>
      </c>
      <c r="M65" t="n">
        <v>3720.5628</v>
      </c>
      <c r="N65" t="inlineStr">
        <is>
          <t>Supplier Reported Emissions</t>
        </is>
      </c>
      <c r="O65" t="b">
        <v>0</v>
      </c>
      <c r="P65" t="inlineStr">
        <is>
          <t>High</t>
        </is>
      </c>
      <c r="Q65" t="inlineStr">
        <is>
          <t>None</t>
        </is>
      </c>
      <c r="R65" t="inlineStr">
        <is>
          <t>Valid</t>
        </is>
      </c>
      <c r="S65" t="n">
        <v>2040</v>
      </c>
      <c r="T65" t="inlineStr">
        <is>
          <t>Supplier Target Pathway</t>
        </is>
      </c>
      <c r="U65" t="n">
        <v>3982.5637</v>
      </c>
      <c r="V65" t="n">
        <v>1644.0023</v>
      </c>
      <c r="W65" t="n">
        <v>1644.0023</v>
      </c>
      <c r="X65" t="n">
        <v>1644.0023</v>
      </c>
      <c r="Y65" t="n">
        <v>2338.5614</v>
      </c>
      <c r="Z65" t="n">
        <v>0.00027604</v>
      </c>
      <c r="AA65" t="n">
        <v>0.5872000000000001</v>
      </c>
      <c r="AB65" t="n">
        <v>0</v>
      </c>
      <c r="AC65" t="n">
        <v>116.9281</v>
      </c>
      <c r="AD65" t="n">
        <v>-14031.3683</v>
      </c>
      <c r="AE65" t="n">
        <v>40335.4051</v>
      </c>
      <c r="AF65" t="n">
        <v>0.968</v>
      </c>
      <c r="AG65" t="inlineStr">
        <is>
          <t>Low</t>
        </is>
      </c>
      <c r="AH65" t="inlineStr">
        <is>
          <t>On Track</t>
        </is>
      </c>
    </row>
    <row r="66">
      <c r="A66" t="inlineStr">
        <is>
          <t>SUP-0005</t>
        </is>
      </c>
      <c r="B66" t="inlineStr">
        <is>
          <t>Professional Supplier 005</t>
        </is>
      </c>
      <c r="C66" t="inlineStr">
        <is>
          <t>Professional Services</t>
        </is>
      </c>
      <c r="D66" t="n">
        <v>2024</v>
      </c>
      <c r="E66" t="n">
        <v>2015</v>
      </c>
      <c r="F66" t="n">
        <v>2040</v>
      </c>
      <c r="G66" t="n">
        <v>1266.1984</v>
      </c>
      <c r="H66" t="n">
        <v>155.835</v>
      </c>
      <c r="I66" t="n">
        <v>82.36669999999999</v>
      </c>
      <c r="J66" t="inlineStr"/>
      <c r="K66" t="n">
        <v>13635020.82</v>
      </c>
      <c r="L66" t="n">
        <v>57675629.87</v>
      </c>
      <c r="M66" t="n">
        <v>1266.1984</v>
      </c>
      <c r="N66" t="inlineStr">
        <is>
          <t>Supplier Reported Emissions</t>
        </is>
      </c>
      <c r="O66" t="b">
        <v>0</v>
      </c>
      <c r="P66" t="inlineStr">
        <is>
          <t>High</t>
        </is>
      </c>
      <c r="Q66" t="inlineStr">
        <is>
          <t>Scope_Emissions</t>
        </is>
      </c>
      <c r="R66" t="inlineStr">
        <is>
          <t>Valid</t>
        </is>
      </c>
      <c r="S66" t="n">
        <v>2025</v>
      </c>
      <c r="T66" t="inlineStr">
        <is>
          <t>Historical Trend Pathway</t>
        </is>
      </c>
      <c r="U66" t="n">
        <v>1369.0155</v>
      </c>
      <c r="V66" t="n">
        <v>1250.7736</v>
      </c>
      <c r="W66" t="n">
        <v>1278.3079</v>
      </c>
      <c r="X66" t="n">
        <v>1321.7188</v>
      </c>
      <c r="Y66" t="n">
        <v>90.7076</v>
      </c>
      <c r="Z66" t="n">
        <v>9.375e-05</v>
      </c>
      <c r="AA66" t="n">
        <v>0.066258</v>
      </c>
      <c r="AB66" t="n">
        <v>27.5343</v>
      </c>
      <c r="AC66" t="n">
        <v>4.7297</v>
      </c>
      <c r="AD66" t="n">
        <v>18734.0697</v>
      </c>
      <c r="AE66" t="n">
        <v>1278.3079</v>
      </c>
      <c r="AF66" t="n">
        <v>0.841</v>
      </c>
      <c r="AG66" t="inlineStr">
        <is>
          <t>Medium</t>
        </is>
      </c>
      <c r="AH66" t="inlineStr">
        <is>
          <t>On Track to Glide Path</t>
        </is>
      </c>
    </row>
    <row r="67">
      <c r="A67" t="inlineStr">
        <is>
          <t>SUP-0005</t>
        </is>
      </c>
      <c r="B67" t="inlineStr">
        <is>
          <t>Professional Supplier 005</t>
        </is>
      </c>
      <c r="C67" t="inlineStr">
        <is>
          <t>Professional Services</t>
        </is>
      </c>
      <c r="D67" t="n">
        <v>2024</v>
      </c>
      <c r="E67" t="n">
        <v>2015</v>
      </c>
      <c r="F67" t="n">
        <v>2040</v>
      </c>
      <c r="G67" t="n">
        <v>1266.1984</v>
      </c>
      <c r="H67" t="n">
        <v>155.835</v>
      </c>
      <c r="I67" t="n">
        <v>82.36669999999999</v>
      </c>
      <c r="J67" t="inlineStr"/>
      <c r="K67" t="n">
        <v>13635020.82</v>
      </c>
      <c r="L67" t="n">
        <v>57675629.87</v>
      </c>
      <c r="M67" t="n">
        <v>1266.1984</v>
      </c>
      <c r="N67" t="inlineStr">
        <is>
          <t>Supplier Reported Emissions</t>
        </is>
      </c>
      <c r="O67" t="b">
        <v>0</v>
      </c>
      <c r="P67" t="inlineStr">
        <is>
          <t>High</t>
        </is>
      </c>
      <c r="Q67" t="inlineStr">
        <is>
          <t>Scope_Emissions</t>
        </is>
      </c>
      <c r="R67" t="inlineStr">
        <is>
          <t>Valid</t>
        </is>
      </c>
      <c r="S67" t="n">
        <v>2026</v>
      </c>
      <c r="T67" t="inlineStr">
        <is>
          <t>Historical Trend Pathway</t>
        </is>
      </c>
      <c r="U67" t="n">
        <v>1369.0155</v>
      </c>
      <c r="V67" t="n">
        <v>1250.7736</v>
      </c>
      <c r="W67" t="n">
        <v>1290.5333</v>
      </c>
      <c r="X67" t="n">
        <v>1316.9891</v>
      </c>
      <c r="Y67" t="n">
        <v>78.48220000000001</v>
      </c>
      <c r="Z67" t="n">
        <v>9.465e-05</v>
      </c>
      <c r="AA67" t="n">
        <v>0.057327</v>
      </c>
      <c r="AB67" t="n">
        <v>39.7597</v>
      </c>
      <c r="AC67" t="n">
        <v>4.7297</v>
      </c>
      <c r="AD67" t="n">
        <v>17443.5364</v>
      </c>
      <c r="AE67" t="n">
        <v>2568.8412</v>
      </c>
      <c r="AF67" t="n">
        <v>0.841</v>
      </c>
      <c r="AG67" t="inlineStr">
        <is>
          <t>Medium</t>
        </is>
      </c>
      <c r="AH67" t="inlineStr">
        <is>
          <t>On Track to Glide Path</t>
        </is>
      </c>
    </row>
    <row r="68">
      <c r="A68" t="inlineStr">
        <is>
          <t>SUP-0005</t>
        </is>
      </c>
      <c r="B68" t="inlineStr">
        <is>
          <t>Professional Supplier 005</t>
        </is>
      </c>
      <c r="C68" t="inlineStr">
        <is>
          <t>Professional Services</t>
        </is>
      </c>
      <c r="D68" t="n">
        <v>2024</v>
      </c>
      <c r="E68" t="n">
        <v>2015</v>
      </c>
      <c r="F68" t="n">
        <v>2040</v>
      </c>
      <c r="G68" t="n">
        <v>1266.1984</v>
      </c>
      <c r="H68" t="n">
        <v>155.835</v>
      </c>
      <c r="I68" t="n">
        <v>82.36669999999999</v>
      </c>
      <c r="J68" t="inlineStr"/>
      <c r="K68" t="n">
        <v>13635020.82</v>
      </c>
      <c r="L68" t="n">
        <v>57675629.87</v>
      </c>
      <c r="M68" t="n">
        <v>1266.1984</v>
      </c>
      <c r="N68" t="inlineStr">
        <is>
          <t>Supplier Reported Emissions</t>
        </is>
      </c>
      <c r="O68" t="b">
        <v>0</v>
      </c>
      <c r="P68" t="inlineStr">
        <is>
          <t>High</t>
        </is>
      </c>
      <c r="Q68" t="inlineStr">
        <is>
          <t>Scope_Emissions</t>
        </is>
      </c>
      <c r="R68" t="inlineStr">
        <is>
          <t>Valid</t>
        </is>
      </c>
      <c r="S68" t="n">
        <v>2027</v>
      </c>
      <c r="T68" t="inlineStr">
        <is>
          <t>Historical Trend Pathway</t>
        </is>
      </c>
      <c r="U68" t="n">
        <v>1369.0155</v>
      </c>
      <c r="V68" t="n">
        <v>1250.7736</v>
      </c>
      <c r="W68" t="n">
        <v>1302.8756</v>
      </c>
      <c r="X68" t="n">
        <v>1312.2594</v>
      </c>
      <c r="Y68" t="n">
        <v>66.1399</v>
      </c>
      <c r="Z68" t="n">
        <v>9.555000000000001e-05</v>
      </c>
      <c r="AA68" t="n">
        <v>0.048312</v>
      </c>
      <c r="AB68" t="n">
        <v>52.1019</v>
      </c>
      <c r="AC68" t="n">
        <v>4.7297</v>
      </c>
      <c r="AD68" t="n">
        <v>16140.6608</v>
      </c>
      <c r="AE68" t="n">
        <v>3871.7168</v>
      </c>
      <c r="AF68" t="n">
        <v>0.841</v>
      </c>
      <c r="AG68" t="inlineStr">
        <is>
          <t>Medium</t>
        </is>
      </c>
      <c r="AH68" t="inlineStr">
        <is>
          <t>On Track to Glide Path</t>
        </is>
      </c>
    </row>
    <row r="69">
      <c r="A69" t="inlineStr">
        <is>
          <t>SUP-0005</t>
        </is>
      </c>
      <c r="B69" t="inlineStr">
        <is>
          <t>Professional Supplier 005</t>
        </is>
      </c>
      <c r="C69" t="inlineStr">
        <is>
          <t>Professional Services</t>
        </is>
      </c>
      <c r="D69" t="n">
        <v>2024</v>
      </c>
      <c r="E69" t="n">
        <v>2015</v>
      </c>
      <c r="F69" t="n">
        <v>2040</v>
      </c>
      <c r="G69" t="n">
        <v>1266.1984</v>
      </c>
      <c r="H69" t="n">
        <v>155.835</v>
      </c>
      <c r="I69" t="n">
        <v>82.36669999999999</v>
      </c>
      <c r="J69" t="inlineStr"/>
      <c r="K69" t="n">
        <v>13635020.82</v>
      </c>
      <c r="L69" t="n">
        <v>57675629.87</v>
      </c>
      <c r="M69" t="n">
        <v>1266.1984</v>
      </c>
      <c r="N69" t="inlineStr">
        <is>
          <t>Supplier Reported Emissions</t>
        </is>
      </c>
      <c r="O69" t="b">
        <v>0</v>
      </c>
      <c r="P69" t="inlineStr">
        <is>
          <t>High</t>
        </is>
      </c>
      <c r="Q69" t="inlineStr">
        <is>
          <t>Scope_Emissions</t>
        </is>
      </c>
      <c r="R69" t="inlineStr">
        <is>
          <t>Valid</t>
        </is>
      </c>
      <c r="S69" t="n">
        <v>2028</v>
      </c>
      <c r="T69" t="inlineStr">
        <is>
          <t>Historical Trend Pathway</t>
        </is>
      </c>
      <c r="U69" t="n">
        <v>1369.0155</v>
      </c>
      <c r="V69" t="n">
        <v>1250.7736</v>
      </c>
      <c r="W69" t="n">
        <v>1315.3359</v>
      </c>
      <c r="X69" t="n">
        <v>1307.5297</v>
      </c>
      <c r="Y69" t="n">
        <v>53.6796</v>
      </c>
      <c r="Z69" t="n">
        <v>9.647e-05</v>
      </c>
      <c r="AA69" t="n">
        <v>0.03921</v>
      </c>
      <c r="AB69" t="n">
        <v>64.5622</v>
      </c>
      <c r="AC69" t="n">
        <v>4.7297</v>
      </c>
      <c r="AD69" t="n">
        <v>14825.3249</v>
      </c>
      <c r="AE69" t="n">
        <v>5187.0527</v>
      </c>
      <c r="AF69" t="n">
        <v>0.841</v>
      </c>
      <c r="AG69" t="inlineStr">
        <is>
          <t>Medium</t>
        </is>
      </c>
      <c r="AH69" t="inlineStr">
        <is>
          <t>Off Track</t>
        </is>
      </c>
    </row>
    <row r="70">
      <c r="A70" t="inlineStr">
        <is>
          <t>SUP-0005</t>
        </is>
      </c>
      <c r="B70" t="inlineStr">
        <is>
          <t>Professional Supplier 005</t>
        </is>
      </c>
      <c r="C70" t="inlineStr">
        <is>
          <t>Professional Services</t>
        </is>
      </c>
      <c r="D70" t="n">
        <v>2024</v>
      </c>
      <c r="E70" t="n">
        <v>2015</v>
      </c>
      <c r="F70" t="n">
        <v>2040</v>
      </c>
      <c r="G70" t="n">
        <v>1266.1984</v>
      </c>
      <c r="H70" t="n">
        <v>155.835</v>
      </c>
      <c r="I70" t="n">
        <v>82.36669999999999</v>
      </c>
      <c r="J70" t="inlineStr"/>
      <c r="K70" t="n">
        <v>13635020.82</v>
      </c>
      <c r="L70" t="n">
        <v>57675629.87</v>
      </c>
      <c r="M70" t="n">
        <v>1266.1984</v>
      </c>
      <c r="N70" t="inlineStr">
        <is>
          <t>Supplier Reported Emissions</t>
        </is>
      </c>
      <c r="O70" t="b">
        <v>0</v>
      </c>
      <c r="P70" t="inlineStr">
        <is>
          <t>High</t>
        </is>
      </c>
      <c r="Q70" t="inlineStr">
        <is>
          <t>Scope_Emissions</t>
        </is>
      </c>
      <c r="R70" t="inlineStr">
        <is>
          <t>Valid</t>
        </is>
      </c>
      <c r="S70" t="n">
        <v>2029</v>
      </c>
      <c r="T70" t="inlineStr">
        <is>
          <t>Historical Trend Pathway</t>
        </is>
      </c>
      <c r="U70" t="n">
        <v>1369.0155</v>
      </c>
      <c r="V70" t="n">
        <v>1250.7736</v>
      </c>
      <c r="W70" t="n">
        <v>1327.9154</v>
      </c>
      <c r="X70" t="n">
        <v>1302.8001</v>
      </c>
      <c r="Y70" t="n">
        <v>41.1001</v>
      </c>
      <c r="Z70" t="n">
        <v>9.739e-05</v>
      </c>
      <c r="AA70" t="n">
        <v>0.030022</v>
      </c>
      <c r="AB70" t="n">
        <v>77.1417</v>
      </c>
      <c r="AC70" t="n">
        <v>4.7297</v>
      </c>
      <c r="AD70" t="n">
        <v>13497.4095</v>
      </c>
      <c r="AE70" t="n">
        <v>6514.9681</v>
      </c>
      <c r="AF70" t="n">
        <v>0.841</v>
      </c>
      <c r="AG70" t="inlineStr">
        <is>
          <t>Medium</t>
        </is>
      </c>
      <c r="AH70" t="inlineStr">
        <is>
          <t>Off Track</t>
        </is>
      </c>
    </row>
    <row r="71">
      <c r="A71" t="inlineStr">
        <is>
          <t>SUP-0005</t>
        </is>
      </c>
      <c r="B71" t="inlineStr">
        <is>
          <t>Professional Supplier 005</t>
        </is>
      </c>
      <c r="C71" t="inlineStr">
        <is>
          <t>Professional Services</t>
        </is>
      </c>
      <c r="D71" t="n">
        <v>2024</v>
      </c>
      <c r="E71" t="n">
        <v>2015</v>
      </c>
      <c r="F71" t="n">
        <v>2040</v>
      </c>
      <c r="G71" t="n">
        <v>1266.1984</v>
      </c>
      <c r="H71" t="n">
        <v>155.835</v>
      </c>
      <c r="I71" t="n">
        <v>82.36669999999999</v>
      </c>
      <c r="J71" t="inlineStr"/>
      <c r="K71" t="n">
        <v>13635020.82</v>
      </c>
      <c r="L71" t="n">
        <v>57675629.87</v>
      </c>
      <c r="M71" t="n">
        <v>1266.1984</v>
      </c>
      <c r="N71" t="inlineStr">
        <is>
          <t>Supplier Reported Emissions</t>
        </is>
      </c>
      <c r="O71" t="b">
        <v>0</v>
      </c>
      <c r="P71" t="inlineStr">
        <is>
          <t>High</t>
        </is>
      </c>
      <c r="Q71" t="inlineStr">
        <is>
          <t>Scope_Emissions</t>
        </is>
      </c>
      <c r="R71" t="inlineStr">
        <is>
          <t>Valid</t>
        </is>
      </c>
      <c r="S71" t="n">
        <v>2030</v>
      </c>
      <c r="T71" t="inlineStr">
        <is>
          <t>Historical Trend Pathway</t>
        </is>
      </c>
      <c r="U71" t="n">
        <v>1369.0155</v>
      </c>
      <c r="V71" t="n">
        <v>1250.7736</v>
      </c>
      <c r="W71" t="n">
        <v>1340.6151</v>
      </c>
      <c r="X71" t="n">
        <v>1298.0704</v>
      </c>
      <c r="Y71" t="n">
        <v>28.4004</v>
      </c>
      <c r="Z71" t="n">
        <v>9.831999999999999e-05</v>
      </c>
      <c r="AA71" t="n">
        <v>0.020745</v>
      </c>
      <c r="AB71" t="n">
        <v>89.8415</v>
      </c>
      <c r="AC71" t="n">
        <v>4.7297</v>
      </c>
      <c r="AD71" t="n">
        <v>12156.7944</v>
      </c>
      <c r="AE71" t="n">
        <v>7855.5832</v>
      </c>
      <c r="AF71" t="n">
        <v>0.841</v>
      </c>
      <c r="AG71" t="inlineStr">
        <is>
          <t>Medium</t>
        </is>
      </c>
      <c r="AH71" t="inlineStr">
        <is>
          <t>Off Track</t>
        </is>
      </c>
    </row>
    <row r="72">
      <c r="A72" t="inlineStr">
        <is>
          <t>SUP-0005</t>
        </is>
      </c>
      <c r="B72" t="inlineStr">
        <is>
          <t>Professional Supplier 005</t>
        </is>
      </c>
      <c r="C72" t="inlineStr">
        <is>
          <t>Professional Services</t>
        </is>
      </c>
      <c r="D72" t="n">
        <v>2024</v>
      </c>
      <c r="E72" t="n">
        <v>2015</v>
      </c>
      <c r="F72" t="n">
        <v>2040</v>
      </c>
      <c r="G72" t="n">
        <v>1266.1984</v>
      </c>
      <c r="H72" t="n">
        <v>155.835</v>
      </c>
      <c r="I72" t="n">
        <v>82.36669999999999</v>
      </c>
      <c r="J72" t="inlineStr"/>
      <c r="K72" t="n">
        <v>13635020.82</v>
      </c>
      <c r="L72" t="n">
        <v>57675629.87</v>
      </c>
      <c r="M72" t="n">
        <v>1266.1984</v>
      </c>
      <c r="N72" t="inlineStr">
        <is>
          <t>Supplier Reported Emissions</t>
        </is>
      </c>
      <c r="O72" t="b">
        <v>0</v>
      </c>
      <c r="P72" t="inlineStr">
        <is>
          <t>High</t>
        </is>
      </c>
      <c r="Q72" t="inlineStr">
        <is>
          <t>Scope_Emissions</t>
        </is>
      </c>
      <c r="R72" t="inlineStr">
        <is>
          <t>Valid</t>
        </is>
      </c>
      <c r="S72" t="n">
        <v>2031</v>
      </c>
      <c r="T72" t="inlineStr">
        <is>
          <t>Historical Trend Pathway</t>
        </is>
      </c>
      <c r="U72" t="n">
        <v>1369.0155</v>
      </c>
      <c r="V72" t="n">
        <v>1250.7736</v>
      </c>
      <c r="W72" t="n">
        <v>1353.4364</v>
      </c>
      <c r="X72" t="n">
        <v>1293.3407</v>
      </c>
      <c r="Y72" t="n">
        <v>15.5791</v>
      </c>
      <c r="Z72" t="n">
        <v>9.925999999999999e-05</v>
      </c>
      <c r="AA72" t="n">
        <v>0.01138</v>
      </c>
      <c r="AB72" t="n">
        <v>102.6628</v>
      </c>
      <c r="AC72" t="n">
        <v>4.7297</v>
      </c>
      <c r="AD72" t="n">
        <v>10803.358</v>
      </c>
      <c r="AE72" t="n">
        <v>9209.0196</v>
      </c>
      <c r="AF72" t="n">
        <v>0.841</v>
      </c>
      <c r="AG72" t="inlineStr">
        <is>
          <t>Medium</t>
        </is>
      </c>
      <c r="AH72" t="inlineStr">
        <is>
          <t>Off Track</t>
        </is>
      </c>
    </row>
    <row r="73">
      <c r="A73" t="inlineStr">
        <is>
          <t>SUP-0005</t>
        </is>
      </c>
      <c r="B73" t="inlineStr">
        <is>
          <t>Professional Supplier 005</t>
        </is>
      </c>
      <c r="C73" t="inlineStr">
        <is>
          <t>Professional Services</t>
        </is>
      </c>
      <c r="D73" t="n">
        <v>2024</v>
      </c>
      <c r="E73" t="n">
        <v>2015</v>
      </c>
      <c r="F73" t="n">
        <v>2040</v>
      </c>
      <c r="G73" t="n">
        <v>1266.1984</v>
      </c>
      <c r="H73" t="n">
        <v>155.835</v>
      </c>
      <c r="I73" t="n">
        <v>82.36669999999999</v>
      </c>
      <c r="J73" t="inlineStr"/>
      <c r="K73" t="n">
        <v>13635020.82</v>
      </c>
      <c r="L73" t="n">
        <v>57675629.87</v>
      </c>
      <c r="M73" t="n">
        <v>1266.1984</v>
      </c>
      <c r="N73" t="inlineStr">
        <is>
          <t>Supplier Reported Emissions</t>
        </is>
      </c>
      <c r="O73" t="b">
        <v>0</v>
      </c>
      <c r="P73" t="inlineStr">
        <is>
          <t>High</t>
        </is>
      </c>
      <c r="Q73" t="inlineStr">
        <is>
          <t>Scope_Emissions</t>
        </is>
      </c>
      <c r="R73" t="inlineStr">
        <is>
          <t>Valid</t>
        </is>
      </c>
      <c r="S73" t="n">
        <v>2032</v>
      </c>
      <c r="T73" t="inlineStr">
        <is>
          <t>Historical Trend Pathway</t>
        </is>
      </c>
      <c r="U73" t="n">
        <v>1369.0155</v>
      </c>
      <c r="V73" t="n">
        <v>1250.7736</v>
      </c>
      <c r="W73" t="n">
        <v>1366.3802</v>
      </c>
      <c r="X73" t="n">
        <v>1288.611</v>
      </c>
      <c r="Y73" t="n">
        <v>2.6353</v>
      </c>
      <c r="Z73" t="n">
        <v>0.00010021</v>
      </c>
      <c r="AA73" t="n">
        <v>0.001925</v>
      </c>
      <c r="AB73" t="n">
        <v>115.6066</v>
      </c>
      <c r="AC73" t="n">
        <v>4.7297</v>
      </c>
      <c r="AD73" t="n">
        <v>9436.977800000001</v>
      </c>
      <c r="AE73" t="n">
        <v>10575.3998</v>
      </c>
      <c r="AF73" t="n">
        <v>0.841</v>
      </c>
      <c r="AG73" t="inlineStr">
        <is>
          <t>Medium</t>
        </is>
      </c>
      <c r="AH73" t="inlineStr">
        <is>
          <t>Off Track</t>
        </is>
      </c>
    </row>
    <row r="74">
      <c r="A74" t="inlineStr">
        <is>
          <t>SUP-0005</t>
        </is>
      </c>
      <c r="B74" t="inlineStr">
        <is>
          <t>Professional Supplier 005</t>
        </is>
      </c>
      <c r="C74" t="inlineStr">
        <is>
          <t>Professional Services</t>
        </is>
      </c>
      <c r="D74" t="n">
        <v>2024</v>
      </c>
      <c r="E74" t="n">
        <v>2015</v>
      </c>
      <c r="F74" t="n">
        <v>2040</v>
      </c>
      <c r="G74" t="n">
        <v>1266.1984</v>
      </c>
      <c r="H74" t="n">
        <v>155.835</v>
      </c>
      <c r="I74" t="n">
        <v>82.36669999999999</v>
      </c>
      <c r="J74" t="inlineStr"/>
      <c r="K74" t="n">
        <v>13635020.82</v>
      </c>
      <c r="L74" t="n">
        <v>57675629.87</v>
      </c>
      <c r="M74" t="n">
        <v>1266.1984</v>
      </c>
      <c r="N74" t="inlineStr">
        <is>
          <t>Supplier Reported Emissions</t>
        </is>
      </c>
      <c r="O74" t="b">
        <v>0</v>
      </c>
      <c r="P74" t="inlineStr">
        <is>
          <t>High</t>
        </is>
      </c>
      <c r="Q74" t="inlineStr">
        <is>
          <t>Scope_Emissions</t>
        </is>
      </c>
      <c r="R74" t="inlineStr">
        <is>
          <t>Valid</t>
        </is>
      </c>
      <c r="S74" t="n">
        <v>2033</v>
      </c>
      <c r="T74" t="inlineStr">
        <is>
          <t>Historical Trend Pathway</t>
        </is>
      </c>
      <c r="U74" t="n">
        <v>1369.0155</v>
      </c>
      <c r="V74" t="n">
        <v>1250.7736</v>
      </c>
      <c r="W74" t="n">
        <v>1379.4479</v>
      </c>
      <c r="X74" t="n">
        <v>1283.8814</v>
      </c>
      <c r="Y74" t="n">
        <v>-10.4324</v>
      </c>
      <c r="Z74" t="n">
        <v>0.00010117</v>
      </c>
      <c r="AA74" t="n">
        <v>-0.00762</v>
      </c>
      <c r="AB74" t="n">
        <v>128.6743</v>
      </c>
      <c r="AC74" t="n">
        <v>4.7297</v>
      </c>
      <c r="AD74" t="n">
        <v>8057.5299</v>
      </c>
      <c r="AE74" t="n">
        <v>11954.8477</v>
      </c>
      <c r="AF74" t="n">
        <v>0.841</v>
      </c>
      <c r="AG74" t="inlineStr">
        <is>
          <t>Medium</t>
        </is>
      </c>
      <c r="AH74" t="inlineStr">
        <is>
          <t>Off Track</t>
        </is>
      </c>
    </row>
    <row r="75">
      <c r="A75" t="inlineStr">
        <is>
          <t>SUP-0005</t>
        </is>
      </c>
      <c r="B75" t="inlineStr">
        <is>
          <t>Professional Supplier 005</t>
        </is>
      </c>
      <c r="C75" t="inlineStr">
        <is>
          <t>Professional Services</t>
        </is>
      </c>
      <c r="D75" t="n">
        <v>2024</v>
      </c>
      <c r="E75" t="n">
        <v>2015</v>
      </c>
      <c r="F75" t="n">
        <v>2040</v>
      </c>
      <c r="G75" t="n">
        <v>1266.1984</v>
      </c>
      <c r="H75" t="n">
        <v>155.835</v>
      </c>
      <c r="I75" t="n">
        <v>82.36669999999999</v>
      </c>
      <c r="J75" t="inlineStr"/>
      <c r="K75" t="n">
        <v>13635020.82</v>
      </c>
      <c r="L75" t="n">
        <v>57675629.87</v>
      </c>
      <c r="M75" t="n">
        <v>1266.1984</v>
      </c>
      <c r="N75" t="inlineStr">
        <is>
          <t>Supplier Reported Emissions</t>
        </is>
      </c>
      <c r="O75" t="b">
        <v>0</v>
      </c>
      <c r="P75" t="inlineStr">
        <is>
          <t>High</t>
        </is>
      </c>
      <c r="Q75" t="inlineStr">
        <is>
          <t>Scope_Emissions</t>
        </is>
      </c>
      <c r="R75" t="inlineStr">
        <is>
          <t>Valid</t>
        </is>
      </c>
      <c r="S75" t="n">
        <v>2034</v>
      </c>
      <c r="T75" t="inlineStr">
        <is>
          <t>Historical Trend Pathway</t>
        </is>
      </c>
      <c r="U75" t="n">
        <v>1369.0155</v>
      </c>
      <c r="V75" t="n">
        <v>1250.7736</v>
      </c>
      <c r="W75" t="n">
        <v>1392.6405</v>
      </c>
      <c r="X75" t="n">
        <v>1279.1517</v>
      </c>
      <c r="Y75" t="n">
        <v>-23.625</v>
      </c>
      <c r="Z75" t="n">
        <v>0.00010214</v>
      </c>
      <c r="AA75" t="n">
        <v>-0.017257</v>
      </c>
      <c r="AB75" t="n">
        <v>141.8669</v>
      </c>
      <c r="AC75" t="n">
        <v>4.7297</v>
      </c>
      <c r="AD75" t="n">
        <v>6664.8894</v>
      </c>
      <c r="AE75" t="n">
        <v>13347.4882</v>
      </c>
      <c r="AF75" t="n">
        <v>0.841</v>
      </c>
      <c r="AG75" t="inlineStr">
        <is>
          <t>Medium</t>
        </is>
      </c>
      <c r="AH75" t="inlineStr">
        <is>
          <t>Off Track</t>
        </is>
      </c>
    </row>
    <row r="76">
      <c r="A76" t="inlineStr">
        <is>
          <t>SUP-0005</t>
        </is>
      </c>
      <c r="B76" t="inlineStr">
        <is>
          <t>Professional Supplier 005</t>
        </is>
      </c>
      <c r="C76" t="inlineStr">
        <is>
          <t>Professional Services</t>
        </is>
      </c>
      <c r="D76" t="n">
        <v>2024</v>
      </c>
      <c r="E76" t="n">
        <v>2015</v>
      </c>
      <c r="F76" t="n">
        <v>2040</v>
      </c>
      <c r="G76" t="n">
        <v>1266.1984</v>
      </c>
      <c r="H76" t="n">
        <v>155.835</v>
      </c>
      <c r="I76" t="n">
        <v>82.36669999999999</v>
      </c>
      <c r="J76" t="inlineStr"/>
      <c r="K76" t="n">
        <v>13635020.82</v>
      </c>
      <c r="L76" t="n">
        <v>57675629.87</v>
      </c>
      <c r="M76" t="n">
        <v>1266.1984</v>
      </c>
      <c r="N76" t="inlineStr">
        <is>
          <t>Supplier Reported Emissions</t>
        </is>
      </c>
      <c r="O76" t="b">
        <v>0</v>
      </c>
      <c r="P76" t="inlineStr">
        <is>
          <t>High</t>
        </is>
      </c>
      <c r="Q76" t="inlineStr">
        <is>
          <t>Scope_Emissions</t>
        </is>
      </c>
      <c r="R76" t="inlineStr">
        <is>
          <t>Valid</t>
        </is>
      </c>
      <c r="S76" t="n">
        <v>2035</v>
      </c>
      <c r="T76" t="inlineStr">
        <is>
          <t>Historical Trend Pathway</t>
        </is>
      </c>
      <c r="U76" t="n">
        <v>1369.0155</v>
      </c>
      <c r="V76" t="n">
        <v>1250.7736</v>
      </c>
      <c r="W76" t="n">
        <v>1405.9593</v>
      </c>
      <c r="X76" t="n">
        <v>1274.422</v>
      </c>
      <c r="Y76" t="n">
        <v>-36.9438</v>
      </c>
      <c r="Z76" t="n">
        <v>0.00010311</v>
      </c>
      <c r="AA76" t="n">
        <v>-0.026986</v>
      </c>
      <c r="AB76" t="n">
        <v>155.1857</v>
      </c>
      <c r="AC76" t="n">
        <v>4.7297</v>
      </c>
      <c r="AD76" t="n">
        <v>5258.9301</v>
      </c>
      <c r="AE76" t="n">
        <v>14753.4475</v>
      </c>
      <c r="AF76" t="n">
        <v>0.841</v>
      </c>
      <c r="AG76" t="inlineStr">
        <is>
          <t>Medium</t>
        </is>
      </c>
      <c r="AH76" t="inlineStr">
        <is>
          <t>Off Track</t>
        </is>
      </c>
    </row>
    <row r="77">
      <c r="A77" t="inlineStr">
        <is>
          <t>SUP-0005</t>
        </is>
      </c>
      <c r="B77" t="inlineStr">
        <is>
          <t>Professional Supplier 005</t>
        </is>
      </c>
      <c r="C77" t="inlineStr">
        <is>
          <t>Professional Services</t>
        </is>
      </c>
      <c r="D77" t="n">
        <v>2024</v>
      </c>
      <c r="E77" t="n">
        <v>2015</v>
      </c>
      <c r="F77" t="n">
        <v>2040</v>
      </c>
      <c r="G77" t="n">
        <v>1266.1984</v>
      </c>
      <c r="H77" t="n">
        <v>155.835</v>
      </c>
      <c r="I77" t="n">
        <v>82.36669999999999</v>
      </c>
      <c r="J77" t="inlineStr"/>
      <c r="K77" t="n">
        <v>13635020.82</v>
      </c>
      <c r="L77" t="n">
        <v>57675629.87</v>
      </c>
      <c r="M77" t="n">
        <v>1266.1984</v>
      </c>
      <c r="N77" t="inlineStr">
        <is>
          <t>Supplier Reported Emissions</t>
        </is>
      </c>
      <c r="O77" t="b">
        <v>0</v>
      </c>
      <c r="P77" t="inlineStr">
        <is>
          <t>High</t>
        </is>
      </c>
      <c r="Q77" t="inlineStr">
        <is>
          <t>Scope_Emissions</t>
        </is>
      </c>
      <c r="R77" t="inlineStr">
        <is>
          <t>Valid</t>
        </is>
      </c>
      <c r="S77" t="n">
        <v>2036</v>
      </c>
      <c r="T77" t="inlineStr">
        <is>
          <t>Historical Trend Pathway</t>
        </is>
      </c>
      <c r="U77" t="n">
        <v>1369.0155</v>
      </c>
      <c r="V77" t="n">
        <v>1250.7736</v>
      </c>
      <c r="W77" t="n">
        <v>1419.4055</v>
      </c>
      <c r="X77" t="n">
        <v>1269.6923</v>
      </c>
      <c r="Y77" t="n">
        <v>-50.39</v>
      </c>
      <c r="Z77" t="n">
        <v>0.0001041</v>
      </c>
      <c r="AA77" t="n">
        <v>-0.036807</v>
      </c>
      <c r="AB77" t="n">
        <v>168.6319</v>
      </c>
      <c r="AC77" t="n">
        <v>4.7297</v>
      </c>
      <c r="AD77" t="n">
        <v>3839.5246</v>
      </c>
      <c r="AE77" t="n">
        <v>16172.853</v>
      </c>
      <c r="AF77" t="n">
        <v>0.841</v>
      </c>
      <c r="AG77" t="inlineStr">
        <is>
          <t>Medium</t>
        </is>
      </c>
      <c r="AH77" t="inlineStr">
        <is>
          <t>Off Track</t>
        </is>
      </c>
    </row>
    <row r="78">
      <c r="A78" t="inlineStr">
        <is>
          <t>SUP-0005</t>
        </is>
      </c>
      <c r="B78" t="inlineStr">
        <is>
          <t>Professional Supplier 005</t>
        </is>
      </c>
      <c r="C78" t="inlineStr">
        <is>
          <t>Professional Services</t>
        </is>
      </c>
      <c r="D78" t="n">
        <v>2024</v>
      </c>
      <c r="E78" t="n">
        <v>2015</v>
      </c>
      <c r="F78" t="n">
        <v>2040</v>
      </c>
      <c r="G78" t="n">
        <v>1266.1984</v>
      </c>
      <c r="H78" t="n">
        <v>155.835</v>
      </c>
      <c r="I78" t="n">
        <v>82.36669999999999</v>
      </c>
      <c r="J78" t="inlineStr"/>
      <c r="K78" t="n">
        <v>13635020.82</v>
      </c>
      <c r="L78" t="n">
        <v>57675629.87</v>
      </c>
      <c r="M78" t="n">
        <v>1266.1984</v>
      </c>
      <c r="N78" t="inlineStr">
        <is>
          <t>Supplier Reported Emissions</t>
        </is>
      </c>
      <c r="O78" t="b">
        <v>0</v>
      </c>
      <c r="P78" t="inlineStr">
        <is>
          <t>High</t>
        </is>
      </c>
      <c r="Q78" t="inlineStr">
        <is>
          <t>Scope_Emissions</t>
        </is>
      </c>
      <c r="R78" t="inlineStr">
        <is>
          <t>Valid</t>
        </is>
      </c>
      <c r="S78" t="n">
        <v>2037</v>
      </c>
      <c r="T78" t="inlineStr">
        <is>
          <t>Historical Trend Pathway</t>
        </is>
      </c>
      <c r="U78" t="n">
        <v>1369.0155</v>
      </c>
      <c r="V78" t="n">
        <v>1250.7736</v>
      </c>
      <c r="W78" t="n">
        <v>1432.9803</v>
      </c>
      <c r="X78" t="n">
        <v>1264.9627</v>
      </c>
      <c r="Y78" t="n">
        <v>-63.9648</v>
      </c>
      <c r="Z78" t="n">
        <v>0.0001051</v>
      </c>
      <c r="AA78" t="n">
        <v>-0.046723</v>
      </c>
      <c r="AB78" t="n">
        <v>182.2066</v>
      </c>
      <c r="AC78" t="n">
        <v>4.7297</v>
      </c>
      <c r="AD78" t="n">
        <v>2406.5443</v>
      </c>
      <c r="AE78" t="n">
        <v>17605.8333</v>
      </c>
      <c r="AF78" t="n">
        <v>0.841</v>
      </c>
      <c r="AG78" t="inlineStr">
        <is>
          <t>Medium</t>
        </is>
      </c>
      <c r="AH78" t="inlineStr">
        <is>
          <t>Off Track</t>
        </is>
      </c>
    </row>
    <row r="79">
      <c r="A79" t="inlineStr">
        <is>
          <t>SUP-0005</t>
        </is>
      </c>
      <c r="B79" t="inlineStr">
        <is>
          <t>Professional Supplier 005</t>
        </is>
      </c>
      <c r="C79" t="inlineStr">
        <is>
          <t>Professional Services</t>
        </is>
      </c>
      <c r="D79" t="n">
        <v>2024</v>
      </c>
      <c r="E79" t="n">
        <v>2015</v>
      </c>
      <c r="F79" t="n">
        <v>2040</v>
      </c>
      <c r="G79" t="n">
        <v>1266.1984</v>
      </c>
      <c r="H79" t="n">
        <v>155.835</v>
      </c>
      <c r="I79" t="n">
        <v>82.36669999999999</v>
      </c>
      <c r="J79" t="inlineStr"/>
      <c r="K79" t="n">
        <v>13635020.82</v>
      </c>
      <c r="L79" t="n">
        <v>57675629.87</v>
      </c>
      <c r="M79" t="n">
        <v>1266.1984</v>
      </c>
      <c r="N79" t="inlineStr">
        <is>
          <t>Supplier Reported Emissions</t>
        </is>
      </c>
      <c r="O79" t="b">
        <v>0</v>
      </c>
      <c r="P79" t="inlineStr">
        <is>
          <t>High</t>
        </is>
      </c>
      <c r="Q79" t="inlineStr">
        <is>
          <t>Scope_Emissions</t>
        </is>
      </c>
      <c r="R79" t="inlineStr">
        <is>
          <t>Valid</t>
        </is>
      </c>
      <c r="S79" t="n">
        <v>2038</v>
      </c>
      <c r="T79" t="inlineStr">
        <is>
          <t>Historical Trend Pathway</t>
        </is>
      </c>
      <c r="U79" t="n">
        <v>1369.0155</v>
      </c>
      <c r="V79" t="n">
        <v>1250.7736</v>
      </c>
      <c r="W79" t="n">
        <v>1446.6848</v>
      </c>
      <c r="X79" t="n">
        <v>1260.233</v>
      </c>
      <c r="Y79" t="n">
        <v>-77.66930000000001</v>
      </c>
      <c r="Z79" t="n">
        <v>0.0001061</v>
      </c>
      <c r="AA79" t="n">
        <v>-0.056734</v>
      </c>
      <c r="AB79" t="n">
        <v>195.9112</v>
      </c>
      <c r="AC79" t="n">
        <v>4.7297</v>
      </c>
      <c r="AD79" t="n">
        <v>959.8595</v>
      </c>
      <c r="AE79" t="n">
        <v>19052.5181</v>
      </c>
      <c r="AF79" t="n">
        <v>0.841</v>
      </c>
      <c r="AG79" t="inlineStr">
        <is>
          <t>High</t>
        </is>
      </c>
      <c r="AH79" t="inlineStr">
        <is>
          <t>Off Track</t>
        </is>
      </c>
    </row>
    <row r="80">
      <c r="A80" t="inlineStr">
        <is>
          <t>SUP-0005</t>
        </is>
      </c>
      <c r="B80" t="inlineStr">
        <is>
          <t>Professional Supplier 005</t>
        </is>
      </c>
      <c r="C80" t="inlineStr">
        <is>
          <t>Professional Services</t>
        </is>
      </c>
      <c r="D80" t="n">
        <v>2024</v>
      </c>
      <c r="E80" t="n">
        <v>2015</v>
      </c>
      <c r="F80" t="n">
        <v>2040</v>
      </c>
      <c r="G80" t="n">
        <v>1266.1984</v>
      </c>
      <c r="H80" t="n">
        <v>155.835</v>
      </c>
      <c r="I80" t="n">
        <v>82.36669999999999</v>
      </c>
      <c r="J80" t="inlineStr"/>
      <c r="K80" t="n">
        <v>13635020.82</v>
      </c>
      <c r="L80" t="n">
        <v>57675629.87</v>
      </c>
      <c r="M80" t="n">
        <v>1266.1984</v>
      </c>
      <c r="N80" t="inlineStr">
        <is>
          <t>Supplier Reported Emissions</t>
        </is>
      </c>
      <c r="O80" t="b">
        <v>0</v>
      </c>
      <c r="P80" t="inlineStr">
        <is>
          <t>High</t>
        </is>
      </c>
      <c r="Q80" t="inlineStr">
        <is>
          <t>Scope_Emissions</t>
        </is>
      </c>
      <c r="R80" t="inlineStr">
        <is>
          <t>Valid</t>
        </is>
      </c>
      <c r="S80" t="n">
        <v>2039</v>
      </c>
      <c r="T80" t="inlineStr">
        <is>
          <t>Historical Trend Pathway</t>
        </is>
      </c>
      <c r="U80" t="n">
        <v>1369.0155</v>
      </c>
      <c r="V80" t="n">
        <v>1250.7736</v>
      </c>
      <c r="W80" t="n">
        <v>1460.5205</v>
      </c>
      <c r="X80" t="n">
        <v>1255.5033</v>
      </c>
      <c r="Y80" t="n">
        <v>-91.505</v>
      </c>
      <c r="Z80" t="n">
        <v>0.00010712</v>
      </c>
      <c r="AA80" t="n">
        <v>-0.06684</v>
      </c>
      <c r="AB80" t="n">
        <v>209.7469</v>
      </c>
      <c r="AC80" t="n">
        <v>4.7297</v>
      </c>
      <c r="AD80" t="n">
        <v>-500.661</v>
      </c>
      <c r="AE80" t="n">
        <v>20513.0386</v>
      </c>
      <c r="AF80" t="n">
        <v>0.841</v>
      </c>
      <c r="AG80" t="inlineStr">
        <is>
          <t>High</t>
        </is>
      </c>
      <c r="AH80" t="inlineStr">
        <is>
          <t>Off Track</t>
        </is>
      </c>
    </row>
    <row r="81">
      <c r="A81" t="inlineStr">
        <is>
          <t>SUP-0005</t>
        </is>
      </c>
      <c r="B81" t="inlineStr">
        <is>
          <t>Professional Supplier 005</t>
        </is>
      </c>
      <c r="C81" t="inlineStr">
        <is>
          <t>Professional Services</t>
        </is>
      </c>
      <c r="D81" t="n">
        <v>2024</v>
      </c>
      <c r="E81" t="n">
        <v>2015</v>
      </c>
      <c r="F81" t="n">
        <v>2040</v>
      </c>
      <c r="G81" t="n">
        <v>1266.1984</v>
      </c>
      <c r="H81" t="n">
        <v>155.835</v>
      </c>
      <c r="I81" t="n">
        <v>82.36669999999999</v>
      </c>
      <c r="J81" t="inlineStr"/>
      <c r="K81" t="n">
        <v>13635020.82</v>
      </c>
      <c r="L81" t="n">
        <v>57675629.87</v>
      </c>
      <c r="M81" t="n">
        <v>1266.1984</v>
      </c>
      <c r="N81" t="inlineStr">
        <is>
          <t>Supplier Reported Emissions</t>
        </is>
      </c>
      <c r="O81" t="b">
        <v>0</v>
      </c>
      <c r="P81" t="inlineStr">
        <is>
          <t>High</t>
        </is>
      </c>
      <c r="Q81" t="inlineStr">
        <is>
          <t>Scope_Emissions</t>
        </is>
      </c>
      <c r="R81" t="inlineStr">
        <is>
          <t>Valid</t>
        </is>
      </c>
      <c r="S81" t="n">
        <v>2040</v>
      </c>
      <c r="T81" t="inlineStr">
        <is>
          <t>Historical Trend Pathway</t>
        </is>
      </c>
      <c r="U81" t="n">
        <v>1369.0155</v>
      </c>
      <c r="V81" t="n">
        <v>1250.7736</v>
      </c>
      <c r="W81" t="n">
        <v>1474.4885</v>
      </c>
      <c r="X81" t="n">
        <v>1250.7736</v>
      </c>
      <c r="Y81" t="n">
        <v>-105.473</v>
      </c>
      <c r="Z81" t="n">
        <v>0.00010814</v>
      </c>
      <c r="AA81" t="n">
        <v>-0.077043</v>
      </c>
      <c r="AB81" t="n">
        <v>223.7149</v>
      </c>
      <c r="AC81" t="n">
        <v>4.7297</v>
      </c>
      <c r="AD81" t="n">
        <v>-1975.1495</v>
      </c>
      <c r="AE81" t="n">
        <v>21987.5271</v>
      </c>
      <c r="AF81" t="n">
        <v>0.841</v>
      </c>
      <c r="AG81" t="inlineStr">
        <is>
          <t>High</t>
        </is>
      </c>
      <c r="AH81" t="inlineStr">
        <is>
          <t>Off Track</t>
        </is>
      </c>
    </row>
    <row r="82">
      <c r="A82" t="inlineStr">
        <is>
          <t>SUP-0006</t>
        </is>
      </c>
      <c r="B82" t="inlineStr">
        <is>
          <t>Agriculture Supplier 006</t>
        </is>
      </c>
      <c r="C82" t="inlineStr">
        <is>
          <t>Agriculture</t>
        </is>
      </c>
      <c r="D82" t="n">
        <v>2024</v>
      </c>
      <c r="E82" t="n">
        <v>2015</v>
      </c>
      <c r="F82" t="n">
        <v>2040</v>
      </c>
      <c r="G82" t="n">
        <v>12271.2118</v>
      </c>
      <c r="H82" t="n">
        <v>1665.9707</v>
      </c>
      <c r="I82" t="n">
        <v>2684.8791</v>
      </c>
      <c r="J82" t="n">
        <v>7593.9697</v>
      </c>
      <c r="K82" t="n">
        <v>16986081.37</v>
      </c>
      <c r="L82" t="inlineStr"/>
      <c r="M82" t="n">
        <v>12271.2118</v>
      </c>
      <c r="N82" t="inlineStr">
        <is>
          <t>Supplier Reported Emissions</t>
        </is>
      </c>
      <c r="O82" t="b">
        <v>0</v>
      </c>
      <c r="P82" t="inlineStr">
        <is>
          <t>High</t>
        </is>
      </c>
      <c r="Q82" t="inlineStr">
        <is>
          <t>Revenue</t>
        </is>
      </c>
      <c r="R82" t="inlineStr">
        <is>
          <t>Valid</t>
        </is>
      </c>
      <c r="S82" t="n">
        <v>2025</v>
      </c>
      <c r="T82" t="inlineStr">
        <is>
          <t>Historical Trend Pathway</t>
        </is>
      </c>
      <c r="U82" t="n">
        <v>21302.6821</v>
      </c>
      <c r="V82" t="n">
        <v>13846.7434</v>
      </c>
      <c r="W82" t="n">
        <v>11648.7669</v>
      </c>
      <c r="X82" t="n">
        <v>18320.3066</v>
      </c>
      <c r="Y82" t="n">
        <v>9653.915199999999</v>
      </c>
      <c r="Z82" t="n">
        <v>0.00068578</v>
      </c>
      <c r="AA82" t="n">
        <v>0.453178</v>
      </c>
      <c r="AB82" t="n">
        <v>-2197.9765</v>
      </c>
      <c r="AC82" t="n">
        <v>298.2375</v>
      </c>
      <c r="AD82" t="n">
        <v>209899.1275</v>
      </c>
      <c r="AE82" t="n">
        <v>11648.7669</v>
      </c>
      <c r="AF82" t="n">
        <v>0.78</v>
      </c>
      <c r="AG82" t="inlineStr">
        <is>
          <t>Low</t>
        </is>
      </c>
      <c r="AH82" t="inlineStr">
        <is>
          <t>On Track to Glide Path</t>
        </is>
      </c>
    </row>
    <row r="83">
      <c r="A83" t="inlineStr">
        <is>
          <t>SUP-0006</t>
        </is>
      </c>
      <c r="B83" t="inlineStr">
        <is>
          <t>Agriculture Supplier 006</t>
        </is>
      </c>
      <c r="C83" t="inlineStr">
        <is>
          <t>Agriculture</t>
        </is>
      </c>
      <c r="D83" t="n">
        <v>2024</v>
      </c>
      <c r="E83" t="n">
        <v>2015</v>
      </c>
      <c r="F83" t="n">
        <v>2040</v>
      </c>
      <c r="G83" t="n">
        <v>12271.2118</v>
      </c>
      <c r="H83" t="n">
        <v>1665.9707</v>
      </c>
      <c r="I83" t="n">
        <v>2684.8791</v>
      </c>
      <c r="J83" t="n">
        <v>7593.9697</v>
      </c>
      <c r="K83" t="n">
        <v>16986081.37</v>
      </c>
      <c r="L83" t="inlineStr"/>
      <c r="M83" t="n">
        <v>12271.2118</v>
      </c>
      <c r="N83" t="inlineStr">
        <is>
          <t>Supplier Reported Emissions</t>
        </is>
      </c>
      <c r="O83" t="b">
        <v>0</v>
      </c>
      <c r="P83" t="inlineStr">
        <is>
          <t>High</t>
        </is>
      </c>
      <c r="Q83" t="inlineStr">
        <is>
          <t>Revenue</t>
        </is>
      </c>
      <c r="R83" t="inlineStr">
        <is>
          <t>Valid</t>
        </is>
      </c>
      <c r="S83" t="n">
        <v>2026</v>
      </c>
      <c r="T83" t="inlineStr">
        <is>
          <t>Historical Trend Pathway</t>
        </is>
      </c>
      <c r="U83" t="n">
        <v>21302.6821</v>
      </c>
      <c r="V83" t="n">
        <v>13846.7434</v>
      </c>
      <c r="W83" t="n">
        <v>11057.8948</v>
      </c>
      <c r="X83" t="n">
        <v>18022.0691</v>
      </c>
      <c r="Y83" t="n">
        <v>10244.7873</v>
      </c>
      <c r="Z83" t="n">
        <v>0.000651</v>
      </c>
      <c r="AA83" t="n">
        <v>0.480915</v>
      </c>
      <c r="AB83" t="n">
        <v>-2788.8486</v>
      </c>
      <c r="AC83" t="n">
        <v>298.2375</v>
      </c>
      <c r="AD83" t="n">
        <v>198841.2327</v>
      </c>
      <c r="AE83" t="n">
        <v>22706.6617</v>
      </c>
      <c r="AF83" t="n">
        <v>0.78</v>
      </c>
      <c r="AG83" t="inlineStr">
        <is>
          <t>Low</t>
        </is>
      </c>
      <c r="AH83" t="inlineStr">
        <is>
          <t>On Track to Glide Path</t>
        </is>
      </c>
    </row>
    <row r="84">
      <c r="A84" t="inlineStr">
        <is>
          <t>SUP-0006</t>
        </is>
      </c>
      <c r="B84" t="inlineStr">
        <is>
          <t>Agriculture Supplier 006</t>
        </is>
      </c>
      <c r="C84" t="inlineStr">
        <is>
          <t>Agriculture</t>
        </is>
      </c>
      <c r="D84" t="n">
        <v>2024</v>
      </c>
      <c r="E84" t="n">
        <v>2015</v>
      </c>
      <c r="F84" t="n">
        <v>2040</v>
      </c>
      <c r="G84" t="n">
        <v>12271.2118</v>
      </c>
      <c r="H84" t="n">
        <v>1665.9707</v>
      </c>
      <c r="I84" t="n">
        <v>2684.8791</v>
      </c>
      <c r="J84" t="n">
        <v>7593.9697</v>
      </c>
      <c r="K84" t="n">
        <v>16986081.37</v>
      </c>
      <c r="L84" t="inlineStr"/>
      <c r="M84" t="n">
        <v>12271.2118</v>
      </c>
      <c r="N84" t="inlineStr">
        <is>
          <t>Supplier Reported Emissions</t>
        </is>
      </c>
      <c r="O84" t="b">
        <v>0</v>
      </c>
      <c r="P84" t="inlineStr">
        <is>
          <t>High</t>
        </is>
      </c>
      <c r="Q84" t="inlineStr">
        <is>
          <t>Revenue</t>
        </is>
      </c>
      <c r="R84" t="inlineStr">
        <is>
          <t>Valid</t>
        </is>
      </c>
      <c r="S84" t="n">
        <v>2027</v>
      </c>
      <c r="T84" t="inlineStr">
        <is>
          <t>Historical Trend Pathway</t>
        </is>
      </c>
      <c r="U84" t="n">
        <v>21302.6821</v>
      </c>
      <c r="V84" t="n">
        <v>13846.7434</v>
      </c>
      <c r="W84" t="n">
        <v>10496.9941</v>
      </c>
      <c r="X84" t="n">
        <v>17723.8315</v>
      </c>
      <c r="Y84" t="n">
        <v>10805.688</v>
      </c>
      <c r="Z84" t="n">
        <v>0.00061798</v>
      </c>
      <c r="AA84" t="n">
        <v>0.5072449999999999</v>
      </c>
      <c r="AB84" t="n">
        <v>-3349.7492</v>
      </c>
      <c r="AC84" t="n">
        <v>298.2375</v>
      </c>
      <c r="AD84" t="n">
        <v>188344.2386</v>
      </c>
      <c r="AE84" t="n">
        <v>33203.6558</v>
      </c>
      <c r="AF84" t="n">
        <v>0.78</v>
      </c>
      <c r="AG84" t="inlineStr">
        <is>
          <t>Low</t>
        </is>
      </c>
      <c r="AH84" t="inlineStr">
        <is>
          <t>On Track to Glide Path</t>
        </is>
      </c>
    </row>
    <row r="85">
      <c r="A85" t="inlineStr">
        <is>
          <t>SUP-0006</t>
        </is>
      </c>
      <c r="B85" t="inlineStr">
        <is>
          <t>Agriculture Supplier 006</t>
        </is>
      </c>
      <c r="C85" t="inlineStr">
        <is>
          <t>Agriculture</t>
        </is>
      </c>
      <c r="D85" t="n">
        <v>2024</v>
      </c>
      <c r="E85" t="n">
        <v>2015</v>
      </c>
      <c r="F85" t="n">
        <v>2040</v>
      </c>
      <c r="G85" t="n">
        <v>12271.2118</v>
      </c>
      <c r="H85" t="n">
        <v>1665.9707</v>
      </c>
      <c r="I85" t="n">
        <v>2684.8791</v>
      </c>
      <c r="J85" t="n">
        <v>7593.9697</v>
      </c>
      <c r="K85" t="n">
        <v>16986081.37</v>
      </c>
      <c r="L85" t="inlineStr"/>
      <c r="M85" t="n">
        <v>12271.2118</v>
      </c>
      <c r="N85" t="inlineStr">
        <is>
          <t>Supplier Reported Emissions</t>
        </is>
      </c>
      <c r="O85" t="b">
        <v>0</v>
      </c>
      <c r="P85" t="inlineStr">
        <is>
          <t>High</t>
        </is>
      </c>
      <c r="Q85" t="inlineStr">
        <is>
          <t>Revenue</t>
        </is>
      </c>
      <c r="R85" t="inlineStr">
        <is>
          <t>Valid</t>
        </is>
      </c>
      <c r="S85" t="n">
        <v>2028</v>
      </c>
      <c r="T85" t="inlineStr">
        <is>
          <t>Historical Trend Pathway</t>
        </is>
      </c>
      <c r="U85" t="n">
        <v>21302.6821</v>
      </c>
      <c r="V85" t="n">
        <v>13846.7434</v>
      </c>
      <c r="W85" t="n">
        <v>9964.544599999999</v>
      </c>
      <c r="X85" t="n">
        <v>17425.594</v>
      </c>
      <c r="Y85" t="n">
        <v>11338.1375</v>
      </c>
      <c r="Z85" t="n">
        <v>0.00058663</v>
      </c>
      <c r="AA85" t="n">
        <v>0.53224</v>
      </c>
      <c r="AB85" t="n">
        <v>-3882.1987</v>
      </c>
      <c r="AC85" t="n">
        <v>298.2375</v>
      </c>
      <c r="AD85" t="n">
        <v>178379.694</v>
      </c>
      <c r="AE85" t="n">
        <v>43168.2004</v>
      </c>
      <c r="AF85" t="n">
        <v>0.78</v>
      </c>
      <c r="AG85" t="inlineStr">
        <is>
          <t>Low</t>
        </is>
      </c>
      <c r="AH85" t="inlineStr">
        <is>
          <t>On Track to Glide Path</t>
        </is>
      </c>
    </row>
    <row r="86">
      <c r="A86" t="inlineStr">
        <is>
          <t>SUP-0006</t>
        </is>
      </c>
      <c r="B86" t="inlineStr">
        <is>
          <t>Agriculture Supplier 006</t>
        </is>
      </c>
      <c r="C86" t="inlineStr">
        <is>
          <t>Agriculture</t>
        </is>
      </c>
      <c r="D86" t="n">
        <v>2024</v>
      </c>
      <c r="E86" t="n">
        <v>2015</v>
      </c>
      <c r="F86" t="n">
        <v>2040</v>
      </c>
      <c r="G86" t="n">
        <v>12271.2118</v>
      </c>
      <c r="H86" t="n">
        <v>1665.9707</v>
      </c>
      <c r="I86" t="n">
        <v>2684.8791</v>
      </c>
      <c r="J86" t="n">
        <v>7593.9697</v>
      </c>
      <c r="K86" t="n">
        <v>16986081.37</v>
      </c>
      <c r="L86" t="inlineStr"/>
      <c r="M86" t="n">
        <v>12271.2118</v>
      </c>
      <c r="N86" t="inlineStr">
        <is>
          <t>Supplier Reported Emissions</t>
        </is>
      </c>
      <c r="O86" t="b">
        <v>0</v>
      </c>
      <c r="P86" t="inlineStr">
        <is>
          <t>High</t>
        </is>
      </c>
      <c r="Q86" t="inlineStr">
        <is>
          <t>Revenue</t>
        </is>
      </c>
      <c r="R86" t="inlineStr">
        <is>
          <t>Valid</t>
        </is>
      </c>
      <c r="S86" t="n">
        <v>2029</v>
      </c>
      <c r="T86" t="inlineStr">
        <is>
          <t>Historical Trend Pathway</t>
        </is>
      </c>
      <c r="U86" t="n">
        <v>21302.6821</v>
      </c>
      <c r="V86" t="n">
        <v>13846.7434</v>
      </c>
      <c r="W86" t="n">
        <v>9459.1031</v>
      </c>
      <c r="X86" t="n">
        <v>17127.3564</v>
      </c>
      <c r="Y86" t="n">
        <v>11843.579</v>
      </c>
      <c r="Z86" t="n">
        <v>0.00055687</v>
      </c>
      <c r="AA86" t="n">
        <v>0.555967</v>
      </c>
      <c r="AB86" t="n">
        <v>-4387.6403</v>
      </c>
      <c r="AC86" t="n">
        <v>298.2375</v>
      </c>
      <c r="AD86" t="n">
        <v>168920.5909</v>
      </c>
      <c r="AE86" t="n">
        <v>52627.3035</v>
      </c>
      <c r="AF86" t="n">
        <v>0.78</v>
      </c>
      <c r="AG86" t="inlineStr">
        <is>
          <t>Low</t>
        </is>
      </c>
      <c r="AH86" t="inlineStr">
        <is>
          <t>On Track to Glide Path</t>
        </is>
      </c>
    </row>
    <row r="87">
      <c r="A87" t="inlineStr">
        <is>
          <t>SUP-0006</t>
        </is>
      </c>
      <c r="B87" t="inlineStr">
        <is>
          <t>Agriculture Supplier 006</t>
        </is>
      </c>
      <c r="C87" t="inlineStr">
        <is>
          <t>Agriculture</t>
        </is>
      </c>
      <c r="D87" t="n">
        <v>2024</v>
      </c>
      <c r="E87" t="n">
        <v>2015</v>
      </c>
      <c r="F87" t="n">
        <v>2040</v>
      </c>
      <c r="G87" t="n">
        <v>12271.2118</v>
      </c>
      <c r="H87" t="n">
        <v>1665.9707</v>
      </c>
      <c r="I87" t="n">
        <v>2684.8791</v>
      </c>
      <c r="J87" t="n">
        <v>7593.9697</v>
      </c>
      <c r="K87" t="n">
        <v>16986081.37</v>
      </c>
      <c r="L87" t="inlineStr"/>
      <c r="M87" t="n">
        <v>12271.2118</v>
      </c>
      <c r="N87" t="inlineStr">
        <is>
          <t>Supplier Reported Emissions</t>
        </is>
      </c>
      <c r="O87" t="b">
        <v>0</v>
      </c>
      <c r="P87" t="inlineStr">
        <is>
          <t>High</t>
        </is>
      </c>
      <c r="Q87" t="inlineStr">
        <is>
          <t>Revenue</t>
        </is>
      </c>
      <c r="R87" t="inlineStr">
        <is>
          <t>Valid</t>
        </is>
      </c>
      <c r="S87" t="n">
        <v>2030</v>
      </c>
      <c r="T87" t="inlineStr">
        <is>
          <t>Historical Trend Pathway</t>
        </is>
      </c>
      <c r="U87" t="n">
        <v>21302.6821</v>
      </c>
      <c r="V87" t="n">
        <v>13846.7434</v>
      </c>
      <c r="W87" t="n">
        <v>8979.299499999999</v>
      </c>
      <c r="X87" t="n">
        <v>16829.1189</v>
      </c>
      <c r="Y87" t="n">
        <v>12323.3826</v>
      </c>
      <c r="Z87" t="n">
        <v>0.00052863</v>
      </c>
      <c r="AA87" t="n">
        <v>0.5784899999999999</v>
      </c>
      <c r="AB87" t="n">
        <v>-4867.4439</v>
      </c>
      <c r="AC87" t="n">
        <v>298.2375</v>
      </c>
      <c r="AD87" t="n">
        <v>159941.2914</v>
      </c>
      <c r="AE87" t="n">
        <v>61606.603</v>
      </c>
      <c r="AF87" t="n">
        <v>0.78</v>
      </c>
      <c r="AG87" t="inlineStr">
        <is>
          <t>Low</t>
        </is>
      </c>
      <c r="AH87" t="inlineStr">
        <is>
          <t>On Track to Glide Path</t>
        </is>
      </c>
    </row>
    <row r="88">
      <c r="A88" t="inlineStr">
        <is>
          <t>SUP-0006</t>
        </is>
      </c>
      <c r="B88" t="inlineStr">
        <is>
          <t>Agriculture Supplier 006</t>
        </is>
      </c>
      <c r="C88" t="inlineStr">
        <is>
          <t>Agriculture</t>
        </is>
      </c>
      <c r="D88" t="n">
        <v>2024</v>
      </c>
      <c r="E88" t="n">
        <v>2015</v>
      </c>
      <c r="F88" t="n">
        <v>2040</v>
      </c>
      <c r="G88" t="n">
        <v>12271.2118</v>
      </c>
      <c r="H88" t="n">
        <v>1665.9707</v>
      </c>
      <c r="I88" t="n">
        <v>2684.8791</v>
      </c>
      <c r="J88" t="n">
        <v>7593.9697</v>
      </c>
      <c r="K88" t="n">
        <v>16986081.37</v>
      </c>
      <c r="L88" t="inlineStr"/>
      <c r="M88" t="n">
        <v>12271.2118</v>
      </c>
      <c r="N88" t="inlineStr">
        <is>
          <t>Supplier Reported Emissions</t>
        </is>
      </c>
      <c r="O88" t="b">
        <v>0</v>
      </c>
      <c r="P88" t="inlineStr">
        <is>
          <t>High</t>
        </is>
      </c>
      <c r="Q88" t="inlineStr">
        <is>
          <t>Revenue</t>
        </is>
      </c>
      <c r="R88" t="inlineStr">
        <is>
          <t>Valid</t>
        </is>
      </c>
      <c r="S88" t="n">
        <v>2031</v>
      </c>
      <c r="T88" t="inlineStr">
        <is>
          <t>Historical Trend Pathway</t>
        </is>
      </c>
      <c r="U88" t="n">
        <v>21302.6821</v>
      </c>
      <c r="V88" t="n">
        <v>13846.7434</v>
      </c>
      <c r="W88" t="n">
        <v>8523.833500000001</v>
      </c>
      <c r="X88" t="n">
        <v>16530.8813</v>
      </c>
      <c r="Y88" t="n">
        <v>12778.8486</v>
      </c>
      <c r="Z88" t="n">
        <v>0.00050181</v>
      </c>
      <c r="AA88" t="n">
        <v>0.59987</v>
      </c>
      <c r="AB88" t="n">
        <v>-5322.9098</v>
      </c>
      <c r="AC88" t="n">
        <v>298.2375</v>
      </c>
      <c r="AD88" t="n">
        <v>151417.4579</v>
      </c>
      <c r="AE88" t="n">
        <v>70130.4365</v>
      </c>
      <c r="AF88" t="n">
        <v>0.78</v>
      </c>
      <c r="AG88" t="inlineStr">
        <is>
          <t>Low</t>
        </is>
      </c>
      <c r="AH88" t="inlineStr">
        <is>
          <t>On Track to Glide Path</t>
        </is>
      </c>
    </row>
    <row r="89">
      <c r="A89" t="inlineStr">
        <is>
          <t>SUP-0006</t>
        </is>
      </c>
      <c r="B89" t="inlineStr">
        <is>
          <t>Agriculture Supplier 006</t>
        </is>
      </c>
      <c r="C89" t="inlineStr">
        <is>
          <t>Agriculture</t>
        </is>
      </c>
      <c r="D89" t="n">
        <v>2024</v>
      </c>
      <c r="E89" t="n">
        <v>2015</v>
      </c>
      <c r="F89" t="n">
        <v>2040</v>
      </c>
      <c r="G89" t="n">
        <v>12271.2118</v>
      </c>
      <c r="H89" t="n">
        <v>1665.9707</v>
      </c>
      <c r="I89" t="n">
        <v>2684.8791</v>
      </c>
      <c r="J89" t="n">
        <v>7593.9697</v>
      </c>
      <c r="K89" t="n">
        <v>16986081.37</v>
      </c>
      <c r="L89" t="inlineStr"/>
      <c r="M89" t="n">
        <v>12271.2118</v>
      </c>
      <c r="N89" t="inlineStr">
        <is>
          <t>Supplier Reported Emissions</t>
        </is>
      </c>
      <c r="O89" t="b">
        <v>0</v>
      </c>
      <c r="P89" t="inlineStr">
        <is>
          <t>High</t>
        </is>
      </c>
      <c r="Q89" t="inlineStr">
        <is>
          <t>Revenue</t>
        </is>
      </c>
      <c r="R89" t="inlineStr">
        <is>
          <t>Valid</t>
        </is>
      </c>
      <c r="S89" t="n">
        <v>2032</v>
      </c>
      <c r="T89" t="inlineStr">
        <is>
          <t>Historical Trend Pathway</t>
        </is>
      </c>
      <c r="U89" t="n">
        <v>21302.6821</v>
      </c>
      <c r="V89" t="n">
        <v>13846.7434</v>
      </c>
      <c r="W89" t="n">
        <v>8091.4706</v>
      </c>
      <c r="X89" t="n">
        <v>16232.6438</v>
      </c>
      <c r="Y89" t="n">
        <v>13211.2115</v>
      </c>
      <c r="Z89" t="n">
        <v>0.00047636</v>
      </c>
      <c r="AA89" t="n">
        <v>0.620167</v>
      </c>
      <c r="AB89" t="n">
        <v>-5755.2728</v>
      </c>
      <c r="AC89" t="n">
        <v>298.2375</v>
      </c>
      <c r="AD89" t="n">
        <v>143325.9873</v>
      </c>
      <c r="AE89" t="n">
        <v>78221.9071</v>
      </c>
      <c r="AF89" t="n">
        <v>0.78</v>
      </c>
      <c r="AG89" t="inlineStr">
        <is>
          <t>Low</t>
        </is>
      </c>
      <c r="AH89" t="inlineStr">
        <is>
          <t>On Track to Glide Path</t>
        </is>
      </c>
    </row>
    <row r="90">
      <c r="A90" t="inlineStr">
        <is>
          <t>SUP-0006</t>
        </is>
      </c>
      <c r="B90" t="inlineStr">
        <is>
          <t>Agriculture Supplier 006</t>
        </is>
      </c>
      <c r="C90" t="inlineStr">
        <is>
          <t>Agriculture</t>
        </is>
      </c>
      <c r="D90" t="n">
        <v>2024</v>
      </c>
      <c r="E90" t="n">
        <v>2015</v>
      </c>
      <c r="F90" t="n">
        <v>2040</v>
      </c>
      <c r="G90" t="n">
        <v>12271.2118</v>
      </c>
      <c r="H90" t="n">
        <v>1665.9707</v>
      </c>
      <c r="I90" t="n">
        <v>2684.8791</v>
      </c>
      <c r="J90" t="n">
        <v>7593.9697</v>
      </c>
      <c r="K90" t="n">
        <v>16986081.37</v>
      </c>
      <c r="L90" t="inlineStr"/>
      <c r="M90" t="n">
        <v>12271.2118</v>
      </c>
      <c r="N90" t="inlineStr">
        <is>
          <t>Supplier Reported Emissions</t>
        </is>
      </c>
      <c r="O90" t="b">
        <v>0</v>
      </c>
      <c r="P90" t="inlineStr">
        <is>
          <t>High</t>
        </is>
      </c>
      <c r="Q90" t="inlineStr">
        <is>
          <t>Revenue</t>
        </is>
      </c>
      <c r="R90" t="inlineStr">
        <is>
          <t>Valid</t>
        </is>
      </c>
      <c r="S90" t="n">
        <v>2033</v>
      </c>
      <c r="T90" t="inlineStr">
        <is>
          <t>Historical Trend Pathway</t>
        </is>
      </c>
      <c r="U90" t="n">
        <v>21302.6821</v>
      </c>
      <c r="V90" t="n">
        <v>13846.7434</v>
      </c>
      <c r="W90" t="n">
        <v>7681.0388</v>
      </c>
      <c r="X90" t="n">
        <v>15934.4062</v>
      </c>
      <c r="Y90" t="n">
        <v>13621.6433</v>
      </c>
      <c r="Z90" t="n">
        <v>0.0004522</v>
      </c>
      <c r="AA90" t="n">
        <v>0.639433</v>
      </c>
      <c r="AB90" t="n">
        <v>-6165.7045</v>
      </c>
      <c r="AC90" t="n">
        <v>298.2375</v>
      </c>
      <c r="AD90" t="n">
        <v>135644.9485</v>
      </c>
      <c r="AE90" t="n">
        <v>85902.94590000001</v>
      </c>
      <c r="AF90" t="n">
        <v>0.78</v>
      </c>
      <c r="AG90" t="inlineStr">
        <is>
          <t>Low</t>
        </is>
      </c>
      <c r="AH90" t="inlineStr">
        <is>
          <t>On Track to Glide Path</t>
        </is>
      </c>
    </row>
    <row r="91">
      <c r="A91" t="inlineStr">
        <is>
          <t>SUP-0006</t>
        </is>
      </c>
      <c r="B91" t="inlineStr">
        <is>
          <t>Agriculture Supplier 006</t>
        </is>
      </c>
      <c r="C91" t="inlineStr">
        <is>
          <t>Agriculture</t>
        </is>
      </c>
      <c r="D91" t="n">
        <v>2024</v>
      </c>
      <c r="E91" t="n">
        <v>2015</v>
      </c>
      <c r="F91" t="n">
        <v>2040</v>
      </c>
      <c r="G91" t="n">
        <v>12271.2118</v>
      </c>
      <c r="H91" t="n">
        <v>1665.9707</v>
      </c>
      <c r="I91" t="n">
        <v>2684.8791</v>
      </c>
      <c r="J91" t="n">
        <v>7593.9697</v>
      </c>
      <c r="K91" t="n">
        <v>16986081.37</v>
      </c>
      <c r="L91" t="inlineStr"/>
      <c r="M91" t="n">
        <v>12271.2118</v>
      </c>
      <c r="N91" t="inlineStr">
        <is>
          <t>Supplier Reported Emissions</t>
        </is>
      </c>
      <c r="O91" t="b">
        <v>0</v>
      </c>
      <c r="P91" t="inlineStr">
        <is>
          <t>High</t>
        </is>
      </c>
      <c r="Q91" t="inlineStr">
        <is>
          <t>Revenue</t>
        </is>
      </c>
      <c r="R91" t="inlineStr">
        <is>
          <t>Valid</t>
        </is>
      </c>
      <c r="S91" t="n">
        <v>2034</v>
      </c>
      <c r="T91" t="inlineStr">
        <is>
          <t>Historical Trend Pathway</t>
        </is>
      </c>
      <c r="U91" t="n">
        <v>21302.6821</v>
      </c>
      <c r="V91" t="n">
        <v>13846.7434</v>
      </c>
      <c r="W91" t="n">
        <v>7291.4258</v>
      </c>
      <c r="X91" t="n">
        <v>15636.1687</v>
      </c>
      <c r="Y91" t="n">
        <v>14011.2563</v>
      </c>
      <c r="Z91" t="n">
        <v>0.00042926</v>
      </c>
      <c r="AA91" t="n">
        <v>0.6577229999999999</v>
      </c>
      <c r="AB91" t="n">
        <v>-6555.3175</v>
      </c>
      <c r="AC91" t="n">
        <v>298.2375</v>
      </c>
      <c r="AD91" t="n">
        <v>128353.5227</v>
      </c>
      <c r="AE91" t="n">
        <v>93194.3717</v>
      </c>
      <c r="AF91" t="n">
        <v>0.78</v>
      </c>
      <c r="AG91" t="inlineStr">
        <is>
          <t>Low</t>
        </is>
      </c>
      <c r="AH91" t="inlineStr">
        <is>
          <t>On Track to Glide Path</t>
        </is>
      </c>
    </row>
    <row r="92">
      <c r="A92" t="inlineStr">
        <is>
          <t>SUP-0006</t>
        </is>
      </c>
      <c r="B92" t="inlineStr">
        <is>
          <t>Agriculture Supplier 006</t>
        </is>
      </c>
      <c r="C92" t="inlineStr">
        <is>
          <t>Agriculture</t>
        </is>
      </c>
      <c r="D92" t="n">
        <v>2024</v>
      </c>
      <c r="E92" t="n">
        <v>2015</v>
      </c>
      <c r="F92" t="n">
        <v>2040</v>
      </c>
      <c r="G92" t="n">
        <v>12271.2118</v>
      </c>
      <c r="H92" t="n">
        <v>1665.9707</v>
      </c>
      <c r="I92" t="n">
        <v>2684.8791</v>
      </c>
      <c r="J92" t="n">
        <v>7593.9697</v>
      </c>
      <c r="K92" t="n">
        <v>16986081.37</v>
      </c>
      <c r="L92" t="inlineStr"/>
      <c r="M92" t="n">
        <v>12271.2118</v>
      </c>
      <c r="N92" t="inlineStr">
        <is>
          <t>Supplier Reported Emissions</t>
        </is>
      </c>
      <c r="O92" t="b">
        <v>0</v>
      </c>
      <c r="P92" t="inlineStr">
        <is>
          <t>High</t>
        </is>
      </c>
      <c r="Q92" t="inlineStr">
        <is>
          <t>Revenue</t>
        </is>
      </c>
      <c r="R92" t="inlineStr">
        <is>
          <t>Valid</t>
        </is>
      </c>
      <c r="S92" t="n">
        <v>2035</v>
      </c>
      <c r="T92" t="inlineStr">
        <is>
          <t>Historical Trend Pathway</t>
        </is>
      </c>
      <c r="U92" t="n">
        <v>21302.6821</v>
      </c>
      <c r="V92" t="n">
        <v>13846.7434</v>
      </c>
      <c r="W92" t="n">
        <v>6921.5755</v>
      </c>
      <c r="X92" t="n">
        <v>15337.9311</v>
      </c>
      <c r="Y92" t="n">
        <v>14381.1066</v>
      </c>
      <c r="Z92" t="n">
        <v>0.00040749</v>
      </c>
      <c r="AA92" t="n">
        <v>0.675084</v>
      </c>
      <c r="AB92" t="n">
        <v>-6925.1678</v>
      </c>
      <c r="AC92" t="n">
        <v>298.2375</v>
      </c>
      <c r="AD92" t="n">
        <v>121431.9472</v>
      </c>
      <c r="AE92" t="n">
        <v>100115.9472</v>
      </c>
      <c r="AF92" t="n">
        <v>0.78</v>
      </c>
      <c r="AG92" t="inlineStr">
        <is>
          <t>Low</t>
        </is>
      </c>
      <c r="AH92" t="inlineStr">
        <is>
          <t>On Track to Glide Path</t>
        </is>
      </c>
    </row>
    <row r="93">
      <c r="A93" t="inlineStr">
        <is>
          <t>SUP-0006</t>
        </is>
      </c>
      <c r="B93" t="inlineStr">
        <is>
          <t>Agriculture Supplier 006</t>
        </is>
      </c>
      <c r="C93" t="inlineStr">
        <is>
          <t>Agriculture</t>
        </is>
      </c>
      <c r="D93" t="n">
        <v>2024</v>
      </c>
      <c r="E93" t="n">
        <v>2015</v>
      </c>
      <c r="F93" t="n">
        <v>2040</v>
      </c>
      <c r="G93" t="n">
        <v>12271.2118</v>
      </c>
      <c r="H93" t="n">
        <v>1665.9707</v>
      </c>
      <c r="I93" t="n">
        <v>2684.8791</v>
      </c>
      <c r="J93" t="n">
        <v>7593.9697</v>
      </c>
      <c r="K93" t="n">
        <v>16986081.37</v>
      </c>
      <c r="L93" t="inlineStr"/>
      <c r="M93" t="n">
        <v>12271.2118</v>
      </c>
      <c r="N93" t="inlineStr">
        <is>
          <t>Supplier Reported Emissions</t>
        </is>
      </c>
      <c r="O93" t="b">
        <v>0</v>
      </c>
      <c r="P93" t="inlineStr">
        <is>
          <t>High</t>
        </is>
      </c>
      <c r="Q93" t="inlineStr">
        <is>
          <t>Revenue</t>
        </is>
      </c>
      <c r="R93" t="inlineStr">
        <is>
          <t>Valid</t>
        </is>
      </c>
      <c r="S93" t="n">
        <v>2036</v>
      </c>
      <c r="T93" t="inlineStr">
        <is>
          <t>Historical Trend Pathway</t>
        </is>
      </c>
      <c r="U93" t="n">
        <v>21302.6821</v>
      </c>
      <c r="V93" t="n">
        <v>13846.7434</v>
      </c>
      <c r="W93" t="n">
        <v>6570.4855</v>
      </c>
      <c r="X93" t="n">
        <v>15039.6936</v>
      </c>
      <c r="Y93" t="n">
        <v>14732.1966</v>
      </c>
      <c r="Z93" t="n">
        <v>0.00038682</v>
      </c>
      <c r="AA93" t="n">
        <v>0.691565</v>
      </c>
      <c r="AB93" t="n">
        <v>-7276.2578</v>
      </c>
      <c r="AC93" t="n">
        <v>298.2375</v>
      </c>
      <c r="AD93" t="n">
        <v>114861.4617</v>
      </c>
      <c r="AE93" t="n">
        <v>106686.4327</v>
      </c>
      <c r="AF93" t="n">
        <v>0.78</v>
      </c>
      <c r="AG93" t="inlineStr">
        <is>
          <t>Low</t>
        </is>
      </c>
      <c r="AH93" t="inlineStr">
        <is>
          <t>On Track to Glide Path</t>
        </is>
      </c>
    </row>
    <row r="94">
      <c r="A94" t="inlineStr">
        <is>
          <t>SUP-0006</t>
        </is>
      </c>
      <c r="B94" t="inlineStr">
        <is>
          <t>Agriculture Supplier 006</t>
        </is>
      </c>
      <c r="C94" t="inlineStr">
        <is>
          <t>Agriculture</t>
        </is>
      </c>
      <c r="D94" t="n">
        <v>2024</v>
      </c>
      <c r="E94" t="n">
        <v>2015</v>
      </c>
      <c r="F94" t="n">
        <v>2040</v>
      </c>
      <c r="G94" t="n">
        <v>12271.2118</v>
      </c>
      <c r="H94" t="n">
        <v>1665.9707</v>
      </c>
      <c r="I94" t="n">
        <v>2684.8791</v>
      </c>
      <c r="J94" t="n">
        <v>7593.9697</v>
      </c>
      <c r="K94" t="n">
        <v>16986081.37</v>
      </c>
      <c r="L94" t="inlineStr"/>
      <c r="M94" t="n">
        <v>12271.2118</v>
      </c>
      <c r="N94" t="inlineStr">
        <is>
          <t>Supplier Reported Emissions</t>
        </is>
      </c>
      <c r="O94" t="b">
        <v>0</v>
      </c>
      <c r="P94" t="inlineStr">
        <is>
          <t>High</t>
        </is>
      </c>
      <c r="Q94" t="inlineStr">
        <is>
          <t>Revenue</t>
        </is>
      </c>
      <c r="R94" t="inlineStr">
        <is>
          <t>Valid</t>
        </is>
      </c>
      <c r="S94" t="n">
        <v>2037</v>
      </c>
      <c r="T94" t="inlineStr">
        <is>
          <t>Historical Trend Pathway</t>
        </is>
      </c>
      <c r="U94" t="n">
        <v>21302.6821</v>
      </c>
      <c r="V94" t="n">
        <v>13846.7434</v>
      </c>
      <c r="W94" t="n">
        <v>6237.2042</v>
      </c>
      <c r="X94" t="n">
        <v>14741.456</v>
      </c>
      <c r="Y94" t="n">
        <v>15065.4779</v>
      </c>
      <c r="Z94" t="n">
        <v>0.0003672</v>
      </c>
      <c r="AA94" t="n">
        <v>0.70721</v>
      </c>
      <c r="AB94" t="n">
        <v>-7609.5391</v>
      </c>
      <c r="AC94" t="n">
        <v>298.2375</v>
      </c>
      <c r="AD94" t="n">
        <v>108624.2575</v>
      </c>
      <c r="AE94" t="n">
        <v>112923.6369</v>
      </c>
      <c r="AF94" t="n">
        <v>0.78</v>
      </c>
      <c r="AG94" t="inlineStr">
        <is>
          <t>Low</t>
        </is>
      </c>
      <c r="AH94" t="inlineStr">
        <is>
          <t>On Track to Glide Path</t>
        </is>
      </c>
    </row>
    <row r="95">
      <c r="A95" t="inlineStr">
        <is>
          <t>SUP-0006</t>
        </is>
      </c>
      <c r="B95" t="inlineStr">
        <is>
          <t>Agriculture Supplier 006</t>
        </is>
      </c>
      <c r="C95" t="inlineStr">
        <is>
          <t>Agriculture</t>
        </is>
      </c>
      <c r="D95" t="n">
        <v>2024</v>
      </c>
      <c r="E95" t="n">
        <v>2015</v>
      </c>
      <c r="F95" t="n">
        <v>2040</v>
      </c>
      <c r="G95" t="n">
        <v>12271.2118</v>
      </c>
      <c r="H95" t="n">
        <v>1665.9707</v>
      </c>
      <c r="I95" t="n">
        <v>2684.8791</v>
      </c>
      <c r="J95" t="n">
        <v>7593.9697</v>
      </c>
      <c r="K95" t="n">
        <v>16986081.37</v>
      </c>
      <c r="L95" t="inlineStr"/>
      <c r="M95" t="n">
        <v>12271.2118</v>
      </c>
      <c r="N95" t="inlineStr">
        <is>
          <t>Supplier Reported Emissions</t>
        </is>
      </c>
      <c r="O95" t="b">
        <v>0</v>
      </c>
      <c r="P95" t="inlineStr">
        <is>
          <t>High</t>
        </is>
      </c>
      <c r="Q95" t="inlineStr">
        <is>
          <t>Revenue</t>
        </is>
      </c>
      <c r="R95" t="inlineStr">
        <is>
          <t>Valid</t>
        </is>
      </c>
      <c r="S95" t="n">
        <v>2038</v>
      </c>
      <c r="T95" t="inlineStr">
        <is>
          <t>Historical Trend Pathway</t>
        </is>
      </c>
      <c r="U95" t="n">
        <v>21302.6821</v>
      </c>
      <c r="V95" t="n">
        <v>13846.7434</v>
      </c>
      <c r="W95" t="n">
        <v>5920.8283</v>
      </c>
      <c r="X95" t="n">
        <v>14443.2185</v>
      </c>
      <c r="Y95" t="n">
        <v>15381.8538</v>
      </c>
      <c r="Z95" t="n">
        <v>0.00034857</v>
      </c>
      <c r="AA95" t="n">
        <v>0.722062</v>
      </c>
      <c r="AB95" t="n">
        <v>-7925.9151</v>
      </c>
      <c r="AC95" t="n">
        <v>298.2375</v>
      </c>
      <c r="AD95" t="n">
        <v>102703.4292</v>
      </c>
      <c r="AE95" t="n">
        <v>118844.4652</v>
      </c>
      <c r="AF95" t="n">
        <v>0.78</v>
      </c>
      <c r="AG95" t="inlineStr">
        <is>
          <t>Low</t>
        </is>
      </c>
      <c r="AH95" t="inlineStr">
        <is>
          <t>On Track to Glide Path</t>
        </is>
      </c>
    </row>
    <row r="96">
      <c r="A96" t="inlineStr">
        <is>
          <t>SUP-0006</t>
        </is>
      </c>
      <c r="B96" t="inlineStr">
        <is>
          <t>Agriculture Supplier 006</t>
        </is>
      </c>
      <c r="C96" t="inlineStr">
        <is>
          <t>Agriculture</t>
        </is>
      </c>
      <c r="D96" t="n">
        <v>2024</v>
      </c>
      <c r="E96" t="n">
        <v>2015</v>
      </c>
      <c r="F96" t="n">
        <v>2040</v>
      </c>
      <c r="G96" t="n">
        <v>12271.2118</v>
      </c>
      <c r="H96" t="n">
        <v>1665.9707</v>
      </c>
      <c r="I96" t="n">
        <v>2684.8791</v>
      </c>
      <c r="J96" t="n">
        <v>7593.9697</v>
      </c>
      <c r="K96" t="n">
        <v>16986081.37</v>
      </c>
      <c r="L96" t="inlineStr"/>
      <c r="M96" t="n">
        <v>12271.2118</v>
      </c>
      <c r="N96" t="inlineStr">
        <is>
          <t>Supplier Reported Emissions</t>
        </is>
      </c>
      <c r="O96" t="b">
        <v>0</v>
      </c>
      <c r="P96" t="inlineStr">
        <is>
          <t>High</t>
        </is>
      </c>
      <c r="Q96" t="inlineStr">
        <is>
          <t>Revenue</t>
        </is>
      </c>
      <c r="R96" t="inlineStr">
        <is>
          <t>Valid</t>
        </is>
      </c>
      <c r="S96" t="n">
        <v>2039</v>
      </c>
      <c r="T96" t="inlineStr">
        <is>
          <t>Historical Trend Pathway</t>
        </is>
      </c>
      <c r="U96" t="n">
        <v>21302.6821</v>
      </c>
      <c r="V96" t="n">
        <v>13846.7434</v>
      </c>
      <c r="W96" t="n">
        <v>5620.5002</v>
      </c>
      <c r="X96" t="n">
        <v>14144.9809</v>
      </c>
      <c r="Y96" t="n">
        <v>15682.1819</v>
      </c>
      <c r="Z96" t="n">
        <v>0.00033089</v>
      </c>
      <c r="AA96" t="n">
        <v>0.73616</v>
      </c>
      <c r="AB96" t="n">
        <v>-8226.243200000001</v>
      </c>
      <c r="AC96" t="n">
        <v>298.2375</v>
      </c>
      <c r="AD96" t="n">
        <v>97082.929</v>
      </c>
      <c r="AE96" t="n">
        <v>124464.9654</v>
      </c>
      <c r="AF96" t="n">
        <v>0.78</v>
      </c>
      <c r="AG96" t="inlineStr">
        <is>
          <t>Low</t>
        </is>
      </c>
      <c r="AH96" t="inlineStr">
        <is>
          <t>On Track to Glide Path</t>
        </is>
      </c>
    </row>
    <row r="97">
      <c r="A97" t="inlineStr">
        <is>
          <t>SUP-0006</t>
        </is>
      </c>
      <c r="B97" t="inlineStr">
        <is>
          <t>Agriculture Supplier 006</t>
        </is>
      </c>
      <c r="C97" t="inlineStr">
        <is>
          <t>Agriculture</t>
        </is>
      </c>
      <c r="D97" t="n">
        <v>2024</v>
      </c>
      <c r="E97" t="n">
        <v>2015</v>
      </c>
      <c r="F97" t="n">
        <v>2040</v>
      </c>
      <c r="G97" t="n">
        <v>12271.2118</v>
      </c>
      <c r="H97" t="n">
        <v>1665.9707</v>
      </c>
      <c r="I97" t="n">
        <v>2684.8791</v>
      </c>
      <c r="J97" t="n">
        <v>7593.9697</v>
      </c>
      <c r="K97" t="n">
        <v>16986081.37</v>
      </c>
      <c r="L97" t="inlineStr"/>
      <c r="M97" t="n">
        <v>12271.2118</v>
      </c>
      <c r="N97" t="inlineStr">
        <is>
          <t>Supplier Reported Emissions</t>
        </is>
      </c>
      <c r="O97" t="b">
        <v>0</v>
      </c>
      <c r="P97" t="inlineStr">
        <is>
          <t>High</t>
        </is>
      </c>
      <c r="Q97" t="inlineStr">
        <is>
          <t>Revenue</t>
        </is>
      </c>
      <c r="R97" t="inlineStr">
        <is>
          <t>Valid</t>
        </is>
      </c>
      <c r="S97" t="n">
        <v>2040</v>
      </c>
      <c r="T97" t="inlineStr">
        <is>
          <t>Historical Trend Pathway</t>
        </is>
      </c>
      <c r="U97" t="n">
        <v>21302.6821</v>
      </c>
      <c r="V97" t="n">
        <v>13846.7434</v>
      </c>
      <c r="W97" t="n">
        <v>5335.4059</v>
      </c>
      <c r="X97" t="n">
        <v>13846.7434</v>
      </c>
      <c r="Y97" t="n">
        <v>15967.2762</v>
      </c>
      <c r="Z97" t="n">
        <v>0.0003141</v>
      </c>
      <c r="AA97" t="n">
        <v>0.749543</v>
      </c>
      <c r="AB97" t="n">
        <v>-8511.3374</v>
      </c>
      <c r="AC97" t="n">
        <v>298.2375</v>
      </c>
      <c r="AD97" t="n">
        <v>91747.52310000001</v>
      </c>
      <c r="AE97" t="n">
        <v>129800.3713</v>
      </c>
      <c r="AF97" t="n">
        <v>0.78</v>
      </c>
      <c r="AG97" t="inlineStr">
        <is>
          <t>Low</t>
        </is>
      </c>
      <c r="AH97" t="inlineStr">
        <is>
          <t>On Track</t>
        </is>
      </c>
    </row>
    <row r="98">
      <c r="A98" t="inlineStr">
        <is>
          <t>SUP-0007</t>
        </is>
      </c>
      <c r="B98" t="inlineStr">
        <is>
          <t>Chemicals Supplier 007</t>
        </is>
      </c>
      <c r="C98" t="inlineStr">
        <is>
          <t>Chemicals</t>
        </is>
      </c>
      <c r="D98" t="n">
        <v>2024</v>
      </c>
      <c r="E98" t="n">
        <v>2019</v>
      </c>
      <c r="F98" t="n">
        <v>2030</v>
      </c>
      <c r="G98" t="n">
        <v>6696.6134</v>
      </c>
      <c r="H98" t="n">
        <v>1664.6513</v>
      </c>
      <c r="I98" t="n">
        <v>1142.706</v>
      </c>
      <c r="J98" t="inlineStr"/>
      <c r="K98" t="n">
        <v>13812841.6</v>
      </c>
      <c r="L98" t="n">
        <v>123886547.06</v>
      </c>
      <c r="M98" t="n">
        <v>6696.6134</v>
      </c>
      <c r="N98" t="inlineStr">
        <is>
          <t>Supplier Reported Emissions</t>
        </is>
      </c>
      <c r="O98" t="b">
        <v>0</v>
      </c>
      <c r="P98" t="inlineStr">
        <is>
          <t>High</t>
        </is>
      </c>
      <c r="Q98" t="inlineStr">
        <is>
          <t>Scope_Emissions</t>
        </is>
      </c>
      <c r="R98" t="inlineStr">
        <is>
          <t>Valid</t>
        </is>
      </c>
      <c r="S98" t="n">
        <v>2025</v>
      </c>
      <c r="T98" t="inlineStr">
        <is>
          <t>Supplier Target Pathway</t>
        </is>
      </c>
      <c r="U98" t="n">
        <v>8489.83</v>
      </c>
      <c r="V98" t="n">
        <v>3673.5494</v>
      </c>
      <c r="W98" t="n">
        <v>5862.7679</v>
      </c>
      <c r="X98" t="n">
        <v>5862.7679</v>
      </c>
      <c r="Y98" t="n">
        <v>2627.0621</v>
      </c>
      <c r="Z98" t="n">
        <v>0.00042444</v>
      </c>
      <c r="AA98" t="n">
        <v>0.309436</v>
      </c>
      <c r="AB98" t="n">
        <v>2189.2184</v>
      </c>
      <c r="AC98" t="n">
        <v>437.8437</v>
      </c>
      <c r="AD98" t="n">
        <v>16178.5285</v>
      </c>
      <c r="AE98" t="n">
        <v>5862.7679</v>
      </c>
      <c r="AF98" t="n">
        <v>0.99</v>
      </c>
      <c r="AG98" t="inlineStr">
        <is>
          <t>Critical</t>
        </is>
      </c>
      <c r="AH98" t="inlineStr">
        <is>
          <t>On Track to Glide Path</t>
        </is>
      </c>
    </row>
    <row r="99">
      <c r="A99" t="inlineStr">
        <is>
          <t>SUP-0007</t>
        </is>
      </c>
      <c r="B99" t="inlineStr">
        <is>
          <t>Chemicals Supplier 007</t>
        </is>
      </c>
      <c r="C99" t="inlineStr">
        <is>
          <t>Chemicals</t>
        </is>
      </c>
      <c r="D99" t="n">
        <v>2024</v>
      </c>
      <c r="E99" t="n">
        <v>2019</v>
      </c>
      <c r="F99" t="n">
        <v>2030</v>
      </c>
      <c r="G99" t="n">
        <v>6696.6134</v>
      </c>
      <c r="H99" t="n">
        <v>1664.6513</v>
      </c>
      <c r="I99" t="n">
        <v>1142.706</v>
      </c>
      <c r="J99" t="inlineStr"/>
      <c r="K99" t="n">
        <v>13812841.6</v>
      </c>
      <c r="L99" t="n">
        <v>123886547.06</v>
      </c>
      <c r="M99" t="n">
        <v>6696.6134</v>
      </c>
      <c r="N99" t="inlineStr">
        <is>
          <t>Supplier Reported Emissions</t>
        </is>
      </c>
      <c r="O99" t="b">
        <v>0</v>
      </c>
      <c r="P99" t="inlineStr">
        <is>
          <t>High</t>
        </is>
      </c>
      <c r="Q99" t="inlineStr">
        <is>
          <t>Scope_Emissions</t>
        </is>
      </c>
      <c r="R99" t="inlineStr">
        <is>
          <t>Valid</t>
        </is>
      </c>
      <c r="S99" t="n">
        <v>2026</v>
      </c>
      <c r="T99" t="inlineStr">
        <is>
          <t>Supplier Target Pathway</t>
        </is>
      </c>
      <c r="U99" t="n">
        <v>8489.83</v>
      </c>
      <c r="V99" t="n">
        <v>3673.5494</v>
      </c>
      <c r="W99" t="n">
        <v>5424.9242</v>
      </c>
      <c r="X99" t="n">
        <v>5424.9242</v>
      </c>
      <c r="Y99" t="n">
        <v>3064.9058</v>
      </c>
      <c r="Z99" t="n">
        <v>0.00039274</v>
      </c>
      <c r="AA99" t="n">
        <v>0.361009</v>
      </c>
      <c r="AB99" t="n">
        <v>1751.3747</v>
      </c>
      <c r="AC99" t="n">
        <v>437.8437</v>
      </c>
      <c r="AD99" t="n">
        <v>10753.6043</v>
      </c>
      <c r="AE99" t="n">
        <v>11287.6921</v>
      </c>
      <c r="AF99" t="n">
        <v>0.99</v>
      </c>
      <c r="AG99" t="inlineStr">
        <is>
          <t>Critical</t>
        </is>
      </c>
      <c r="AH99" t="inlineStr">
        <is>
          <t>On Track to Glide Path</t>
        </is>
      </c>
    </row>
    <row r="100">
      <c r="A100" t="inlineStr">
        <is>
          <t>SUP-0007</t>
        </is>
      </c>
      <c r="B100" t="inlineStr">
        <is>
          <t>Chemicals Supplier 007</t>
        </is>
      </c>
      <c r="C100" t="inlineStr">
        <is>
          <t>Chemicals</t>
        </is>
      </c>
      <c r="D100" t="n">
        <v>2024</v>
      </c>
      <c r="E100" t="n">
        <v>2019</v>
      </c>
      <c r="F100" t="n">
        <v>2030</v>
      </c>
      <c r="G100" t="n">
        <v>6696.6134</v>
      </c>
      <c r="H100" t="n">
        <v>1664.6513</v>
      </c>
      <c r="I100" t="n">
        <v>1142.706</v>
      </c>
      <c r="J100" t="inlineStr"/>
      <c r="K100" t="n">
        <v>13812841.6</v>
      </c>
      <c r="L100" t="n">
        <v>123886547.06</v>
      </c>
      <c r="M100" t="n">
        <v>6696.6134</v>
      </c>
      <c r="N100" t="inlineStr">
        <is>
          <t>Supplier Reported Emissions</t>
        </is>
      </c>
      <c r="O100" t="b">
        <v>0</v>
      </c>
      <c r="P100" t="inlineStr">
        <is>
          <t>High</t>
        </is>
      </c>
      <c r="Q100" t="inlineStr">
        <is>
          <t>Scope_Emissions</t>
        </is>
      </c>
      <c r="R100" t="inlineStr">
        <is>
          <t>Valid</t>
        </is>
      </c>
      <c r="S100" t="n">
        <v>2027</v>
      </c>
      <c r="T100" t="inlineStr">
        <is>
          <t>Supplier Target Pathway</t>
        </is>
      </c>
      <c r="U100" t="n">
        <v>8489.83</v>
      </c>
      <c r="V100" t="n">
        <v>3673.5494</v>
      </c>
      <c r="W100" t="n">
        <v>4987.0805</v>
      </c>
      <c r="X100" t="n">
        <v>4987.0805</v>
      </c>
      <c r="Y100" t="n">
        <v>3502.7495</v>
      </c>
      <c r="Z100" t="n">
        <v>0.00036105</v>
      </c>
      <c r="AA100" t="n">
        <v>0.412582</v>
      </c>
      <c r="AB100" t="n">
        <v>1313.5311</v>
      </c>
      <c r="AC100" t="n">
        <v>437.8437</v>
      </c>
      <c r="AD100" t="n">
        <v>5766.5238</v>
      </c>
      <c r="AE100" t="n">
        <v>16274.7726</v>
      </c>
      <c r="AF100" t="n">
        <v>0.99</v>
      </c>
      <c r="AG100" t="inlineStr">
        <is>
          <t>Critical</t>
        </is>
      </c>
      <c r="AH100" t="inlineStr">
        <is>
          <t>On Track to Glide Path</t>
        </is>
      </c>
    </row>
    <row r="101">
      <c r="A101" t="inlineStr">
        <is>
          <t>SUP-0007</t>
        </is>
      </c>
      <c r="B101" t="inlineStr">
        <is>
          <t>Chemicals Supplier 007</t>
        </is>
      </c>
      <c r="C101" t="inlineStr">
        <is>
          <t>Chemicals</t>
        </is>
      </c>
      <c r="D101" t="n">
        <v>2024</v>
      </c>
      <c r="E101" t="n">
        <v>2019</v>
      </c>
      <c r="F101" t="n">
        <v>2030</v>
      </c>
      <c r="G101" t="n">
        <v>6696.6134</v>
      </c>
      <c r="H101" t="n">
        <v>1664.6513</v>
      </c>
      <c r="I101" t="n">
        <v>1142.706</v>
      </c>
      <c r="J101" t="inlineStr"/>
      <c r="K101" t="n">
        <v>13812841.6</v>
      </c>
      <c r="L101" t="n">
        <v>123886547.06</v>
      </c>
      <c r="M101" t="n">
        <v>6696.6134</v>
      </c>
      <c r="N101" t="inlineStr">
        <is>
          <t>Supplier Reported Emissions</t>
        </is>
      </c>
      <c r="O101" t="b">
        <v>0</v>
      </c>
      <c r="P101" t="inlineStr">
        <is>
          <t>High</t>
        </is>
      </c>
      <c r="Q101" t="inlineStr">
        <is>
          <t>Scope_Emissions</t>
        </is>
      </c>
      <c r="R101" t="inlineStr">
        <is>
          <t>Valid</t>
        </is>
      </c>
      <c r="S101" t="n">
        <v>2028</v>
      </c>
      <c r="T101" t="inlineStr">
        <is>
          <t>Supplier Target Pathway</t>
        </is>
      </c>
      <c r="U101" t="n">
        <v>8489.83</v>
      </c>
      <c r="V101" t="n">
        <v>3673.5494</v>
      </c>
      <c r="W101" t="n">
        <v>4549.2368</v>
      </c>
      <c r="X101" t="n">
        <v>4549.2368</v>
      </c>
      <c r="Y101" t="n">
        <v>3940.5932</v>
      </c>
      <c r="Z101" t="n">
        <v>0.00032935</v>
      </c>
      <c r="AA101" t="n">
        <v>0.464155</v>
      </c>
      <c r="AB101" t="n">
        <v>875.6874</v>
      </c>
      <c r="AC101" t="n">
        <v>437.8437</v>
      </c>
      <c r="AD101" t="n">
        <v>1217.287</v>
      </c>
      <c r="AE101" t="n">
        <v>20824.0094</v>
      </c>
      <c r="AF101" t="n">
        <v>0.99</v>
      </c>
      <c r="AG101" t="inlineStr">
        <is>
          <t>High</t>
        </is>
      </c>
      <c r="AH101" t="inlineStr">
        <is>
          <t>On Track to Glide Path</t>
        </is>
      </c>
    </row>
    <row r="102">
      <c r="A102" t="inlineStr">
        <is>
          <t>SUP-0007</t>
        </is>
      </c>
      <c r="B102" t="inlineStr">
        <is>
          <t>Chemicals Supplier 007</t>
        </is>
      </c>
      <c r="C102" t="inlineStr">
        <is>
          <t>Chemicals</t>
        </is>
      </c>
      <c r="D102" t="n">
        <v>2024</v>
      </c>
      <c r="E102" t="n">
        <v>2019</v>
      </c>
      <c r="F102" t="n">
        <v>2030</v>
      </c>
      <c r="G102" t="n">
        <v>6696.6134</v>
      </c>
      <c r="H102" t="n">
        <v>1664.6513</v>
      </c>
      <c r="I102" t="n">
        <v>1142.706</v>
      </c>
      <c r="J102" t="inlineStr"/>
      <c r="K102" t="n">
        <v>13812841.6</v>
      </c>
      <c r="L102" t="n">
        <v>123886547.06</v>
      </c>
      <c r="M102" t="n">
        <v>6696.6134</v>
      </c>
      <c r="N102" t="inlineStr">
        <is>
          <t>Supplier Reported Emissions</t>
        </is>
      </c>
      <c r="O102" t="b">
        <v>0</v>
      </c>
      <c r="P102" t="inlineStr">
        <is>
          <t>High</t>
        </is>
      </c>
      <c r="Q102" t="inlineStr">
        <is>
          <t>Scope_Emissions</t>
        </is>
      </c>
      <c r="R102" t="inlineStr">
        <is>
          <t>Valid</t>
        </is>
      </c>
      <c r="S102" t="n">
        <v>2029</v>
      </c>
      <c r="T102" t="inlineStr">
        <is>
          <t>Supplier Target Pathway</t>
        </is>
      </c>
      <c r="U102" t="n">
        <v>8489.83</v>
      </c>
      <c r="V102" t="n">
        <v>3673.5494</v>
      </c>
      <c r="W102" t="n">
        <v>4111.3931</v>
      </c>
      <c r="X102" t="n">
        <v>4111.3931</v>
      </c>
      <c r="Y102" t="n">
        <v>4378.4369</v>
      </c>
      <c r="Z102" t="n">
        <v>0.00029765</v>
      </c>
      <c r="AA102" t="n">
        <v>0.515727</v>
      </c>
      <c r="AB102" t="n">
        <v>437.8437</v>
      </c>
      <c r="AC102" t="n">
        <v>437.8437</v>
      </c>
      <c r="AD102" t="n">
        <v>-2894.1061</v>
      </c>
      <c r="AE102" t="n">
        <v>24935.4025</v>
      </c>
      <c r="AF102" t="n">
        <v>0.99</v>
      </c>
      <c r="AG102" t="inlineStr">
        <is>
          <t>Medium</t>
        </is>
      </c>
      <c r="AH102" t="inlineStr">
        <is>
          <t>On Track to Glide Path</t>
        </is>
      </c>
    </row>
    <row r="103">
      <c r="A103" t="inlineStr">
        <is>
          <t>SUP-0007</t>
        </is>
      </c>
      <c r="B103" t="inlineStr">
        <is>
          <t>Chemicals Supplier 007</t>
        </is>
      </c>
      <c r="C103" t="inlineStr">
        <is>
          <t>Chemicals</t>
        </is>
      </c>
      <c r="D103" t="n">
        <v>2024</v>
      </c>
      <c r="E103" t="n">
        <v>2019</v>
      </c>
      <c r="F103" t="n">
        <v>2030</v>
      </c>
      <c r="G103" t="n">
        <v>6696.6134</v>
      </c>
      <c r="H103" t="n">
        <v>1664.6513</v>
      </c>
      <c r="I103" t="n">
        <v>1142.706</v>
      </c>
      <c r="J103" t="inlineStr"/>
      <c r="K103" t="n">
        <v>13812841.6</v>
      </c>
      <c r="L103" t="n">
        <v>123886547.06</v>
      </c>
      <c r="M103" t="n">
        <v>6696.6134</v>
      </c>
      <c r="N103" t="inlineStr">
        <is>
          <t>Supplier Reported Emissions</t>
        </is>
      </c>
      <c r="O103" t="b">
        <v>0</v>
      </c>
      <c r="P103" t="inlineStr">
        <is>
          <t>High</t>
        </is>
      </c>
      <c r="Q103" t="inlineStr">
        <is>
          <t>Scope_Emissions</t>
        </is>
      </c>
      <c r="R103" t="inlineStr">
        <is>
          <t>Valid</t>
        </is>
      </c>
      <c r="S103" t="n">
        <v>2030</v>
      </c>
      <c r="T103" t="inlineStr">
        <is>
          <t>Supplier Target Pathway</t>
        </is>
      </c>
      <c r="U103" t="n">
        <v>8489.83</v>
      </c>
      <c r="V103" t="n">
        <v>3673.5494</v>
      </c>
      <c r="W103" t="n">
        <v>3673.5494</v>
      </c>
      <c r="X103" t="n">
        <v>3673.5494</v>
      </c>
      <c r="Y103" t="n">
        <v>4816.2806</v>
      </c>
      <c r="Z103" t="n">
        <v>0.00026595</v>
      </c>
      <c r="AA103" t="n">
        <v>0.5673</v>
      </c>
      <c r="AB103" t="n">
        <v>0</v>
      </c>
      <c r="AC103" t="n">
        <v>437.8437</v>
      </c>
      <c r="AD103" t="n">
        <v>-6567.6555</v>
      </c>
      <c r="AE103" t="n">
        <v>28608.9519</v>
      </c>
      <c r="AF103" t="n">
        <v>0.99</v>
      </c>
      <c r="AG103" t="inlineStr">
        <is>
          <t>Low</t>
        </is>
      </c>
      <c r="AH103" t="inlineStr">
        <is>
          <t>On Track</t>
        </is>
      </c>
    </row>
    <row r="104">
      <c r="A104" t="inlineStr">
        <is>
          <t>SUP-0007</t>
        </is>
      </c>
      <c r="B104" t="inlineStr">
        <is>
          <t>Chemicals Supplier 007</t>
        </is>
      </c>
      <c r="C104" t="inlineStr">
        <is>
          <t>Chemicals</t>
        </is>
      </c>
      <c r="D104" t="n">
        <v>2024</v>
      </c>
      <c r="E104" t="n">
        <v>2019</v>
      </c>
      <c r="F104" t="n">
        <v>2030</v>
      </c>
      <c r="G104" t="n">
        <v>6696.6134</v>
      </c>
      <c r="H104" t="n">
        <v>1664.6513</v>
      </c>
      <c r="I104" t="n">
        <v>1142.706</v>
      </c>
      <c r="J104" t="inlineStr"/>
      <c r="K104" t="n">
        <v>13812841.6</v>
      </c>
      <c r="L104" t="n">
        <v>123886547.06</v>
      </c>
      <c r="M104" t="n">
        <v>6696.6134</v>
      </c>
      <c r="N104" t="inlineStr">
        <is>
          <t>Supplier Reported Emissions</t>
        </is>
      </c>
      <c r="O104" t="b">
        <v>0</v>
      </c>
      <c r="P104" t="inlineStr">
        <is>
          <t>High</t>
        </is>
      </c>
      <c r="Q104" t="inlineStr">
        <is>
          <t>Scope_Emissions</t>
        </is>
      </c>
      <c r="R104" t="inlineStr">
        <is>
          <t>Valid</t>
        </is>
      </c>
      <c r="S104" t="n">
        <v>2031</v>
      </c>
      <c r="T104" t="inlineStr">
        <is>
          <t>Supplier Target Pathway</t>
        </is>
      </c>
      <c r="U104" t="n">
        <v>8489.83</v>
      </c>
      <c r="V104" t="n">
        <v>3673.5494</v>
      </c>
      <c r="W104" t="n">
        <v>3673.5494</v>
      </c>
      <c r="X104" t="n">
        <v>3673.5494</v>
      </c>
      <c r="Y104" t="n">
        <v>4816.2806</v>
      </c>
      <c r="Z104" t="n">
        <v>0.00026595</v>
      </c>
      <c r="AA104" t="n">
        <v>0.5673</v>
      </c>
      <c r="AB104" t="n">
        <v>0</v>
      </c>
      <c r="AC104" t="n">
        <v>437.8437</v>
      </c>
      <c r="AD104" t="n">
        <v>-10241.2049</v>
      </c>
      <c r="AE104" t="n">
        <v>32282.5013</v>
      </c>
      <c r="AF104" t="n">
        <v>0.99</v>
      </c>
      <c r="AG104" t="inlineStr">
        <is>
          <t>Low</t>
        </is>
      </c>
      <c r="AH104" t="inlineStr">
        <is>
          <t>On Track</t>
        </is>
      </c>
    </row>
    <row r="105">
      <c r="A105" t="inlineStr">
        <is>
          <t>SUP-0007</t>
        </is>
      </c>
      <c r="B105" t="inlineStr">
        <is>
          <t>Chemicals Supplier 007</t>
        </is>
      </c>
      <c r="C105" t="inlineStr">
        <is>
          <t>Chemicals</t>
        </is>
      </c>
      <c r="D105" t="n">
        <v>2024</v>
      </c>
      <c r="E105" t="n">
        <v>2019</v>
      </c>
      <c r="F105" t="n">
        <v>2030</v>
      </c>
      <c r="G105" t="n">
        <v>6696.6134</v>
      </c>
      <c r="H105" t="n">
        <v>1664.6513</v>
      </c>
      <c r="I105" t="n">
        <v>1142.706</v>
      </c>
      <c r="J105" t="inlineStr"/>
      <c r="K105" t="n">
        <v>13812841.6</v>
      </c>
      <c r="L105" t="n">
        <v>123886547.06</v>
      </c>
      <c r="M105" t="n">
        <v>6696.6134</v>
      </c>
      <c r="N105" t="inlineStr">
        <is>
          <t>Supplier Reported Emissions</t>
        </is>
      </c>
      <c r="O105" t="b">
        <v>0</v>
      </c>
      <c r="P105" t="inlineStr">
        <is>
          <t>High</t>
        </is>
      </c>
      <c r="Q105" t="inlineStr">
        <is>
          <t>Scope_Emissions</t>
        </is>
      </c>
      <c r="R105" t="inlineStr">
        <is>
          <t>Valid</t>
        </is>
      </c>
      <c r="S105" t="n">
        <v>2032</v>
      </c>
      <c r="T105" t="inlineStr">
        <is>
          <t>Supplier Target Pathway</t>
        </is>
      </c>
      <c r="U105" t="n">
        <v>8489.83</v>
      </c>
      <c r="V105" t="n">
        <v>3673.5494</v>
      </c>
      <c r="W105" t="n">
        <v>3673.5494</v>
      </c>
      <c r="X105" t="n">
        <v>3673.5494</v>
      </c>
      <c r="Y105" t="n">
        <v>4816.2806</v>
      </c>
      <c r="Z105" t="n">
        <v>0.00026595</v>
      </c>
      <c r="AA105" t="n">
        <v>0.5673</v>
      </c>
      <c r="AB105" t="n">
        <v>0</v>
      </c>
      <c r="AC105" t="n">
        <v>437.8437</v>
      </c>
      <c r="AD105" t="n">
        <v>-13914.7543</v>
      </c>
      <c r="AE105" t="n">
        <v>35956.0507</v>
      </c>
      <c r="AF105" t="n">
        <v>0.99</v>
      </c>
      <c r="AG105" t="inlineStr">
        <is>
          <t>Low</t>
        </is>
      </c>
      <c r="AH105" t="inlineStr">
        <is>
          <t>On Track</t>
        </is>
      </c>
    </row>
    <row r="106">
      <c r="A106" t="inlineStr">
        <is>
          <t>SUP-0007</t>
        </is>
      </c>
      <c r="B106" t="inlineStr">
        <is>
          <t>Chemicals Supplier 007</t>
        </is>
      </c>
      <c r="C106" t="inlineStr">
        <is>
          <t>Chemicals</t>
        </is>
      </c>
      <c r="D106" t="n">
        <v>2024</v>
      </c>
      <c r="E106" t="n">
        <v>2019</v>
      </c>
      <c r="F106" t="n">
        <v>2030</v>
      </c>
      <c r="G106" t="n">
        <v>6696.6134</v>
      </c>
      <c r="H106" t="n">
        <v>1664.6513</v>
      </c>
      <c r="I106" t="n">
        <v>1142.706</v>
      </c>
      <c r="J106" t="inlineStr"/>
      <c r="K106" t="n">
        <v>13812841.6</v>
      </c>
      <c r="L106" t="n">
        <v>123886547.06</v>
      </c>
      <c r="M106" t="n">
        <v>6696.6134</v>
      </c>
      <c r="N106" t="inlineStr">
        <is>
          <t>Supplier Reported Emissions</t>
        </is>
      </c>
      <c r="O106" t="b">
        <v>0</v>
      </c>
      <c r="P106" t="inlineStr">
        <is>
          <t>High</t>
        </is>
      </c>
      <c r="Q106" t="inlineStr">
        <is>
          <t>Scope_Emissions</t>
        </is>
      </c>
      <c r="R106" t="inlineStr">
        <is>
          <t>Valid</t>
        </is>
      </c>
      <c r="S106" t="n">
        <v>2033</v>
      </c>
      <c r="T106" t="inlineStr">
        <is>
          <t>Supplier Target Pathway</t>
        </is>
      </c>
      <c r="U106" t="n">
        <v>8489.83</v>
      </c>
      <c r="V106" t="n">
        <v>3673.5494</v>
      </c>
      <c r="W106" t="n">
        <v>3673.5494</v>
      </c>
      <c r="X106" t="n">
        <v>3673.5494</v>
      </c>
      <c r="Y106" t="n">
        <v>4816.2806</v>
      </c>
      <c r="Z106" t="n">
        <v>0.00026595</v>
      </c>
      <c r="AA106" t="n">
        <v>0.5673</v>
      </c>
      <c r="AB106" t="n">
        <v>0</v>
      </c>
      <c r="AC106" t="n">
        <v>437.8437</v>
      </c>
      <c r="AD106" t="n">
        <v>-17588.3037</v>
      </c>
      <c r="AE106" t="n">
        <v>39629.6001</v>
      </c>
      <c r="AF106" t="n">
        <v>0.99</v>
      </c>
      <c r="AG106" t="inlineStr">
        <is>
          <t>Low</t>
        </is>
      </c>
      <c r="AH106" t="inlineStr">
        <is>
          <t>On Track</t>
        </is>
      </c>
    </row>
    <row r="107">
      <c r="A107" t="inlineStr">
        <is>
          <t>SUP-0007</t>
        </is>
      </c>
      <c r="B107" t="inlineStr">
        <is>
          <t>Chemicals Supplier 007</t>
        </is>
      </c>
      <c r="C107" t="inlineStr">
        <is>
          <t>Chemicals</t>
        </is>
      </c>
      <c r="D107" t="n">
        <v>2024</v>
      </c>
      <c r="E107" t="n">
        <v>2019</v>
      </c>
      <c r="F107" t="n">
        <v>2030</v>
      </c>
      <c r="G107" t="n">
        <v>6696.6134</v>
      </c>
      <c r="H107" t="n">
        <v>1664.6513</v>
      </c>
      <c r="I107" t="n">
        <v>1142.706</v>
      </c>
      <c r="J107" t="inlineStr"/>
      <c r="K107" t="n">
        <v>13812841.6</v>
      </c>
      <c r="L107" t="n">
        <v>123886547.06</v>
      </c>
      <c r="M107" t="n">
        <v>6696.6134</v>
      </c>
      <c r="N107" t="inlineStr">
        <is>
          <t>Supplier Reported Emissions</t>
        </is>
      </c>
      <c r="O107" t="b">
        <v>0</v>
      </c>
      <c r="P107" t="inlineStr">
        <is>
          <t>High</t>
        </is>
      </c>
      <c r="Q107" t="inlineStr">
        <is>
          <t>Scope_Emissions</t>
        </is>
      </c>
      <c r="R107" t="inlineStr">
        <is>
          <t>Valid</t>
        </is>
      </c>
      <c r="S107" t="n">
        <v>2034</v>
      </c>
      <c r="T107" t="inlineStr">
        <is>
          <t>Supplier Target Pathway</t>
        </is>
      </c>
      <c r="U107" t="n">
        <v>8489.83</v>
      </c>
      <c r="V107" t="n">
        <v>3673.5494</v>
      </c>
      <c r="W107" t="n">
        <v>3673.5494</v>
      </c>
      <c r="X107" t="n">
        <v>3673.5494</v>
      </c>
      <c r="Y107" t="n">
        <v>4816.2806</v>
      </c>
      <c r="Z107" t="n">
        <v>0.00026595</v>
      </c>
      <c r="AA107" t="n">
        <v>0.5673</v>
      </c>
      <c r="AB107" t="n">
        <v>0</v>
      </c>
      <c r="AC107" t="n">
        <v>437.8437</v>
      </c>
      <c r="AD107" t="n">
        <v>-21261.8531</v>
      </c>
      <c r="AE107" t="n">
        <v>43303.1495</v>
      </c>
      <c r="AF107" t="n">
        <v>0.99</v>
      </c>
      <c r="AG107" t="inlineStr">
        <is>
          <t>Low</t>
        </is>
      </c>
      <c r="AH107" t="inlineStr">
        <is>
          <t>On Track</t>
        </is>
      </c>
    </row>
    <row r="108">
      <c r="A108" t="inlineStr">
        <is>
          <t>SUP-0007</t>
        </is>
      </c>
      <c r="B108" t="inlineStr">
        <is>
          <t>Chemicals Supplier 007</t>
        </is>
      </c>
      <c r="C108" t="inlineStr">
        <is>
          <t>Chemicals</t>
        </is>
      </c>
      <c r="D108" t="n">
        <v>2024</v>
      </c>
      <c r="E108" t="n">
        <v>2019</v>
      </c>
      <c r="F108" t="n">
        <v>2030</v>
      </c>
      <c r="G108" t="n">
        <v>6696.6134</v>
      </c>
      <c r="H108" t="n">
        <v>1664.6513</v>
      </c>
      <c r="I108" t="n">
        <v>1142.706</v>
      </c>
      <c r="J108" t="inlineStr"/>
      <c r="K108" t="n">
        <v>13812841.6</v>
      </c>
      <c r="L108" t="n">
        <v>123886547.06</v>
      </c>
      <c r="M108" t="n">
        <v>6696.6134</v>
      </c>
      <c r="N108" t="inlineStr">
        <is>
          <t>Supplier Reported Emissions</t>
        </is>
      </c>
      <c r="O108" t="b">
        <v>0</v>
      </c>
      <c r="P108" t="inlineStr">
        <is>
          <t>High</t>
        </is>
      </c>
      <c r="Q108" t="inlineStr">
        <is>
          <t>Scope_Emissions</t>
        </is>
      </c>
      <c r="R108" t="inlineStr">
        <is>
          <t>Valid</t>
        </is>
      </c>
      <c r="S108" t="n">
        <v>2035</v>
      </c>
      <c r="T108" t="inlineStr">
        <is>
          <t>Supplier Target Pathway</t>
        </is>
      </c>
      <c r="U108" t="n">
        <v>8489.83</v>
      </c>
      <c r="V108" t="n">
        <v>3673.5494</v>
      </c>
      <c r="W108" t="n">
        <v>3673.5494</v>
      </c>
      <c r="X108" t="n">
        <v>3673.5494</v>
      </c>
      <c r="Y108" t="n">
        <v>4816.2806</v>
      </c>
      <c r="Z108" t="n">
        <v>0.00026595</v>
      </c>
      <c r="AA108" t="n">
        <v>0.5673</v>
      </c>
      <c r="AB108" t="n">
        <v>0</v>
      </c>
      <c r="AC108" t="n">
        <v>437.8437</v>
      </c>
      <c r="AD108" t="n">
        <v>-24935.4025</v>
      </c>
      <c r="AE108" t="n">
        <v>46976.6989</v>
      </c>
      <c r="AF108" t="n">
        <v>0.99</v>
      </c>
      <c r="AG108" t="inlineStr">
        <is>
          <t>Low</t>
        </is>
      </c>
      <c r="AH108" t="inlineStr">
        <is>
          <t>On Track</t>
        </is>
      </c>
    </row>
    <row r="109">
      <c r="A109" t="inlineStr">
        <is>
          <t>SUP-0007</t>
        </is>
      </c>
      <c r="B109" t="inlineStr">
        <is>
          <t>Chemicals Supplier 007</t>
        </is>
      </c>
      <c r="C109" t="inlineStr">
        <is>
          <t>Chemicals</t>
        </is>
      </c>
      <c r="D109" t="n">
        <v>2024</v>
      </c>
      <c r="E109" t="n">
        <v>2019</v>
      </c>
      <c r="F109" t="n">
        <v>2030</v>
      </c>
      <c r="G109" t="n">
        <v>6696.6134</v>
      </c>
      <c r="H109" t="n">
        <v>1664.6513</v>
      </c>
      <c r="I109" t="n">
        <v>1142.706</v>
      </c>
      <c r="J109" t="inlineStr"/>
      <c r="K109" t="n">
        <v>13812841.6</v>
      </c>
      <c r="L109" t="n">
        <v>123886547.06</v>
      </c>
      <c r="M109" t="n">
        <v>6696.6134</v>
      </c>
      <c r="N109" t="inlineStr">
        <is>
          <t>Supplier Reported Emissions</t>
        </is>
      </c>
      <c r="O109" t="b">
        <v>0</v>
      </c>
      <c r="P109" t="inlineStr">
        <is>
          <t>High</t>
        </is>
      </c>
      <c r="Q109" t="inlineStr">
        <is>
          <t>Scope_Emissions</t>
        </is>
      </c>
      <c r="R109" t="inlineStr">
        <is>
          <t>Valid</t>
        </is>
      </c>
      <c r="S109" t="n">
        <v>2036</v>
      </c>
      <c r="T109" t="inlineStr">
        <is>
          <t>Supplier Target Pathway</t>
        </is>
      </c>
      <c r="U109" t="n">
        <v>8489.83</v>
      </c>
      <c r="V109" t="n">
        <v>3673.5494</v>
      </c>
      <c r="W109" t="n">
        <v>3673.5494</v>
      </c>
      <c r="X109" t="n">
        <v>3673.5494</v>
      </c>
      <c r="Y109" t="n">
        <v>4816.2806</v>
      </c>
      <c r="Z109" t="n">
        <v>0.00026595</v>
      </c>
      <c r="AA109" t="n">
        <v>0.5673</v>
      </c>
      <c r="AB109" t="n">
        <v>0</v>
      </c>
      <c r="AC109" t="n">
        <v>437.8437</v>
      </c>
      <c r="AD109" t="n">
        <v>-28608.9519</v>
      </c>
      <c r="AE109" t="n">
        <v>50650.2483</v>
      </c>
      <c r="AF109" t="n">
        <v>0.99</v>
      </c>
      <c r="AG109" t="inlineStr">
        <is>
          <t>Low</t>
        </is>
      </c>
      <c r="AH109" t="inlineStr">
        <is>
          <t>On Track</t>
        </is>
      </c>
    </row>
    <row r="110">
      <c r="A110" t="inlineStr">
        <is>
          <t>SUP-0007</t>
        </is>
      </c>
      <c r="B110" t="inlineStr">
        <is>
          <t>Chemicals Supplier 007</t>
        </is>
      </c>
      <c r="C110" t="inlineStr">
        <is>
          <t>Chemicals</t>
        </is>
      </c>
      <c r="D110" t="n">
        <v>2024</v>
      </c>
      <c r="E110" t="n">
        <v>2019</v>
      </c>
      <c r="F110" t="n">
        <v>2030</v>
      </c>
      <c r="G110" t="n">
        <v>6696.6134</v>
      </c>
      <c r="H110" t="n">
        <v>1664.6513</v>
      </c>
      <c r="I110" t="n">
        <v>1142.706</v>
      </c>
      <c r="J110" t="inlineStr"/>
      <c r="K110" t="n">
        <v>13812841.6</v>
      </c>
      <c r="L110" t="n">
        <v>123886547.06</v>
      </c>
      <c r="M110" t="n">
        <v>6696.6134</v>
      </c>
      <c r="N110" t="inlineStr">
        <is>
          <t>Supplier Reported Emissions</t>
        </is>
      </c>
      <c r="O110" t="b">
        <v>0</v>
      </c>
      <c r="P110" t="inlineStr">
        <is>
          <t>High</t>
        </is>
      </c>
      <c r="Q110" t="inlineStr">
        <is>
          <t>Scope_Emissions</t>
        </is>
      </c>
      <c r="R110" t="inlineStr">
        <is>
          <t>Valid</t>
        </is>
      </c>
      <c r="S110" t="n">
        <v>2037</v>
      </c>
      <c r="T110" t="inlineStr">
        <is>
          <t>Supplier Target Pathway</t>
        </is>
      </c>
      <c r="U110" t="n">
        <v>8489.83</v>
      </c>
      <c r="V110" t="n">
        <v>3673.5494</v>
      </c>
      <c r="W110" t="n">
        <v>3673.5494</v>
      </c>
      <c r="X110" t="n">
        <v>3673.5494</v>
      </c>
      <c r="Y110" t="n">
        <v>4816.2806</v>
      </c>
      <c r="Z110" t="n">
        <v>0.00026595</v>
      </c>
      <c r="AA110" t="n">
        <v>0.5673</v>
      </c>
      <c r="AB110" t="n">
        <v>0</v>
      </c>
      <c r="AC110" t="n">
        <v>437.8437</v>
      </c>
      <c r="AD110" t="n">
        <v>-32282.5013</v>
      </c>
      <c r="AE110" t="n">
        <v>54323.7977</v>
      </c>
      <c r="AF110" t="n">
        <v>0.99</v>
      </c>
      <c r="AG110" t="inlineStr">
        <is>
          <t>Low</t>
        </is>
      </c>
      <c r="AH110" t="inlineStr">
        <is>
          <t>On Track</t>
        </is>
      </c>
    </row>
    <row r="111">
      <c r="A111" t="inlineStr">
        <is>
          <t>SUP-0007</t>
        </is>
      </c>
      <c r="B111" t="inlineStr">
        <is>
          <t>Chemicals Supplier 007</t>
        </is>
      </c>
      <c r="C111" t="inlineStr">
        <is>
          <t>Chemicals</t>
        </is>
      </c>
      <c r="D111" t="n">
        <v>2024</v>
      </c>
      <c r="E111" t="n">
        <v>2019</v>
      </c>
      <c r="F111" t="n">
        <v>2030</v>
      </c>
      <c r="G111" t="n">
        <v>6696.6134</v>
      </c>
      <c r="H111" t="n">
        <v>1664.6513</v>
      </c>
      <c r="I111" t="n">
        <v>1142.706</v>
      </c>
      <c r="J111" t="inlineStr"/>
      <c r="K111" t="n">
        <v>13812841.6</v>
      </c>
      <c r="L111" t="n">
        <v>123886547.06</v>
      </c>
      <c r="M111" t="n">
        <v>6696.6134</v>
      </c>
      <c r="N111" t="inlineStr">
        <is>
          <t>Supplier Reported Emissions</t>
        </is>
      </c>
      <c r="O111" t="b">
        <v>0</v>
      </c>
      <c r="P111" t="inlineStr">
        <is>
          <t>High</t>
        </is>
      </c>
      <c r="Q111" t="inlineStr">
        <is>
          <t>Scope_Emissions</t>
        </is>
      </c>
      <c r="R111" t="inlineStr">
        <is>
          <t>Valid</t>
        </is>
      </c>
      <c r="S111" t="n">
        <v>2038</v>
      </c>
      <c r="T111" t="inlineStr">
        <is>
          <t>Supplier Target Pathway</t>
        </is>
      </c>
      <c r="U111" t="n">
        <v>8489.83</v>
      </c>
      <c r="V111" t="n">
        <v>3673.5494</v>
      </c>
      <c r="W111" t="n">
        <v>3673.5494</v>
      </c>
      <c r="X111" t="n">
        <v>3673.5494</v>
      </c>
      <c r="Y111" t="n">
        <v>4816.2806</v>
      </c>
      <c r="Z111" t="n">
        <v>0.00026595</v>
      </c>
      <c r="AA111" t="n">
        <v>0.5673</v>
      </c>
      <c r="AB111" t="n">
        <v>0</v>
      </c>
      <c r="AC111" t="n">
        <v>437.8437</v>
      </c>
      <c r="AD111" t="n">
        <v>-35956.0507</v>
      </c>
      <c r="AE111" t="n">
        <v>57997.3471</v>
      </c>
      <c r="AF111" t="n">
        <v>0.99</v>
      </c>
      <c r="AG111" t="inlineStr">
        <is>
          <t>Low</t>
        </is>
      </c>
      <c r="AH111" t="inlineStr">
        <is>
          <t>On Track</t>
        </is>
      </c>
    </row>
    <row r="112">
      <c r="A112" t="inlineStr">
        <is>
          <t>SUP-0007</t>
        </is>
      </c>
      <c r="B112" t="inlineStr">
        <is>
          <t>Chemicals Supplier 007</t>
        </is>
      </c>
      <c r="C112" t="inlineStr">
        <is>
          <t>Chemicals</t>
        </is>
      </c>
      <c r="D112" t="n">
        <v>2024</v>
      </c>
      <c r="E112" t="n">
        <v>2019</v>
      </c>
      <c r="F112" t="n">
        <v>2030</v>
      </c>
      <c r="G112" t="n">
        <v>6696.6134</v>
      </c>
      <c r="H112" t="n">
        <v>1664.6513</v>
      </c>
      <c r="I112" t="n">
        <v>1142.706</v>
      </c>
      <c r="J112" t="inlineStr"/>
      <c r="K112" t="n">
        <v>13812841.6</v>
      </c>
      <c r="L112" t="n">
        <v>123886547.06</v>
      </c>
      <c r="M112" t="n">
        <v>6696.6134</v>
      </c>
      <c r="N112" t="inlineStr">
        <is>
          <t>Supplier Reported Emissions</t>
        </is>
      </c>
      <c r="O112" t="b">
        <v>0</v>
      </c>
      <c r="P112" t="inlineStr">
        <is>
          <t>High</t>
        </is>
      </c>
      <c r="Q112" t="inlineStr">
        <is>
          <t>Scope_Emissions</t>
        </is>
      </c>
      <c r="R112" t="inlineStr">
        <is>
          <t>Valid</t>
        </is>
      </c>
      <c r="S112" t="n">
        <v>2039</v>
      </c>
      <c r="T112" t="inlineStr">
        <is>
          <t>Supplier Target Pathway</t>
        </is>
      </c>
      <c r="U112" t="n">
        <v>8489.83</v>
      </c>
      <c r="V112" t="n">
        <v>3673.5494</v>
      </c>
      <c r="W112" t="n">
        <v>3673.5494</v>
      </c>
      <c r="X112" t="n">
        <v>3673.5494</v>
      </c>
      <c r="Y112" t="n">
        <v>4816.2806</v>
      </c>
      <c r="Z112" t="n">
        <v>0.00026595</v>
      </c>
      <c r="AA112" t="n">
        <v>0.5673</v>
      </c>
      <c r="AB112" t="n">
        <v>0</v>
      </c>
      <c r="AC112" t="n">
        <v>437.8437</v>
      </c>
      <c r="AD112" t="n">
        <v>-39629.6001</v>
      </c>
      <c r="AE112" t="n">
        <v>61670.8965</v>
      </c>
      <c r="AF112" t="n">
        <v>0.99</v>
      </c>
      <c r="AG112" t="inlineStr">
        <is>
          <t>Low</t>
        </is>
      </c>
      <c r="AH112" t="inlineStr">
        <is>
          <t>On Track</t>
        </is>
      </c>
    </row>
    <row r="113">
      <c r="A113" t="inlineStr">
        <is>
          <t>SUP-0007</t>
        </is>
      </c>
      <c r="B113" t="inlineStr">
        <is>
          <t>Chemicals Supplier 007</t>
        </is>
      </c>
      <c r="C113" t="inlineStr">
        <is>
          <t>Chemicals</t>
        </is>
      </c>
      <c r="D113" t="n">
        <v>2024</v>
      </c>
      <c r="E113" t="n">
        <v>2019</v>
      </c>
      <c r="F113" t="n">
        <v>2030</v>
      </c>
      <c r="G113" t="n">
        <v>6696.6134</v>
      </c>
      <c r="H113" t="n">
        <v>1664.6513</v>
      </c>
      <c r="I113" t="n">
        <v>1142.706</v>
      </c>
      <c r="J113" t="inlineStr"/>
      <c r="K113" t="n">
        <v>13812841.6</v>
      </c>
      <c r="L113" t="n">
        <v>123886547.06</v>
      </c>
      <c r="M113" t="n">
        <v>6696.6134</v>
      </c>
      <c r="N113" t="inlineStr">
        <is>
          <t>Supplier Reported Emissions</t>
        </is>
      </c>
      <c r="O113" t="b">
        <v>0</v>
      </c>
      <c r="P113" t="inlineStr">
        <is>
          <t>High</t>
        </is>
      </c>
      <c r="Q113" t="inlineStr">
        <is>
          <t>Scope_Emissions</t>
        </is>
      </c>
      <c r="R113" t="inlineStr">
        <is>
          <t>Valid</t>
        </is>
      </c>
      <c r="S113" t="n">
        <v>2040</v>
      </c>
      <c r="T113" t="inlineStr">
        <is>
          <t>Supplier Target Pathway</t>
        </is>
      </c>
      <c r="U113" t="n">
        <v>8489.83</v>
      </c>
      <c r="V113" t="n">
        <v>3673.5494</v>
      </c>
      <c r="W113" t="n">
        <v>3673.5494</v>
      </c>
      <c r="X113" t="n">
        <v>3673.5494</v>
      </c>
      <c r="Y113" t="n">
        <v>4816.2806</v>
      </c>
      <c r="Z113" t="n">
        <v>0.00026595</v>
      </c>
      <c r="AA113" t="n">
        <v>0.5673</v>
      </c>
      <c r="AB113" t="n">
        <v>0</v>
      </c>
      <c r="AC113" t="n">
        <v>437.8437</v>
      </c>
      <c r="AD113" t="n">
        <v>-43303.1495</v>
      </c>
      <c r="AE113" t="n">
        <v>65344.4459</v>
      </c>
      <c r="AF113" t="n">
        <v>0.99</v>
      </c>
      <c r="AG113" t="inlineStr">
        <is>
          <t>Low</t>
        </is>
      </c>
      <c r="AH113" t="inlineStr">
        <is>
          <t>On Track</t>
        </is>
      </c>
    </row>
    <row r="114">
      <c r="A114" t="inlineStr">
        <is>
          <t>SUP-0008</t>
        </is>
      </c>
      <c r="B114" t="inlineStr">
        <is>
          <t>Electronics Supplier 008</t>
        </is>
      </c>
      <c r="C114" t="inlineStr">
        <is>
          <t>Electronics</t>
        </is>
      </c>
      <c r="D114" t="n">
        <v>2024</v>
      </c>
      <c r="E114" t="n">
        <v>2015</v>
      </c>
      <c r="F114" t="n">
        <v>2040</v>
      </c>
      <c r="G114" t="n">
        <v>3292.5056</v>
      </c>
      <c r="H114" t="n">
        <v>425.3445</v>
      </c>
      <c r="I114" t="n">
        <v>213.5756</v>
      </c>
      <c r="J114" t="n">
        <v>2732.5965</v>
      </c>
      <c r="K114" t="inlineStr"/>
      <c r="L114" t="n">
        <v>13053571.69</v>
      </c>
      <c r="M114" t="n">
        <v>3292.5056</v>
      </c>
      <c r="N114" t="inlineStr">
        <is>
          <t>Supplier Reported Emissions</t>
        </is>
      </c>
      <c r="O114" t="b">
        <v>0</v>
      </c>
      <c r="P114" t="inlineStr">
        <is>
          <t>High</t>
        </is>
      </c>
      <c r="Q114" t="inlineStr">
        <is>
          <t>Gross_Spend</t>
        </is>
      </c>
      <c r="R114" t="inlineStr">
        <is>
          <t>Valid</t>
        </is>
      </c>
      <c r="S114" t="n">
        <v>2025</v>
      </c>
      <c r="T114" t="inlineStr">
        <is>
          <t>Industry Haircut Pathway</t>
        </is>
      </c>
      <c r="U114" t="n">
        <v>4234.703</v>
      </c>
      <c r="V114" t="n">
        <v>2784.7407</v>
      </c>
      <c r="W114" t="n">
        <v>3654.7181</v>
      </c>
      <c r="X114" t="n">
        <v>3654.7181</v>
      </c>
      <c r="Y114" t="n">
        <v>579.9849</v>
      </c>
      <c r="Z114" t="inlineStr"/>
      <c r="AA114" t="inlineStr"/>
      <c r="AB114" t="n">
        <v>869.9774</v>
      </c>
      <c r="AC114" t="n">
        <v>57.9985</v>
      </c>
      <c r="AD114" t="n">
        <v>40901.1331</v>
      </c>
      <c r="AE114" t="n">
        <v>3654.7181</v>
      </c>
      <c r="AF114" t="n">
        <v>0.9429999999999999</v>
      </c>
      <c r="AG114" t="inlineStr">
        <is>
          <t>High</t>
        </is>
      </c>
      <c r="AH114" t="inlineStr">
        <is>
          <t>On Track to Glide Path</t>
        </is>
      </c>
    </row>
    <row r="115">
      <c r="A115" t="inlineStr">
        <is>
          <t>SUP-0008</t>
        </is>
      </c>
      <c r="B115" t="inlineStr">
        <is>
          <t>Electronics Supplier 008</t>
        </is>
      </c>
      <c r="C115" t="inlineStr">
        <is>
          <t>Electronics</t>
        </is>
      </c>
      <c r="D115" t="n">
        <v>2024</v>
      </c>
      <c r="E115" t="n">
        <v>2015</v>
      </c>
      <c r="F115" t="n">
        <v>2040</v>
      </c>
      <c r="G115" t="n">
        <v>3292.5056</v>
      </c>
      <c r="H115" t="n">
        <v>425.3445</v>
      </c>
      <c r="I115" t="n">
        <v>213.5756</v>
      </c>
      <c r="J115" t="n">
        <v>2732.5965</v>
      </c>
      <c r="K115" t="inlineStr"/>
      <c r="L115" t="n">
        <v>13053571.69</v>
      </c>
      <c r="M115" t="n">
        <v>3292.5056</v>
      </c>
      <c r="N115" t="inlineStr">
        <is>
          <t>Supplier Reported Emissions</t>
        </is>
      </c>
      <c r="O115" t="b">
        <v>0</v>
      </c>
      <c r="P115" t="inlineStr">
        <is>
          <t>High</t>
        </is>
      </c>
      <c r="Q115" t="inlineStr">
        <is>
          <t>Gross_Spend</t>
        </is>
      </c>
      <c r="R115" t="inlineStr">
        <is>
          <t>Valid</t>
        </is>
      </c>
      <c r="S115" t="n">
        <v>2026</v>
      </c>
      <c r="T115" t="inlineStr">
        <is>
          <t>Industry Haircut Pathway</t>
        </is>
      </c>
      <c r="U115" t="n">
        <v>4234.703</v>
      </c>
      <c r="V115" t="n">
        <v>2784.7407</v>
      </c>
      <c r="W115" t="n">
        <v>3596.7196</v>
      </c>
      <c r="X115" t="n">
        <v>3596.7196</v>
      </c>
      <c r="Y115" t="n">
        <v>637.9834</v>
      </c>
      <c r="Z115" t="inlineStr"/>
      <c r="AA115" t="inlineStr"/>
      <c r="AB115" t="n">
        <v>811.9789</v>
      </c>
      <c r="AC115" t="n">
        <v>57.9985</v>
      </c>
      <c r="AD115" t="n">
        <v>37304.4135</v>
      </c>
      <c r="AE115" t="n">
        <v>7251.4377</v>
      </c>
      <c r="AF115" t="n">
        <v>0.9429999999999999</v>
      </c>
      <c r="AG115" t="inlineStr">
        <is>
          <t>High</t>
        </is>
      </c>
      <c r="AH115" t="inlineStr">
        <is>
          <t>On Track to Glide Path</t>
        </is>
      </c>
    </row>
    <row r="116">
      <c r="A116" t="inlineStr">
        <is>
          <t>SUP-0008</t>
        </is>
      </c>
      <c r="B116" t="inlineStr">
        <is>
          <t>Electronics Supplier 008</t>
        </is>
      </c>
      <c r="C116" t="inlineStr">
        <is>
          <t>Electronics</t>
        </is>
      </c>
      <c r="D116" t="n">
        <v>2024</v>
      </c>
      <c r="E116" t="n">
        <v>2015</v>
      </c>
      <c r="F116" t="n">
        <v>2040</v>
      </c>
      <c r="G116" t="n">
        <v>3292.5056</v>
      </c>
      <c r="H116" t="n">
        <v>425.3445</v>
      </c>
      <c r="I116" t="n">
        <v>213.5756</v>
      </c>
      <c r="J116" t="n">
        <v>2732.5965</v>
      </c>
      <c r="K116" t="inlineStr"/>
      <c r="L116" t="n">
        <v>13053571.69</v>
      </c>
      <c r="M116" t="n">
        <v>3292.5056</v>
      </c>
      <c r="N116" t="inlineStr">
        <is>
          <t>Supplier Reported Emissions</t>
        </is>
      </c>
      <c r="O116" t="b">
        <v>0</v>
      </c>
      <c r="P116" t="inlineStr">
        <is>
          <t>High</t>
        </is>
      </c>
      <c r="Q116" t="inlineStr">
        <is>
          <t>Gross_Spend</t>
        </is>
      </c>
      <c r="R116" t="inlineStr">
        <is>
          <t>Valid</t>
        </is>
      </c>
      <c r="S116" t="n">
        <v>2027</v>
      </c>
      <c r="T116" t="inlineStr">
        <is>
          <t>Industry Haircut Pathway</t>
        </is>
      </c>
      <c r="U116" t="n">
        <v>4234.703</v>
      </c>
      <c r="V116" t="n">
        <v>2784.7407</v>
      </c>
      <c r="W116" t="n">
        <v>3538.7211</v>
      </c>
      <c r="X116" t="n">
        <v>3538.7211</v>
      </c>
      <c r="Y116" t="n">
        <v>695.9819</v>
      </c>
      <c r="Z116" t="inlineStr"/>
      <c r="AA116" t="inlineStr"/>
      <c r="AB116" t="n">
        <v>753.9804</v>
      </c>
      <c r="AC116" t="n">
        <v>57.9985</v>
      </c>
      <c r="AD116" t="n">
        <v>33765.6924</v>
      </c>
      <c r="AE116" t="n">
        <v>10790.1588</v>
      </c>
      <c r="AF116" t="n">
        <v>0.9429999999999999</v>
      </c>
      <c r="AG116" t="inlineStr">
        <is>
          <t>High</t>
        </is>
      </c>
      <c r="AH116" t="inlineStr">
        <is>
          <t>On Track to Glide Path</t>
        </is>
      </c>
    </row>
    <row r="117">
      <c r="A117" t="inlineStr">
        <is>
          <t>SUP-0008</t>
        </is>
      </c>
      <c r="B117" t="inlineStr">
        <is>
          <t>Electronics Supplier 008</t>
        </is>
      </c>
      <c r="C117" t="inlineStr">
        <is>
          <t>Electronics</t>
        </is>
      </c>
      <c r="D117" t="n">
        <v>2024</v>
      </c>
      <c r="E117" t="n">
        <v>2015</v>
      </c>
      <c r="F117" t="n">
        <v>2040</v>
      </c>
      <c r="G117" t="n">
        <v>3292.5056</v>
      </c>
      <c r="H117" t="n">
        <v>425.3445</v>
      </c>
      <c r="I117" t="n">
        <v>213.5756</v>
      </c>
      <c r="J117" t="n">
        <v>2732.5965</v>
      </c>
      <c r="K117" t="inlineStr"/>
      <c r="L117" t="n">
        <v>13053571.69</v>
      </c>
      <c r="M117" t="n">
        <v>3292.5056</v>
      </c>
      <c r="N117" t="inlineStr">
        <is>
          <t>Supplier Reported Emissions</t>
        </is>
      </c>
      <c r="O117" t="b">
        <v>0</v>
      </c>
      <c r="P117" t="inlineStr">
        <is>
          <t>High</t>
        </is>
      </c>
      <c r="Q117" t="inlineStr">
        <is>
          <t>Gross_Spend</t>
        </is>
      </c>
      <c r="R117" t="inlineStr">
        <is>
          <t>Valid</t>
        </is>
      </c>
      <c r="S117" t="n">
        <v>2028</v>
      </c>
      <c r="T117" t="inlineStr">
        <is>
          <t>Industry Haircut Pathway</t>
        </is>
      </c>
      <c r="U117" t="n">
        <v>4234.703</v>
      </c>
      <c r="V117" t="n">
        <v>2784.7407</v>
      </c>
      <c r="W117" t="n">
        <v>3480.7226</v>
      </c>
      <c r="X117" t="n">
        <v>3480.7226</v>
      </c>
      <c r="Y117" t="n">
        <v>753.9804</v>
      </c>
      <c r="Z117" t="inlineStr"/>
      <c r="AA117" t="inlineStr"/>
      <c r="AB117" t="n">
        <v>695.9819</v>
      </c>
      <c r="AC117" t="n">
        <v>57.9985</v>
      </c>
      <c r="AD117" t="n">
        <v>30284.9698</v>
      </c>
      <c r="AE117" t="n">
        <v>14270.8814</v>
      </c>
      <c r="AF117" t="n">
        <v>0.9429999999999999</v>
      </c>
      <c r="AG117" t="inlineStr">
        <is>
          <t>High</t>
        </is>
      </c>
      <c r="AH117" t="inlineStr">
        <is>
          <t>On Track to Glide Path</t>
        </is>
      </c>
    </row>
    <row r="118">
      <c r="A118" t="inlineStr">
        <is>
          <t>SUP-0008</t>
        </is>
      </c>
      <c r="B118" t="inlineStr">
        <is>
          <t>Electronics Supplier 008</t>
        </is>
      </c>
      <c r="C118" t="inlineStr">
        <is>
          <t>Electronics</t>
        </is>
      </c>
      <c r="D118" t="n">
        <v>2024</v>
      </c>
      <c r="E118" t="n">
        <v>2015</v>
      </c>
      <c r="F118" t="n">
        <v>2040</v>
      </c>
      <c r="G118" t="n">
        <v>3292.5056</v>
      </c>
      <c r="H118" t="n">
        <v>425.3445</v>
      </c>
      <c r="I118" t="n">
        <v>213.5756</v>
      </c>
      <c r="J118" t="n">
        <v>2732.5965</v>
      </c>
      <c r="K118" t="inlineStr"/>
      <c r="L118" t="n">
        <v>13053571.69</v>
      </c>
      <c r="M118" t="n">
        <v>3292.5056</v>
      </c>
      <c r="N118" t="inlineStr">
        <is>
          <t>Supplier Reported Emissions</t>
        </is>
      </c>
      <c r="O118" t="b">
        <v>0</v>
      </c>
      <c r="P118" t="inlineStr">
        <is>
          <t>High</t>
        </is>
      </c>
      <c r="Q118" t="inlineStr">
        <is>
          <t>Gross_Spend</t>
        </is>
      </c>
      <c r="R118" t="inlineStr">
        <is>
          <t>Valid</t>
        </is>
      </c>
      <c r="S118" t="n">
        <v>2029</v>
      </c>
      <c r="T118" t="inlineStr">
        <is>
          <t>Industry Haircut Pathway</t>
        </is>
      </c>
      <c r="U118" t="n">
        <v>4234.703</v>
      </c>
      <c r="V118" t="n">
        <v>2784.7407</v>
      </c>
      <c r="W118" t="n">
        <v>3422.7241</v>
      </c>
      <c r="X118" t="n">
        <v>3422.7241</v>
      </c>
      <c r="Y118" t="n">
        <v>811.9789</v>
      </c>
      <c r="Z118" t="inlineStr"/>
      <c r="AA118" t="inlineStr"/>
      <c r="AB118" t="n">
        <v>637.9834</v>
      </c>
      <c r="AC118" t="n">
        <v>57.9985</v>
      </c>
      <c r="AD118" t="n">
        <v>26862.2457</v>
      </c>
      <c r="AE118" t="n">
        <v>17693.6055</v>
      </c>
      <c r="AF118" t="n">
        <v>0.9429999999999999</v>
      </c>
      <c r="AG118" t="inlineStr">
        <is>
          <t>High</t>
        </is>
      </c>
      <c r="AH118" t="inlineStr">
        <is>
          <t>On Track to Glide Path</t>
        </is>
      </c>
    </row>
    <row r="119">
      <c r="A119" t="inlineStr">
        <is>
          <t>SUP-0008</t>
        </is>
      </c>
      <c r="B119" t="inlineStr">
        <is>
          <t>Electronics Supplier 008</t>
        </is>
      </c>
      <c r="C119" t="inlineStr">
        <is>
          <t>Electronics</t>
        </is>
      </c>
      <c r="D119" t="n">
        <v>2024</v>
      </c>
      <c r="E119" t="n">
        <v>2015</v>
      </c>
      <c r="F119" t="n">
        <v>2040</v>
      </c>
      <c r="G119" t="n">
        <v>3292.5056</v>
      </c>
      <c r="H119" t="n">
        <v>425.3445</v>
      </c>
      <c r="I119" t="n">
        <v>213.5756</v>
      </c>
      <c r="J119" t="n">
        <v>2732.5965</v>
      </c>
      <c r="K119" t="inlineStr"/>
      <c r="L119" t="n">
        <v>13053571.69</v>
      </c>
      <c r="M119" t="n">
        <v>3292.5056</v>
      </c>
      <c r="N119" t="inlineStr">
        <is>
          <t>Supplier Reported Emissions</t>
        </is>
      </c>
      <c r="O119" t="b">
        <v>0</v>
      </c>
      <c r="P119" t="inlineStr">
        <is>
          <t>High</t>
        </is>
      </c>
      <c r="Q119" t="inlineStr">
        <is>
          <t>Gross_Spend</t>
        </is>
      </c>
      <c r="R119" t="inlineStr">
        <is>
          <t>Valid</t>
        </is>
      </c>
      <c r="S119" t="n">
        <v>2030</v>
      </c>
      <c r="T119" t="inlineStr">
        <is>
          <t>Industry Haircut Pathway</t>
        </is>
      </c>
      <c r="U119" t="n">
        <v>4234.703</v>
      </c>
      <c r="V119" t="n">
        <v>2784.7407</v>
      </c>
      <c r="W119" t="n">
        <v>3364.7256</v>
      </c>
      <c r="X119" t="n">
        <v>3364.7256</v>
      </c>
      <c r="Y119" t="n">
        <v>869.9774</v>
      </c>
      <c r="Z119" t="inlineStr"/>
      <c r="AA119" t="inlineStr"/>
      <c r="AB119" t="n">
        <v>579.9849</v>
      </c>
      <c r="AC119" t="n">
        <v>57.9985</v>
      </c>
      <c r="AD119" t="n">
        <v>23497.5201</v>
      </c>
      <c r="AE119" t="n">
        <v>21058.3311</v>
      </c>
      <c r="AF119" t="n">
        <v>0.9429999999999999</v>
      </c>
      <c r="AG119" t="inlineStr">
        <is>
          <t>High</t>
        </is>
      </c>
      <c r="AH119" t="inlineStr">
        <is>
          <t>On Track to Glide Path</t>
        </is>
      </c>
    </row>
    <row r="120">
      <c r="A120" t="inlineStr">
        <is>
          <t>SUP-0008</t>
        </is>
      </c>
      <c r="B120" t="inlineStr">
        <is>
          <t>Electronics Supplier 008</t>
        </is>
      </c>
      <c r="C120" t="inlineStr">
        <is>
          <t>Electronics</t>
        </is>
      </c>
      <c r="D120" t="n">
        <v>2024</v>
      </c>
      <c r="E120" t="n">
        <v>2015</v>
      </c>
      <c r="F120" t="n">
        <v>2040</v>
      </c>
      <c r="G120" t="n">
        <v>3292.5056</v>
      </c>
      <c r="H120" t="n">
        <v>425.3445</v>
      </c>
      <c r="I120" t="n">
        <v>213.5756</v>
      </c>
      <c r="J120" t="n">
        <v>2732.5965</v>
      </c>
      <c r="K120" t="inlineStr"/>
      <c r="L120" t="n">
        <v>13053571.69</v>
      </c>
      <c r="M120" t="n">
        <v>3292.5056</v>
      </c>
      <c r="N120" t="inlineStr">
        <is>
          <t>Supplier Reported Emissions</t>
        </is>
      </c>
      <c r="O120" t="b">
        <v>0</v>
      </c>
      <c r="P120" t="inlineStr">
        <is>
          <t>High</t>
        </is>
      </c>
      <c r="Q120" t="inlineStr">
        <is>
          <t>Gross_Spend</t>
        </is>
      </c>
      <c r="R120" t="inlineStr">
        <is>
          <t>Valid</t>
        </is>
      </c>
      <c r="S120" t="n">
        <v>2031</v>
      </c>
      <c r="T120" t="inlineStr">
        <is>
          <t>Industry Haircut Pathway</t>
        </is>
      </c>
      <c r="U120" t="n">
        <v>4234.703</v>
      </c>
      <c r="V120" t="n">
        <v>2784.7407</v>
      </c>
      <c r="W120" t="n">
        <v>3306.7271</v>
      </c>
      <c r="X120" t="n">
        <v>3306.7271</v>
      </c>
      <c r="Y120" t="n">
        <v>927.9759</v>
      </c>
      <c r="Z120" t="inlineStr"/>
      <c r="AA120" t="inlineStr"/>
      <c r="AB120" t="n">
        <v>521.9864</v>
      </c>
      <c r="AC120" t="n">
        <v>57.9985</v>
      </c>
      <c r="AD120" t="n">
        <v>20190.793</v>
      </c>
      <c r="AE120" t="n">
        <v>24365.0582</v>
      </c>
      <c r="AF120" t="n">
        <v>0.9429999999999999</v>
      </c>
      <c r="AG120" t="inlineStr">
        <is>
          <t>High</t>
        </is>
      </c>
      <c r="AH120" t="inlineStr">
        <is>
          <t>On Track to Glide Path</t>
        </is>
      </c>
    </row>
    <row r="121">
      <c r="A121" t="inlineStr">
        <is>
          <t>SUP-0008</t>
        </is>
      </c>
      <c r="B121" t="inlineStr">
        <is>
          <t>Electronics Supplier 008</t>
        </is>
      </c>
      <c r="C121" t="inlineStr">
        <is>
          <t>Electronics</t>
        </is>
      </c>
      <c r="D121" t="n">
        <v>2024</v>
      </c>
      <c r="E121" t="n">
        <v>2015</v>
      </c>
      <c r="F121" t="n">
        <v>2040</v>
      </c>
      <c r="G121" t="n">
        <v>3292.5056</v>
      </c>
      <c r="H121" t="n">
        <v>425.3445</v>
      </c>
      <c r="I121" t="n">
        <v>213.5756</v>
      </c>
      <c r="J121" t="n">
        <v>2732.5965</v>
      </c>
      <c r="K121" t="inlineStr"/>
      <c r="L121" t="n">
        <v>13053571.69</v>
      </c>
      <c r="M121" t="n">
        <v>3292.5056</v>
      </c>
      <c r="N121" t="inlineStr">
        <is>
          <t>Supplier Reported Emissions</t>
        </is>
      </c>
      <c r="O121" t="b">
        <v>0</v>
      </c>
      <c r="P121" t="inlineStr">
        <is>
          <t>High</t>
        </is>
      </c>
      <c r="Q121" t="inlineStr">
        <is>
          <t>Gross_Spend</t>
        </is>
      </c>
      <c r="R121" t="inlineStr">
        <is>
          <t>Valid</t>
        </is>
      </c>
      <c r="S121" t="n">
        <v>2032</v>
      </c>
      <c r="T121" t="inlineStr">
        <is>
          <t>Industry Haircut Pathway</t>
        </is>
      </c>
      <c r="U121" t="n">
        <v>4234.703</v>
      </c>
      <c r="V121" t="n">
        <v>2784.7407</v>
      </c>
      <c r="W121" t="n">
        <v>3248.7286</v>
      </c>
      <c r="X121" t="n">
        <v>3248.7286</v>
      </c>
      <c r="Y121" t="n">
        <v>985.9743999999999</v>
      </c>
      <c r="Z121" t="inlineStr"/>
      <c r="AA121" t="inlineStr"/>
      <c r="AB121" t="n">
        <v>463.9879</v>
      </c>
      <c r="AC121" t="n">
        <v>57.9985</v>
      </c>
      <c r="AD121" t="n">
        <v>16942.0644</v>
      </c>
      <c r="AE121" t="n">
        <v>27613.7868</v>
      </c>
      <c r="AF121" t="n">
        <v>0.9429999999999999</v>
      </c>
      <c r="AG121" t="inlineStr">
        <is>
          <t>High</t>
        </is>
      </c>
      <c r="AH121" t="inlineStr">
        <is>
          <t>On Track to Glide Path</t>
        </is>
      </c>
    </row>
    <row r="122">
      <c r="A122" t="inlineStr">
        <is>
          <t>SUP-0008</t>
        </is>
      </c>
      <c r="B122" t="inlineStr">
        <is>
          <t>Electronics Supplier 008</t>
        </is>
      </c>
      <c r="C122" t="inlineStr">
        <is>
          <t>Electronics</t>
        </is>
      </c>
      <c r="D122" t="n">
        <v>2024</v>
      </c>
      <c r="E122" t="n">
        <v>2015</v>
      </c>
      <c r="F122" t="n">
        <v>2040</v>
      </c>
      <c r="G122" t="n">
        <v>3292.5056</v>
      </c>
      <c r="H122" t="n">
        <v>425.3445</v>
      </c>
      <c r="I122" t="n">
        <v>213.5756</v>
      </c>
      <c r="J122" t="n">
        <v>2732.5965</v>
      </c>
      <c r="K122" t="inlineStr"/>
      <c r="L122" t="n">
        <v>13053571.69</v>
      </c>
      <c r="M122" t="n">
        <v>3292.5056</v>
      </c>
      <c r="N122" t="inlineStr">
        <is>
          <t>Supplier Reported Emissions</t>
        </is>
      </c>
      <c r="O122" t="b">
        <v>0</v>
      </c>
      <c r="P122" t="inlineStr">
        <is>
          <t>High</t>
        </is>
      </c>
      <c r="Q122" t="inlineStr">
        <is>
          <t>Gross_Spend</t>
        </is>
      </c>
      <c r="R122" t="inlineStr">
        <is>
          <t>Valid</t>
        </is>
      </c>
      <c r="S122" t="n">
        <v>2033</v>
      </c>
      <c r="T122" t="inlineStr">
        <is>
          <t>Industry Haircut Pathway</t>
        </is>
      </c>
      <c r="U122" t="n">
        <v>4234.703</v>
      </c>
      <c r="V122" t="n">
        <v>2784.7407</v>
      </c>
      <c r="W122" t="n">
        <v>3190.7301</v>
      </c>
      <c r="X122" t="n">
        <v>3190.7301</v>
      </c>
      <c r="Y122" t="n">
        <v>1043.9729</v>
      </c>
      <c r="Z122" t="inlineStr"/>
      <c r="AA122" t="inlineStr"/>
      <c r="AB122" t="n">
        <v>405.9894</v>
      </c>
      <c r="AC122" t="n">
        <v>57.9985</v>
      </c>
      <c r="AD122" t="n">
        <v>13751.3343</v>
      </c>
      <c r="AE122" t="n">
        <v>30804.5169</v>
      </c>
      <c r="AF122" t="n">
        <v>0.9429999999999999</v>
      </c>
      <c r="AG122" t="inlineStr">
        <is>
          <t>Medium</t>
        </is>
      </c>
      <c r="AH122" t="inlineStr">
        <is>
          <t>On Track to Glide Path</t>
        </is>
      </c>
    </row>
    <row r="123">
      <c r="A123" t="inlineStr">
        <is>
          <t>SUP-0008</t>
        </is>
      </c>
      <c r="B123" t="inlineStr">
        <is>
          <t>Electronics Supplier 008</t>
        </is>
      </c>
      <c r="C123" t="inlineStr">
        <is>
          <t>Electronics</t>
        </is>
      </c>
      <c r="D123" t="n">
        <v>2024</v>
      </c>
      <c r="E123" t="n">
        <v>2015</v>
      </c>
      <c r="F123" t="n">
        <v>2040</v>
      </c>
      <c r="G123" t="n">
        <v>3292.5056</v>
      </c>
      <c r="H123" t="n">
        <v>425.3445</v>
      </c>
      <c r="I123" t="n">
        <v>213.5756</v>
      </c>
      <c r="J123" t="n">
        <v>2732.5965</v>
      </c>
      <c r="K123" t="inlineStr"/>
      <c r="L123" t="n">
        <v>13053571.69</v>
      </c>
      <c r="M123" t="n">
        <v>3292.5056</v>
      </c>
      <c r="N123" t="inlineStr">
        <is>
          <t>Supplier Reported Emissions</t>
        </is>
      </c>
      <c r="O123" t="b">
        <v>0</v>
      </c>
      <c r="P123" t="inlineStr">
        <is>
          <t>High</t>
        </is>
      </c>
      <c r="Q123" t="inlineStr">
        <is>
          <t>Gross_Spend</t>
        </is>
      </c>
      <c r="R123" t="inlineStr">
        <is>
          <t>Valid</t>
        </is>
      </c>
      <c r="S123" t="n">
        <v>2034</v>
      </c>
      <c r="T123" t="inlineStr">
        <is>
          <t>Industry Haircut Pathway</t>
        </is>
      </c>
      <c r="U123" t="n">
        <v>4234.703</v>
      </c>
      <c r="V123" t="n">
        <v>2784.7407</v>
      </c>
      <c r="W123" t="n">
        <v>3132.7316</v>
      </c>
      <c r="X123" t="n">
        <v>3132.7316</v>
      </c>
      <c r="Y123" t="n">
        <v>1101.9714</v>
      </c>
      <c r="Z123" t="inlineStr"/>
      <c r="AA123" t="inlineStr"/>
      <c r="AB123" t="n">
        <v>347.991</v>
      </c>
      <c r="AC123" t="n">
        <v>57.9985</v>
      </c>
      <c r="AD123" t="n">
        <v>10618.6027</v>
      </c>
      <c r="AE123" t="n">
        <v>33937.2485</v>
      </c>
      <c r="AF123" t="n">
        <v>0.9429999999999999</v>
      </c>
      <c r="AG123" t="inlineStr">
        <is>
          <t>Medium</t>
        </is>
      </c>
      <c r="AH123" t="inlineStr">
        <is>
          <t>On Track to Glide Path</t>
        </is>
      </c>
    </row>
    <row r="124">
      <c r="A124" t="inlineStr">
        <is>
          <t>SUP-0008</t>
        </is>
      </c>
      <c r="B124" t="inlineStr">
        <is>
          <t>Electronics Supplier 008</t>
        </is>
      </c>
      <c r="C124" t="inlineStr">
        <is>
          <t>Electronics</t>
        </is>
      </c>
      <c r="D124" t="n">
        <v>2024</v>
      </c>
      <c r="E124" t="n">
        <v>2015</v>
      </c>
      <c r="F124" t="n">
        <v>2040</v>
      </c>
      <c r="G124" t="n">
        <v>3292.5056</v>
      </c>
      <c r="H124" t="n">
        <v>425.3445</v>
      </c>
      <c r="I124" t="n">
        <v>213.5756</v>
      </c>
      <c r="J124" t="n">
        <v>2732.5965</v>
      </c>
      <c r="K124" t="inlineStr"/>
      <c r="L124" t="n">
        <v>13053571.69</v>
      </c>
      <c r="M124" t="n">
        <v>3292.5056</v>
      </c>
      <c r="N124" t="inlineStr">
        <is>
          <t>Supplier Reported Emissions</t>
        </is>
      </c>
      <c r="O124" t="b">
        <v>0</v>
      </c>
      <c r="P124" t="inlineStr">
        <is>
          <t>High</t>
        </is>
      </c>
      <c r="Q124" t="inlineStr">
        <is>
          <t>Gross_Spend</t>
        </is>
      </c>
      <c r="R124" t="inlineStr">
        <is>
          <t>Valid</t>
        </is>
      </c>
      <c r="S124" t="n">
        <v>2035</v>
      </c>
      <c r="T124" t="inlineStr">
        <is>
          <t>Industry Haircut Pathway</t>
        </is>
      </c>
      <c r="U124" t="n">
        <v>4234.703</v>
      </c>
      <c r="V124" t="n">
        <v>2784.7407</v>
      </c>
      <c r="W124" t="n">
        <v>3074.7332</v>
      </c>
      <c r="X124" t="n">
        <v>3074.7332</v>
      </c>
      <c r="Y124" t="n">
        <v>1159.9698</v>
      </c>
      <c r="Z124" t="inlineStr"/>
      <c r="AA124" t="inlineStr"/>
      <c r="AB124" t="n">
        <v>289.9925</v>
      </c>
      <c r="AC124" t="n">
        <v>57.9985</v>
      </c>
      <c r="AD124" t="n">
        <v>7543.8695</v>
      </c>
      <c r="AE124" t="n">
        <v>37011.9817</v>
      </c>
      <c r="AF124" t="n">
        <v>0.9429999999999999</v>
      </c>
      <c r="AG124" t="inlineStr">
        <is>
          <t>Medium</t>
        </is>
      </c>
      <c r="AH124" t="inlineStr">
        <is>
          <t>On Track to Glide Path</t>
        </is>
      </c>
    </row>
    <row r="125">
      <c r="A125" t="inlineStr">
        <is>
          <t>SUP-0008</t>
        </is>
      </c>
      <c r="B125" t="inlineStr">
        <is>
          <t>Electronics Supplier 008</t>
        </is>
      </c>
      <c r="C125" t="inlineStr">
        <is>
          <t>Electronics</t>
        </is>
      </c>
      <c r="D125" t="n">
        <v>2024</v>
      </c>
      <c r="E125" t="n">
        <v>2015</v>
      </c>
      <c r="F125" t="n">
        <v>2040</v>
      </c>
      <c r="G125" t="n">
        <v>3292.5056</v>
      </c>
      <c r="H125" t="n">
        <v>425.3445</v>
      </c>
      <c r="I125" t="n">
        <v>213.5756</v>
      </c>
      <c r="J125" t="n">
        <v>2732.5965</v>
      </c>
      <c r="K125" t="inlineStr"/>
      <c r="L125" t="n">
        <v>13053571.69</v>
      </c>
      <c r="M125" t="n">
        <v>3292.5056</v>
      </c>
      <c r="N125" t="inlineStr">
        <is>
          <t>Supplier Reported Emissions</t>
        </is>
      </c>
      <c r="O125" t="b">
        <v>0</v>
      </c>
      <c r="P125" t="inlineStr">
        <is>
          <t>High</t>
        </is>
      </c>
      <c r="Q125" t="inlineStr">
        <is>
          <t>Gross_Spend</t>
        </is>
      </c>
      <c r="R125" t="inlineStr">
        <is>
          <t>Valid</t>
        </is>
      </c>
      <c r="S125" t="n">
        <v>2036</v>
      </c>
      <c r="T125" t="inlineStr">
        <is>
          <t>Industry Haircut Pathway</t>
        </is>
      </c>
      <c r="U125" t="n">
        <v>4234.703</v>
      </c>
      <c r="V125" t="n">
        <v>2784.7407</v>
      </c>
      <c r="W125" t="n">
        <v>3016.7347</v>
      </c>
      <c r="X125" t="n">
        <v>3016.7347</v>
      </c>
      <c r="Y125" t="n">
        <v>1217.9683</v>
      </c>
      <c r="Z125" t="inlineStr"/>
      <c r="AA125" t="inlineStr"/>
      <c r="AB125" t="n">
        <v>231.994</v>
      </c>
      <c r="AC125" t="n">
        <v>57.9985</v>
      </c>
      <c r="AD125" t="n">
        <v>4527.1348</v>
      </c>
      <c r="AE125" t="n">
        <v>40028.7164</v>
      </c>
      <c r="AF125" t="n">
        <v>0.9429999999999999</v>
      </c>
      <c r="AG125" t="inlineStr">
        <is>
          <t>Medium</t>
        </is>
      </c>
      <c r="AH125" t="inlineStr">
        <is>
          <t>On Track to Glide Path</t>
        </is>
      </c>
    </row>
    <row r="126">
      <c r="A126" t="inlineStr">
        <is>
          <t>SUP-0008</t>
        </is>
      </c>
      <c r="B126" t="inlineStr">
        <is>
          <t>Electronics Supplier 008</t>
        </is>
      </c>
      <c r="C126" t="inlineStr">
        <is>
          <t>Electronics</t>
        </is>
      </c>
      <c r="D126" t="n">
        <v>2024</v>
      </c>
      <c r="E126" t="n">
        <v>2015</v>
      </c>
      <c r="F126" t="n">
        <v>2040</v>
      </c>
      <c r="G126" t="n">
        <v>3292.5056</v>
      </c>
      <c r="H126" t="n">
        <v>425.3445</v>
      </c>
      <c r="I126" t="n">
        <v>213.5756</v>
      </c>
      <c r="J126" t="n">
        <v>2732.5965</v>
      </c>
      <c r="K126" t="inlineStr"/>
      <c r="L126" t="n">
        <v>13053571.69</v>
      </c>
      <c r="M126" t="n">
        <v>3292.5056</v>
      </c>
      <c r="N126" t="inlineStr">
        <is>
          <t>Supplier Reported Emissions</t>
        </is>
      </c>
      <c r="O126" t="b">
        <v>0</v>
      </c>
      <c r="P126" t="inlineStr">
        <is>
          <t>High</t>
        </is>
      </c>
      <c r="Q126" t="inlineStr">
        <is>
          <t>Gross_Spend</t>
        </is>
      </c>
      <c r="R126" t="inlineStr">
        <is>
          <t>Valid</t>
        </is>
      </c>
      <c r="S126" t="n">
        <v>2037</v>
      </c>
      <c r="T126" t="inlineStr">
        <is>
          <t>Industry Haircut Pathway</t>
        </is>
      </c>
      <c r="U126" t="n">
        <v>4234.703</v>
      </c>
      <c r="V126" t="n">
        <v>2784.7407</v>
      </c>
      <c r="W126" t="n">
        <v>2958.7362</v>
      </c>
      <c r="X126" t="n">
        <v>2958.7362</v>
      </c>
      <c r="Y126" t="n">
        <v>1275.9668</v>
      </c>
      <c r="Z126" t="inlineStr"/>
      <c r="AA126" t="inlineStr"/>
      <c r="AB126" t="n">
        <v>173.9955</v>
      </c>
      <c r="AC126" t="n">
        <v>57.9985</v>
      </c>
      <c r="AD126" t="n">
        <v>1568.3986</v>
      </c>
      <c r="AE126" t="n">
        <v>42987.4526</v>
      </c>
      <c r="AF126" t="n">
        <v>0.9429999999999999</v>
      </c>
      <c r="AG126" t="inlineStr">
        <is>
          <t>Medium</t>
        </is>
      </c>
      <c r="AH126" t="inlineStr">
        <is>
          <t>On Track to Glide Path</t>
        </is>
      </c>
    </row>
    <row r="127">
      <c r="A127" t="inlineStr">
        <is>
          <t>SUP-0008</t>
        </is>
      </c>
      <c r="B127" t="inlineStr">
        <is>
          <t>Electronics Supplier 008</t>
        </is>
      </c>
      <c r="C127" t="inlineStr">
        <is>
          <t>Electronics</t>
        </is>
      </c>
      <c r="D127" t="n">
        <v>2024</v>
      </c>
      <c r="E127" t="n">
        <v>2015</v>
      </c>
      <c r="F127" t="n">
        <v>2040</v>
      </c>
      <c r="G127" t="n">
        <v>3292.5056</v>
      </c>
      <c r="H127" t="n">
        <v>425.3445</v>
      </c>
      <c r="I127" t="n">
        <v>213.5756</v>
      </c>
      <c r="J127" t="n">
        <v>2732.5965</v>
      </c>
      <c r="K127" t="inlineStr"/>
      <c r="L127" t="n">
        <v>13053571.69</v>
      </c>
      <c r="M127" t="n">
        <v>3292.5056</v>
      </c>
      <c r="N127" t="inlineStr">
        <is>
          <t>Supplier Reported Emissions</t>
        </is>
      </c>
      <c r="O127" t="b">
        <v>0</v>
      </c>
      <c r="P127" t="inlineStr">
        <is>
          <t>High</t>
        </is>
      </c>
      <c r="Q127" t="inlineStr">
        <is>
          <t>Gross_Spend</t>
        </is>
      </c>
      <c r="R127" t="inlineStr">
        <is>
          <t>Valid</t>
        </is>
      </c>
      <c r="S127" t="n">
        <v>2038</v>
      </c>
      <c r="T127" t="inlineStr">
        <is>
          <t>Industry Haircut Pathway</t>
        </is>
      </c>
      <c r="U127" t="n">
        <v>4234.703</v>
      </c>
      <c r="V127" t="n">
        <v>2784.7407</v>
      </c>
      <c r="W127" t="n">
        <v>2900.7377</v>
      </c>
      <c r="X127" t="n">
        <v>2900.7377</v>
      </c>
      <c r="Y127" t="n">
        <v>1333.9653</v>
      </c>
      <c r="Z127" t="inlineStr"/>
      <c r="AA127" t="inlineStr"/>
      <c r="AB127" t="n">
        <v>115.997</v>
      </c>
      <c r="AC127" t="n">
        <v>57.9985</v>
      </c>
      <c r="AD127" t="n">
        <v>-1332.3391</v>
      </c>
      <c r="AE127" t="n">
        <v>45888.1903</v>
      </c>
      <c r="AF127" t="n">
        <v>0.9429999999999999</v>
      </c>
      <c r="AG127" t="inlineStr">
        <is>
          <t>Medium</t>
        </is>
      </c>
      <c r="AH127" t="inlineStr">
        <is>
          <t>On Track to Glide Path</t>
        </is>
      </c>
    </row>
    <row r="128">
      <c r="A128" t="inlineStr">
        <is>
          <t>SUP-0008</t>
        </is>
      </c>
      <c r="B128" t="inlineStr">
        <is>
          <t>Electronics Supplier 008</t>
        </is>
      </c>
      <c r="C128" t="inlineStr">
        <is>
          <t>Electronics</t>
        </is>
      </c>
      <c r="D128" t="n">
        <v>2024</v>
      </c>
      <c r="E128" t="n">
        <v>2015</v>
      </c>
      <c r="F128" t="n">
        <v>2040</v>
      </c>
      <c r="G128" t="n">
        <v>3292.5056</v>
      </c>
      <c r="H128" t="n">
        <v>425.3445</v>
      </c>
      <c r="I128" t="n">
        <v>213.5756</v>
      </c>
      <c r="J128" t="n">
        <v>2732.5965</v>
      </c>
      <c r="K128" t="inlineStr"/>
      <c r="L128" t="n">
        <v>13053571.69</v>
      </c>
      <c r="M128" t="n">
        <v>3292.5056</v>
      </c>
      <c r="N128" t="inlineStr">
        <is>
          <t>Supplier Reported Emissions</t>
        </is>
      </c>
      <c r="O128" t="b">
        <v>0</v>
      </c>
      <c r="P128" t="inlineStr">
        <is>
          <t>High</t>
        </is>
      </c>
      <c r="Q128" t="inlineStr">
        <is>
          <t>Gross_Spend</t>
        </is>
      </c>
      <c r="R128" t="inlineStr">
        <is>
          <t>Valid</t>
        </is>
      </c>
      <c r="S128" t="n">
        <v>2039</v>
      </c>
      <c r="T128" t="inlineStr">
        <is>
          <t>Industry Haircut Pathway</t>
        </is>
      </c>
      <c r="U128" t="n">
        <v>4234.703</v>
      </c>
      <c r="V128" t="n">
        <v>2784.7407</v>
      </c>
      <c r="W128" t="n">
        <v>2842.7392</v>
      </c>
      <c r="X128" t="n">
        <v>2842.7392</v>
      </c>
      <c r="Y128" t="n">
        <v>1391.9638</v>
      </c>
      <c r="Z128" t="inlineStr"/>
      <c r="AA128" t="inlineStr"/>
      <c r="AB128" t="n">
        <v>57.9985</v>
      </c>
      <c r="AC128" t="n">
        <v>57.9985</v>
      </c>
      <c r="AD128" t="n">
        <v>-4175.0783</v>
      </c>
      <c r="AE128" t="n">
        <v>48730.9295</v>
      </c>
      <c r="AF128" t="n">
        <v>0.9429999999999999</v>
      </c>
      <c r="AG128" t="inlineStr">
        <is>
          <t>Medium</t>
        </is>
      </c>
      <c r="AH128" t="inlineStr">
        <is>
          <t>On Track to Glide Path</t>
        </is>
      </c>
    </row>
    <row r="129">
      <c r="A129" t="inlineStr">
        <is>
          <t>SUP-0008</t>
        </is>
      </c>
      <c r="B129" t="inlineStr">
        <is>
          <t>Electronics Supplier 008</t>
        </is>
      </c>
      <c r="C129" t="inlineStr">
        <is>
          <t>Electronics</t>
        </is>
      </c>
      <c r="D129" t="n">
        <v>2024</v>
      </c>
      <c r="E129" t="n">
        <v>2015</v>
      </c>
      <c r="F129" t="n">
        <v>2040</v>
      </c>
      <c r="G129" t="n">
        <v>3292.5056</v>
      </c>
      <c r="H129" t="n">
        <v>425.3445</v>
      </c>
      <c r="I129" t="n">
        <v>213.5756</v>
      </c>
      <c r="J129" t="n">
        <v>2732.5965</v>
      </c>
      <c r="K129" t="inlineStr"/>
      <c r="L129" t="n">
        <v>13053571.69</v>
      </c>
      <c r="M129" t="n">
        <v>3292.5056</v>
      </c>
      <c r="N129" t="inlineStr">
        <is>
          <t>Supplier Reported Emissions</t>
        </is>
      </c>
      <c r="O129" t="b">
        <v>0</v>
      </c>
      <c r="P129" t="inlineStr">
        <is>
          <t>High</t>
        </is>
      </c>
      <c r="Q129" t="inlineStr">
        <is>
          <t>Gross_Spend</t>
        </is>
      </c>
      <c r="R129" t="inlineStr">
        <is>
          <t>Valid</t>
        </is>
      </c>
      <c r="S129" t="n">
        <v>2040</v>
      </c>
      <c r="T129" t="inlineStr">
        <is>
          <t>Industry Haircut Pathway</t>
        </is>
      </c>
      <c r="U129" t="n">
        <v>4234.703</v>
      </c>
      <c r="V129" t="n">
        <v>2784.7407</v>
      </c>
      <c r="W129" t="n">
        <v>2784.7407</v>
      </c>
      <c r="X129" t="n">
        <v>2784.7407</v>
      </c>
      <c r="Y129" t="n">
        <v>1449.9623</v>
      </c>
      <c r="Z129" t="inlineStr"/>
      <c r="AA129" t="inlineStr"/>
      <c r="AB129" t="n">
        <v>0</v>
      </c>
      <c r="AC129" t="n">
        <v>57.9985</v>
      </c>
      <c r="AD129" t="n">
        <v>-6959.819</v>
      </c>
      <c r="AE129" t="n">
        <v>51515.6702</v>
      </c>
      <c r="AF129" t="n">
        <v>0.9429999999999999</v>
      </c>
      <c r="AG129" t="inlineStr">
        <is>
          <t>Low</t>
        </is>
      </c>
      <c r="AH129" t="inlineStr">
        <is>
          <t>On Track</t>
        </is>
      </c>
    </row>
    <row r="130">
      <c r="A130" t="inlineStr">
        <is>
          <t>SUP-0009</t>
        </is>
      </c>
      <c r="B130" t="inlineStr">
        <is>
          <t>Professional Supplier 009</t>
        </is>
      </c>
      <c r="C130" t="inlineStr">
        <is>
          <t>Professional Services</t>
        </is>
      </c>
      <c r="D130" t="n">
        <v>2024</v>
      </c>
      <c r="E130" t="n">
        <v>2015</v>
      </c>
      <c r="F130" t="n">
        <v>2040</v>
      </c>
      <c r="G130" t="n">
        <v>4325.7647</v>
      </c>
      <c r="H130" t="inlineStr"/>
      <c r="I130" t="n">
        <v>780.5117</v>
      </c>
      <c r="J130" t="inlineStr"/>
      <c r="K130" t="n">
        <v>52537789.25</v>
      </c>
      <c r="L130" t="n">
        <v>67311812.73</v>
      </c>
      <c r="M130" t="n">
        <v>4325.7647</v>
      </c>
      <c r="N130" t="inlineStr">
        <is>
          <t>Supplier Reported Emissions</t>
        </is>
      </c>
      <c r="O130" t="b">
        <v>0</v>
      </c>
      <c r="P130" t="inlineStr">
        <is>
          <t>High</t>
        </is>
      </c>
      <c r="Q130" t="inlineStr">
        <is>
          <t>Scope_Emissions</t>
        </is>
      </c>
      <c r="R130" t="inlineStr">
        <is>
          <t>Valid</t>
        </is>
      </c>
      <c r="S130" t="n">
        <v>2025</v>
      </c>
      <c r="T130" t="inlineStr">
        <is>
          <t>Historical Trend Pathway</t>
        </is>
      </c>
      <c r="U130" t="n">
        <v>2606.5026</v>
      </c>
      <c r="V130" t="n">
        <v>2476.1775</v>
      </c>
      <c r="W130" t="n">
        <v>4620.4431</v>
      </c>
      <c r="X130" t="n">
        <v>2554.3725</v>
      </c>
      <c r="Y130" t="n">
        <v>-2013.9405</v>
      </c>
      <c r="Z130" t="n">
        <v>8.795e-05</v>
      </c>
      <c r="AA130" t="n">
        <v>-0.77266</v>
      </c>
      <c r="AB130" t="n">
        <v>2144.2657</v>
      </c>
      <c r="AC130" t="n">
        <v>5.213</v>
      </c>
      <c r="AD130" t="n">
        <v>34998.3969</v>
      </c>
      <c r="AE130" t="n">
        <v>4620.4431</v>
      </c>
      <c r="AF130" t="n">
        <v>0.848</v>
      </c>
      <c r="AG130" t="inlineStr">
        <is>
          <t>Critical</t>
        </is>
      </c>
      <c r="AH130" t="inlineStr">
        <is>
          <t>Off Track</t>
        </is>
      </c>
    </row>
    <row r="131">
      <c r="A131" t="inlineStr">
        <is>
          <t>SUP-0009</t>
        </is>
      </c>
      <c r="B131" t="inlineStr">
        <is>
          <t>Professional Supplier 009</t>
        </is>
      </c>
      <c r="C131" t="inlineStr">
        <is>
          <t>Professional Services</t>
        </is>
      </c>
      <c r="D131" t="n">
        <v>2024</v>
      </c>
      <c r="E131" t="n">
        <v>2015</v>
      </c>
      <c r="F131" t="n">
        <v>2040</v>
      </c>
      <c r="G131" t="n">
        <v>4325.7647</v>
      </c>
      <c r="H131" t="inlineStr"/>
      <c r="I131" t="n">
        <v>780.5117</v>
      </c>
      <c r="J131" t="inlineStr"/>
      <c r="K131" t="n">
        <v>52537789.25</v>
      </c>
      <c r="L131" t="n">
        <v>67311812.73</v>
      </c>
      <c r="M131" t="n">
        <v>4325.7647</v>
      </c>
      <c r="N131" t="inlineStr">
        <is>
          <t>Supplier Reported Emissions</t>
        </is>
      </c>
      <c r="O131" t="b">
        <v>0</v>
      </c>
      <c r="P131" t="inlineStr">
        <is>
          <t>High</t>
        </is>
      </c>
      <c r="Q131" t="inlineStr">
        <is>
          <t>Scope_Emissions</t>
        </is>
      </c>
      <c r="R131" t="inlineStr">
        <is>
          <t>Valid</t>
        </is>
      </c>
      <c r="S131" t="n">
        <v>2026</v>
      </c>
      <c r="T131" t="inlineStr">
        <is>
          <t>Historical Trend Pathway</t>
        </is>
      </c>
      <c r="U131" t="n">
        <v>2606.5026</v>
      </c>
      <c r="V131" t="n">
        <v>2476.1775</v>
      </c>
      <c r="W131" t="n">
        <v>4935.1956</v>
      </c>
      <c r="X131" t="n">
        <v>2549.1595</v>
      </c>
      <c r="Y131" t="n">
        <v>-2328.693</v>
      </c>
      <c r="Z131" t="n">
        <v>9.394e-05</v>
      </c>
      <c r="AA131" t="n">
        <v>-0.893417</v>
      </c>
      <c r="AB131" t="n">
        <v>2459.0181</v>
      </c>
      <c r="AC131" t="n">
        <v>5.213</v>
      </c>
      <c r="AD131" t="n">
        <v>30063.2013</v>
      </c>
      <c r="AE131" t="n">
        <v>9555.6387</v>
      </c>
      <c r="AF131" t="n">
        <v>0.848</v>
      </c>
      <c r="AG131" t="inlineStr">
        <is>
          <t>Critical</t>
        </is>
      </c>
      <c r="AH131" t="inlineStr">
        <is>
          <t>Off Track</t>
        </is>
      </c>
    </row>
    <row r="132">
      <c r="A132" t="inlineStr">
        <is>
          <t>SUP-0009</t>
        </is>
      </c>
      <c r="B132" t="inlineStr">
        <is>
          <t>Professional Supplier 009</t>
        </is>
      </c>
      <c r="C132" t="inlineStr">
        <is>
          <t>Professional Services</t>
        </is>
      </c>
      <c r="D132" t="n">
        <v>2024</v>
      </c>
      <c r="E132" t="n">
        <v>2015</v>
      </c>
      <c r="F132" t="n">
        <v>2040</v>
      </c>
      <c r="G132" t="n">
        <v>4325.7647</v>
      </c>
      <c r="H132" t="inlineStr"/>
      <c r="I132" t="n">
        <v>780.5117</v>
      </c>
      <c r="J132" t="inlineStr"/>
      <c r="K132" t="n">
        <v>52537789.25</v>
      </c>
      <c r="L132" t="n">
        <v>67311812.73</v>
      </c>
      <c r="M132" t="n">
        <v>4325.7647</v>
      </c>
      <c r="N132" t="inlineStr">
        <is>
          <t>Supplier Reported Emissions</t>
        </is>
      </c>
      <c r="O132" t="b">
        <v>0</v>
      </c>
      <c r="P132" t="inlineStr">
        <is>
          <t>High</t>
        </is>
      </c>
      <c r="Q132" t="inlineStr">
        <is>
          <t>Scope_Emissions</t>
        </is>
      </c>
      <c r="R132" t="inlineStr">
        <is>
          <t>Valid</t>
        </is>
      </c>
      <c r="S132" t="n">
        <v>2027</v>
      </c>
      <c r="T132" t="inlineStr">
        <is>
          <t>Historical Trend Pathway</t>
        </is>
      </c>
      <c r="U132" t="n">
        <v>2606.5026</v>
      </c>
      <c r="V132" t="n">
        <v>2476.1775</v>
      </c>
      <c r="W132" t="n">
        <v>5271.3895</v>
      </c>
      <c r="X132" t="n">
        <v>2543.9465</v>
      </c>
      <c r="Y132" t="n">
        <v>-2664.8869</v>
      </c>
      <c r="Z132" t="n">
        <v>0.00010034</v>
      </c>
      <c r="AA132" t="n">
        <v>-1.022399</v>
      </c>
      <c r="AB132" t="n">
        <v>2795.212</v>
      </c>
      <c r="AC132" t="n">
        <v>5.213</v>
      </c>
      <c r="AD132" t="n">
        <v>24791.8118</v>
      </c>
      <c r="AE132" t="n">
        <v>14827.0282</v>
      </c>
      <c r="AF132" t="n">
        <v>0.848</v>
      </c>
      <c r="AG132" t="inlineStr">
        <is>
          <t>Critical</t>
        </is>
      </c>
      <c r="AH132" t="inlineStr">
        <is>
          <t>Off Track</t>
        </is>
      </c>
    </row>
    <row r="133">
      <c r="A133" t="inlineStr">
        <is>
          <t>SUP-0009</t>
        </is>
      </c>
      <c r="B133" t="inlineStr">
        <is>
          <t>Professional Supplier 009</t>
        </is>
      </c>
      <c r="C133" t="inlineStr">
        <is>
          <t>Professional Services</t>
        </is>
      </c>
      <c r="D133" t="n">
        <v>2024</v>
      </c>
      <c r="E133" t="n">
        <v>2015</v>
      </c>
      <c r="F133" t="n">
        <v>2040</v>
      </c>
      <c r="G133" t="n">
        <v>4325.7647</v>
      </c>
      <c r="H133" t="inlineStr"/>
      <c r="I133" t="n">
        <v>780.5117</v>
      </c>
      <c r="J133" t="inlineStr"/>
      <c r="K133" t="n">
        <v>52537789.25</v>
      </c>
      <c r="L133" t="n">
        <v>67311812.73</v>
      </c>
      <c r="M133" t="n">
        <v>4325.7647</v>
      </c>
      <c r="N133" t="inlineStr">
        <is>
          <t>Supplier Reported Emissions</t>
        </is>
      </c>
      <c r="O133" t="b">
        <v>0</v>
      </c>
      <c r="P133" t="inlineStr">
        <is>
          <t>High</t>
        </is>
      </c>
      <c r="Q133" t="inlineStr">
        <is>
          <t>Scope_Emissions</t>
        </is>
      </c>
      <c r="R133" t="inlineStr">
        <is>
          <t>Valid</t>
        </is>
      </c>
      <c r="S133" t="n">
        <v>2028</v>
      </c>
      <c r="T133" t="inlineStr">
        <is>
          <t>Historical Trend Pathway</t>
        </is>
      </c>
      <c r="U133" t="n">
        <v>2606.5026</v>
      </c>
      <c r="V133" t="n">
        <v>2476.1775</v>
      </c>
      <c r="W133" t="n">
        <v>5630.4855</v>
      </c>
      <c r="X133" t="n">
        <v>2538.7335</v>
      </c>
      <c r="Y133" t="n">
        <v>-3023.9829</v>
      </c>
      <c r="Z133" t="n">
        <v>0.00010717</v>
      </c>
      <c r="AA133" t="n">
        <v>-1.160169</v>
      </c>
      <c r="AB133" t="n">
        <v>3154.308</v>
      </c>
      <c r="AC133" t="n">
        <v>5.213</v>
      </c>
      <c r="AD133" t="n">
        <v>19161.3263</v>
      </c>
      <c r="AE133" t="n">
        <v>20457.5137</v>
      </c>
      <c r="AF133" t="n">
        <v>0.848</v>
      </c>
      <c r="AG133" t="inlineStr">
        <is>
          <t>Critical</t>
        </is>
      </c>
      <c r="AH133" t="inlineStr">
        <is>
          <t>Off Track</t>
        </is>
      </c>
    </row>
    <row r="134">
      <c r="A134" t="inlineStr">
        <is>
          <t>SUP-0009</t>
        </is>
      </c>
      <c r="B134" t="inlineStr">
        <is>
          <t>Professional Supplier 009</t>
        </is>
      </c>
      <c r="C134" t="inlineStr">
        <is>
          <t>Professional Services</t>
        </is>
      </c>
      <c r="D134" t="n">
        <v>2024</v>
      </c>
      <c r="E134" t="n">
        <v>2015</v>
      </c>
      <c r="F134" t="n">
        <v>2040</v>
      </c>
      <c r="G134" t="n">
        <v>4325.7647</v>
      </c>
      <c r="H134" t="inlineStr"/>
      <c r="I134" t="n">
        <v>780.5117</v>
      </c>
      <c r="J134" t="inlineStr"/>
      <c r="K134" t="n">
        <v>52537789.25</v>
      </c>
      <c r="L134" t="n">
        <v>67311812.73</v>
      </c>
      <c r="M134" t="n">
        <v>4325.7647</v>
      </c>
      <c r="N134" t="inlineStr">
        <is>
          <t>Supplier Reported Emissions</t>
        </is>
      </c>
      <c r="O134" t="b">
        <v>0</v>
      </c>
      <c r="P134" t="inlineStr">
        <is>
          <t>High</t>
        </is>
      </c>
      <c r="Q134" t="inlineStr">
        <is>
          <t>Scope_Emissions</t>
        </is>
      </c>
      <c r="R134" t="inlineStr">
        <is>
          <t>Valid</t>
        </is>
      </c>
      <c r="S134" t="n">
        <v>2029</v>
      </c>
      <c r="T134" t="inlineStr">
        <is>
          <t>Historical Trend Pathway</t>
        </is>
      </c>
      <c r="U134" t="n">
        <v>2606.5026</v>
      </c>
      <c r="V134" t="n">
        <v>2476.1775</v>
      </c>
      <c r="W134" t="n">
        <v>6014.0438</v>
      </c>
      <c r="X134" t="n">
        <v>2533.5205</v>
      </c>
      <c r="Y134" t="n">
        <v>-3407.5412</v>
      </c>
      <c r="Z134" t="n">
        <v>0.00011447</v>
      </c>
      <c r="AA134" t="n">
        <v>-1.307323</v>
      </c>
      <c r="AB134" t="n">
        <v>3537.8663</v>
      </c>
      <c r="AC134" t="n">
        <v>5.213</v>
      </c>
      <c r="AD134" t="n">
        <v>13147.2825</v>
      </c>
      <c r="AE134" t="n">
        <v>26471.5575</v>
      </c>
      <c r="AF134" t="n">
        <v>0.848</v>
      </c>
      <c r="AG134" t="inlineStr">
        <is>
          <t>Critical</t>
        </is>
      </c>
      <c r="AH134" t="inlineStr">
        <is>
          <t>Off Track</t>
        </is>
      </c>
    </row>
    <row r="135">
      <c r="A135" t="inlineStr">
        <is>
          <t>SUP-0009</t>
        </is>
      </c>
      <c r="B135" t="inlineStr">
        <is>
          <t>Professional Supplier 009</t>
        </is>
      </c>
      <c r="C135" t="inlineStr">
        <is>
          <t>Professional Services</t>
        </is>
      </c>
      <c r="D135" t="n">
        <v>2024</v>
      </c>
      <c r="E135" t="n">
        <v>2015</v>
      </c>
      <c r="F135" t="n">
        <v>2040</v>
      </c>
      <c r="G135" t="n">
        <v>4325.7647</v>
      </c>
      <c r="H135" t="inlineStr"/>
      <c r="I135" t="n">
        <v>780.5117</v>
      </c>
      <c r="J135" t="inlineStr"/>
      <c r="K135" t="n">
        <v>52537789.25</v>
      </c>
      <c r="L135" t="n">
        <v>67311812.73</v>
      </c>
      <c r="M135" t="n">
        <v>4325.7647</v>
      </c>
      <c r="N135" t="inlineStr">
        <is>
          <t>Supplier Reported Emissions</t>
        </is>
      </c>
      <c r="O135" t="b">
        <v>0</v>
      </c>
      <c r="P135" t="inlineStr">
        <is>
          <t>High</t>
        </is>
      </c>
      <c r="Q135" t="inlineStr">
        <is>
          <t>Scope_Emissions</t>
        </is>
      </c>
      <c r="R135" t="inlineStr">
        <is>
          <t>Valid</t>
        </is>
      </c>
      <c r="S135" t="n">
        <v>2030</v>
      </c>
      <c r="T135" t="inlineStr">
        <is>
          <t>Historical Trend Pathway</t>
        </is>
      </c>
      <c r="U135" t="n">
        <v>2606.5026</v>
      </c>
      <c r="V135" t="n">
        <v>2476.1775</v>
      </c>
      <c r="W135" t="n">
        <v>6423.7306</v>
      </c>
      <c r="X135" t="n">
        <v>2528.3075</v>
      </c>
      <c r="Y135" t="n">
        <v>-3817.228</v>
      </c>
      <c r="Z135" t="n">
        <v>0.00012227</v>
      </c>
      <c r="AA135" t="n">
        <v>-1.464502</v>
      </c>
      <c r="AB135" t="n">
        <v>3947.5532</v>
      </c>
      <c r="AC135" t="n">
        <v>5.213</v>
      </c>
      <c r="AD135" t="n">
        <v>6723.5519</v>
      </c>
      <c r="AE135" t="n">
        <v>32895.2881</v>
      </c>
      <c r="AF135" t="n">
        <v>0.848</v>
      </c>
      <c r="AG135" t="inlineStr">
        <is>
          <t>Critical</t>
        </is>
      </c>
      <c r="AH135" t="inlineStr">
        <is>
          <t>Off Track</t>
        </is>
      </c>
    </row>
    <row r="136">
      <c r="A136" t="inlineStr">
        <is>
          <t>SUP-0009</t>
        </is>
      </c>
      <c r="B136" t="inlineStr">
        <is>
          <t>Professional Supplier 009</t>
        </is>
      </c>
      <c r="C136" t="inlineStr">
        <is>
          <t>Professional Services</t>
        </is>
      </c>
      <c r="D136" t="n">
        <v>2024</v>
      </c>
      <c r="E136" t="n">
        <v>2015</v>
      </c>
      <c r="F136" t="n">
        <v>2040</v>
      </c>
      <c r="G136" t="n">
        <v>4325.7647</v>
      </c>
      <c r="H136" t="inlineStr"/>
      <c r="I136" t="n">
        <v>780.5117</v>
      </c>
      <c r="J136" t="inlineStr"/>
      <c r="K136" t="n">
        <v>52537789.25</v>
      </c>
      <c r="L136" t="n">
        <v>67311812.73</v>
      </c>
      <c r="M136" t="n">
        <v>4325.7647</v>
      </c>
      <c r="N136" t="inlineStr">
        <is>
          <t>Supplier Reported Emissions</t>
        </is>
      </c>
      <c r="O136" t="b">
        <v>0</v>
      </c>
      <c r="P136" t="inlineStr">
        <is>
          <t>High</t>
        </is>
      </c>
      <c r="Q136" t="inlineStr">
        <is>
          <t>Scope_Emissions</t>
        </is>
      </c>
      <c r="R136" t="inlineStr">
        <is>
          <t>Valid</t>
        </is>
      </c>
      <c r="S136" t="n">
        <v>2031</v>
      </c>
      <c r="T136" t="inlineStr">
        <is>
          <t>Historical Trend Pathway</t>
        </is>
      </c>
      <c r="U136" t="n">
        <v>2606.5026</v>
      </c>
      <c r="V136" t="n">
        <v>2476.1775</v>
      </c>
      <c r="W136" t="n">
        <v>6861.3261</v>
      </c>
      <c r="X136" t="n">
        <v>2523.0945</v>
      </c>
      <c r="Y136" t="n">
        <v>-4254.8235</v>
      </c>
      <c r="Z136" t="n">
        <v>0.0001306</v>
      </c>
      <c r="AA136" t="n">
        <v>-1.632388</v>
      </c>
      <c r="AB136" t="n">
        <v>4385.1486</v>
      </c>
      <c r="AC136" t="n">
        <v>5.213</v>
      </c>
      <c r="AD136" t="n">
        <v>-137.7742</v>
      </c>
      <c r="AE136" t="n">
        <v>39756.6142</v>
      </c>
      <c r="AF136" t="n">
        <v>0.848</v>
      </c>
      <c r="AG136" t="inlineStr">
        <is>
          <t>Critical</t>
        </is>
      </c>
      <c r="AH136" t="inlineStr">
        <is>
          <t>Off Track</t>
        </is>
      </c>
    </row>
    <row r="137">
      <c r="A137" t="inlineStr">
        <is>
          <t>SUP-0009</t>
        </is>
      </c>
      <c r="B137" t="inlineStr">
        <is>
          <t>Professional Supplier 009</t>
        </is>
      </c>
      <c r="C137" t="inlineStr">
        <is>
          <t>Professional Services</t>
        </is>
      </c>
      <c r="D137" t="n">
        <v>2024</v>
      </c>
      <c r="E137" t="n">
        <v>2015</v>
      </c>
      <c r="F137" t="n">
        <v>2040</v>
      </c>
      <c r="G137" t="n">
        <v>4325.7647</v>
      </c>
      <c r="H137" t="inlineStr"/>
      <c r="I137" t="n">
        <v>780.5117</v>
      </c>
      <c r="J137" t="inlineStr"/>
      <c r="K137" t="n">
        <v>52537789.25</v>
      </c>
      <c r="L137" t="n">
        <v>67311812.73</v>
      </c>
      <c r="M137" t="n">
        <v>4325.7647</v>
      </c>
      <c r="N137" t="inlineStr">
        <is>
          <t>Supplier Reported Emissions</t>
        </is>
      </c>
      <c r="O137" t="b">
        <v>0</v>
      </c>
      <c r="P137" t="inlineStr">
        <is>
          <t>High</t>
        </is>
      </c>
      <c r="Q137" t="inlineStr">
        <is>
          <t>Scope_Emissions</t>
        </is>
      </c>
      <c r="R137" t="inlineStr">
        <is>
          <t>Valid</t>
        </is>
      </c>
      <c r="S137" t="n">
        <v>2032</v>
      </c>
      <c r="T137" t="inlineStr">
        <is>
          <t>Historical Trend Pathway</t>
        </is>
      </c>
      <c r="U137" t="n">
        <v>2606.5026</v>
      </c>
      <c r="V137" t="n">
        <v>2476.1775</v>
      </c>
      <c r="W137" t="n">
        <v>7328.7313</v>
      </c>
      <c r="X137" t="n">
        <v>2517.8815</v>
      </c>
      <c r="Y137" t="n">
        <v>-4722.2287</v>
      </c>
      <c r="Z137" t="n">
        <v>0.00013949</v>
      </c>
      <c r="AA137" t="n">
        <v>-1.811711</v>
      </c>
      <c r="AB137" t="n">
        <v>4852.5538</v>
      </c>
      <c r="AC137" t="n">
        <v>5.213</v>
      </c>
      <c r="AD137" t="n">
        <v>-7466.5055</v>
      </c>
      <c r="AE137" t="n">
        <v>47085.3455</v>
      </c>
      <c r="AF137" t="n">
        <v>0.848</v>
      </c>
      <c r="AG137" t="inlineStr">
        <is>
          <t>Critical</t>
        </is>
      </c>
      <c r="AH137" t="inlineStr">
        <is>
          <t>Off Track</t>
        </is>
      </c>
    </row>
    <row r="138">
      <c r="A138" t="inlineStr">
        <is>
          <t>SUP-0009</t>
        </is>
      </c>
      <c r="B138" t="inlineStr">
        <is>
          <t>Professional Supplier 009</t>
        </is>
      </c>
      <c r="C138" t="inlineStr">
        <is>
          <t>Professional Services</t>
        </is>
      </c>
      <c r="D138" t="n">
        <v>2024</v>
      </c>
      <c r="E138" t="n">
        <v>2015</v>
      </c>
      <c r="F138" t="n">
        <v>2040</v>
      </c>
      <c r="G138" t="n">
        <v>4325.7647</v>
      </c>
      <c r="H138" t="inlineStr"/>
      <c r="I138" t="n">
        <v>780.5117</v>
      </c>
      <c r="J138" t="inlineStr"/>
      <c r="K138" t="n">
        <v>52537789.25</v>
      </c>
      <c r="L138" t="n">
        <v>67311812.73</v>
      </c>
      <c r="M138" t="n">
        <v>4325.7647</v>
      </c>
      <c r="N138" t="inlineStr">
        <is>
          <t>Supplier Reported Emissions</t>
        </is>
      </c>
      <c r="O138" t="b">
        <v>0</v>
      </c>
      <c r="P138" t="inlineStr">
        <is>
          <t>High</t>
        </is>
      </c>
      <c r="Q138" t="inlineStr">
        <is>
          <t>Scope_Emissions</t>
        </is>
      </c>
      <c r="R138" t="inlineStr">
        <is>
          <t>Valid</t>
        </is>
      </c>
      <c r="S138" t="n">
        <v>2033</v>
      </c>
      <c r="T138" t="inlineStr">
        <is>
          <t>Historical Trend Pathway</t>
        </is>
      </c>
      <c r="U138" t="n">
        <v>2606.5026</v>
      </c>
      <c r="V138" t="n">
        <v>2476.1775</v>
      </c>
      <c r="W138" t="n">
        <v>7827.9769</v>
      </c>
      <c r="X138" t="n">
        <v>2512.6685</v>
      </c>
      <c r="Y138" t="n">
        <v>-5221.4743</v>
      </c>
      <c r="Z138" t="n">
        <v>0.000149</v>
      </c>
      <c r="AA138" t="n">
        <v>-2.003249</v>
      </c>
      <c r="AB138" t="n">
        <v>5351.7995</v>
      </c>
      <c r="AC138" t="n">
        <v>5.213</v>
      </c>
      <c r="AD138" t="n">
        <v>-15294.4824</v>
      </c>
      <c r="AE138" t="n">
        <v>54913.3224</v>
      </c>
      <c r="AF138" t="n">
        <v>0.848</v>
      </c>
      <c r="AG138" t="inlineStr">
        <is>
          <t>Critical</t>
        </is>
      </c>
      <c r="AH138" t="inlineStr">
        <is>
          <t>Off Track</t>
        </is>
      </c>
    </row>
    <row r="139">
      <c r="A139" t="inlineStr">
        <is>
          <t>SUP-0009</t>
        </is>
      </c>
      <c r="B139" t="inlineStr">
        <is>
          <t>Professional Supplier 009</t>
        </is>
      </c>
      <c r="C139" t="inlineStr">
        <is>
          <t>Professional Services</t>
        </is>
      </c>
      <c r="D139" t="n">
        <v>2024</v>
      </c>
      <c r="E139" t="n">
        <v>2015</v>
      </c>
      <c r="F139" t="n">
        <v>2040</v>
      </c>
      <c r="G139" t="n">
        <v>4325.7647</v>
      </c>
      <c r="H139" t="inlineStr"/>
      <c r="I139" t="n">
        <v>780.5117</v>
      </c>
      <c r="J139" t="inlineStr"/>
      <c r="K139" t="n">
        <v>52537789.25</v>
      </c>
      <c r="L139" t="n">
        <v>67311812.73</v>
      </c>
      <c r="M139" t="n">
        <v>4325.7647</v>
      </c>
      <c r="N139" t="inlineStr">
        <is>
          <t>Supplier Reported Emissions</t>
        </is>
      </c>
      <c r="O139" t="b">
        <v>0</v>
      </c>
      <c r="P139" t="inlineStr">
        <is>
          <t>High</t>
        </is>
      </c>
      <c r="Q139" t="inlineStr">
        <is>
          <t>Scope_Emissions</t>
        </is>
      </c>
      <c r="R139" t="inlineStr">
        <is>
          <t>Valid</t>
        </is>
      </c>
      <c r="S139" t="n">
        <v>2034</v>
      </c>
      <c r="T139" t="inlineStr">
        <is>
          <t>Historical Trend Pathway</t>
        </is>
      </c>
      <c r="U139" t="n">
        <v>2606.5026</v>
      </c>
      <c r="V139" t="n">
        <v>2476.1775</v>
      </c>
      <c r="W139" t="n">
        <v>8361.232</v>
      </c>
      <c r="X139" t="n">
        <v>2507.4555</v>
      </c>
      <c r="Y139" t="n">
        <v>-5754.7294</v>
      </c>
      <c r="Z139" t="n">
        <v>0.00015915</v>
      </c>
      <c r="AA139" t="n">
        <v>-2.207836</v>
      </c>
      <c r="AB139" t="n">
        <v>5885.0546</v>
      </c>
      <c r="AC139" t="n">
        <v>5.213</v>
      </c>
      <c r="AD139" t="n">
        <v>-23655.7144</v>
      </c>
      <c r="AE139" t="n">
        <v>63274.5544</v>
      </c>
      <c r="AF139" t="n">
        <v>0.848</v>
      </c>
      <c r="AG139" t="inlineStr">
        <is>
          <t>Critical</t>
        </is>
      </c>
      <c r="AH139" t="inlineStr">
        <is>
          <t>Off Track</t>
        </is>
      </c>
    </row>
    <row r="140">
      <c r="A140" t="inlineStr">
        <is>
          <t>SUP-0009</t>
        </is>
      </c>
      <c r="B140" t="inlineStr">
        <is>
          <t>Professional Supplier 009</t>
        </is>
      </c>
      <c r="C140" t="inlineStr">
        <is>
          <t>Professional Services</t>
        </is>
      </c>
      <c r="D140" t="n">
        <v>2024</v>
      </c>
      <c r="E140" t="n">
        <v>2015</v>
      </c>
      <c r="F140" t="n">
        <v>2040</v>
      </c>
      <c r="G140" t="n">
        <v>4325.7647</v>
      </c>
      <c r="H140" t="inlineStr"/>
      <c r="I140" t="n">
        <v>780.5117</v>
      </c>
      <c r="J140" t="inlineStr"/>
      <c r="K140" t="n">
        <v>52537789.25</v>
      </c>
      <c r="L140" t="n">
        <v>67311812.73</v>
      </c>
      <c r="M140" t="n">
        <v>4325.7647</v>
      </c>
      <c r="N140" t="inlineStr">
        <is>
          <t>Supplier Reported Emissions</t>
        </is>
      </c>
      <c r="O140" t="b">
        <v>0</v>
      </c>
      <c r="P140" t="inlineStr">
        <is>
          <t>High</t>
        </is>
      </c>
      <c r="Q140" t="inlineStr">
        <is>
          <t>Scope_Emissions</t>
        </is>
      </c>
      <c r="R140" t="inlineStr">
        <is>
          <t>Valid</t>
        </is>
      </c>
      <c r="S140" t="n">
        <v>2035</v>
      </c>
      <c r="T140" t="inlineStr">
        <is>
          <t>Historical Trend Pathway</t>
        </is>
      </c>
      <c r="U140" t="n">
        <v>2606.5026</v>
      </c>
      <c r="V140" t="n">
        <v>2476.1775</v>
      </c>
      <c r="W140" t="n">
        <v>8930.813399999999</v>
      </c>
      <c r="X140" t="n">
        <v>2502.2425</v>
      </c>
      <c r="Y140" t="n">
        <v>-6324.3108</v>
      </c>
      <c r="Z140" t="n">
        <v>0.00016999</v>
      </c>
      <c r="AA140" t="n">
        <v>-2.426359</v>
      </c>
      <c r="AB140" t="n">
        <v>6454.6359</v>
      </c>
      <c r="AC140" t="n">
        <v>5.213</v>
      </c>
      <c r="AD140" t="n">
        <v>-32586.5278</v>
      </c>
      <c r="AE140" t="n">
        <v>72205.36780000001</v>
      </c>
      <c r="AF140" t="n">
        <v>0.848</v>
      </c>
      <c r="AG140" t="inlineStr">
        <is>
          <t>Critical</t>
        </is>
      </c>
      <c r="AH140" t="inlineStr">
        <is>
          <t>Off Track</t>
        </is>
      </c>
    </row>
    <row r="141">
      <c r="A141" t="inlineStr">
        <is>
          <t>SUP-0009</t>
        </is>
      </c>
      <c r="B141" t="inlineStr">
        <is>
          <t>Professional Supplier 009</t>
        </is>
      </c>
      <c r="C141" t="inlineStr">
        <is>
          <t>Professional Services</t>
        </is>
      </c>
      <c r="D141" t="n">
        <v>2024</v>
      </c>
      <c r="E141" t="n">
        <v>2015</v>
      </c>
      <c r="F141" t="n">
        <v>2040</v>
      </c>
      <c r="G141" t="n">
        <v>4325.7647</v>
      </c>
      <c r="H141" t="inlineStr"/>
      <c r="I141" t="n">
        <v>780.5117</v>
      </c>
      <c r="J141" t="inlineStr"/>
      <c r="K141" t="n">
        <v>52537789.25</v>
      </c>
      <c r="L141" t="n">
        <v>67311812.73</v>
      </c>
      <c r="M141" t="n">
        <v>4325.7647</v>
      </c>
      <c r="N141" t="inlineStr">
        <is>
          <t>Supplier Reported Emissions</t>
        </is>
      </c>
      <c r="O141" t="b">
        <v>0</v>
      </c>
      <c r="P141" t="inlineStr">
        <is>
          <t>High</t>
        </is>
      </c>
      <c r="Q141" t="inlineStr">
        <is>
          <t>Scope_Emissions</t>
        </is>
      </c>
      <c r="R141" t="inlineStr">
        <is>
          <t>Valid</t>
        </is>
      </c>
      <c r="S141" t="n">
        <v>2036</v>
      </c>
      <c r="T141" t="inlineStr">
        <is>
          <t>Historical Trend Pathway</t>
        </is>
      </c>
      <c r="U141" t="n">
        <v>2606.5026</v>
      </c>
      <c r="V141" t="n">
        <v>2476.1775</v>
      </c>
      <c r="W141" t="n">
        <v>9539.195599999999</v>
      </c>
      <c r="X141" t="n">
        <v>2497.0295</v>
      </c>
      <c r="Y141" t="n">
        <v>-6932.693</v>
      </c>
      <c r="Z141" t="n">
        <v>0.00018157</v>
      </c>
      <c r="AA141" t="n">
        <v>-2.659768</v>
      </c>
      <c r="AB141" t="n">
        <v>7063.0181</v>
      </c>
      <c r="AC141" t="n">
        <v>5.213</v>
      </c>
      <c r="AD141" t="n">
        <v>-42125.7234</v>
      </c>
      <c r="AE141" t="n">
        <v>81744.5634</v>
      </c>
      <c r="AF141" t="n">
        <v>0.848</v>
      </c>
      <c r="AG141" t="inlineStr">
        <is>
          <t>Critical</t>
        </is>
      </c>
      <c r="AH141" t="inlineStr">
        <is>
          <t>Off Track</t>
        </is>
      </c>
    </row>
    <row r="142">
      <c r="A142" t="inlineStr">
        <is>
          <t>SUP-0009</t>
        </is>
      </c>
      <c r="B142" t="inlineStr">
        <is>
          <t>Professional Supplier 009</t>
        </is>
      </c>
      <c r="C142" t="inlineStr">
        <is>
          <t>Professional Services</t>
        </is>
      </c>
      <c r="D142" t="n">
        <v>2024</v>
      </c>
      <c r="E142" t="n">
        <v>2015</v>
      </c>
      <c r="F142" t="n">
        <v>2040</v>
      </c>
      <c r="G142" t="n">
        <v>4325.7647</v>
      </c>
      <c r="H142" t="inlineStr"/>
      <c r="I142" t="n">
        <v>780.5117</v>
      </c>
      <c r="J142" t="inlineStr"/>
      <c r="K142" t="n">
        <v>52537789.25</v>
      </c>
      <c r="L142" t="n">
        <v>67311812.73</v>
      </c>
      <c r="M142" t="n">
        <v>4325.7647</v>
      </c>
      <c r="N142" t="inlineStr">
        <is>
          <t>Supplier Reported Emissions</t>
        </is>
      </c>
      <c r="O142" t="b">
        <v>0</v>
      </c>
      <c r="P142" t="inlineStr">
        <is>
          <t>High</t>
        </is>
      </c>
      <c r="Q142" t="inlineStr">
        <is>
          <t>Scope_Emissions</t>
        </is>
      </c>
      <c r="R142" t="inlineStr">
        <is>
          <t>Valid</t>
        </is>
      </c>
      <c r="S142" t="n">
        <v>2037</v>
      </c>
      <c r="T142" t="inlineStr">
        <is>
          <t>Historical Trend Pathway</t>
        </is>
      </c>
      <c r="U142" t="n">
        <v>2606.5026</v>
      </c>
      <c r="V142" t="n">
        <v>2476.1775</v>
      </c>
      <c r="W142" t="n">
        <v>10189.0218</v>
      </c>
      <c r="X142" t="n">
        <v>2491.8165</v>
      </c>
      <c r="Y142" t="n">
        <v>-7582.5192</v>
      </c>
      <c r="Z142" t="n">
        <v>0.00019394</v>
      </c>
      <c r="AA142" t="n">
        <v>-2.909078</v>
      </c>
      <c r="AB142" t="n">
        <v>7712.8443</v>
      </c>
      <c r="AC142" t="n">
        <v>5.213</v>
      </c>
      <c r="AD142" t="n">
        <v>-52314.7452</v>
      </c>
      <c r="AE142" t="n">
        <v>91933.5852</v>
      </c>
      <c r="AF142" t="n">
        <v>0.848</v>
      </c>
      <c r="AG142" t="inlineStr">
        <is>
          <t>Critical</t>
        </is>
      </c>
      <c r="AH142" t="inlineStr">
        <is>
          <t>Off Track</t>
        </is>
      </c>
    </row>
    <row r="143">
      <c r="A143" t="inlineStr">
        <is>
          <t>SUP-0009</t>
        </is>
      </c>
      <c r="B143" t="inlineStr">
        <is>
          <t>Professional Supplier 009</t>
        </is>
      </c>
      <c r="C143" t="inlineStr">
        <is>
          <t>Professional Services</t>
        </is>
      </c>
      <c r="D143" t="n">
        <v>2024</v>
      </c>
      <c r="E143" t="n">
        <v>2015</v>
      </c>
      <c r="F143" t="n">
        <v>2040</v>
      </c>
      <c r="G143" t="n">
        <v>4325.7647</v>
      </c>
      <c r="H143" t="inlineStr"/>
      <c r="I143" t="n">
        <v>780.5117</v>
      </c>
      <c r="J143" t="inlineStr"/>
      <c r="K143" t="n">
        <v>52537789.25</v>
      </c>
      <c r="L143" t="n">
        <v>67311812.73</v>
      </c>
      <c r="M143" t="n">
        <v>4325.7647</v>
      </c>
      <c r="N143" t="inlineStr">
        <is>
          <t>Supplier Reported Emissions</t>
        </is>
      </c>
      <c r="O143" t="b">
        <v>0</v>
      </c>
      <c r="P143" t="inlineStr">
        <is>
          <t>High</t>
        </is>
      </c>
      <c r="Q143" t="inlineStr">
        <is>
          <t>Scope_Emissions</t>
        </is>
      </c>
      <c r="R143" t="inlineStr">
        <is>
          <t>Valid</t>
        </is>
      </c>
      <c r="S143" t="n">
        <v>2038</v>
      </c>
      <c r="T143" t="inlineStr">
        <is>
          <t>Historical Trend Pathway</t>
        </is>
      </c>
      <c r="U143" t="n">
        <v>2606.5026</v>
      </c>
      <c r="V143" t="n">
        <v>2476.1775</v>
      </c>
      <c r="W143" t="n">
        <v>10883.1153</v>
      </c>
      <c r="X143" t="n">
        <v>2486.6035</v>
      </c>
      <c r="Y143" t="n">
        <v>-8276.6127</v>
      </c>
      <c r="Z143" t="n">
        <v>0.00020715</v>
      </c>
      <c r="AA143" t="n">
        <v>-3.175371</v>
      </c>
      <c r="AB143" t="n">
        <v>8406.9378</v>
      </c>
      <c r="AC143" t="n">
        <v>5.213</v>
      </c>
      <c r="AD143" t="n">
        <v>-63197.8605</v>
      </c>
      <c r="AE143" t="n">
        <v>102816.7005</v>
      </c>
      <c r="AF143" t="n">
        <v>0.848</v>
      </c>
      <c r="AG143" t="inlineStr">
        <is>
          <t>Critical</t>
        </is>
      </c>
      <c r="AH143" t="inlineStr">
        <is>
          <t>Off Track</t>
        </is>
      </c>
    </row>
    <row r="144">
      <c r="A144" t="inlineStr">
        <is>
          <t>SUP-0009</t>
        </is>
      </c>
      <c r="B144" t="inlineStr">
        <is>
          <t>Professional Supplier 009</t>
        </is>
      </c>
      <c r="C144" t="inlineStr">
        <is>
          <t>Professional Services</t>
        </is>
      </c>
      <c r="D144" t="n">
        <v>2024</v>
      </c>
      <c r="E144" t="n">
        <v>2015</v>
      </c>
      <c r="F144" t="n">
        <v>2040</v>
      </c>
      <c r="G144" t="n">
        <v>4325.7647</v>
      </c>
      <c r="H144" t="inlineStr"/>
      <c r="I144" t="n">
        <v>780.5117</v>
      </c>
      <c r="J144" t="inlineStr"/>
      <c r="K144" t="n">
        <v>52537789.25</v>
      </c>
      <c r="L144" t="n">
        <v>67311812.73</v>
      </c>
      <c r="M144" t="n">
        <v>4325.7647</v>
      </c>
      <c r="N144" t="inlineStr">
        <is>
          <t>Supplier Reported Emissions</t>
        </is>
      </c>
      <c r="O144" t="b">
        <v>0</v>
      </c>
      <c r="P144" t="inlineStr">
        <is>
          <t>High</t>
        </is>
      </c>
      <c r="Q144" t="inlineStr">
        <is>
          <t>Scope_Emissions</t>
        </is>
      </c>
      <c r="R144" t="inlineStr">
        <is>
          <t>Valid</t>
        </is>
      </c>
      <c r="S144" t="n">
        <v>2039</v>
      </c>
      <c r="T144" t="inlineStr">
        <is>
          <t>Historical Trend Pathway</t>
        </is>
      </c>
      <c r="U144" t="n">
        <v>2606.5026</v>
      </c>
      <c r="V144" t="n">
        <v>2476.1775</v>
      </c>
      <c r="W144" t="n">
        <v>11624.4916</v>
      </c>
      <c r="X144" t="n">
        <v>2481.3905</v>
      </c>
      <c r="Y144" t="n">
        <v>-9017.989</v>
      </c>
      <c r="Z144" t="n">
        <v>0.00022126</v>
      </c>
      <c r="AA144" t="n">
        <v>-3.459804</v>
      </c>
      <c r="AB144" t="n">
        <v>9148.3141</v>
      </c>
      <c r="AC144" t="n">
        <v>5.213</v>
      </c>
      <c r="AD144" t="n">
        <v>-74822.3521</v>
      </c>
      <c r="AE144" t="n">
        <v>114441.1921</v>
      </c>
      <c r="AF144" t="n">
        <v>0.848</v>
      </c>
      <c r="AG144" t="inlineStr">
        <is>
          <t>Critical</t>
        </is>
      </c>
      <c r="AH144" t="inlineStr">
        <is>
          <t>Off Track</t>
        </is>
      </c>
    </row>
    <row r="145">
      <c r="A145" t="inlineStr">
        <is>
          <t>SUP-0009</t>
        </is>
      </c>
      <c r="B145" t="inlineStr">
        <is>
          <t>Professional Supplier 009</t>
        </is>
      </c>
      <c r="C145" t="inlineStr">
        <is>
          <t>Professional Services</t>
        </is>
      </c>
      <c r="D145" t="n">
        <v>2024</v>
      </c>
      <c r="E145" t="n">
        <v>2015</v>
      </c>
      <c r="F145" t="n">
        <v>2040</v>
      </c>
      <c r="G145" t="n">
        <v>4325.7647</v>
      </c>
      <c r="H145" t="inlineStr"/>
      <c r="I145" t="n">
        <v>780.5117</v>
      </c>
      <c r="J145" t="inlineStr"/>
      <c r="K145" t="n">
        <v>52537789.25</v>
      </c>
      <c r="L145" t="n">
        <v>67311812.73</v>
      </c>
      <c r="M145" t="n">
        <v>4325.7647</v>
      </c>
      <c r="N145" t="inlineStr">
        <is>
          <t>Supplier Reported Emissions</t>
        </is>
      </c>
      <c r="O145" t="b">
        <v>0</v>
      </c>
      <c r="P145" t="inlineStr">
        <is>
          <t>High</t>
        </is>
      </c>
      <c r="Q145" t="inlineStr">
        <is>
          <t>Scope_Emissions</t>
        </is>
      </c>
      <c r="R145" t="inlineStr">
        <is>
          <t>Valid</t>
        </is>
      </c>
      <c r="S145" t="n">
        <v>2040</v>
      </c>
      <c r="T145" t="inlineStr">
        <is>
          <t>Historical Trend Pathway</t>
        </is>
      </c>
      <c r="U145" t="n">
        <v>2606.5026</v>
      </c>
      <c r="V145" t="n">
        <v>2476.1775</v>
      </c>
      <c r="W145" t="n">
        <v>12416.3717</v>
      </c>
      <c r="X145" t="n">
        <v>2476.1775</v>
      </c>
      <c r="Y145" t="n">
        <v>-9809.8691</v>
      </c>
      <c r="Z145" t="n">
        <v>0.00023633</v>
      </c>
      <c r="AA145" t="n">
        <v>-3.763614</v>
      </c>
      <c r="AB145" t="n">
        <v>9940.1942</v>
      </c>
      <c r="AC145" t="n">
        <v>5.213</v>
      </c>
      <c r="AD145" t="n">
        <v>-87238.72380000001</v>
      </c>
      <c r="AE145" t="n">
        <v>126857.5638</v>
      </c>
      <c r="AF145" t="n">
        <v>0.848</v>
      </c>
      <c r="AG145" t="inlineStr">
        <is>
          <t>Critical</t>
        </is>
      </c>
      <c r="AH145" t="inlineStr">
        <is>
          <t>Off Track</t>
        </is>
      </c>
    </row>
    <row r="146">
      <c r="A146" t="inlineStr">
        <is>
          <t>SUP-0010</t>
        </is>
      </c>
      <c r="B146" t="inlineStr">
        <is>
          <t>Packaging Supplier 010</t>
        </is>
      </c>
      <c r="C146" t="inlineStr">
        <is>
          <t>Packaging</t>
        </is>
      </c>
      <c r="D146" t="n">
        <v>2024</v>
      </c>
      <c r="E146" t="n">
        <v>2018</v>
      </c>
      <c r="F146" t="n">
        <v>2035</v>
      </c>
      <c r="G146" t="n">
        <v>929.0374</v>
      </c>
      <c r="H146" t="n">
        <v>202.7525</v>
      </c>
      <c r="I146" t="n">
        <v>178.1147</v>
      </c>
      <c r="J146" t="inlineStr"/>
      <c r="K146" t="n">
        <v>1024486.81</v>
      </c>
      <c r="L146" t="n">
        <v>2139138.22</v>
      </c>
      <c r="M146" t="n">
        <v>929.0374</v>
      </c>
      <c r="N146" t="inlineStr">
        <is>
          <t>Supplier Reported Emissions</t>
        </is>
      </c>
      <c r="O146" t="b">
        <v>0</v>
      </c>
      <c r="P146" t="inlineStr">
        <is>
          <t>High</t>
        </is>
      </c>
      <c r="Q146" t="inlineStr">
        <is>
          <t>Scope_Emissions</t>
        </is>
      </c>
      <c r="R146" t="inlineStr">
        <is>
          <t>Valid</t>
        </is>
      </c>
      <c r="S146" t="n">
        <v>2025</v>
      </c>
      <c r="T146" t="inlineStr">
        <is>
          <t>Supplier Target Pathway</t>
        </is>
      </c>
      <c r="U146" t="n">
        <v>1197.5142</v>
      </c>
      <c r="V146" t="n">
        <v>722.9393</v>
      </c>
      <c r="W146" t="n">
        <v>1002.101</v>
      </c>
      <c r="X146" t="n">
        <v>1002.101</v>
      </c>
      <c r="Y146" t="n">
        <v>195.4132</v>
      </c>
      <c r="Z146" t="n">
        <v>0.0009781499999999999</v>
      </c>
      <c r="AA146" t="n">
        <v>0.163182</v>
      </c>
      <c r="AB146" t="n">
        <v>279.1617</v>
      </c>
      <c r="AC146" t="n">
        <v>27.9162</v>
      </c>
      <c r="AD146" t="n">
        <v>6950.2313</v>
      </c>
      <c r="AE146" t="n">
        <v>1002.101</v>
      </c>
      <c r="AF146" t="n">
        <v>0.99</v>
      </c>
      <c r="AG146" t="inlineStr">
        <is>
          <t>Critical</t>
        </is>
      </c>
      <c r="AH146" t="inlineStr">
        <is>
          <t>On Track to Glide Path</t>
        </is>
      </c>
    </row>
    <row r="147">
      <c r="A147" t="inlineStr">
        <is>
          <t>SUP-0010</t>
        </is>
      </c>
      <c r="B147" t="inlineStr">
        <is>
          <t>Packaging Supplier 010</t>
        </is>
      </c>
      <c r="C147" t="inlineStr">
        <is>
          <t>Packaging</t>
        </is>
      </c>
      <c r="D147" t="n">
        <v>2024</v>
      </c>
      <c r="E147" t="n">
        <v>2018</v>
      </c>
      <c r="F147" t="n">
        <v>2035</v>
      </c>
      <c r="G147" t="n">
        <v>929.0374</v>
      </c>
      <c r="H147" t="n">
        <v>202.7525</v>
      </c>
      <c r="I147" t="n">
        <v>178.1147</v>
      </c>
      <c r="J147" t="inlineStr"/>
      <c r="K147" t="n">
        <v>1024486.81</v>
      </c>
      <c r="L147" t="n">
        <v>2139138.22</v>
      </c>
      <c r="M147" t="n">
        <v>929.0374</v>
      </c>
      <c r="N147" t="inlineStr">
        <is>
          <t>Supplier Reported Emissions</t>
        </is>
      </c>
      <c r="O147" t="b">
        <v>0</v>
      </c>
      <c r="P147" t="inlineStr">
        <is>
          <t>High</t>
        </is>
      </c>
      <c r="Q147" t="inlineStr">
        <is>
          <t>Scope_Emissions</t>
        </is>
      </c>
      <c r="R147" t="inlineStr">
        <is>
          <t>Valid</t>
        </is>
      </c>
      <c r="S147" t="n">
        <v>2026</v>
      </c>
      <c r="T147" t="inlineStr">
        <is>
          <t>Supplier Target Pathway</t>
        </is>
      </c>
      <c r="U147" t="n">
        <v>1197.5142</v>
      </c>
      <c r="V147" t="n">
        <v>722.9393</v>
      </c>
      <c r="W147" t="n">
        <v>974.1848</v>
      </c>
      <c r="X147" t="n">
        <v>974.1848</v>
      </c>
      <c r="Y147" t="n">
        <v>223.3294</v>
      </c>
      <c r="Z147" t="n">
        <v>0.0009509</v>
      </c>
      <c r="AA147" t="n">
        <v>0.186494</v>
      </c>
      <c r="AB147" t="n">
        <v>251.2455</v>
      </c>
      <c r="AC147" t="n">
        <v>27.9162</v>
      </c>
      <c r="AD147" t="n">
        <v>5976.0465</v>
      </c>
      <c r="AE147" t="n">
        <v>1976.2858</v>
      </c>
      <c r="AF147" t="n">
        <v>0.99</v>
      </c>
      <c r="AG147" t="inlineStr">
        <is>
          <t>High</t>
        </is>
      </c>
      <c r="AH147" t="inlineStr">
        <is>
          <t>On Track to Glide Path</t>
        </is>
      </c>
    </row>
    <row r="148">
      <c r="A148" t="inlineStr">
        <is>
          <t>SUP-0010</t>
        </is>
      </c>
      <c r="B148" t="inlineStr">
        <is>
          <t>Packaging Supplier 010</t>
        </is>
      </c>
      <c r="C148" t="inlineStr">
        <is>
          <t>Packaging</t>
        </is>
      </c>
      <c r="D148" t="n">
        <v>2024</v>
      </c>
      <c r="E148" t="n">
        <v>2018</v>
      </c>
      <c r="F148" t="n">
        <v>2035</v>
      </c>
      <c r="G148" t="n">
        <v>929.0374</v>
      </c>
      <c r="H148" t="n">
        <v>202.7525</v>
      </c>
      <c r="I148" t="n">
        <v>178.1147</v>
      </c>
      <c r="J148" t="inlineStr"/>
      <c r="K148" t="n">
        <v>1024486.81</v>
      </c>
      <c r="L148" t="n">
        <v>2139138.22</v>
      </c>
      <c r="M148" t="n">
        <v>929.0374</v>
      </c>
      <c r="N148" t="inlineStr">
        <is>
          <t>Supplier Reported Emissions</t>
        </is>
      </c>
      <c r="O148" t="b">
        <v>0</v>
      </c>
      <c r="P148" t="inlineStr">
        <is>
          <t>High</t>
        </is>
      </c>
      <c r="Q148" t="inlineStr">
        <is>
          <t>Scope_Emissions</t>
        </is>
      </c>
      <c r="R148" t="inlineStr">
        <is>
          <t>Valid</t>
        </is>
      </c>
      <c r="S148" t="n">
        <v>2027</v>
      </c>
      <c r="T148" t="inlineStr">
        <is>
          <t>Supplier Target Pathway</t>
        </is>
      </c>
      <c r="U148" t="n">
        <v>1197.5142</v>
      </c>
      <c r="V148" t="n">
        <v>722.9393</v>
      </c>
      <c r="W148" t="n">
        <v>946.2687</v>
      </c>
      <c r="X148" t="n">
        <v>946.2687</v>
      </c>
      <c r="Y148" t="n">
        <v>251.2455</v>
      </c>
      <c r="Z148" t="n">
        <v>0.00092365</v>
      </c>
      <c r="AA148" t="n">
        <v>0.209806</v>
      </c>
      <c r="AB148" t="n">
        <v>223.3294</v>
      </c>
      <c r="AC148" t="n">
        <v>27.9162</v>
      </c>
      <c r="AD148" t="n">
        <v>5029.7778</v>
      </c>
      <c r="AE148" t="n">
        <v>2922.5545</v>
      </c>
      <c r="AF148" t="n">
        <v>0.99</v>
      </c>
      <c r="AG148" t="inlineStr">
        <is>
          <t>High</t>
        </is>
      </c>
      <c r="AH148" t="inlineStr">
        <is>
          <t>On Track to Glide Path</t>
        </is>
      </c>
    </row>
    <row r="149">
      <c r="A149" t="inlineStr">
        <is>
          <t>SUP-0010</t>
        </is>
      </c>
      <c r="B149" t="inlineStr">
        <is>
          <t>Packaging Supplier 010</t>
        </is>
      </c>
      <c r="C149" t="inlineStr">
        <is>
          <t>Packaging</t>
        </is>
      </c>
      <c r="D149" t="n">
        <v>2024</v>
      </c>
      <c r="E149" t="n">
        <v>2018</v>
      </c>
      <c r="F149" t="n">
        <v>2035</v>
      </c>
      <c r="G149" t="n">
        <v>929.0374</v>
      </c>
      <c r="H149" t="n">
        <v>202.7525</v>
      </c>
      <c r="I149" t="n">
        <v>178.1147</v>
      </c>
      <c r="J149" t="inlineStr"/>
      <c r="K149" t="n">
        <v>1024486.81</v>
      </c>
      <c r="L149" t="n">
        <v>2139138.22</v>
      </c>
      <c r="M149" t="n">
        <v>929.0374</v>
      </c>
      <c r="N149" t="inlineStr">
        <is>
          <t>Supplier Reported Emissions</t>
        </is>
      </c>
      <c r="O149" t="b">
        <v>0</v>
      </c>
      <c r="P149" t="inlineStr">
        <is>
          <t>High</t>
        </is>
      </c>
      <c r="Q149" t="inlineStr">
        <is>
          <t>Scope_Emissions</t>
        </is>
      </c>
      <c r="R149" t="inlineStr">
        <is>
          <t>Valid</t>
        </is>
      </c>
      <c r="S149" t="n">
        <v>2028</v>
      </c>
      <c r="T149" t="inlineStr">
        <is>
          <t>Supplier Target Pathway</t>
        </is>
      </c>
      <c r="U149" t="n">
        <v>1197.5142</v>
      </c>
      <c r="V149" t="n">
        <v>722.9393</v>
      </c>
      <c r="W149" t="n">
        <v>918.3525</v>
      </c>
      <c r="X149" t="n">
        <v>918.3525</v>
      </c>
      <c r="Y149" t="n">
        <v>279.1617</v>
      </c>
      <c r="Z149" t="n">
        <v>0.0008964</v>
      </c>
      <c r="AA149" t="n">
        <v>0.233118</v>
      </c>
      <c r="AB149" t="n">
        <v>195.4132</v>
      </c>
      <c r="AC149" t="n">
        <v>27.9162</v>
      </c>
      <c r="AD149" t="n">
        <v>4111.4253</v>
      </c>
      <c r="AE149" t="n">
        <v>3840.907</v>
      </c>
      <c r="AF149" t="n">
        <v>0.99</v>
      </c>
      <c r="AG149" t="inlineStr">
        <is>
          <t>High</t>
        </is>
      </c>
      <c r="AH149" t="inlineStr">
        <is>
          <t>On Track to Glide Path</t>
        </is>
      </c>
    </row>
    <row r="150">
      <c r="A150" t="inlineStr">
        <is>
          <t>SUP-0010</t>
        </is>
      </c>
      <c r="B150" t="inlineStr">
        <is>
          <t>Packaging Supplier 010</t>
        </is>
      </c>
      <c r="C150" t="inlineStr">
        <is>
          <t>Packaging</t>
        </is>
      </c>
      <c r="D150" t="n">
        <v>2024</v>
      </c>
      <c r="E150" t="n">
        <v>2018</v>
      </c>
      <c r="F150" t="n">
        <v>2035</v>
      </c>
      <c r="G150" t="n">
        <v>929.0374</v>
      </c>
      <c r="H150" t="n">
        <v>202.7525</v>
      </c>
      <c r="I150" t="n">
        <v>178.1147</v>
      </c>
      <c r="J150" t="inlineStr"/>
      <c r="K150" t="n">
        <v>1024486.81</v>
      </c>
      <c r="L150" t="n">
        <v>2139138.22</v>
      </c>
      <c r="M150" t="n">
        <v>929.0374</v>
      </c>
      <c r="N150" t="inlineStr">
        <is>
          <t>Supplier Reported Emissions</t>
        </is>
      </c>
      <c r="O150" t="b">
        <v>0</v>
      </c>
      <c r="P150" t="inlineStr">
        <is>
          <t>High</t>
        </is>
      </c>
      <c r="Q150" t="inlineStr">
        <is>
          <t>Scope_Emissions</t>
        </is>
      </c>
      <c r="R150" t="inlineStr">
        <is>
          <t>Valid</t>
        </is>
      </c>
      <c r="S150" t="n">
        <v>2029</v>
      </c>
      <c r="T150" t="inlineStr">
        <is>
          <t>Supplier Target Pathway</t>
        </is>
      </c>
      <c r="U150" t="n">
        <v>1197.5142</v>
      </c>
      <c r="V150" t="n">
        <v>722.9393</v>
      </c>
      <c r="W150" t="n">
        <v>890.4363</v>
      </c>
      <c r="X150" t="n">
        <v>890.4363</v>
      </c>
      <c r="Y150" t="n">
        <v>307.0779</v>
      </c>
      <c r="Z150" t="n">
        <v>0.00086915</v>
      </c>
      <c r="AA150" t="n">
        <v>0.256429</v>
      </c>
      <c r="AB150" t="n">
        <v>167.497</v>
      </c>
      <c r="AC150" t="n">
        <v>27.9162</v>
      </c>
      <c r="AD150" t="n">
        <v>3220.989</v>
      </c>
      <c r="AE150" t="n">
        <v>4731.3433</v>
      </c>
      <c r="AF150" t="n">
        <v>0.99</v>
      </c>
      <c r="AG150" t="inlineStr">
        <is>
          <t>High</t>
        </is>
      </c>
      <c r="AH150" t="inlineStr">
        <is>
          <t>On Track to Glide Path</t>
        </is>
      </c>
    </row>
    <row r="151">
      <c r="A151" t="inlineStr">
        <is>
          <t>SUP-0010</t>
        </is>
      </c>
      <c r="B151" t="inlineStr">
        <is>
          <t>Packaging Supplier 010</t>
        </is>
      </c>
      <c r="C151" t="inlineStr">
        <is>
          <t>Packaging</t>
        </is>
      </c>
      <c r="D151" t="n">
        <v>2024</v>
      </c>
      <c r="E151" t="n">
        <v>2018</v>
      </c>
      <c r="F151" t="n">
        <v>2035</v>
      </c>
      <c r="G151" t="n">
        <v>929.0374</v>
      </c>
      <c r="H151" t="n">
        <v>202.7525</v>
      </c>
      <c r="I151" t="n">
        <v>178.1147</v>
      </c>
      <c r="J151" t="inlineStr"/>
      <c r="K151" t="n">
        <v>1024486.81</v>
      </c>
      <c r="L151" t="n">
        <v>2139138.22</v>
      </c>
      <c r="M151" t="n">
        <v>929.0374</v>
      </c>
      <c r="N151" t="inlineStr">
        <is>
          <t>Supplier Reported Emissions</t>
        </is>
      </c>
      <c r="O151" t="b">
        <v>0</v>
      </c>
      <c r="P151" t="inlineStr">
        <is>
          <t>High</t>
        </is>
      </c>
      <c r="Q151" t="inlineStr">
        <is>
          <t>Scope_Emissions</t>
        </is>
      </c>
      <c r="R151" t="inlineStr">
        <is>
          <t>Valid</t>
        </is>
      </c>
      <c r="S151" t="n">
        <v>2030</v>
      </c>
      <c r="T151" t="inlineStr">
        <is>
          <t>Supplier Target Pathway</t>
        </is>
      </c>
      <c r="U151" t="n">
        <v>1197.5142</v>
      </c>
      <c r="V151" t="n">
        <v>722.9393</v>
      </c>
      <c r="W151" t="n">
        <v>862.5202</v>
      </c>
      <c r="X151" t="n">
        <v>862.5202</v>
      </c>
      <c r="Y151" t="n">
        <v>334.994</v>
      </c>
      <c r="Z151" t="n">
        <v>0.0008419</v>
      </c>
      <c r="AA151" t="n">
        <v>0.279741</v>
      </c>
      <c r="AB151" t="n">
        <v>139.5808</v>
      </c>
      <c r="AC151" t="n">
        <v>27.9162</v>
      </c>
      <c r="AD151" t="n">
        <v>2358.4688</v>
      </c>
      <c r="AE151" t="n">
        <v>5593.8635</v>
      </c>
      <c r="AF151" t="n">
        <v>0.99</v>
      </c>
      <c r="AG151" t="inlineStr">
        <is>
          <t>High</t>
        </is>
      </c>
      <c r="AH151" t="inlineStr">
        <is>
          <t>On Track to Glide Path</t>
        </is>
      </c>
    </row>
    <row r="152">
      <c r="A152" t="inlineStr">
        <is>
          <t>SUP-0010</t>
        </is>
      </c>
      <c r="B152" t="inlineStr">
        <is>
          <t>Packaging Supplier 010</t>
        </is>
      </c>
      <c r="C152" t="inlineStr">
        <is>
          <t>Packaging</t>
        </is>
      </c>
      <c r="D152" t="n">
        <v>2024</v>
      </c>
      <c r="E152" t="n">
        <v>2018</v>
      </c>
      <c r="F152" t="n">
        <v>2035</v>
      </c>
      <c r="G152" t="n">
        <v>929.0374</v>
      </c>
      <c r="H152" t="n">
        <v>202.7525</v>
      </c>
      <c r="I152" t="n">
        <v>178.1147</v>
      </c>
      <c r="J152" t="inlineStr"/>
      <c r="K152" t="n">
        <v>1024486.81</v>
      </c>
      <c r="L152" t="n">
        <v>2139138.22</v>
      </c>
      <c r="M152" t="n">
        <v>929.0374</v>
      </c>
      <c r="N152" t="inlineStr">
        <is>
          <t>Supplier Reported Emissions</t>
        </is>
      </c>
      <c r="O152" t="b">
        <v>0</v>
      </c>
      <c r="P152" t="inlineStr">
        <is>
          <t>High</t>
        </is>
      </c>
      <c r="Q152" t="inlineStr">
        <is>
          <t>Scope_Emissions</t>
        </is>
      </c>
      <c r="R152" t="inlineStr">
        <is>
          <t>Valid</t>
        </is>
      </c>
      <c r="S152" t="n">
        <v>2031</v>
      </c>
      <c r="T152" t="inlineStr">
        <is>
          <t>Supplier Target Pathway</t>
        </is>
      </c>
      <c r="U152" t="n">
        <v>1197.5142</v>
      </c>
      <c r="V152" t="n">
        <v>722.9393</v>
      </c>
      <c r="W152" t="n">
        <v>834.604</v>
      </c>
      <c r="X152" t="n">
        <v>834.604</v>
      </c>
      <c r="Y152" t="n">
        <v>362.9102</v>
      </c>
      <c r="Z152" t="n">
        <v>0.00081466</v>
      </c>
      <c r="AA152" t="n">
        <v>0.303053</v>
      </c>
      <c r="AB152" t="n">
        <v>111.6647</v>
      </c>
      <c r="AC152" t="n">
        <v>27.9162</v>
      </c>
      <c r="AD152" t="n">
        <v>1523.8648</v>
      </c>
      <c r="AE152" t="n">
        <v>6428.4675</v>
      </c>
      <c r="AF152" t="n">
        <v>0.99</v>
      </c>
      <c r="AG152" t="inlineStr">
        <is>
          <t>High</t>
        </is>
      </c>
      <c r="AH152" t="inlineStr">
        <is>
          <t>On Track to Glide Path</t>
        </is>
      </c>
    </row>
    <row r="153">
      <c r="A153" t="inlineStr">
        <is>
          <t>SUP-0010</t>
        </is>
      </c>
      <c r="B153" t="inlineStr">
        <is>
          <t>Packaging Supplier 010</t>
        </is>
      </c>
      <c r="C153" t="inlineStr">
        <is>
          <t>Packaging</t>
        </is>
      </c>
      <c r="D153" t="n">
        <v>2024</v>
      </c>
      <c r="E153" t="n">
        <v>2018</v>
      </c>
      <c r="F153" t="n">
        <v>2035</v>
      </c>
      <c r="G153" t="n">
        <v>929.0374</v>
      </c>
      <c r="H153" t="n">
        <v>202.7525</v>
      </c>
      <c r="I153" t="n">
        <v>178.1147</v>
      </c>
      <c r="J153" t="inlineStr"/>
      <c r="K153" t="n">
        <v>1024486.81</v>
      </c>
      <c r="L153" t="n">
        <v>2139138.22</v>
      </c>
      <c r="M153" t="n">
        <v>929.0374</v>
      </c>
      <c r="N153" t="inlineStr">
        <is>
          <t>Supplier Reported Emissions</t>
        </is>
      </c>
      <c r="O153" t="b">
        <v>0</v>
      </c>
      <c r="P153" t="inlineStr">
        <is>
          <t>High</t>
        </is>
      </c>
      <c r="Q153" t="inlineStr">
        <is>
          <t>Scope_Emissions</t>
        </is>
      </c>
      <c r="R153" t="inlineStr">
        <is>
          <t>Valid</t>
        </is>
      </c>
      <c r="S153" t="n">
        <v>2032</v>
      </c>
      <c r="T153" t="inlineStr">
        <is>
          <t>Supplier Target Pathway</t>
        </is>
      </c>
      <c r="U153" t="n">
        <v>1197.5142</v>
      </c>
      <c r="V153" t="n">
        <v>722.9393</v>
      </c>
      <c r="W153" t="n">
        <v>806.6878</v>
      </c>
      <c r="X153" t="n">
        <v>806.6878</v>
      </c>
      <c r="Y153" t="n">
        <v>390.8264</v>
      </c>
      <c r="Z153" t="n">
        <v>0.00078741</v>
      </c>
      <c r="AA153" t="n">
        <v>0.326365</v>
      </c>
      <c r="AB153" t="n">
        <v>83.74850000000001</v>
      </c>
      <c r="AC153" t="n">
        <v>27.9162</v>
      </c>
      <c r="AD153" t="n">
        <v>717.177</v>
      </c>
      <c r="AE153" t="n">
        <v>7235.1553</v>
      </c>
      <c r="AF153" t="n">
        <v>0.99</v>
      </c>
      <c r="AG153" t="inlineStr">
        <is>
          <t>Medium</t>
        </is>
      </c>
      <c r="AH153" t="inlineStr">
        <is>
          <t>On Track to Glide Path</t>
        </is>
      </c>
    </row>
    <row r="154">
      <c r="A154" t="inlineStr">
        <is>
          <t>SUP-0010</t>
        </is>
      </c>
      <c r="B154" t="inlineStr">
        <is>
          <t>Packaging Supplier 010</t>
        </is>
      </c>
      <c r="C154" t="inlineStr">
        <is>
          <t>Packaging</t>
        </is>
      </c>
      <c r="D154" t="n">
        <v>2024</v>
      </c>
      <c r="E154" t="n">
        <v>2018</v>
      </c>
      <c r="F154" t="n">
        <v>2035</v>
      </c>
      <c r="G154" t="n">
        <v>929.0374</v>
      </c>
      <c r="H154" t="n">
        <v>202.7525</v>
      </c>
      <c r="I154" t="n">
        <v>178.1147</v>
      </c>
      <c r="J154" t="inlineStr"/>
      <c r="K154" t="n">
        <v>1024486.81</v>
      </c>
      <c r="L154" t="n">
        <v>2139138.22</v>
      </c>
      <c r="M154" t="n">
        <v>929.0374</v>
      </c>
      <c r="N154" t="inlineStr">
        <is>
          <t>Supplier Reported Emissions</t>
        </is>
      </c>
      <c r="O154" t="b">
        <v>0</v>
      </c>
      <c r="P154" t="inlineStr">
        <is>
          <t>High</t>
        </is>
      </c>
      <c r="Q154" t="inlineStr">
        <is>
          <t>Scope_Emissions</t>
        </is>
      </c>
      <c r="R154" t="inlineStr">
        <is>
          <t>Valid</t>
        </is>
      </c>
      <c r="S154" t="n">
        <v>2033</v>
      </c>
      <c r="T154" t="inlineStr">
        <is>
          <t>Supplier Target Pathway</t>
        </is>
      </c>
      <c r="U154" t="n">
        <v>1197.5142</v>
      </c>
      <c r="V154" t="n">
        <v>722.9393</v>
      </c>
      <c r="W154" t="n">
        <v>778.7717</v>
      </c>
      <c r="X154" t="n">
        <v>778.7717</v>
      </c>
      <c r="Y154" t="n">
        <v>418.7425</v>
      </c>
      <c r="Z154" t="n">
        <v>0.00076016</v>
      </c>
      <c r="AA154" t="n">
        <v>0.349676</v>
      </c>
      <c r="AB154" t="n">
        <v>55.8323</v>
      </c>
      <c r="AC154" t="n">
        <v>27.9162</v>
      </c>
      <c r="AD154" t="n">
        <v>-61.5947</v>
      </c>
      <c r="AE154" t="n">
        <v>8013.927</v>
      </c>
      <c r="AF154" t="n">
        <v>0.99</v>
      </c>
      <c r="AG154" t="inlineStr">
        <is>
          <t>Medium</t>
        </is>
      </c>
      <c r="AH154" t="inlineStr">
        <is>
          <t>On Track to Glide Path</t>
        </is>
      </c>
    </row>
    <row r="155">
      <c r="A155" t="inlineStr">
        <is>
          <t>SUP-0010</t>
        </is>
      </c>
      <c r="B155" t="inlineStr">
        <is>
          <t>Packaging Supplier 010</t>
        </is>
      </c>
      <c r="C155" t="inlineStr">
        <is>
          <t>Packaging</t>
        </is>
      </c>
      <c r="D155" t="n">
        <v>2024</v>
      </c>
      <c r="E155" t="n">
        <v>2018</v>
      </c>
      <c r="F155" t="n">
        <v>2035</v>
      </c>
      <c r="G155" t="n">
        <v>929.0374</v>
      </c>
      <c r="H155" t="n">
        <v>202.7525</v>
      </c>
      <c r="I155" t="n">
        <v>178.1147</v>
      </c>
      <c r="J155" t="inlineStr"/>
      <c r="K155" t="n">
        <v>1024486.81</v>
      </c>
      <c r="L155" t="n">
        <v>2139138.22</v>
      </c>
      <c r="M155" t="n">
        <v>929.0374</v>
      </c>
      <c r="N155" t="inlineStr">
        <is>
          <t>Supplier Reported Emissions</t>
        </is>
      </c>
      <c r="O155" t="b">
        <v>0</v>
      </c>
      <c r="P155" t="inlineStr">
        <is>
          <t>High</t>
        </is>
      </c>
      <c r="Q155" t="inlineStr">
        <is>
          <t>Scope_Emissions</t>
        </is>
      </c>
      <c r="R155" t="inlineStr">
        <is>
          <t>Valid</t>
        </is>
      </c>
      <c r="S155" t="n">
        <v>2034</v>
      </c>
      <c r="T155" t="inlineStr">
        <is>
          <t>Supplier Target Pathway</t>
        </is>
      </c>
      <c r="U155" t="n">
        <v>1197.5142</v>
      </c>
      <c r="V155" t="n">
        <v>722.9393</v>
      </c>
      <c r="W155" t="n">
        <v>750.8555</v>
      </c>
      <c r="X155" t="n">
        <v>750.8555</v>
      </c>
      <c r="Y155" t="n">
        <v>446.6587</v>
      </c>
      <c r="Z155" t="n">
        <v>0.00073291</v>
      </c>
      <c r="AA155" t="n">
        <v>0.372988</v>
      </c>
      <c r="AB155" t="n">
        <v>27.9162</v>
      </c>
      <c r="AC155" t="n">
        <v>27.9162</v>
      </c>
      <c r="AD155" t="n">
        <v>-812.4502</v>
      </c>
      <c r="AE155" t="n">
        <v>8764.782499999999</v>
      </c>
      <c r="AF155" t="n">
        <v>0.99</v>
      </c>
      <c r="AG155" t="inlineStr">
        <is>
          <t>Medium</t>
        </is>
      </c>
      <c r="AH155" t="inlineStr">
        <is>
          <t>On Track to Glide Path</t>
        </is>
      </c>
    </row>
    <row r="156">
      <c r="A156" t="inlineStr">
        <is>
          <t>SUP-0010</t>
        </is>
      </c>
      <c r="B156" t="inlineStr">
        <is>
          <t>Packaging Supplier 010</t>
        </is>
      </c>
      <c r="C156" t="inlineStr">
        <is>
          <t>Packaging</t>
        </is>
      </c>
      <c r="D156" t="n">
        <v>2024</v>
      </c>
      <c r="E156" t="n">
        <v>2018</v>
      </c>
      <c r="F156" t="n">
        <v>2035</v>
      </c>
      <c r="G156" t="n">
        <v>929.0374</v>
      </c>
      <c r="H156" t="n">
        <v>202.7525</v>
      </c>
      <c r="I156" t="n">
        <v>178.1147</v>
      </c>
      <c r="J156" t="inlineStr"/>
      <c r="K156" t="n">
        <v>1024486.81</v>
      </c>
      <c r="L156" t="n">
        <v>2139138.22</v>
      </c>
      <c r="M156" t="n">
        <v>929.0374</v>
      </c>
      <c r="N156" t="inlineStr">
        <is>
          <t>Supplier Reported Emissions</t>
        </is>
      </c>
      <c r="O156" t="b">
        <v>0</v>
      </c>
      <c r="P156" t="inlineStr">
        <is>
          <t>High</t>
        </is>
      </c>
      <c r="Q156" t="inlineStr">
        <is>
          <t>Scope_Emissions</t>
        </is>
      </c>
      <c r="R156" t="inlineStr">
        <is>
          <t>Valid</t>
        </is>
      </c>
      <c r="S156" t="n">
        <v>2035</v>
      </c>
      <c r="T156" t="inlineStr">
        <is>
          <t>Supplier Target Pathway</t>
        </is>
      </c>
      <c r="U156" t="n">
        <v>1197.5142</v>
      </c>
      <c r="V156" t="n">
        <v>722.9393</v>
      </c>
      <c r="W156" t="n">
        <v>722.9393</v>
      </c>
      <c r="X156" t="n">
        <v>722.9393</v>
      </c>
      <c r="Y156" t="n">
        <v>474.5749</v>
      </c>
      <c r="Z156" t="n">
        <v>0.00070566</v>
      </c>
      <c r="AA156" t="n">
        <v>0.3963</v>
      </c>
      <c r="AB156" t="n">
        <v>0</v>
      </c>
      <c r="AC156" t="n">
        <v>27.9162</v>
      </c>
      <c r="AD156" t="n">
        <v>-1535.3895</v>
      </c>
      <c r="AE156" t="n">
        <v>9487.721799999999</v>
      </c>
      <c r="AF156" t="n">
        <v>0.99</v>
      </c>
      <c r="AG156" t="inlineStr">
        <is>
          <t>Low</t>
        </is>
      </c>
      <c r="AH156" t="inlineStr">
        <is>
          <t>On Track</t>
        </is>
      </c>
    </row>
    <row r="157">
      <c r="A157" t="inlineStr">
        <is>
          <t>SUP-0010</t>
        </is>
      </c>
      <c r="B157" t="inlineStr">
        <is>
          <t>Packaging Supplier 010</t>
        </is>
      </c>
      <c r="C157" t="inlineStr">
        <is>
          <t>Packaging</t>
        </is>
      </c>
      <c r="D157" t="n">
        <v>2024</v>
      </c>
      <c r="E157" t="n">
        <v>2018</v>
      </c>
      <c r="F157" t="n">
        <v>2035</v>
      </c>
      <c r="G157" t="n">
        <v>929.0374</v>
      </c>
      <c r="H157" t="n">
        <v>202.7525</v>
      </c>
      <c r="I157" t="n">
        <v>178.1147</v>
      </c>
      <c r="J157" t="inlineStr"/>
      <c r="K157" t="n">
        <v>1024486.81</v>
      </c>
      <c r="L157" t="n">
        <v>2139138.22</v>
      </c>
      <c r="M157" t="n">
        <v>929.0374</v>
      </c>
      <c r="N157" t="inlineStr">
        <is>
          <t>Supplier Reported Emissions</t>
        </is>
      </c>
      <c r="O157" t="b">
        <v>0</v>
      </c>
      <c r="P157" t="inlineStr">
        <is>
          <t>High</t>
        </is>
      </c>
      <c r="Q157" t="inlineStr">
        <is>
          <t>Scope_Emissions</t>
        </is>
      </c>
      <c r="R157" t="inlineStr">
        <is>
          <t>Valid</t>
        </is>
      </c>
      <c r="S157" t="n">
        <v>2036</v>
      </c>
      <c r="T157" t="inlineStr">
        <is>
          <t>Supplier Target Pathway</t>
        </is>
      </c>
      <c r="U157" t="n">
        <v>1197.5142</v>
      </c>
      <c r="V157" t="n">
        <v>722.9393</v>
      </c>
      <c r="W157" t="n">
        <v>722.9393</v>
      </c>
      <c r="X157" t="n">
        <v>722.9393</v>
      </c>
      <c r="Y157" t="n">
        <v>474.5749</v>
      </c>
      <c r="Z157" t="n">
        <v>0.00070566</v>
      </c>
      <c r="AA157" t="n">
        <v>0.3963</v>
      </c>
      <c r="AB157" t="n">
        <v>0</v>
      </c>
      <c r="AC157" t="n">
        <v>27.9162</v>
      </c>
      <c r="AD157" t="n">
        <v>-2258.3288</v>
      </c>
      <c r="AE157" t="n">
        <v>10210.6611</v>
      </c>
      <c r="AF157" t="n">
        <v>0.99</v>
      </c>
      <c r="AG157" t="inlineStr">
        <is>
          <t>Low</t>
        </is>
      </c>
      <c r="AH157" t="inlineStr">
        <is>
          <t>On Track</t>
        </is>
      </c>
    </row>
    <row r="158">
      <c r="A158" t="inlineStr">
        <is>
          <t>SUP-0010</t>
        </is>
      </c>
      <c r="B158" t="inlineStr">
        <is>
          <t>Packaging Supplier 010</t>
        </is>
      </c>
      <c r="C158" t="inlineStr">
        <is>
          <t>Packaging</t>
        </is>
      </c>
      <c r="D158" t="n">
        <v>2024</v>
      </c>
      <c r="E158" t="n">
        <v>2018</v>
      </c>
      <c r="F158" t="n">
        <v>2035</v>
      </c>
      <c r="G158" t="n">
        <v>929.0374</v>
      </c>
      <c r="H158" t="n">
        <v>202.7525</v>
      </c>
      <c r="I158" t="n">
        <v>178.1147</v>
      </c>
      <c r="J158" t="inlineStr"/>
      <c r="K158" t="n">
        <v>1024486.81</v>
      </c>
      <c r="L158" t="n">
        <v>2139138.22</v>
      </c>
      <c r="M158" t="n">
        <v>929.0374</v>
      </c>
      <c r="N158" t="inlineStr">
        <is>
          <t>Supplier Reported Emissions</t>
        </is>
      </c>
      <c r="O158" t="b">
        <v>0</v>
      </c>
      <c r="P158" t="inlineStr">
        <is>
          <t>High</t>
        </is>
      </c>
      <c r="Q158" t="inlineStr">
        <is>
          <t>Scope_Emissions</t>
        </is>
      </c>
      <c r="R158" t="inlineStr">
        <is>
          <t>Valid</t>
        </is>
      </c>
      <c r="S158" t="n">
        <v>2037</v>
      </c>
      <c r="T158" t="inlineStr">
        <is>
          <t>Supplier Target Pathway</t>
        </is>
      </c>
      <c r="U158" t="n">
        <v>1197.5142</v>
      </c>
      <c r="V158" t="n">
        <v>722.9393</v>
      </c>
      <c r="W158" t="n">
        <v>722.9393</v>
      </c>
      <c r="X158" t="n">
        <v>722.9393</v>
      </c>
      <c r="Y158" t="n">
        <v>474.5749</v>
      </c>
      <c r="Z158" t="n">
        <v>0.00070566</v>
      </c>
      <c r="AA158" t="n">
        <v>0.3963</v>
      </c>
      <c r="AB158" t="n">
        <v>0</v>
      </c>
      <c r="AC158" t="n">
        <v>27.9162</v>
      </c>
      <c r="AD158" t="n">
        <v>-2981.2681</v>
      </c>
      <c r="AE158" t="n">
        <v>10933.6004</v>
      </c>
      <c r="AF158" t="n">
        <v>0.99</v>
      </c>
      <c r="AG158" t="inlineStr">
        <is>
          <t>Low</t>
        </is>
      </c>
      <c r="AH158" t="inlineStr">
        <is>
          <t>On Track</t>
        </is>
      </c>
    </row>
    <row r="159">
      <c r="A159" t="inlineStr">
        <is>
          <t>SUP-0010</t>
        </is>
      </c>
      <c r="B159" t="inlineStr">
        <is>
          <t>Packaging Supplier 010</t>
        </is>
      </c>
      <c r="C159" t="inlineStr">
        <is>
          <t>Packaging</t>
        </is>
      </c>
      <c r="D159" t="n">
        <v>2024</v>
      </c>
      <c r="E159" t="n">
        <v>2018</v>
      </c>
      <c r="F159" t="n">
        <v>2035</v>
      </c>
      <c r="G159" t="n">
        <v>929.0374</v>
      </c>
      <c r="H159" t="n">
        <v>202.7525</v>
      </c>
      <c r="I159" t="n">
        <v>178.1147</v>
      </c>
      <c r="J159" t="inlineStr"/>
      <c r="K159" t="n">
        <v>1024486.81</v>
      </c>
      <c r="L159" t="n">
        <v>2139138.22</v>
      </c>
      <c r="M159" t="n">
        <v>929.0374</v>
      </c>
      <c r="N159" t="inlineStr">
        <is>
          <t>Supplier Reported Emissions</t>
        </is>
      </c>
      <c r="O159" t="b">
        <v>0</v>
      </c>
      <c r="P159" t="inlineStr">
        <is>
          <t>High</t>
        </is>
      </c>
      <c r="Q159" t="inlineStr">
        <is>
          <t>Scope_Emissions</t>
        </is>
      </c>
      <c r="R159" t="inlineStr">
        <is>
          <t>Valid</t>
        </is>
      </c>
      <c r="S159" t="n">
        <v>2038</v>
      </c>
      <c r="T159" t="inlineStr">
        <is>
          <t>Supplier Target Pathway</t>
        </is>
      </c>
      <c r="U159" t="n">
        <v>1197.5142</v>
      </c>
      <c r="V159" t="n">
        <v>722.9393</v>
      </c>
      <c r="W159" t="n">
        <v>722.9393</v>
      </c>
      <c r="X159" t="n">
        <v>722.9393</v>
      </c>
      <c r="Y159" t="n">
        <v>474.5749</v>
      </c>
      <c r="Z159" t="n">
        <v>0.00070566</v>
      </c>
      <c r="AA159" t="n">
        <v>0.3963</v>
      </c>
      <c r="AB159" t="n">
        <v>0</v>
      </c>
      <c r="AC159" t="n">
        <v>27.9162</v>
      </c>
      <c r="AD159" t="n">
        <v>-3704.2074</v>
      </c>
      <c r="AE159" t="n">
        <v>11656.5397</v>
      </c>
      <c r="AF159" t="n">
        <v>0.99</v>
      </c>
      <c r="AG159" t="inlineStr">
        <is>
          <t>Low</t>
        </is>
      </c>
      <c r="AH159" t="inlineStr">
        <is>
          <t>On Track</t>
        </is>
      </c>
    </row>
    <row r="160">
      <c r="A160" t="inlineStr">
        <is>
          <t>SUP-0010</t>
        </is>
      </c>
      <c r="B160" t="inlineStr">
        <is>
          <t>Packaging Supplier 010</t>
        </is>
      </c>
      <c r="C160" t="inlineStr">
        <is>
          <t>Packaging</t>
        </is>
      </c>
      <c r="D160" t="n">
        <v>2024</v>
      </c>
      <c r="E160" t="n">
        <v>2018</v>
      </c>
      <c r="F160" t="n">
        <v>2035</v>
      </c>
      <c r="G160" t="n">
        <v>929.0374</v>
      </c>
      <c r="H160" t="n">
        <v>202.7525</v>
      </c>
      <c r="I160" t="n">
        <v>178.1147</v>
      </c>
      <c r="J160" t="inlineStr"/>
      <c r="K160" t="n">
        <v>1024486.81</v>
      </c>
      <c r="L160" t="n">
        <v>2139138.22</v>
      </c>
      <c r="M160" t="n">
        <v>929.0374</v>
      </c>
      <c r="N160" t="inlineStr">
        <is>
          <t>Supplier Reported Emissions</t>
        </is>
      </c>
      <c r="O160" t="b">
        <v>0</v>
      </c>
      <c r="P160" t="inlineStr">
        <is>
          <t>High</t>
        </is>
      </c>
      <c r="Q160" t="inlineStr">
        <is>
          <t>Scope_Emissions</t>
        </is>
      </c>
      <c r="R160" t="inlineStr">
        <is>
          <t>Valid</t>
        </is>
      </c>
      <c r="S160" t="n">
        <v>2039</v>
      </c>
      <c r="T160" t="inlineStr">
        <is>
          <t>Supplier Target Pathway</t>
        </is>
      </c>
      <c r="U160" t="n">
        <v>1197.5142</v>
      </c>
      <c r="V160" t="n">
        <v>722.9393</v>
      </c>
      <c r="W160" t="n">
        <v>722.9393</v>
      </c>
      <c r="X160" t="n">
        <v>722.9393</v>
      </c>
      <c r="Y160" t="n">
        <v>474.5749</v>
      </c>
      <c r="Z160" t="n">
        <v>0.00070566</v>
      </c>
      <c r="AA160" t="n">
        <v>0.3963</v>
      </c>
      <c r="AB160" t="n">
        <v>0</v>
      </c>
      <c r="AC160" t="n">
        <v>27.9162</v>
      </c>
      <c r="AD160" t="n">
        <v>-4427.1467</v>
      </c>
      <c r="AE160" t="n">
        <v>12379.479</v>
      </c>
      <c r="AF160" t="n">
        <v>0.99</v>
      </c>
      <c r="AG160" t="inlineStr">
        <is>
          <t>Low</t>
        </is>
      </c>
      <c r="AH160" t="inlineStr">
        <is>
          <t>On Track</t>
        </is>
      </c>
    </row>
    <row r="161">
      <c r="A161" t="inlineStr">
        <is>
          <t>SUP-0010</t>
        </is>
      </c>
      <c r="B161" t="inlineStr">
        <is>
          <t>Packaging Supplier 010</t>
        </is>
      </c>
      <c r="C161" t="inlineStr">
        <is>
          <t>Packaging</t>
        </is>
      </c>
      <c r="D161" t="n">
        <v>2024</v>
      </c>
      <c r="E161" t="n">
        <v>2018</v>
      </c>
      <c r="F161" t="n">
        <v>2035</v>
      </c>
      <c r="G161" t="n">
        <v>929.0374</v>
      </c>
      <c r="H161" t="n">
        <v>202.7525</v>
      </c>
      <c r="I161" t="n">
        <v>178.1147</v>
      </c>
      <c r="J161" t="inlineStr"/>
      <c r="K161" t="n">
        <v>1024486.81</v>
      </c>
      <c r="L161" t="n">
        <v>2139138.22</v>
      </c>
      <c r="M161" t="n">
        <v>929.0374</v>
      </c>
      <c r="N161" t="inlineStr">
        <is>
          <t>Supplier Reported Emissions</t>
        </is>
      </c>
      <c r="O161" t="b">
        <v>0</v>
      </c>
      <c r="P161" t="inlineStr">
        <is>
          <t>High</t>
        </is>
      </c>
      <c r="Q161" t="inlineStr">
        <is>
          <t>Scope_Emissions</t>
        </is>
      </c>
      <c r="R161" t="inlineStr">
        <is>
          <t>Valid</t>
        </is>
      </c>
      <c r="S161" t="n">
        <v>2040</v>
      </c>
      <c r="T161" t="inlineStr">
        <is>
          <t>Supplier Target Pathway</t>
        </is>
      </c>
      <c r="U161" t="n">
        <v>1197.5142</v>
      </c>
      <c r="V161" t="n">
        <v>722.9393</v>
      </c>
      <c r="W161" t="n">
        <v>722.9393</v>
      </c>
      <c r="X161" t="n">
        <v>722.9393</v>
      </c>
      <c r="Y161" t="n">
        <v>474.5749</v>
      </c>
      <c r="Z161" t="n">
        <v>0.00070566</v>
      </c>
      <c r="AA161" t="n">
        <v>0.3963</v>
      </c>
      <c r="AB161" t="n">
        <v>0</v>
      </c>
      <c r="AC161" t="n">
        <v>27.9162</v>
      </c>
      <c r="AD161" t="n">
        <v>-5150.086</v>
      </c>
      <c r="AE161" t="n">
        <v>13102.4183</v>
      </c>
      <c r="AF161" t="n">
        <v>0.99</v>
      </c>
      <c r="AG161" t="inlineStr">
        <is>
          <t>Low</t>
        </is>
      </c>
      <c r="AH161" t="inlineStr">
        <is>
          <t>On Track</t>
        </is>
      </c>
    </row>
    <row r="162">
      <c r="A162" t="inlineStr">
        <is>
          <t>SUP-0011</t>
        </is>
      </c>
      <c r="B162" t="inlineStr">
        <is>
          <t>Agriculture Supplier 011</t>
        </is>
      </c>
      <c r="C162" t="inlineStr">
        <is>
          <t>Agriculture</t>
        </is>
      </c>
      <c r="D162" t="n">
        <v>2024</v>
      </c>
      <c r="E162" t="n">
        <v>2020</v>
      </c>
      <c r="F162" t="n">
        <v>2040</v>
      </c>
      <c r="G162" t="n">
        <v>8620.5301</v>
      </c>
      <c r="H162" t="n">
        <v>1962.8937</v>
      </c>
      <c r="I162" t="n">
        <v>1129.2387</v>
      </c>
      <c r="J162" t="inlineStr"/>
      <c r="K162" t="n">
        <v>9452299.33</v>
      </c>
      <c r="L162" t="n">
        <v>14891854.76</v>
      </c>
      <c r="M162" t="n">
        <v>8620.5301</v>
      </c>
      <c r="N162" t="inlineStr">
        <is>
          <t>Supplier Reported Emissions</t>
        </is>
      </c>
      <c r="O162" t="b">
        <v>0</v>
      </c>
      <c r="P162" t="inlineStr">
        <is>
          <t>High</t>
        </is>
      </c>
      <c r="Q162" t="inlineStr">
        <is>
          <t>Scope_Emissions</t>
        </is>
      </c>
      <c r="R162" t="inlineStr">
        <is>
          <t>Valid</t>
        </is>
      </c>
      <c r="S162" t="n">
        <v>2025</v>
      </c>
      <c r="T162" t="inlineStr">
        <is>
          <t>Supplier Target Pathway</t>
        </is>
      </c>
      <c r="U162" t="n">
        <v>10221.962</v>
      </c>
      <c r="V162" t="n">
        <v>6667.7858</v>
      </c>
      <c r="W162" t="n">
        <v>9333.418</v>
      </c>
      <c r="X162" t="n">
        <v>9333.418</v>
      </c>
      <c r="Y162" t="n">
        <v>888.544</v>
      </c>
      <c r="Z162" t="n">
        <v>0.0009874199999999999</v>
      </c>
      <c r="AA162" t="n">
        <v>0.086925</v>
      </c>
      <c r="AB162" t="n">
        <v>2665.6321</v>
      </c>
      <c r="AC162" t="n">
        <v>177.7088</v>
      </c>
      <c r="AD162" t="n">
        <v>97351.1548</v>
      </c>
      <c r="AE162" t="n">
        <v>9333.418</v>
      </c>
      <c r="AF162" t="n">
        <v>0.99</v>
      </c>
      <c r="AG162" t="inlineStr">
        <is>
          <t>Critical</t>
        </is>
      </c>
      <c r="AH162" t="inlineStr">
        <is>
          <t>On Track to Glide Path</t>
        </is>
      </c>
    </row>
    <row r="163">
      <c r="A163" t="inlineStr">
        <is>
          <t>SUP-0011</t>
        </is>
      </c>
      <c r="B163" t="inlineStr">
        <is>
          <t>Agriculture Supplier 011</t>
        </is>
      </c>
      <c r="C163" t="inlineStr">
        <is>
          <t>Agriculture</t>
        </is>
      </c>
      <c r="D163" t="n">
        <v>2024</v>
      </c>
      <c r="E163" t="n">
        <v>2020</v>
      </c>
      <c r="F163" t="n">
        <v>2040</v>
      </c>
      <c r="G163" t="n">
        <v>8620.5301</v>
      </c>
      <c r="H163" t="n">
        <v>1962.8937</v>
      </c>
      <c r="I163" t="n">
        <v>1129.2387</v>
      </c>
      <c r="J163" t="inlineStr"/>
      <c r="K163" t="n">
        <v>9452299.33</v>
      </c>
      <c r="L163" t="n">
        <v>14891854.76</v>
      </c>
      <c r="M163" t="n">
        <v>8620.5301</v>
      </c>
      <c r="N163" t="inlineStr">
        <is>
          <t>Supplier Reported Emissions</t>
        </is>
      </c>
      <c r="O163" t="b">
        <v>0</v>
      </c>
      <c r="P163" t="inlineStr">
        <is>
          <t>High</t>
        </is>
      </c>
      <c r="Q163" t="inlineStr">
        <is>
          <t>Scope_Emissions</t>
        </is>
      </c>
      <c r="R163" t="inlineStr">
        <is>
          <t>Valid</t>
        </is>
      </c>
      <c r="S163" t="n">
        <v>2026</v>
      </c>
      <c r="T163" t="inlineStr">
        <is>
          <t>Supplier Target Pathway</t>
        </is>
      </c>
      <c r="U163" t="n">
        <v>10221.962</v>
      </c>
      <c r="V163" t="n">
        <v>6667.7858</v>
      </c>
      <c r="W163" t="n">
        <v>9155.7091</v>
      </c>
      <c r="X163" t="n">
        <v>9155.7091</v>
      </c>
      <c r="Y163" t="n">
        <v>1066.2529</v>
      </c>
      <c r="Z163" t="n">
        <v>0.00096862</v>
      </c>
      <c r="AA163" t="n">
        <v>0.10431</v>
      </c>
      <c r="AB163" t="n">
        <v>2487.9233</v>
      </c>
      <c r="AC163" t="n">
        <v>177.7088</v>
      </c>
      <c r="AD163" t="n">
        <v>88195.4457</v>
      </c>
      <c r="AE163" t="n">
        <v>18489.1271</v>
      </c>
      <c r="AF163" t="n">
        <v>0.99</v>
      </c>
      <c r="AG163" t="inlineStr">
        <is>
          <t>Critical</t>
        </is>
      </c>
      <c r="AH163" t="inlineStr">
        <is>
          <t>On Track to Glide Path</t>
        </is>
      </c>
    </row>
    <row r="164">
      <c r="A164" t="inlineStr">
        <is>
          <t>SUP-0011</t>
        </is>
      </c>
      <c r="B164" t="inlineStr">
        <is>
          <t>Agriculture Supplier 011</t>
        </is>
      </c>
      <c r="C164" t="inlineStr">
        <is>
          <t>Agriculture</t>
        </is>
      </c>
      <c r="D164" t="n">
        <v>2024</v>
      </c>
      <c r="E164" t="n">
        <v>2020</v>
      </c>
      <c r="F164" t="n">
        <v>2040</v>
      </c>
      <c r="G164" t="n">
        <v>8620.5301</v>
      </c>
      <c r="H164" t="n">
        <v>1962.8937</v>
      </c>
      <c r="I164" t="n">
        <v>1129.2387</v>
      </c>
      <c r="J164" t="inlineStr"/>
      <c r="K164" t="n">
        <v>9452299.33</v>
      </c>
      <c r="L164" t="n">
        <v>14891854.76</v>
      </c>
      <c r="M164" t="n">
        <v>8620.5301</v>
      </c>
      <c r="N164" t="inlineStr">
        <is>
          <t>Supplier Reported Emissions</t>
        </is>
      </c>
      <c r="O164" t="b">
        <v>0</v>
      </c>
      <c r="P164" t="inlineStr">
        <is>
          <t>High</t>
        </is>
      </c>
      <c r="Q164" t="inlineStr">
        <is>
          <t>Scope_Emissions</t>
        </is>
      </c>
      <c r="R164" t="inlineStr">
        <is>
          <t>Valid</t>
        </is>
      </c>
      <c r="S164" t="n">
        <v>2027</v>
      </c>
      <c r="T164" t="inlineStr">
        <is>
          <t>Supplier Target Pathway</t>
        </is>
      </c>
      <c r="U164" t="n">
        <v>10221.962</v>
      </c>
      <c r="V164" t="n">
        <v>6667.7858</v>
      </c>
      <c r="W164" t="n">
        <v>8978.0003</v>
      </c>
      <c r="X164" t="n">
        <v>8978.0003</v>
      </c>
      <c r="Y164" t="n">
        <v>1243.9617</v>
      </c>
      <c r="Z164" t="n">
        <v>0.00094982</v>
      </c>
      <c r="AA164" t="n">
        <v>0.121695</v>
      </c>
      <c r="AB164" t="n">
        <v>2310.2145</v>
      </c>
      <c r="AC164" t="n">
        <v>177.7088</v>
      </c>
      <c r="AD164" t="n">
        <v>79217.4454</v>
      </c>
      <c r="AE164" t="n">
        <v>27467.1274</v>
      </c>
      <c r="AF164" t="n">
        <v>0.99</v>
      </c>
      <c r="AG164" t="inlineStr">
        <is>
          <t>High</t>
        </is>
      </c>
      <c r="AH164" t="inlineStr">
        <is>
          <t>On Track to Glide Path</t>
        </is>
      </c>
    </row>
    <row r="165">
      <c r="A165" t="inlineStr">
        <is>
          <t>SUP-0011</t>
        </is>
      </c>
      <c r="B165" t="inlineStr">
        <is>
          <t>Agriculture Supplier 011</t>
        </is>
      </c>
      <c r="C165" t="inlineStr">
        <is>
          <t>Agriculture</t>
        </is>
      </c>
      <c r="D165" t="n">
        <v>2024</v>
      </c>
      <c r="E165" t="n">
        <v>2020</v>
      </c>
      <c r="F165" t="n">
        <v>2040</v>
      </c>
      <c r="G165" t="n">
        <v>8620.5301</v>
      </c>
      <c r="H165" t="n">
        <v>1962.8937</v>
      </c>
      <c r="I165" t="n">
        <v>1129.2387</v>
      </c>
      <c r="J165" t="inlineStr"/>
      <c r="K165" t="n">
        <v>9452299.33</v>
      </c>
      <c r="L165" t="n">
        <v>14891854.76</v>
      </c>
      <c r="M165" t="n">
        <v>8620.5301</v>
      </c>
      <c r="N165" t="inlineStr">
        <is>
          <t>Supplier Reported Emissions</t>
        </is>
      </c>
      <c r="O165" t="b">
        <v>0</v>
      </c>
      <c r="P165" t="inlineStr">
        <is>
          <t>High</t>
        </is>
      </c>
      <c r="Q165" t="inlineStr">
        <is>
          <t>Scope_Emissions</t>
        </is>
      </c>
      <c r="R165" t="inlineStr">
        <is>
          <t>Valid</t>
        </is>
      </c>
      <c r="S165" t="n">
        <v>2028</v>
      </c>
      <c r="T165" t="inlineStr">
        <is>
          <t>Supplier Target Pathway</t>
        </is>
      </c>
      <c r="U165" t="n">
        <v>10221.962</v>
      </c>
      <c r="V165" t="n">
        <v>6667.7858</v>
      </c>
      <c r="W165" t="n">
        <v>8800.291499999999</v>
      </c>
      <c r="X165" t="n">
        <v>8800.291499999999</v>
      </c>
      <c r="Y165" t="n">
        <v>1421.6705</v>
      </c>
      <c r="Z165" t="n">
        <v>0.00093102</v>
      </c>
      <c r="AA165" t="n">
        <v>0.13908</v>
      </c>
      <c r="AB165" t="n">
        <v>2132.5057</v>
      </c>
      <c r="AC165" t="n">
        <v>177.7088</v>
      </c>
      <c r="AD165" t="n">
        <v>70417.1539</v>
      </c>
      <c r="AE165" t="n">
        <v>36267.4189</v>
      </c>
      <c r="AF165" t="n">
        <v>0.99</v>
      </c>
      <c r="AG165" t="inlineStr">
        <is>
          <t>High</t>
        </is>
      </c>
      <c r="AH165" t="inlineStr">
        <is>
          <t>On Track to Glide Path</t>
        </is>
      </c>
    </row>
    <row r="166">
      <c r="A166" t="inlineStr">
        <is>
          <t>SUP-0011</t>
        </is>
      </c>
      <c r="B166" t="inlineStr">
        <is>
          <t>Agriculture Supplier 011</t>
        </is>
      </c>
      <c r="C166" t="inlineStr">
        <is>
          <t>Agriculture</t>
        </is>
      </c>
      <c r="D166" t="n">
        <v>2024</v>
      </c>
      <c r="E166" t="n">
        <v>2020</v>
      </c>
      <c r="F166" t="n">
        <v>2040</v>
      </c>
      <c r="G166" t="n">
        <v>8620.5301</v>
      </c>
      <c r="H166" t="n">
        <v>1962.8937</v>
      </c>
      <c r="I166" t="n">
        <v>1129.2387</v>
      </c>
      <c r="J166" t="inlineStr"/>
      <c r="K166" t="n">
        <v>9452299.33</v>
      </c>
      <c r="L166" t="n">
        <v>14891854.76</v>
      </c>
      <c r="M166" t="n">
        <v>8620.5301</v>
      </c>
      <c r="N166" t="inlineStr">
        <is>
          <t>Supplier Reported Emissions</t>
        </is>
      </c>
      <c r="O166" t="b">
        <v>0</v>
      </c>
      <c r="P166" t="inlineStr">
        <is>
          <t>High</t>
        </is>
      </c>
      <c r="Q166" t="inlineStr">
        <is>
          <t>Scope_Emissions</t>
        </is>
      </c>
      <c r="R166" t="inlineStr">
        <is>
          <t>Valid</t>
        </is>
      </c>
      <c r="S166" t="n">
        <v>2029</v>
      </c>
      <c r="T166" t="inlineStr">
        <is>
          <t>Supplier Target Pathway</t>
        </is>
      </c>
      <c r="U166" t="n">
        <v>10221.962</v>
      </c>
      <c r="V166" t="n">
        <v>6667.7858</v>
      </c>
      <c r="W166" t="n">
        <v>8622.582700000001</v>
      </c>
      <c r="X166" t="n">
        <v>8622.582700000001</v>
      </c>
      <c r="Y166" t="n">
        <v>1599.3793</v>
      </c>
      <c r="Z166" t="n">
        <v>0.00091222</v>
      </c>
      <c r="AA166" t="n">
        <v>0.156465</v>
      </c>
      <c r="AB166" t="n">
        <v>1954.7969</v>
      </c>
      <c r="AC166" t="n">
        <v>177.7088</v>
      </c>
      <c r="AD166" t="n">
        <v>61794.5712</v>
      </c>
      <c r="AE166" t="n">
        <v>44890.0016</v>
      </c>
      <c r="AF166" t="n">
        <v>0.99</v>
      </c>
      <c r="AG166" t="inlineStr">
        <is>
          <t>High</t>
        </is>
      </c>
      <c r="AH166" t="inlineStr">
        <is>
          <t>On Track to Glide Path</t>
        </is>
      </c>
    </row>
    <row r="167">
      <c r="A167" t="inlineStr">
        <is>
          <t>SUP-0011</t>
        </is>
      </c>
      <c r="B167" t="inlineStr">
        <is>
          <t>Agriculture Supplier 011</t>
        </is>
      </c>
      <c r="C167" t="inlineStr">
        <is>
          <t>Agriculture</t>
        </is>
      </c>
      <c r="D167" t="n">
        <v>2024</v>
      </c>
      <c r="E167" t="n">
        <v>2020</v>
      </c>
      <c r="F167" t="n">
        <v>2040</v>
      </c>
      <c r="G167" t="n">
        <v>8620.5301</v>
      </c>
      <c r="H167" t="n">
        <v>1962.8937</v>
      </c>
      <c r="I167" t="n">
        <v>1129.2387</v>
      </c>
      <c r="J167" t="inlineStr"/>
      <c r="K167" t="n">
        <v>9452299.33</v>
      </c>
      <c r="L167" t="n">
        <v>14891854.76</v>
      </c>
      <c r="M167" t="n">
        <v>8620.5301</v>
      </c>
      <c r="N167" t="inlineStr">
        <is>
          <t>Supplier Reported Emissions</t>
        </is>
      </c>
      <c r="O167" t="b">
        <v>0</v>
      </c>
      <c r="P167" t="inlineStr">
        <is>
          <t>High</t>
        </is>
      </c>
      <c r="Q167" t="inlineStr">
        <is>
          <t>Scope_Emissions</t>
        </is>
      </c>
      <c r="R167" t="inlineStr">
        <is>
          <t>Valid</t>
        </is>
      </c>
      <c r="S167" t="n">
        <v>2030</v>
      </c>
      <c r="T167" t="inlineStr">
        <is>
          <t>Supplier Target Pathway</t>
        </is>
      </c>
      <c r="U167" t="n">
        <v>10221.962</v>
      </c>
      <c r="V167" t="n">
        <v>6667.7858</v>
      </c>
      <c r="W167" t="n">
        <v>8444.873900000001</v>
      </c>
      <c r="X167" t="n">
        <v>8444.873900000001</v>
      </c>
      <c r="Y167" t="n">
        <v>1777.0881</v>
      </c>
      <c r="Z167" t="n">
        <v>0.00089342</v>
      </c>
      <c r="AA167" t="n">
        <v>0.17385</v>
      </c>
      <c r="AB167" t="n">
        <v>1777.0881</v>
      </c>
      <c r="AC167" t="n">
        <v>177.7088</v>
      </c>
      <c r="AD167" t="n">
        <v>53349.6973</v>
      </c>
      <c r="AE167" t="n">
        <v>53334.8755</v>
      </c>
      <c r="AF167" t="n">
        <v>0.99</v>
      </c>
      <c r="AG167" t="inlineStr">
        <is>
          <t>High</t>
        </is>
      </c>
      <c r="AH167" t="inlineStr">
        <is>
          <t>On Track to Glide Path</t>
        </is>
      </c>
    </row>
    <row r="168">
      <c r="A168" t="inlineStr">
        <is>
          <t>SUP-0011</t>
        </is>
      </c>
      <c r="B168" t="inlineStr">
        <is>
          <t>Agriculture Supplier 011</t>
        </is>
      </c>
      <c r="C168" t="inlineStr">
        <is>
          <t>Agriculture</t>
        </is>
      </c>
      <c r="D168" t="n">
        <v>2024</v>
      </c>
      <c r="E168" t="n">
        <v>2020</v>
      </c>
      <c r="F168" t="n">
        <v>2040</v>
      </c>
      <c r="G168" t="n">
        <v>8620.5301</v>
      </c>
      <c r="H168" t="n">
        <v>1962.8937</v>
      </c>
      <c r="I168" t="n">
        <v>1129.2387</v>
      </c>
      <c r="J168" t="inlineStr"/>
      <c r="K168" t="n">
        <v>9452299.33</v>
      </c>
      <c r="L168" t="n">
        <v>14891854.76</v>
      </c>
      <c r="M168" t="n">
        <v>8620.5301</v>
      </c>
      <c r="N168" t="inlineStr">
        <is>
          <t>Supplier Reported Emissions</t>
        </is>
      </c>
      <c r="O168" t="b">
        <v>0</v>
      </c>
      <c r="P168" t="inlineStr">
        <is>
          <t>High</t>
        </is>
      </c>
      <c r="Q168" t="inlineStr">
        <is>
          <t>Scope_Emissions</t>
        </is>
      </c>
      <c r="R168" t="inlineStr">
        <is>
          <t>Valid</t>
        </is>
      </c>
      <c r="S168" t="n">
        <v>2031</v>
      </c>
      <c r="T168" t="inlineStr">
        <is>
          <t>Supplier Target Pathway</t>
        </is>
      </c>
      <c r="U168" t="n">
        <v>10221.962</v>
      </c>
      <c r="V168" t="n">
        <v>6667.7858</v>
      </c>
      <c r="W168" t="n">
        <v>8267.1651</v>
      </c>
      <c r="X168" t="n">
        <v>8267.1651</v>
      </c>
      <c r="Y168" t="n">
        <v>1954.7969</v>
      </c>
      <c r="Z168" t="n">
        <v>0.00087462</v>
      </c>
      <c r="AA168" t="n">
        <v>0.191235</v>
      </c>
      <c r="AB168" t="n">
        <v>1599.3793</v>
      </c>
      <c r="AC168" t="n">
        <v>177.7088</v>
      </c>
      <c r="AD168" t="n">
        <v>45082.5322</v>
      </c>
      <c r="AE168" t="n">
        <v>61602.0406</v>
      </c>
      <c r="AF168" t="n">
        <v>0.99</v>
      </c>
      <c r="AG168" t="inlineStr">
        <is>
          <t>High</t>
        </is>
      </c>
      <c r="AH168" t="inlineStr">
        <is>
          <t>On Track to Glide Path</t>
        </is>
      </c>
    </row>
    <row r="169">
      <c r="A169" t="inlineStr">
        <is>
          <t>SUP-0011</t>
        </is>
      </c>
      <c r="B169" t="inlineStr">
        <is>
          <t>Agriculture Supplier 011</t>
        </is>
      </c>
      <c r="C169" t="inlineStr">
        <is>
          <t>Agriculture</t>
        </is>
      </c>
      <c r="D169" t="n">
        <v>2024</v>
      </c>
      <c r="E169" t="n">
        <v>2020</v>
      </c>
      <c r="F169" t="n">
        <v>2040</v>
      </c>
      <c r="G169" t="n">
        <v>8620.5301</v>
      </c>
      <c r="H169" t="n">
        <v>1962.8937</v>
      </c>
      <c r="I169" t="n">
        <v>1129.2387</v>
      </c>
      <c r="J169" t="inlineStr"/>
      <c r="K169" t="n">
        <v>9452299.33</v>
      </c>
      <c r="L169" t="n">
        <v>14891854.76</v>
      </c>
      <c r="M169" t="n">
        <v>8620.5301</v>
      </c>
      <c r="N169" t="inlineStr">
        <is>
          <t>Supplier Reported Emissions</t>
        </is>
      </c>
      <c r="O169" t="b">
        <v>0</v>
      </c>
      <c r="P169" t="inlineStr">
        <is>
          <t>High</t>
        </is>
      </c>
      <c r="Q169" t="inlineStr">
        <is>
          <t>Scope_Emissions</t>
        </is>
      </c>
      <c r="R169" t="inlineStr">
        <is>
          <t>Valid</t>
        </is>
      </c>
      <c r="S169" t="n">
        <v>2032</v>
      </c>
      <c r="T169" t="inlineStr">
        <is>
          <t>Supplier Target Pathway</t>
        </is>
      </c>
      <c r="U169" t="n">
        <v>10221.962</v>
      </c>
      <c r="V169" t="n">
        <v>6667.7858</v>
      </c>
      <c r="W169" t="n">
        <v>8089.4563</v>
      </c>
      <c r="X169" t="n">
        <v>8089.4563</v>
      </c>
      <c r="Y169" t="n">
        <v>2132.5057</v>
      </c>
      <c r="Z169" t="n">
        <v>0.00085582</v>
      </c>
      <c r="AA169" t="n">
        <v>0.20862</v>
      </c>
      <c r="AB169" t="n">
        <v>1421.6705</v>
      </c>
      <c r="AC169" t="n">
        <v>177.7088</v>
      </c>
      <c r="AD169" t="n">
        <v>36993.0759</v>
      </c>
      <c r="AE169" t="n">
        <v>69691.4969</v>
      </c>
      <c r="AF169" t="n">
        <v>0.99</v>
      </c>
      <c r="AG169" t="inlineStr">
        <is>
          <t>High</t>
        </is>
      </c>
      <c r="AH169" t="inlineStr">
        <is>
          <t>On Track to Glide Path</t>
        </is>
      </c>
    </row>
    <row r="170">
      <c r="A170" t="inlineStr">
        <is>
          <t>SUP-0011</t>
        </is>
      </c>
      <c r="B170" t="inlineStr">
        <is>
          <t>Agriculture Supplier 011</t>
        </is>
      </c>
      <c r="C170" t="inlineStr">
        <is>
          <t>Agriculture</t>
        </is>
      </c>
      <c r="D170" t="n">
        <v>2024</v>
      </c>
      <c r="E170" t="n">
        <v>2020</v>
      </c>
      <c r="F170" t="n">
        <v>2040</v>
      </c>
      <c r="G170" t="n">
        <v>8620.5301</v>
      </c>
      <c r="H170" t="n">
        <v>1962.8937</v>
      </c>
      <c r="I170" t="n">
        <v>1129.2387</v>
      </c>
      <c r="J170" t="inlineStr"/>
      <c r="K170" t="n">
        <v>9452299.33</v>
      </c>
      <c r="L170" t="n">
        <v>14891854.76</v>
      </c>
      <c r="M170" t="n">
        <v>8620.5301</v>
      </c>
      <c r="N170" t="inlineStr">
        <is>
          <t>Supplier Reported Emissions</t>
        </is>
      </c>
      <c r="O170" t="b">
        <v>0</v>
      </c>
      <c r="P170" t="inlineStr">
        <is>
          <t>High</t>
        </is>
      </c>
      <c r="Q170" t="inlineStr">
        <is>
          <t>Scope_Emissions</t>
        </is>
      </c>
      <c r="R170" t="inlineStr">
        <is>
          <t>Valid</t>
        </is>
      </c>
      <c r="S170" t="n">
        <v>2033</v>
      </c>
      <c r="T170" t="inlineStr">
        <is>
          <t>Supplier Target Pathway</t>
        </is>
      </c>
      <c r="U170" t="n">
        <v>10221.962</v>
      </c>
      <c r="V170" t="n">
        <v>6667.7858</v>
      </c>
      <c r="W170" t="n">
        <v>7911.7475</v>
      </c>
      <c r="X170" t="n">
        <v>7911.7475</v>
      </c>
      <c r="Y170" t="n">
        <v>2310.2145</v>
      </c>
      <c r="Z170" t="n">
        <v>0.00083702</v>
      </c>
      <c r="AA170" t="n">
        <v>0.226005</v>
      </c>
      <c r="AB170" t="n">
        <v>1243.9617</v>
      </c>
      <c r="AC170" t="n">
        <v>177.7088</v>
      </c>
      <c r="AD170" t="n">
        <v>29081.3284</v>
      </c>
      <c r="AE170" t="n">
        <v>77603.2444</v>
      </c>
      <c r="AF170" t="n">
        <v>0.99</v>
      </c>
      <c r="AG170" t="inlineStr">
        <is>
          <t>High</t>
        </is>
      </c>
      <c r="AH170" t="inlineStr">
        <is>
          <t>On Track to Glide Path</t>
        </is>
      </c>
    </row>
    <row r="171">
      <c r="A171" t="inlineStr">
        <is>
          <t>SUP-0011</t>
        </is>
      </c>
      <c r="B171" t="inlineStr">
        <is>
          <t>Agriculture Supplier 011</t>
        </is>
      </c>
      <c r="C171" t="inlineStr">
        <is>
          <t>Agriculture</t>
        </is>
      </c>
      <c r="D171" t="n">
        <v>2024</v>
      </c>
      <c r="E171" t="n">
        <v>2020</v>
      </c>
      <c r="F171" t="n">
        <v>2040</v>
      </c>
      <c r="G171" t="n">
        <v>8620.5301</v>
      </c>
      <c r="H171" t="n">
        <v>1962.8937</v>
      </c>
      <c r="I171" t="n">
        <v>1129.2387</v>
      </c>
      <c r="J171" t="inlineStr"/>
      <c r="K171" t="n">
        <v>9452299.33</v>
      </c>
      <c r="L171" t="n">
        <v>14891854.76</v>
      </c>
      <c r="M171" t="n">
        <v>8620.5301</v>
      </c>
      <c r="N171" t="inlineStr">
        <is>
          <t>Supplier Reported Emissions</t>
        </is>
      </c>
      <c r="O171" t="b">
        <v>0</v>
      </c>
      <c r="P171" t="inlineStr">
        <is>
          <t>High</t>
        </is>
      </c>
      <c r="Q171" t="inlineStr">
        <is>
          <t>Scope_Emissions</t>
        </is>
      </c>
      <c r="R171" t="inlineStr">
        <is>
          <t>Valid</t>
        </is>
      </c>
      <c r="S171" t="n">
        <v>2034</v>
      </c>
      <c r="T171" t="inlineStr">
        <is>
          <t>Supplier Target Pathway</t>
        </is>
      </c>
      <c r="U171" t="n">
        <v>10221.962</v>
      </c>
      <c r="V171" t="n">
        <v>6667.7858</v>
      </c>
      <c r="W171" t="n">
        <v>7734.0387</v>
      </c>
      <c r="X171" t="n">
        <v>7734.0387</v>
      </c>
      <c r="Y171" t="n">
        <v>2487.9233</v>
      </c>
      <c r="Z171" t="n">
        <v>0.00081822</v>
      </c>
      <c r="AA171" t="n">
        <v>0.24339</v>
      </c>
      <c r="AB171" t="n">
        <v>1066.2529</v>
      </c>
      <c r="AC171" t="n">
        <v>177.7088</v>
      </c>
      <c r="AD171" t="n">
        <v>21347.2897</v>
      </c>
      <c r="AE171" t="n">
        <v>85337.2831</v>
      </c>
      <c r="AF171" t="n">
        <v>0.99</v>
      </c>
      <c r="AG171" t="inlineStr">
        <is>
          <t>High</t>
        </is>
      </c>
      <c r="AH171" t="inlineStr">
        <is>
          <t>On Track to Glide Path</t>
        </is>
      </c>
    </row>
    <row r="172">
      <c r="A172" t="inlineStr">
        <is>
          <t>SUP-0011</t>
        </is>
      </c>
      <c r="B172" t="inlineStr">
        <is>
          <t>Agriculture Supplier 011</t>
        </is>
      </c>
      <c r="C172" t="inlineStr">
        <is>
          <t>Agriculture</t>
        </is>
      </c>
      <c r="D172" t="n">
        <v>2024</v>
      </c>
      <c r="E172" t="n">
        <v>2020</v>
      </c>
      <c r="F172" t="n">
        <v>2040</v>
      </c>
      <c r="G172" t="n">
        <v>8620.5301</v>
      </c>
      <c r="H172" t="n">
        <v>1962.8937</v>
      </c>
      <c r="I172" t="n">
        <v>1129.2387</v>
      </c>
      <c r="J172" t="inlineStr"/>
      <c r="K172" t="n">
        <v>9452299.33</v>
      </c>
      <c r="L172" t="n">
        <v>14891854.76</v>
      </c>
      <c r="M172" t="n">
        <v>8620.5301</v>
      </c>
      <c r="N172" t="inlineStr">
        <is>
          <t>Supplier Reported Emissions</t>
        </is>
      </c>
      <c r="O172" t="b">
        <v>0</v>
      </c>
      <c r="P172" t="inlineStr">
        <is>
          <t>High</t>
        </is>
      </c>
      <c r="Q172" t="inlineStr">
        <is>
          <t>Scope_Emissions</t>
        </is>
      </c>
      <c r="R172" t="inlineStr">
        <is>
          <t>Valid</t>
        </is>
      </c>
      <c r="S172" t="n">
        <v>2035</v>
      </c>
      <c r="T172" t="inlineStr">
        <is>
          <t>Supplier Target Pathway</t>
        </is>
      </c>
      <c r="U172" t="n">
        <v>10221.962</v>
      </c>
      <c r="V172" t="n">
        <v>6667.7858</v>
      </c>
      <c r="W172" t="n">
        <v>7556.3299</v>
      </c>
      <c r="X172" t="n">
        <v>7556.3299</v>
      </c>
      <c r="Y172" t="n">
        <v>2665.6321</v>
      </c>
      <c r="Z172" t="n">
        <v>0.00079942</v>
      </c>
      <c r="AA172" t="n">
        <v>0.260775</v>
      </c>
      <c r="AB172" t="n">
        <v>888.544</v>
      </c>
      <c r="AC172" t="n">
        <v>177.7088</v>
      </c>
      <c r="AD172" t="n">
        <v>13790.9598</v>
      </c>
      <c r="AE172" t="n">
        <v>92893.613</v>
      </c>
      <c r="AF172" t="n">
        <v>0.99</v>
      </c>
      <c r="AG172" t="inlineStr">
        <is>
          <t>Medium</t>
        </is>
      </c>
      <c r="AH172" t="inlineStr">
        <is>
          <t>On Track to Glide Path</t>
        </is>
      </c>
    </row>
    <row r="173">
      <c r="A173" t="inlineStr">
        <is>
          <t>SUP-0011</t>
        </is>
      </c>
      <c r="B173" t="inlineStr">
        <is>
          <t>Agriculture Supplier 011</t>
        </is>
      </c>
      <c r="C173" t="inlineStr">
        <is>
          <t>Agriculture</t>
        </is>
      </c>
      <c r="D173" t="n">
        <v>2024</v>
      </c>
      <c r="E173" t="n">
        <v>2020</v>
      </c>
      <c r="F173" t="n">
        <v>2040</v>
      </c>
      <c r="G173" t="n">
        <v>8620.5301</v>
      </c>
      <c r="H173" t="n">
        <v>1962.8937</v>
      </c>
      <c r="I173" t="n">
        <v>1129.2387</v>
      </c>
      <c r="J173" t="inlineStr"/>
      <c r="K173" t="n">
        <v>9452299.33</v>
      </c>
      <c r="L173" t="n">
        <v>14891854.76</v>
      </c>
      <c r="M173" t="n">
        <v>8620.5301</v>
      </c>
      <c r="N173" t="inlineStr">
        <is>
          <t>Supplier Reported Emissions</t>
        </is>
      </c>
      <c r="O173" t="b">
        <v>0</v>
      </c>
      <c r="P173" t="inlineStr">
        <is>
          <t>High</t>
        </is>
      </c>
      <c r="Q173" t="inlineStr">
        <is>
          <t>Scope_Emissions</t>
        </is>
      </c>
      <c r="R173" t="inlineStr">
        <is>
          <t>Valid</t>
        </is>
      </c>
      <c r="S173" t="n">
        <v>2036</v>
      </c>
      <c r="T173" t="inlineStr">
        <is>
          <t>Supplier Target Pathway</t>
        </is>
      </c>
      <c r="U173" t="n">
        <v>10221.962</v>
      </c>
      <c r="V173" t="n">
        <v>6667.7858</v>
      </c>
      <c r="W173" t="n">
        <v>7378.6211</v>
      </c>
      <c r="X173" t="n">
        <v>7378.6211</v>
      </c>
      <c r="Y173" t="n">
        <v>2843.3409</v>
      </c>
      <c r="Z173" t="n">
        <v>0.00078062</v>
      </c>
      <c r="AA173" t="n">
        <v>0.27816</v>
      </c>
      <c r="AB173" t="n">
        <v>710.8352</v>
      </c>
      <c r="AC173" t="n">
        <v>177.7088</v>
      </c>
      <c r="AD173" t="n">
        <v>6412.3387</v>
      </c>
      <c r="AE173" t="n">
        <v>100272.2341</v>
      </c>
      <c r="AF173" t="n">
        <v>0.99</v>
      </c>
      <c r="AG173" t="inlineStr">
        <is>
          <t>Medium</t>
        </is>
      </c>
      <c r="AH173" t="inlineStr">
        <is>
          <t>On Track to Glide Path</t>
        </is>
      </c>
    </row>
    <row r="174">
      <c r="A174" t="inlineStr">
        <is>
          <t>SUP-0011</t>
        </is>
      </c>
      <c r="B174" t="inlineStr">
        <is>
          <t>Agriculture Supplier 011</t>
        </is>
      </c>
      <c r="C174" t="inlineStr">
        <is>
          <t>Agriculture</t>
        </is>
      </c>
      <c r="D174" t="n">
        <v>2024</v>
      </c>
      <c r="E174" t="n">
        <v>2020</v>
      </c>
      <c r="F174" t="n">
        <v>2040</v>
      </c>
      <c r="G174" t="n">
        <v>8620.5301</v>
      </c>
      <c r="H174" t="n">
        <v>1962.8937</v>
      </c>
      <c r="I174" t="n">
        <v>1129.2387</v>
      </c>
      <c r="J174" t="inlineStr"/>
      <c r="K174" t="n">
        <v>9452299.33</v>
      </c>
      <c r="L174" t="n">
        <v>14891854.76</v>
      </c>
      <c r="M174" t="n">
        <v>8620.5301</v>
      </c>
      <c r="N174" t="inlineStr">
        <is>
          <t>Supplier Reported Emissions</t>
        </is>
      </c>
      <c r="O174" t="b">
        <v>0</v>
      </c>
      <c r="P174" t="inlineStr">
        <is>
          <t>High</t>
        </is>
      </c>
      <c r="Q174" t="inlineStr">
        <is>
          <t>Scope_Emissions</t>
        </is>
      </c>
      <c r="R174" t="inlineStr">
        <is>
          <t>Valid</t>
        </is>
      </c>
      <c r="S174" t="n">
        <v>2037</v>
      </c>
      <c r="T174" t="inlineStr">
        <is>
          <t>Supplier Target Pathway</t>
        </is>
      </c>
      <c r="U174" t="n">
        <v>10221.962</v>
      </c>
      <c r="V174" t="n">
        <v>6667.7858</v>
      </c>
      <c r="W174" t="n">
        <v>7200.9122</v>
      </c>
      <c r="X174" t="n">
        <v>7200.9122</v>
      </c>
      <c r="Y174" t="n">
        <v>3021.0498</v>
      </c>
      <c r="Z174" t="n">
        <v>0.00076182</v>
      </c>
      <c r="AA174" t="n">
        <v>0.295545</v>
      </c>
      <c r="AB174" t="n">
        <v>533.1264</v>
      </c>
      <c r="AC174" t="n">
        <v>177.7088</v>
      </c>
      <c r="AD174" t="n">
        <v>-788.5735</v>
      </c>
      <c r="AE174" t="n">
        <v>107473.1463</v>
      </c>
      <c r="AF174" t="n">
        <v>0.99</v>
      </c>
      <c r="AG174" t="inlineStr">
        <is>
          <t>Medium</t>
        </is>
      </c>
      <c r="AH174" t="inlineStr">
        <is>
          <t>On Track to Glide Path</t>
        </is>
      </c>
    </row>
    <row r="175">
      <c r="A175" t="inlineStr">
        <is>
          <t>SUP-0011</t>
        </is>
      </c>
      <c r="B175" t="inlineStr">
        <is>
          <t>Agriculture Supplier 011</t>
        </is>
      </c>
      <c r="C175" t="inlineStr">
        <is>
          <t>Agriculture</t>
        </is>
      </c>
      <c r="D175" t="n">
        <v>2024</v>
      </c>
      <c r="E175" t="n">
        <v>2020</v>
      </c>
      <c r="F175" t="n">
        <v>2040</v>
      </c>
      <c r="G175" t="n">
        <v>8620.5301</v>
      </c>
      <c r="H175" t="n">
        <v>1962.8937</v>
      </c>
      <c r="I175" t="n">
        <v>1129.2387</v>
      </c>
      <c r="J175" t="inlineStr"/>
      <c r="K175" t="n">
        <v>9452299.33</v>
      </c>
      <c r="L175" t="n">
        <v>14891854.76</v>
      </c>
      <c r="M175" t="n">
        <v>8620.5301</v>
      </c>
      <c r="N175" t="inlineStr">
        <is>
          <t>Supplier Reported Emissions</t>
        </is>
      </c>
      <c r="O175" t="b">
        <v>0</v>
      </c>
      <c r="P175" t="inlineStr">
        <is>
          <t>High</t>
        </is>
      </c>
      <c r="Q175" t="inlineStr">
        <is>
          <t>Scope_Emissions</t>
        </is>
      </c>
      <c r="R175" t="inlineStr">
        <is>
          <t>Valid</t>
        </is>
      </c>
      <c r="S175" t="n">
        <v>2038</v>
      </c>
      <c r="T175" t="inlineStr">
        <is>
          <t>Supplier Target Pathway</t>
        </is>
      </c>
      <c r="U175" t="n">
        <v>10221.962</v>
      </c>
      <c r="V175" t="n">
        <v>6667.7858</v>
      </c>
      <c r="W175" t="n">
        <v>7023.2034</v>
      </c>
      <c r="X175" t="n">
        <v>7023.2034</v>
      </c>
      <c r="Y175" t="n">
        <v>3198.7586</v>
      </c>
      <c r="Z175" t="n">
        <v>0.0007430200000000001</v>
      </c>
      <c r="AA175" t="n">
        <v>0.31293</v>
      </c>
      <c r="AB175" t="n">
        <v>355.4176</v>
      </c>
      <c r="AC175" t="n">
        <v>177.7088</v>
      </c>
      <c r="AD175" t="n">
        <v>-7811.7769</v>
      </c>
      <c r="AE175" t="n">
        <v>114496.3497</v>
      </c>
      <c r="AF175" t="n">
        <v>0.99</v>
      </c>
      <c r="AG175" t="inlineStr">
        <is>
          <t>Medium</t>
        </is>
      </c>
      <c r="AH175" t="inlineStr">
        <is>
          <t>On Track to Glide Path</t>
        </is>
      </c>
    </row>
    <row r="176">
      <c r="A176" t="inlineStr">
        <is>
          <t>SUP-0011</t>
        </is>
      </c>
      <c r="B176" t="inlineStr">
        <is>
          <t>Agriculture Supplier 011</t>
        </is>
      </c>
      <c r="C176" t="inlineStr">
        <is>
          <t>Agriculture</t>
        </is>
      </c>
      <c r="D176" t="n">
        <v>2024</v>
      </c>
      <c r="E176" t="n">
        <v>2020</v>
      </c>
      <c r="F176" t="n">
        <v>2040</v>
      </c>
      <c r="G176" t="n">
        <v>8620.5301</v>
      </c>
      <c r="H176" t="n">
        <v>1962.8937</v>
      </c>
      <c r="I176" t="n">
        <v>1129.2387</v>
      </c>
      <c r="J176" t="inlineStr"/>
      <c r="K176" t="n">
        <v>9452299.33</v>
      </c>
      <c r="L176" t="n">
        <v>14891854.76</v>
      </c>
      <c r="M176" t="n">
        <v>8620.5301</v>
      </c>
      <c r="N176" t="inlineStr">
        <is>
          <t>Supplier Reported Emissions</t>
        </is>
      </c>
      <c r="O176" t="b">
        <v>0</v>
      </c>
      <c r="P176" t="inlineStr">
        <is>
          <t>High</t>
        </is>
      </c>
      <c r="Q176" t="inlineStr">
        <is>
          <t>Scope_Emissions</t>
        </is>
      </c>
      <c r="R176" t="inlineStr">
        <is>
          <t>Valid</t>
        </is>
      </c>
      <c r="S176" t="n">
        <v>2039</v>
      </c>
      <c r="T176" t="inlineStr">
        <is>
          <t>Supplier Target Pathway</t>
        </is>
      </c>
      <c r="U176" t="n">
        <v>10221.962</v>
      </c>
      <c r="V176" t="n">
        <v>6667.7858</v>
      </c>
      <c r="W176" t="n">
        <v>6845.4946</v>
      </c>
      <c r="X176" t="n">
        <v>6845.4946</v>
      </c>
      <c r="Y176" t="n">
        <v>3376.4674</v>
      </c>
      <c r="Z176" t="n">
        <v>0.00072421</v>
      </c>
      <c r="AA176" t="n">
        <v>0.330315</v>
      </c>
      <c r="AB176" t="n">
        <v>177.7088</v>
      </c>
      <c r="AC176" t="n">
        <v>177.7088</v>
      </c>
      <c r="AD176" t="n">
        <v>-14657.2715</v>
      </c>
      <c r="AE176" t="n">
        <v>121341.8443</v>
      </c>
      <c r="AF176" t="n">
        <v>0.99</v>
      </c>
      <c r="AG176" t="inlineStr">
        <is>
          <t>Medium</t>
        </is>
      </c>
      <c r="AH176" t="inlineStr">
        <is>
          <t>On Track to Glide Path</t>
        </is>
      </c>
    </row>
    <row r="177">
      <c r="A177" t="inlineStr">
        <is>
          <t>SUP-0011</t>
        </is>
      </c>
      <c r="B177" t="inlineStr">
        <is>
          <t>Agriculture Supplier 011</t>
        </is>
      </c>
      <c r="C177" t="inlineStr">
        <is>
          <t>Agriculture</t>
        </is>
      </c>
      <c r="D177" t="n">
        <v>2024</v>
      </c>
      <c r="E177" t="n">
        <v>2020</v>
      </c>
      <c r="F177" t="n">
        <v>2040</v>
      </c>
      <c r="G177" t="n">
        <v>8620.5301</v>
      </c>
      <c r="H177" t="n">
        <v>1962.8937</v>
      </c>
      <c r="I177" t="n">
        <v>1129.2387</v>
      </c>
      <c r="J177" t="inlineStr"/>
      <c r="K177" t="n">
        <v>9452299.33</v>
      </c>
      <c r="L177" t="n">
        <v>14891854.76</v>
      </c>
      <c r="M177" t="n">
        <v>8620.5301</v>
      </c>
      <c r="N177" t="inlineStr">
        <is>
          <t>Supplier Reported Emissions</t>
        </is>
      </c>
      <c r="O177" t="b">
        <v>0</v>
      </c>
      <c r="P177" t="inlineStr">
        <is>
          <t>High</t>
        </is>
      </c>
      <c r="Q177" t="inlineStr">
        <is>
          <t>Scope_Emissions</t>
        </is>
      </c>
      <c r="R177" t="inlineStr">
        <is>
          <t>Valid</t>
        </is>
      </c>
      <c r="S177" t="n">
        <v>2040</v>
      </c>
      <c r="T177" t="inlineStr">
        <is>
          <t>Supplier Target Pathway</t>
        </is>
      </c>
      <c r="U177" t="n">
        <v>10221.962</v>
      </c>
      <c r="V177" t="n">
        <v>6667.7858</v>
      </c>
      <c r="W177" t="n">
        <v>6667.7858</v>
      </c>
      <c r="X177" t="n">
        <v>6667.7858</v>
      </c>
      <c r="Y177" t="n">
        <v>3554.1762</v>
      </c>
      <c r="Z177" t="n">
        <v>0.00070541</v>
      </c>
      <c r="AA177" t="n">
        <v>0.3477</v>
      </c>
      <c r="AB177" t="n">
        <v>0</v>
      </c>
      <c r="AC177" t="n">
        <v>177.7088</v>
      </c>
      <c r="AD177" t="n">
        <v>-21325.0573</v>
      </c>
      <c r="AE177" t="n">
        <v>128009.6301</v>
      </c>
      <c r="AF177" t="n">
        <v>0.99</v>
      </c>
      <c r="AG177" t="inlineStr">
        <is>
          <t>Low</t>
        </is>
      </c>
      <c r="AH177" t="inlineStr">
        <is>
          <t>On Track</t>
        </is>
      </c>
    </row>
    <row r="178">
      <c r="A178" t="inlineStr">
        <is>
          <t>SUP-0012</t>
        </is>
      </c>
      <c r="B178" t="inlineStr">
        <is>
          <t>Textiles Supplier 012</t>
        </is>
      </c>
      <c r="C178" t="inlineStr">
        <is>
          <t>Textiles</t>
        </is>
      </c>
      <c r="D178" t="n">
        <v>2024</v>
      </c>
      <c r="E178" t="n">
        <v>2015</v>
      </c>
      <c r="F178" t="n">
        <v>2030</v>
      </c>
      <c r="G178" t="inlineStr"/>
      <c r="H178" t="n">
        <v>892.7094</v>
      </c>
      <c r="I178" t="inlineStr"/>
      <c r="J178" t="n">
        <v>2640.714</v>
      </c>
      <c r="K178" t="n">
        <v>21655788.06</v>
      </c>
      <c r="L178" t="n">
        <v>146539952.95</v>
      </c>
      <c r="M178" t="n">
        <v>6328.0378</v>
      </c>
      <c r="N178" t="inlineStr">
        <is>
          <t>Spend-Based Estimate</t>
        </is>
      </c>
      <c r="O178" t="b">
        <v>1</v>
      </c>
      <c r="P178" t="inlineStr">
        <is>
          <t>Medium</t>
        </is>
      </c>
      <c r="Q178" t="inlineStr">
        <is>
          <t>Reported_Emissions; Scope_Emissions</t>
        </is>
      </c>
      <c r="R178" t="inlineStr">
        <is>
          <t>Valid</t>
        </is>
      </c>
      <c r="S178" t="n">
        <v>2025</v>
      </c>
      <c r="T178" t="inlineStr">
        <is>
          <t>Industry Haircut Pathway</t>
        </is>
      </c>
      <c r="U178" t="n">
        <v>4123.5761</v>
      </c>
      <c r="V178" t="n">
        <v>2815.9901</v>
      </c>
      <c r="W178" t="n">
        <v>3251.8521</v>
      </c>
      <c r="X178" t="n">
        <v>3251.8521</v>
      </c>
      <c r="Y178" t="n">
        <v>871.724</v>
      </c>
      <c r="Z178" t="n">
        <v>0.00015016</v>
      </c>
      <c r="AA178" t="n">
        <v>0.2114</v>
      </c>
      <c r="AB178" t="n">
        <v>435.862</v>
      </c>
      <c r="AC178" t="n">
        <v>87.1724</v>
      </c>
      <c r="AD178" t="n">
        <v>13644.0885</v>
      </c>
      <c r="AE178" t="n">
        <v>3251.8521</v>
      </c>
      <c r="AF178" t="n">
        <v>0.861</v>
      </c>
      <c r="AG178" t="inlineStr">
        <is>
          <t>High</t>
        </is>
      </c>
      <c r="AH178" t="inlineStr">
        <is>
          <t>On Track to Glide Path</t>
        </is>
      </c>
    </row>
    <row r="179">
      <c r="A179" t="inlineStr">
        <is>
          <t>SUP-0012</t>
        </is>
      </c>
      <c r="B179" t="inlineStr">
        <is>
          <t>Textiles Supplier 012</t>
        </is>
      </c>
      <c r="C179" t="inlineStr">
        <is>
          <t>Textiles</t>
        </is>
      </c>
      <c r="D179" t="n">
        <v>2024</v>
      </c>
      <c r="E179" t="n">
        <v>2015</v>
      </c>
      <c r="F179" t="n">
        <v>2030</v>
      </c>
      <c r="G179" t="inlineStr"/>
      <c r="H179" t="n">
        <v>892.7094</v>
      </c>
      <c r="I179" t="inlineStr"/>
      <c r="J179" t="n">
        <v>2640.714</v>
      </c>
      <c r="K179" t="n">
        <v>21655788.06</v>
      </c>
      <c r="L179" t="n">
        <v>146539952.95</v>
      </c>
      <c r="M179" t="n">
        <v>6328.0378</v>
      </c>
      <c r="N179" t="inlineStr">
        <is>
          <t>Spend-Based Estimate</t>
        </is>
      </c>
      <c r="O179" t="b">
        <v>1</v>
      </c>
      <c r="P179" t="inlineStr">
        <is>
          <t>Medium</t>
        </is>
      </c>
      <c r="Q179" t="inlineStr">
        <is>
          <t>Reported_Emissions; Scope_Emissions</t>
        </is>
      </c>
      <c r="R179" t="inlineStr">
        <is>
          <t>Valid</t>
        </is>
      </c>
      <c r="S179" t="n">
        <v>2026</v>
      </c>
      <c r="T179" t="inlineStr">
        <is>
          <t>Industry Haircut Pathway</t>
        </is>
      </c>
      <c r="U179" t="n">
        <v>4123.5761</v>
      </c>
      <c r="V179" t="n">
        <v>2815.9901</v>
      </c>
      <c r="W179" t="n">
        <v>3164.6797</v>
      </c>
      <c r="X179" t="n">
        <v>3164.6797</v>
      </c>
      <c r="Y179" t="n">
        <v>958.8964</v>
      </c>
      <c r="Z179" t="n">
        <v>0.00014614</v>
      </c>
      <c r="AA179" t="n">
        <v>0.23254</v>
      </c>
      <c r="AB179" t="n">
        <v>348.6896</v>
      </c>
      <c r="AC179" t="n">
        <v>87.1724</v>
      </c>
      <c r="AD179" t="n">
        <v>10479.4088</v>
      </c>
      <c r="AE179" t="n">
        <v>6416.5318</v>
      </c>
      <c r="AF179" t="n">
        <v>0.861</v>
      </c>
      <c r="AG179" t="inlineStr">
        <is>
          <t>Medium</t>
        </is>
      </c>
      <c r="AH179" t="inlineStr">
        <is>
          <t>On Track to Glide Path</t>
        </is>
      </c>
    </row>
    <row r="180">
      <c r="A180" t="inlineStr">
        <is>
          <t>SUP-0012</t>
        </is>
      </c>
      <c r="B180" t="inlineStr">
        <is>
          <t>Textiles Supplier 012</t>
        </is>
      </c>
      <c r="C180" t="inlineStr">
        <is>
          <t>Textiles</t>
        </is>
      </c>
      <c r="D180" t="n">
        <v>2024</v>
      </c>
      <c r="E180" t="n">
        <v>2015</v>
      </c>
      <c r="F180" t="n">
        <v>2030</v>
      </c>
      <c r="G180" t="inlineStr"/>
      <c r="H180" t="n">
        <v>892.7094</v>
      </c>
      <c r="I180" t="inlineStr"/>
      <c r="J180" t="n">
        <v>2640.714</v>
      </c>
      <c r="K180" t="n">
        <v>21655788.06</v>
      </c>
      <c r="L180" t="n">
        <v>146539952.95</v>
      </c>
      <c r="M180" t="n">
        <v>6328.0378</v>
      </c>
      <c r="N180" t="inlineStr">
        <is>
          <t>Spend-Based Estimate</t>
        </is>
      </c>
      <c r="O180" t="b">
        <v>1</v>
      </c>
      <c r="P180" t="inlineStr">
        <is>
          <t>Medium</t>
        </is>
      </c>
      <c r="Q180" t="inlineStr">
        <is>
          <t>Reported_Emissions; Scope_Emissions</t>
        </is>
      </c>
      <c r="R180" t="inlineStr">
        <is>
          <t>Valid</t>
        </is>
      </c>
      <c r="S180" t="n">
        <v>2027</v>
      </c>
      <c r="T180" t="inlineStr">
        <is>
          <t>Industry Haircut Pathway</t>
        </is>
      </c>
      <c r="U180" t="n">
        <v>4123.5761</v>
      </c>
      <c r="V180" t="n">
        <v>2815.9901</v>
      </c>
      <c r="W180" t="n">
        <v>3077.5073</v>
      </c>
      <c r="X180" t="n">
        <v>3077.5073</v>
      </c>
      <c r="Y180" t="n">
        <v>1046.0688</v>
      </c>
      <c r="Z180" t="n">
        <v>0.00014211</v>
      </c>
      <c r="AA180" t="n">
        <v>0.25368</v>
      </c>
      <c r="AB180" t="n">
        <v>261.5172</v>
      </c>
      <c r="AC180" t="n">
        <v>87.1724</v>
      </c>
      <c r="AD180" t="n">
        <v>7401.9015</v>
      </c>
      <c r="AE180" t="n">
        <v>9494.0391</v>
      </c>
      <c r="AF180" t="n">
        <v>0.861</v>
      </c>
      <c r="AG180" t="inlineStr">
        <is>
          <t>Medium</t>
        </is>
      </c>
      <c r="AH180" t="inlineStr">
        <is>
          <t>On Track to Glide Path</t>
        </is>
      </c>
    </row>
    <row r="181">
      <c r="A181" t="inlineStr">
        <is>
          <t>SUP-0012</t>
        </is>
      </c>
      <c r="B181" t="inlineStr">
        <is>
          <t>Textiles Supplier 012</t>
        </is>
      </c>
      <c r="C181" t="inlineStr">
        <is>
          <t>Textiles</t>
        </is>
      </c>
      <c r="D181" t="n">
        <v>2024</v>
      </c>
      <c r="E181" t="n">
        <v>2015</v>
      </c>
      <c r="F181" t="n">
        <v>2030</v>
      </c>
      <c r="G181" t="inlineStr"/>
      <c r="H181" t="n">
        <v>892.7094</v>
      </c>
      <c r="I181" t="inlineStr"/>
      <c r="J181" t="n">
        <v>2640.714</v>
      </c>
      <c r="K181" t="n">
        <v>21655788.06</v>
      </c>
      <c r="L181" t="n">
        <v>146539952.95</v>
      </c>
      <c r="M181" t="n">
        <v>6328.0378</v>
      </c>
      <c r="N181" t="inlineStr">
        <is>
          <t>Spend-Based Estimate</t>
        </is>
      </c>
      <c r="O181" t="b">
        <v>1</v>
      </c>
      <c r="P181" t="inlineStr">
        <is>
          <t>Medium</t>
        </is>
      </c>
      <c r="Q181" t="inlineStr">
        <is>
          <t>Reported_Emissions; Scope_Emissions</t>
        </is>
      </c>
      <c r="R181" t="inlineStr">
        <is>
          <t>Valid</t>
        </is>
      </c>
      <c r="S181" t="n">
        <v>2028</v>
      </c>
      <c r="T181" t="inlineStr">
        <is>
          <t>Industry Haircut Pathway</t>
        </is>
      </c>
      <c r="U181" t="n">
        <v>4123.5761</v>
      </c>
      <c r="V181" t="n">
        <v>2815.9901</v>
      </c>
      <c r="W181" t="n">
        <v>2990.3349</v>
      </c>
      <c r="X181" t="n">
        <v>2990.3349</v>
      </c>
      <c r="Y181" t="n">
        <v>1133.2412</v>
      </c>
      <c r="Z181" t="n">
        <v>0.00013808</v>
      </c>
      <c r="AA181" t="n">
        <v>0.27482</v>
      </c>
      <c r="AB181" t="n">
        <v>174.3448</v>
      </c>
      <c r="AC181" t="n">
        <v>87.1724</v>
      </c>
      <c r="AD181" t="n">
        <v>4411.5666</v>
      </c>
      <c r="AE181" t="n">
        <v>12484.374</v>
      </c>
      <c r="AF181" t="n">
        <v>0.861</v>
      </c>
      <c r="AG181" t="inlineStr">
        <is>
          <t>Medium</t>
        </is>
      </c>
      <c r="AH181" t="inlineStr">
        <is>
          <t>On Track to Glide Path</t>
        </is>
      </c>
    </row>
    <row r="182">
      <c r="A182" t="inlineStr">
        <is>
          <t>SUP-0012</t>
        </is>
      </c>
      <c r="B182" t="inlineStr">
        <is>
          <t>Textiles Supplier 012</t>
        </is>
      </c>
      <c r="C182" t="inlineStr">
        <is>
          <t>Textiles</t>
        </is>
      </c>
      <c r="D182" t="n">
        <v>2024</v>
      </c>
      <c r="E182" t="n">
        <v>2015</v>
      </c>
      <c r="F182" t="n">
        <v>2030</v>
      </c>
      <c r="G182" t="inlineStr"/>
      <c r="H182" t="n">
        <v>892.7094</v>
      </c>
      <c r="I182" t="inlineStr"/>
      <c r="J182" t="n">
        <v>2640.714</v>
      </c>
      <c r="K182" t="n">
        <v>21655788.06</v>
      </c>
      <c r="L182" t="n">
        <v>146539952.95</v>
      </c>
      <c r="M182" t="n">
        <v>6328.0378</v>
      </c>
      <c r="N182" t="inlineStr">
        <is>
          <t>Spend-Based Estimate</t>
        </is>
      </c>
      <c r="O182" t="b">
        <v>1</v>
      </c>
      <c r="P182" t="inlineStr">
        <is>
          <t>Medium</t>
        </is>
      </c>
      <c r="Q182" t="inlineStr">
        <is>
          <t>Reported_Emissions; Scope_Emissions</t>
        </is>
      </c>
      <c r="R182" t="inlineStr">
        <is>
          <t>Valid</t>
        </is>
      </c>
      <c r="S182" t="n">
        <v>2029</v>
      </c>
      <c r="T182" t="inlineStr">
        <is>
          <t>Industry Haircut Pathway</t>
        </is>
      </c>
      <c r="U182" t="n">
        <v>4123.5761</v>
      </c>
      <c r="V182" t="n">
        <v>2815.9901</v>
      </c>
      <c r="W182" t="n">
        <v>2903.1625</v>
      </c>
      <c r="X182" t="n">
        <v>2903.1625</v>
      </c>
      <c r="Y182" t="n">
        <v>1220.4136</v>
      </c>
      <c r="Z182" t="n">
        <v>0.00013406</v>
      </c>
      <c r="AA182" t="n">
        <v>0.29596</v>
      </c>
      <c r="AB182" t="n">
        <v>87.1724</v>
      </c>
      <c r="AC182" t="n">
        <v>87.1724</v>
      </c>
      <c r="AD182" t="n">
        <v>1508.4041</v>
      </c>
      <c r="AE182" t="n">
        <v>15387.5365</v>
      </c>
      <c r="AF182" t="n">
        <v>0.861</v>
      </c>
      <c r="AG182" t="inlineStr">
        <is>
          <t>Medium</t>
        </is>
      </c>
      <c r="AH182" t="inlineStr">
        <is>
          <t>On Track to Glide Path</t>
        </is>
      </c>
    </row>
    <row r="183">
      <c r="A183" t="inlineStr">
        <is>
          <t>SUP-0012</t>
        </is>
      </c>
      <c r="B183" t="inlineStr">
        <is>
          <t>Textiles Supplier 012</t>
        </is>
      </c>
      <c r="C183" t="inlineStr">
        <is>
          <t>Textiles</t>
        </is>
      </c>
      <c r="D183" t="n">
        <v>2024</v>
      </c>
      <c r="E183" t="n">
        <v>2015</v>
      </c>
      <c r="F183" t="n">
        <v>2030</v>
      </c>
      <c r="G183" t="inlineStr"/>
      <c r="H183" t="n">
        <v>892.7094</v>
      </c>
      <c r="I183" t="inlineStr"/>
      <c r="J183" t="n">
        <v>2640.714</v>
      </c>
      <c r="K183" t="n">
        <v>21655788.06</v>
      </c>
      <c r="L183" t="n">
        <v>146539952.95</v>
      </c>
      <c r="M183" t="n">
        <v>6328.0378</v>
      </c>
      <c r="N183" t="inlineStr">
        <is>
          <t>Spend-Based Estimate</t>
        </is>
      </c>
      <c r="O183" t="b">
        <v>1</v>
      </c>
      <c r="P183" t="inlineStr">
        <is>
          <t>Medium</t>
        </is>
      </c>
      <c r="Q183" t="inlineStr">
        <is>
          <t>Reported_Emissions; Scope_Emissions</t>
        </is>
      </c>
      <c r="R183" t="inlineStr">
        <is>
          <t>Valid</t>
        </is>
      </c>
      <c r="S183" t="n">
        <v>2030</v>
      </c>
      <c r="T183" t="inlineStr">
        <is>
          <t>Industry Haircut Pathway</t>
        </is>
      </c>
      <c r="U183" t="n">
        <v>4123.5761</v>
      </c>
      <c r="V183" t="n">
        <v>2815.9901</v>
      </c>
      <c r="W183" t="n">
        <v>2815.9901</v>
      </c>
      <c r="X183" t="n">
        <v>2815.9901</v>
      </c>
      <c r="Y183" t="n">
        <v>1307.586</v>
      </c>
      <c r="Z183" t="n">
        <v>0.00013003</v>
      </c>
      <c r="AA183" t="n">
        <v>0.3171</v>
      </c>
      <c r="AB183" t="n">
        <v>0</v>
      </c>
      <c r="AC183" t="n">
        <v>87.1724</v>
      </c>
      <c r="AD183" t="n">
        <v>-1307.586</v>
      </c>
      <c r="AE183" t="n">
        <v>18203.5266</v>
      </c>
      <c r="AF183" t="n">
        <v>0.861</v>
      </c>
      <c r="AG183" t="inlineStr">
        <is>
          <t>Low</t>
        </is>
      </c>
      <c r="AH183" t="inlineStr">
        <is>
          <t>On Track</t>
        </is>
      </c>
    </row>
    <row r="184">
      <c r="A184" t="inlineStr">
        <is>
          <t>SUP-0012</t>
        </is>
      </c>
      <c r="B184" t="inlineStr">
        <is>
          <t>Textiles Supplier 012</t>
        </is>
      </c>
      <c r="C184" t="inlineStr">
        <is>
          <t>Textiles</t>
        </is>
      </c>
      <c r="D184" t="n">
        <v>2024</v>
      </c>
      <c r="E184" t="n">
        <v>2015</v>
      </c>
      <c r="F184" t="n">
        <v>2030</v>
      </c>
      <c r="G184" t="inlineStr"/>
      <c r="H184" t="n">
        <v>892.7094</v>
      </c>
      <c r="I184" t="inlineStr"/>
      <c r="J184" t="n">
        <v>2640.714</v>
      </c>
      <c r="K184" t="n">
        <v>21655788.06</v>
      </c>
      <c r="L184" t="n">
        <v>146539952.95</v>
      </c>
      <c r="M184" t="n">
        <v>6328.0378</v>
      </c>
      <c r="N184" t="inlineStr">
        <is>
          <t>Spend-Based Estimate</t>
        </is>
      </c>
      <c r="O184" t="b">
        <v>1</v>
      </c>
      <c r="P184" t="inlineStr">
        <is>
          <t>Medium</t>
        </is>
      </c>
      <c r="Q184" t="inlineStr">
        <is>
          <t>Reported_Emissions; Scope_Emissions</t>
        </is>
      </c>
      <c r="R184" t="inlineStr">
        <is>
          <t>Valid</t>
        </is>
      </c>
      <c r="S184" t="n">
        <v>2031</v>
      </c>
      <c r="T184" t="inlineStr">
        <is>
          <t>Industry Haircut Pathway</t>
        </is>
      </c>
      <c r="U184" t="n">
        <v>4123.5761</v>
      </c>
      <c r="V184" t="n">
        <v>2815.9901</v>
      </c>
      <c r="W184" t="n">
        <v>2815.9901</v>
      </c>
      <c r="X184" t="n">
        <v>2815.9901</v>
      </c>
      <c r="Y184" t="n">
        <v>1307.586</v>
      </c>
      <c r="Z184" t="n">
        <v>0.00013003</v>
      </c>
      <c r="AA184" t="n">
        <v>0.3171</v>
      </c>
      <c r="AB184" t="n">
        <v>0</v>
      </c>
      <c r="AC184" t="n">
        <v>87.1724</v>
      </c>
      <c r="AD184" t="n">
        <v>-4123.5761</v>
      </c>
      <c r="AE184" t="n">
        <v>21019.5167</v>
      </c>
      <c r="AF184" t="n">
        <v>0.861</v>
      </c>
      <c r="AG184" t="inlineStr">
        <is>
          <t>Low</t>
        </is>
      </c>
      <c r="AH184" t="inlineStr">
        <is>
          <t>On Track</t>
        </is>
      </c>
    </row>
    <row r="185">
      <c r="A185" t="inlineStr">
        <is>
          <t>SUP-0012</t>
        </is>
      </c>
      <c r="B185" t="inlineStr">
        <is>
          <t>Textiles Supplier 012</t>
        </is>
      </c>
      <c r="C185" t="inlineStr">
        <is>
          <t>Textiles</t>
        </is>
      </c>
      <c r="D185" t="n">
        <v>2024</v>
      </c>
      <c r="E185" t="n">
        <v>2015</v>
      </c>
      <c r="F185" t="n">
        <v>2030</v>
      </c>
      <c r="G185" t="inlineStr"/>
      <c r="H185" t="n">
        <v>892.7094</v>
      </c>
      <c r="I185" t="inlineStr"/>
      <c r="J185" t="n">
        <v>2640.714</v>
      </c>
      <c r="K185" t="n">
        <v>21655788.06</v>
      </c>
      <c r="L185" t="n">
        <v>146539952.95</v>
      </c>
      <c r="M185" t="n">
        <v>6328.0378</v>
      </c>
      <c r="N185" t="inlineStr">
        <is>
          <t>Spend-Based Estimate</t>
        </is>
      </c>
      <c r="O185" t="b">
        <v>1</v>
      </c>
      <c r="P185" t="inlineStr">
        <is>
          <t>Medium</t>
        </is>
      </c>
      <c r="Q185" t="inlineStr">
        <is>
          <t>Reported_Emissions; Scope_Emissions</t>
        </is>
      </c>
      <c r="R185" t="inlineStr">
        <is>
          <t>Valid</t>
        </is>
      </c>
      <c r="S185" t="n">
        <v>2032</v>
      </c>
      <c r="T185" t="inlineStr">
        <is>
          <t>Industry Haircut Pathway</t>
        </is>
      </c>
      <c r="U185" t="n">
        <v>4123.5761</v>
      </c>
      <c r="V185" t="n">
        <v>2815.9901</v>
      </c>
      <c r="W185" t="n">
        <v>2815.9901</v>
      </c>
      <c r="X185" t="n">
        <v>2815.9901</v>
      </c>
      <c r="Y185" t="n">
        <v>1307.586</v>
      </c>
      <c r="Z185" t="n">
        <v>0.00013003</v>
      </c>
      <c r="AA185" t="n">
        <v>0.3171</v>
      </c>
      <c r="AB185" t="n">
        <v>0</v>
      </c>
      <c r="AC185" t="n">
        <v>87.1724</v>
      </c>
      <c r="AD185" t="n">
        <v>-6939.5662</v>
      </c>
      <c r="AE185" t="n">
        <v>23835.5068</v>
      </c>
      <c r="AF185" t="n">
        <v>0.861</v>
      </c>
      <c r="AG185" t="inlineStr">
        <is>
          <t>Low</t>
        </is>
      </c>
      <c r="AH185" t="inlineStr">
        <is>
          <t>On Track</t>
        </is>
      </c>
    </row>
    <row r="186">
      <c r="A186" t="inlineStr">
        <is>
          <t>SUP-0012</t>
        </is>
      </c>
      <c r="B186" t="inlineStr">
        <is>
          <t>Textiles Supplier 012</t>
        </is>
      </c>
      <c r="C186" t="inlineStr">
        <is>
          <t>Textiles</t>
        </is>
      </c>
      <c r="D186" t="n">
        <v>2024</v>
      </c>
      <c r="E186" t="n">
        <v>2015</v>
      </c>
      <c r="F186" t="n">
        <v>2030</v>
      </c>
      <c r="G186" t="inlineStr"/>
      <c r="H186" t="n">
        <v>892.7094</v>
      </c>
      <c r="I186" t="inlineStr"/>
      <c r="J186" t="n">
        <v>2640.714</v>
      </c>
      <c r="K186" t="n">
        <v>21655788.06</v>
      </c>
      <c r="L186" t="n">
        <v>146539952.95</v>
      </c>
      <c r="M186" t="n">
        <v>6328.0378</v>
      </c>
      <c r="N186" t="inlineStr">
        <is>
          <t>Spend-Based Estimate</t>
        </is>
      </c>
      <c r="O186" t="b">
        <v>1</v>
      </c>
      <c r="P186" t="inlineStr">
        <is>
          <t>Medium</t>
        </is>
      </c>
      <c r="Q186" t="inlineStr">
        <is>
          <t>Reported_Emissions; Scope_Emissions</t>
        </is>
      </c>
      <c r="R186" t="inlineStr">
        <is>
          <t>Valid</t>
        </is>
      </c>
      <c r="S186" t="n">
        <v>2033</v>
      </c>
      <c r="T186" t="inlineStr">
        <is>
          <t>Industry Haircut Pathway</t>
        </is>
      </c>
      <c r="U186" t="n">
        <v>4123.5761</v>
      </c>
      <c r="V186" t="n">
        <v>2815.9901</v>
      </c>
      <c r="W186" t="n">
        <v>2815.9901</v>
      </c>
      <c r="X186" t="n">
        <v>2815.9901</v>
      </c>
      <c r="Y186" t="n">
        <v>1307.586</v>
      </c>
      <c r="Z186" t="n">
        <v>0.00013003</v>
      </c>
      <c r="AA186" t="n">
        <v>0.3171</v>
      </c>
      <c r="AB186" t="n">
        <v>0</v>
      </c>
      <c r="AC186" t="n">
        <v>87.1724</v>
      </c>
      <c r="AD186" t="n">
        <v>-9755.5563</v>
      </c>
      <c r="AE186" t="n">
        <v>26651.4969</v>
      </c>
      <c r="AF186" t="n">
        <v>0.861</v>
      </c>
      <c r="AG186" t="inlineStr">
        <is>
          <t>Low</t>
        </is>
      </c>
      <c r="AH186" t="inlineStr">
        <is>
          <t>On Track</t>
        </is>
      </c>
    </row>
    <row r="187">
      <c r="A187" t="inlineStr">
        <is>
          <t>SUP-0012</t>
        </is>
      </c>
      <c r="B187" t="inlineStr">
        <is>
          <t>Textiles Supplier 012</t>
        </is>
      </c>
      <c r="C187" t="inlineStr">
        <is>
          <t>Textiles</t>
        </is>
      </c>
      <c r="D187" t="n">
        <v>2024</v>
      </c>
      <c r="E187" t="n">
        <v>2015</v>
      </c>
      <c r="F187" t="n">
        <v>2030</v>
      </c>
      <c r="G187" t="inlineStr"/>
      <c r="H187" t="n">
        <v>892.7094</v>
      </c>
      <c r="I187" t="inlineStr"/>
      <c r="J187" t="n">
        <v>2640.714</v>
      </c>
      <c r="K187" t="n">
        <v>21655788.06</v>
      </c>
      <c r="L187" t="n">
        <v>146539952.95</v>
      </c>
      <c r="M187" t="n">
        <v>6328.0378</v>
      </c>
      <c r="N187" t="inlineStr">
        <is>
          <t>Spend-Based Estimate</t>
        </is>
      </c>
      <c r="O187" t="b">
        <v>1</v>
      </c>
      <c r="P187" t="inlineStr">
        <is>
          <t>Medium</t>
        </is>
      </c>
      <c r="Q187" t="inlineStr">
        <is>
          <t>Reported_Emissions; Scope_Emissions</t>
        </is>
      </c>
      <c r="R187" t="inlineStr">
        <is>
          <t>Valid</t>
        </is>
      </c>
      <c r="S187" t="n">
        <v>2034</v>
      </c>
      <c r="T187" t="inlineStr">
        <is>
          <t>Industry Haircut Pathway</t>
        </is>
      </c>
      <c r="U187" t="n">
        <v>4123.5761</v>
      </c>
      <c r="V187" t="n">
        <v>2815.9901</v>
      </c>
      <c r="W187" t="n">
        <v>2815.9901</v>
      </c>
      <c r="X187" t="n">
        <v>2815.9901</v>
      </c>
      <c r="Y187" t="n">
        <v>1307.586</v>
      </c>
      <c r="Z187" t="n">
        <v>0.00013003</v>
      </c>
      <c r="AA187" t="n">
        <v>0.3171</v>
      </c>
      <c r="AB187" t="n">
        <v>0</v>
      </c>
      <c r="AC187" t="n">
        <v>87.1724</v>
      </c>
      <c r="AD187" t="n">
        <v>-12571.5464</v>
      </c>
      <c r="AE187" t="n">
        <v>29467.487</v>
      </c>
      <c r="AF187" t="n">
        <v>0.861</v>
      </c>
      <c r="AG187" t="inlineStr">
        <is>
          <t>Low</t>
        </is>
      </c>
      <c r="AH187" t="inlineStr">
        <is>
          <t>On Track</t>
        </is>
      </c>
    </row>
    <row r="188">
      <c r="A188" t="inlineStr">
        <is>
          <t>SUP-0012</t>
        </is>
      </c>
      <c r="B188" t="inlineStr">
        <is>
          <t>Textiles Supplier 012</t>
        </is>
      </c>
      <c r="C188" t="inlineStr">
        <is>
          <t>Textiles</t>
        </is>
      </c>
      <c r="D188" t="n">
        <v>2024</v>
      </c>
      <c r="E188" t="n">
        <v>2015</v>
      </c>
      <c r="F188" t="n">
        <v>2030</v>
      </c>
      <c r="G188" t="inlineStr"/>
      <c r="H188" t="n">
        <v>892.7094</v>
      </c>
      <c r="I188" t="inlineStr"/>
      <c r="J188" t="n">
        <v>2640.714</v>
      </c>
      <c r="K188" t="n">
        <v>21655788.06</v>
      </c>
      <c r="L188" t="n">
        <v>146539952.95</v>
      </c>
      <c r="M188" t="n">
        <v>6328.0378</v>
      </c>
      <c r="N188" t="inlineStr">
        <is>
          <t>Spend-Based Estimate</t>
        </is>
      </c>
      <c r="O188" t="b">
        <v>1</v>
      </c>
      <c r="P188" t="inlineStr">
        <is>
          <t>Medium</t>
        </is>
      </c>
      <c r="Q188" t="inlineStr">
        <is>
          <t>Reported_Emissions; Scope_Emissions</t>
        </is>
      </c>
      <c r="R188" t="inlineStr">
        <is>
          <t>Valid</t>
        </is>
      </c>
      <c r="S188" t="n">
        <v>2035</v>
      </c>
      <c r="T188" t="inlineStr">
        <is>
          <t>Industry Haircut Pathway</t>
        </is>
      </c>
      <c r="U188" t="n">
        <v>4123.5761</v>
      </c>
      <c r="V188" t="n">
        <v>2815.9901</v>
      </c>
      <c r="W188" t="n">
        <v>2815.9901</v>
      </c>
      <c r="X188" t="n">
        <v>2815.9901</v>
      </c>
      <c r="Y188" t="n">
        <v>1307.586</v>
      </c>
      <c r="Z188" t="n">
        <v>0.00013003</v>
      </c>
      <c r="AA188" t="n">
        <v>0.3171</v>
      </c>
      <c r="AB188" t="n">
        <v>0</v>
      </c>
      <c r="AC188" t="n">
        <v>87.1724</v>
      </c>
      <c r="AD188" t="n">
        <v>-15387.5365</v>
      </c>
      <c r="AE188" t="n">
        <v>32283.4771</v>
      </c>
      <c r="AF188" t="n">
        <v>0.861</v>
      </c>
      <c r="AG188" t="inlineStr">
        <is>
          <t>Low</t>
        </is>
      </c>
      <c r="AH188" t="inlineStr">
        <is>
          <t>On Track</t>
        </is>
      </c>
    </row>
    <row r="189">
      <c r="A189" t="inlineStr">
        <is>
          <t>SUP-0012</t>
        </is>
      </c>
      <c r="B189" t="inlineStr">
        <is>
          <t>Textiles Supplier 012</t>
        </is>
      </c>
      <c r="C189" t="inlineStr">
        <is>
          <t>Textiles</t>
        </is>
      </c>
      <c r="D189" t="n">
        <v>2024</v>
      </c>
      <c r="E189" t="n">
        <v>2015</v>
      </c>
      <c r="F189" t="n">
        <v>2030</v>
      </c>
      <c r="G189" t="inlineStr"/>
      <c r="H189" t="n">
        <v>892.7094</v>
      </c>
      <c r="I189" t="inlineStr"/>
      <c r="J189" t="n">
        <v>2640.714</v>
      </c>
      <c r="K189" t="n">
        <v>21655788.06</v>
      </c>
      <c r="L189" t="n">
        <v>146539952.95</v>
      </c>
      <c r="M189" t="n">
        <v>6328.0378</v>
      </c>
      <c r="N189" t="inlineStr">
        <is>
          <t>Spend-Based Estimate</t>
        </is>
      </c>
      <c r="O189" t="b">
        <v>1</v>
      </c>
      <c r="P189" t="inlineStr">
        <is>
          <t>Medium</t>
        </is>
      </c>
      <c r="Q189" t="inlineStr">
        <is>
          <t>Reported_Emissions; Scope_Emissions</t>
        </is>
      </c>
      <c r="R189" t="inlineStr">
        <is>
          <t>Valid</t>
        </is>
      </c>
      <c r="S189" t="n">
        <v>2036</v>
      </c>
      <c r="T189" t="inlineStr">
        <is>
          <t>Industry Haircut Pathway</t>
        </is>
      </c>
      <c r="U189" t="n">
        <v>4123.5761</v>
      </c>
      <c r="V189" t="n">
        <v>2815.9901</v>
      </c>
      <c r="W189" t="n">
        <v>2815.9901</v>
      </c>
      <c r="X189" t="n">
        <v>2815.9901</v>
      </c>
      <c r="Y189" t="n">
        <v>1307.586</v>
      </c>
      <c r="Z189" t="n">
        <v>0.00013003</v>
      </c>
      <c r="AA189" t="n">
        <v>0.3171</v>
      </c>
      <c r="AB189" t="n">
        <v>0</v>
      </c>
      <c r="AC189" t="n">
        <v>87.1724</v>
      </c>
      <c r="AD189" t="n">
        <v>-18203.5266</v>
      </c>
      <c r="AE189" t="n">
        <v>35099.4672</v>
      </c>
      <c r="AF189" t="n">
        <v>0.861</v>
      </c>
      <c r="AG189" t="inlineStr">
        <is>
          <t>Low</t>
        </is>
      </c>
      <c r="AH189" t="inlineStr">
        <is>
          <t>On Track</t>
        </is>
      </c>
    </row>
    <row r="190">
      <c r="A190" t="inlineStr">
        <is>
          <t>SUP-0012</t>
        </is>
      </c>
      <c r="B190" t="inlineStr">
        <is>
          <t>Textiles Supplier 012</t>
        </is>
      </c>
      <c r="C190" t="inlineStr">
        <is>
          <t>Textiles</t>
        </is>
      </c>
      <c r="D190" t="n">
        <v>2024</v>
      </c>
      <c r="E190" t="n">
        <v>2015</v>
      </c>
      <c r="F190" t="n">
        <v>2030</v>
      </c>
      <c r="G190" t="inlineStr"/>
      <c r="H190" t="n">
        <v>892.7094</v>
      </c>
      <c r="I190" t="inlineStr"/>
      <c r="J190" t="n">
        <v>2640.714</v>
      </c>
      <c r="K190" t="n">
        <v>21655788.06</v>
      </c>
      <c r="L190" t="n">
        <v>146539952.95</v>
      </c>
      <c r="M190" t="n">
        <v>6328.0378</v>
      </c>
      <c r="N190" t="inlineStr">
        <is>
          <t>Spend-Based Estimate</t>
        </is>
      </c>
      <c r="O190" t="b">
        <v>1</v>
      </c>
      <c r="P190" t="inlineStr">
        <is>
          <t>Medium</t>
        </is>
      </c>
      <c r="Q190" t="inlineStr">
        <is>
          <t>Reported_Emissions; Scope_Emissions</t>
        </is>
      </c>
      <c r="R190" t="inlineStr">
        <is>
          <t>Valid</t>
        </is>
      </c>
      <c r="S190" t="n">
        <v>2037</v>
      </c>
      <c r="T190" t="inlineStr">
        <is>
          <t>Industry Haircut Pathway</t>
        </is>
      </c>
      <c r="U190" t="n">
        <v>4123.5761</v>
      </c>
      <c r="V190" t="n">
        <v>2815.9901</v>
      </c>
      <c r="W190" t="n">
        <v>2815.9901</v>
      </c>
      <c r="X190" t="n">
        <v>2815.9901</v>
      </c>
      <c r="Y190" t="n">
        <v>1307.586</v>
      </c>
      <c r="Z190" t="n">
        <v>0.00013003</v>
      </c>
      <c r="AA190" t="n">
        <v>0.3171</v>
      </c>
      <c r="AB190" t="n">
        <v>0</v>
      </c>
      <c r="AC190" t="n">
        <v>87.1724</v>
      </c>
      <c r="AD190" t="n">
        <v>-21019.5167</v>
      </c>
      <c r="AE190" t="n">
        <v>37915.4573</v>
      </c>
      <c r="AF190" t="n">
        <v>0.861</v>
      </c>
      <c r="AG190" t="inlineStr">
        <is>
          <t>Low</t>
        </is>
      </c>
      <c r="AH190" t="inlineStr">
        <is>
          <t>On Track</t>
        </is>
      </c>
    </row>
    <row r="191">
      <c r="A191" t="inlineStr">
        <is>
          <t>SUP-0012</t>
        </is>
      </c>
      <c r="B191" t="inlineStr">
        <is>
          <t>Textiles Supplier 012</t>
        </is>
      </c>
      <c r="C191" t="inlineStr">
        <is>
          <t>Textiles</t>
        </is>
      </c>
      <c r="D191" t="n">
        <v>2024</v>
      </c>
      <c r="E191" t="n">
        <v>2015</v>
      </c>
      <c r="F191" t="n">
        <v>2030</v>
      </c>
      <c r="G191" t="inlineStr"/>
      <c r="H191" t="n">
        <v>892.7094</v>
      </c>
      <c r="I191" t="inlineStr"/>
      <c r="J191" t="n">
        <v>2640.714</v>
      </c>
      <c r="K191" t="n">
        <v>21655788.06</v>
      </c>
      <c r="L191" t="n">
        <v>146539952.95</v>
      </c>
      <c r="M191" t="n">
        <v>6328.0378</v>
      </c>
      <c r="N191" t="inlineStr">
        <is>
          <t>Spend-Based Estimate</t>
        </is>
      </c>
      <c r="O191" t="b">
        <v>1</v>
      </c>
      <c r="P191" t="inlineStr">
        <is>
          <t>Medium</t>
        </is>
      </c>
      <c r="Q191" t="inlineStr">
        <is>
          <t>Reported_Emissions; Scope_Emissions</t>
        </is>
      </c>
      <c r="R191" t="inlineStr">
        <is>
          <t>Valid</t>
        </is>
      </c>
      <c r="S191" t="n">
        <v>2038</v>
      </c>
      <c r="T191" t="inlineStr">
        <is>
          <t>Industry Haircut Pathway</t>
        </is>
      </c>
      <c r="U191" t="n">
        <v>4123.5761</v>
      </c>
      <c r="V191" t="n">
        <v>2815.9901</v>
      </c>
      <c r="W191" t="n">
        <v>2815.9901</v>
      </c>
      <c r="X191" t="n">
        <v>2815.9901</v>
      </c>
      <c r="Y191" t="n">
        <v>1307.586</v>
      </c>
      <c r="Z191" t="n">
        <v>0.00013003</v>
      </c>
      <c r="AA191" t="n">
        <v>0.3171</v>
      </c>
      <c r="AB191" t="n">
        <v>0</v>
      </c>
      <c r="AC191" t="n">
        <v>87.1724</v>
      </c>
      <c r="AD191" t="n">
        <v>-23835.5068</v>
      </c>
      <c r="AE191" t="n">
        <v>40731.4474</v>
      </c>
      <c r="AF191" t="n">
        <v>0.861</v>
      </c>
      <c r="AG191" t="inlineStr">
        <is>
          <t>Low</t>
        </is>
      </c>
      <c r="AH191" t="inlineStr">
        <is>
          <t>On Track</t>
        </is>
      </c>
    </row>
    <row r="192">
      <c r="A192" t="inlineStr">
        <is>
          <t>SUP-0012</t>
        </is>
      </c>
      <c r="B192" t="inlineStr">
        <is>
          <t>Textiles Supplier 012</t>
        </is>
      </c>
      <c r="C192" t="inlineStr">
        <is>
          <t>Textiles</t>
        </is>
      </c>
      <c r="D192" t="n">
        <v>2024</v>
      </c>
      <c r="E192" t="n">
        <v>2015</v>
      </c>
      <c r="F192" t="n">
        <v>2030</v>
      </c>
      <c r="G192" t="inlineStr"/>
      <c r="H192" t="n">
        <v>892.7094</v>
      </c>
      <c r="I192" t="inlineStr"/>
      <c r="J192" t="n">
        <v>2640.714</v>
      </c>
      <c r="K192" t="n">
        <v>21655788.06</v>
      </c>
      <c r="L192" t="n">
        <v>146539952.95</v>
      </c>
      <c r="M192" t="n">
        <v>6328.0378</v>
      </c>
      <c r="N192" t="inlineStr">
        <is>
          <t>Spend-Based Estimate</t>
        </is>
      </c>
      <c r="O192" t="b">
        <v>1</v>
      </c>
      <c r="P192" t="inlineStr">
        <is>
          <t>Medium</t>
        </is>
      </c>
      <c r="Q192" t="inlineStr">
        <is>
          <t>Reported_Emissions; Scope_Emissions</t>
        </is>
      </c>
      <c r="R192" t="inlineStr">
        <is>
          <t>Valid</t>
        </is>
      </c>
      <c r="S192" t="n">
        <v>2039</v>
      </c>
      <c r="T192" t="inlineStr">
        <is>
          <t>Industry Haircut Pathway</t>
        </is>
      </c>
      <c r="U192" t="n">
        <v>4123.5761</v>
      </c>
      <c r="V192" t="n">
        <v>2815.9901</v>
      </c>
      <c r="W192" t="n">
        <v>2815.9901</v>
      </c>
      <c r="X192" t="n">
        <v>2815.9901</v>
      </c>
      <c r="Y192" t="n">
        <v>1307.586</v>
      </c>
      <c r="Z192" t="n">
        <v>0.00013003</v>
      </c>
      <c r="AA192" t="n">
        <v>0.3171</v>
      </c>
      <c r="AB192" t="n">
        <v>0</v>
      </c>
      <c r="AC192" t="n">
        <v>87.1724</v>
      </c>
      <c r="AD192" t="n">
        <v>-26651.4969</v>
      </c>
      <c r="AE192" t="n">
        <v>43547.4375</v>
      </c>
      <c r="AF192" t="n">
        <v>0.861</v>
      </c>
      <c r="AG192" t="inlineStr">
        <is>
          <t>Low</t>
        </is>
      </c>
      <c r="AH192" t="inlineStr">
        <is>
          <t>On Track</t>
        </is>
      </c>
    </row>
    <row r="193">
      <c r="A193" t="inlineStr">
        <is>
          <t>SUP-0012</t>
        </is>
      </c>
      <c r="B193" t="inlineStr">
        <is>
          <t>Textiles Supplier 012</t>
        </is>
      </c>
      <c r="C193" t="inlineStr">
        <is>
          <t>Textiles</t>
        </is>
      </c>
      <c r="D193" t="n">
        <v>2024</v>
      </c>
      <c r="E193" t="n">
        <v>2015</v>
      </c>
      <c r="F193" t="n">
        <v>2030</v>
      </c>
      <c r="G193" t="inlineStr"/>
      <c r="H193" t="n">
        <v>892.7094</v>
      </c>
      <c r="I193" t="inlineStr"/>
      <c r="J193" t="n">
        <v>2640.714</v>
      </c>
      <c r="K193" t="n">
        <v>21655788.06</v>
      </c>
      <c r="L193" t="n">
        <v>146539952.95</v>
      </c>
      <c r="M193" t="n">
        <v>6328.0378</v>
      </c>
      <c r="N193" t="inlineStr">
        <is>
          <t>Spend-Based Estimate</t>
        </is>
      </c>
      <c r="O193" t="b">
        <v>1</v>
      </c>
      <c r="P193" t="inlineStr">
        <is>
          <t>Medium</t>
        </is>
      </c>
      <c r="Q193" t="inlineStr">
        <is>
          <t>Reported_Emissions; Scope_Emissions</t>
        </is>
      </c>
      <c r="R193" t="inlineStr">
        <is>
          <t>Valid</t>
        </is>
      </c>
      <c r="S193" t="n">
        <v>2040</v>
      </c>
      <c r="T193" t="inlineStr">
        <is>
          <t>Industry Haircut Pathway</t>
        </is>
      </c>
      <c r="U193" t="n">
        <v>4123.5761</v>
      </c>
      <c r="V193" t="n">
        <v>2815.9901</v>
      </c>
      <c r="W193" t="n">
        <v>2815.9901</v>
      </c>
      <c r="X193" t="n">
        <v>2815.9901</v>
      </c>
      <c r="Y193" t="n">
        <v>1307.586</v>
      </c>
      <c r="Z193" t="n">
        <v>0.00013003</v>
      </c>
      <c r="AA193" t="n">
        <v>0.3171</v>
      </c>
      <c r="AB193" t="n">
        <v>0</v>
      </c>
      <c r="AC193" t="n">
        <v>87.1724</v>
      </c>
      <c r="AD193" t="n">
        <v>-29467.487</v>
      </c>
      <c r="AE193" t="n">
        <v>46363.4276</v>
      </c>
      <c r="AF193" t="n">
        <v>0.861</v>
      </c>
      <c r="AG193" t="inlineStr">
        <is>
          <t>Low</t>
        </is>
      </c>
      <c r="AH193" t="inlineStr">
        <is>
          <t>On Track</t>
        </is>
      </c>
    </row>
    <row r="194">
      <c r="A194" t="inlineStr">
        <is>
          <t>SUP-0013</t>
        </is>
      </c>
      <c r="B194" t="inlineStr">
        <is>
          <t>Electronics Supplier 013</t>
        </is>
      </c>
      <c r="C194" t="inlineStr">
        <is>
          <t>Electronics</t>
        </is>
      </c>
      <c r="D194" t="n">
        <v>2024</v>
      </c>
      <c r="E194" t="n">
        <v>2015</v>
      </c>
      <c r="F194" t="n">
        <v>2040</v>
      </c>
      <c r="G194" t="inlineStr"/>
      <c r="H194" t="inlineStr"/>
      <c r="I194" t="n">
        <v>3136.7134</v>
      </c>
      <c r="J194" t="n">
        <v>17552.63</v>
      </c>
      <c r="K194" t="n">
        <v>44154429.98</v>
      </c>
      <c r="L194" t="n">
        <v>373405405.33</v>
      </c>
      <c r="M194" t="n">
        <v>38019.1719</v>
      </c>
      <c r="N194" t="inlineStr">
        <is>
          <t>Spend-Based Estimate</t>
        </is>
      </c>
      <c r="O194" t="b">
        <v>1</v>
      </c>
      <c r="P194" t="inlineStr">
        <is>
          <t>Medium</t>
        </is>
      </c>
      <c r="Q194" t="inlineStr">
        <is>
          <t>Reported_Emissions; Scope_Emissions</t>
        </is>
      </c>
      <c r="R194" t="inlineStr">
        <is>
          <t>Valid</t>
        </is>
      </c>
      <c r="S194" t="n">
        <v>2025</v>
      </c>
      <c r="T194" t="inlineStr">
        <is>
          <t>Industry Haircut Pathway</t>
        </is>
      </c>
      <c r="U194" t="n">
        <v>17475.0503</v>
      </c>
      <c r="V194" t="n">
        <v>11491.5931</v>
      </c>
      <c r="W194" t="n">
        <v>15081.6674</v>
      </c>
      <c r="X194" t="n">
        <v>15081.6674</v>
      </c>
      <c r="Y194" t="n">
        <v>2393.3829</v>
      </c>
      <c r="Z194" t="n">
        <v>0.00034157</v>
      </c>
      <c r="AA194" t="n">
        <v>0.13696</v>
      </c>
      <c r="AB194" t="n">
        <v>3590.0743</v>
      </c>
      <c r="AC194" t="n">
        <v>239.3383</v>
      </c>
      <c r="AD194" t="n">
        <v>168783.8222</v>
      </c>
      <c r="AE194" t="n">
        <v>15081.6674</v>
      </c>
      <c r="AF194" t="n">
        <v>0.911</v>
      </c>
      <c r="AG194" t="inlineStr">
        <is>
          <t>High</t>
        </is>
      </c>
      <c r="AH194" t="inlineStr">
        <is>
          <t>On Track to Glide Path</t>
        </is>
      </c>
    </row>
    <row r="195">
      <c r="A195" t="inlineStr">
        <is>
          <t>SUP-0013</t>
        </is>
      </c>
      <c r="B195" t="inlineStr">
        <is>
          <t>Electronics Supplier 013</t>
        </is>
      </c>
      <c r="C195" t="inlineStr">
        <is>
          <t>Electronics</t>
        </is>
      </c>
      <c r="D195" t="n">
        <v>2024</v>
      </c>
      <c r="E195" t="n">
        <v>2015</v>
      </c>
      <c r="F195" t="n">
        <v>2040</v>
      </c>
      <c r="G195" t="inlineStr"/>
      <c r="H195" t="inlineStr"/>
      <c r="I195" t="n">
        <v>3136.7134</v>
      </c>
      <c r="J195" t="n">
        <v>17552.63</v>
      </c>
      <c r="K195" t="n">
        <v>44154429.98</v>
      </c>
      <c r="L195" t="n">
        <v>373405405.33</v>
      </c>
      <c r="M195" t="n">
        <v>38019.1719</v>
      </c>
      <c r="N195" t="inlineStr">
        <is>
          <t>Spend-Based Estimate</t>
        </is>
      </c>
      <c r="O195" t="b">
        <v>1</v>
      </c>
      <c r="P195" t="inlineStr">
        <is>
          <t>Medium</t>
        </is>
      </c>
      <c r="Q195" t="inlineStr">
        <is>
          <t>Reported_Emissions; Scope_Emissions</t>
        </is>
      </c>
      <c r="R195" t="inlineStr">
        <is>
          <t>Valid</t>
        </is>
      </c>
      <c r="S195" t="n">
        <v>2026</v>
      </c>
      <c r="T195" t="inlineStr">
        <is>
          <t>Industry Haircut Pathway</t>
        </is>
      </c>
      <c r="U195" t="n">
        <v>17475.0503</v>
      </c>
      <c r="V195" t="n">
        <v>11491.5931</v>
      </c>
      <c r="W195" t="n">
        <v>14842.3291</v>
      </c>
      <c r="X195" t="n">
        <v>14842.3291</v>
      </c>
      <c r="Y195" t="n">
        <v>2632.7212</v>
      </c>
      <c r="Z195" t="n">
        <v>0.00033615</v>
      </c>
      <c r="AA195" t="n">
        <v>0.150656</v>
      </c>
      <c r="AB195" t="n">
        <v>3350.736</v>
      </c>
      <c r="AC195" t="n">
        <v>239.3383</v>
      </c>
      <c r="AD195" t="n">
        <v>153941.4931</v>
      </c>
      <c r="AE195" t="n">
        <v>29923.9965</v>
      </c>
      <c r="AF195" t="n">
        <v>0.911</v>
      </c>
      <c r="AG195" t="inlineStr">
        <is>
          <t>High</t>
        </is>
      </c>
      <c r="AH195" t="inlineStr">
        <is>
          <t>On Track to Glide Path</t>
        </is>
      </c>
    </row>
    <row r="196">
      <c r="A196" t="inlineStr">
        <is>
          <t>SUP-0013</t>
        </is>
      </c>
      <c r="B196" t="inlineStr">
        <is>
          <t>Electronics Supplier 013</t>
        </is>
      </c>
      <c r="C196" t="inlineStr">
        <is>
          <t>Electronics</t>
        </is>
      </c>
      <c r="D196" t="n">
        <v>2024</v>
      </c>
      <c r="E196" t="n">
        <v>2015</v>
      </c>
      <c r="F196" t="n">
        <v>2040</v>
      </c>
      <c r="G196" t="inlineStr"/>
      <c r="H196" t="inlineStr"/>
      <c r="I196" t="n">
        <v>3136.7134</v>
      </c>
      <c r="J196" t="n">
        <v>17552.63</v>
      </c>
      <c r="K196" t="n">
        <v>44154429.98</v>
      </c>
      <c r="L196" t="n">
        <v>373405405.33</v>
      </c>
      <c r="M196" t="n">
        <v>38019.1719</v>
      </c>
      <c r="N196" t="inlineStr">
        <is>
          <t>Spend-Based Estimate</t>
        </is>
      </c>
      <c r="O196" t="b">
        <v>1</v>
      </c>
      <c r="P196" t="inlineStr">
        <is>
          <t>Medium</t>
        </is>
      </c>
      <c r="Q196" t="inlineStr">
        <is>
          <t>Reported_Emissions; Scope_Emissions</t>
        </is>
      </c>
      <c r="R196" t="inlineStr">
        <is>
          <t>Valid</t>
        </is>
      </c>
      <c r="S196" t="n">
        <v>2027</v>
      </c>
      <c r="T196" t="inlineStr">
        <is>
          <t>Industry Haircut Pathway</t>
        </is>
      </c>
      <c r="U196" t="n">
        <v>17475.0503</v>
      </c>
      <c r="V196" t="n">
        <v>11491.5931</v>
      </c>
      <c r="W196" t="n">
        <v>14602.9908</v>
      </c>
      <c r="X196" t="n">
        <v>14602.9908</v>
      </c>
      <c r="Y196" t="n">
        <v>2872.0595</v>
      </c>
      <c r="Z196" t="n">
        <v>0.00033073</v>
      </c>
      <c r="AA196" t="n">
        <v>0.164352</v>
      </c>
      <c r="AB196" t="n">
        <v>3111.3978</v>
      </c>
      <c r="AC196" t="n">
        <v>239.3383</v>
      </c>
      <c r="AD196" t="n">
        <v>139338.5023</v>
      </c>
      <c r="AE196" t="n">
        <v>44526.9873</v>
      </c>
      <c r="AF196" t="n">
        <v>0.911</v>
      </c>
      <c r="AG196" t="inlineStr">
        <is>
          <t>High</t>
        </is>
      </c>
      <c r="AH196" t="inlineStr">
        <is>
          <t>On Track to Glide Path</t>
        </is>
      </c>
    </row>
    <row r="197">
      <c r="A197" t="inlineStr">
        <is>
          <t>SUP-0013</t>
        </is>
      </c>
      <c r="B197" t="inlineStr">
        <is>
          <t>Electronics Supplier 013</t>
        </is>
      </c>
      <c r="C197" t="inlineStr">
        <is>
          <t>Electronics</t>
        </is>
      </c>
      <c r="D197" t="n">
        <v>2024</v>
      </c>
      <c r="E197" t="n">
        <v>2015</v>
      </c>
      <c r="F197" t="n">
        <v>2040</v>
      </c>
      <c r="G197" t="inlineStr"/>
      <c r="H197" t="inlineStr"/>
      <c r="I197" t="n">
        <v>3136.7134</v>
      </c>
      <c r="J197" t="n">
        <v>17552.63</v>
      </c>
      <c r="K197" t="n">
        <v>44154429.98</v>
      </c>
      <c r="L197" t="n">
        <v>373405405.33</v>
      </c>
      <c r="M197" t="n">
        <v>38019.1719</v>
      </c>
      <c r="N197" t="inlineStr">
        <is>
          <t>Spend-Based Estimate</t>
        </is>
      </c>
      <c r="O197" t="b">
        <v>1</v>
      </c>
      <c r="P197" t="inlineStr">
        <is>
          <t>Medium</t>
        </is>
      </c>
      <c r="Q197" t="inlineStr">
        <is>
          <t>Reported_Emissions; Scope_Emissions</t>
        </is>
      </c>
      <c r="R197" t="inlineStr">
        <is>
          <t>Valid</t>
        </is>
      </c>
      <c r="S197" t="n">
        <v>2028</v>
      </c>
      <c r="T197" t="inlineStr">
        <is>
          <t>Industry Haircut Pathway</t>
        </is>
      </c>
      <c r="U197" t="n">
        <v>17475.0503</v>
      </c>
      <c r="V197" t="n">
        <v>11491.5931</v>
      </c>
      <c r="W197" t="n">
        <v>14363.6525</v>
      </c>
      <c r="X197" t="n">
        <v>14363.6525</v>
      </c>
      <c r="Y197" t="n">
        <v>3111.3978</v>
      </c>
      <c r="Z197" t="n">
        <v>0.0003253</v>
      </c>
      <c r="AA197" t="n">
        <v>0.178048</v>
      </c>
      <c r="AB197" t="n">
        <v>2872.0595</v>
      </c>
      <c r="AC197" t="n">
        <v>239.3383</v>
      </c>
      <c r="AD197" t="n">
        <v>124974.8498</v>
      </c>
      <c r="AE197" t="n">
        <v>58890.6398</v>
      </c>
      <c r="AF197" t="n">
        <v>0.911</v>
      </c>
      <c r="AG197" t="inlineStr">
        <is>
          <t>High</t>
        </is>
      </c>
      <c r="AH197" t="inlineStr">
        <is>
          <t>On Track to Glide Path</t>
        </is>
      </c>
    </row>
    <row r="198">
      <c r="A198" t="inlineStr">
        <is>
          <t>SUP-0013</t>
        </is>
      </c>
      <c r="B198" t="inlineStr">
        <is>
          <t>Electronics Supplier 013</t>
        </is>
      </c>
      <c r="C198" t="inlineStr">
        <is>
          <t>Electronics</t>
        </is>
      </c>
      <c r="D198" t="n">
        <v>2024</v>
      </c>
      <c r="E198" t="n">
        <v>2015</v>
      </c>
      <c r="F198" t="n">
        <v>2040</v>
      </c>
      <c r="G198" t="inlineStr"/>
      <c r="H198" t="inlineStr"/>
      <c r="I198" t="n">
        <v>3136.7134</v>
      </c>
      <c r="J198" t="n">
        <v>17552.63</v>
      </c>
      <c r="K198" t="n">
        <v>44154429.98</v>
      </c>
      <c r="L198" t="n">
        <v>373405405.33</v>
      </c>
      <c r="M198" t="n">
        <v>38019.1719</v>
      </c>
      <c r="N198" t="inlineStr">
        <is>
          <t>Spend-Based Estimate</t>
        </is>
      </c>
      <c r="O198" t="b">
        <v>1</v>
      </c>
      <c r="P198" t="inlineStr">
        <is>
          <t>Medium</t>
        </is>
      </c>
      <c r="Q198" t="inlineStr">
        <is>
          <t>Reported_Emissions; Scope_Emissions</t>
        </is>
      </c>
      <c r="R198" t="inlineStr">
        <is>
          <t>Valid</t>
        </is>
      </c>
      <c r="S198" t="n">
        <v>2029</v>
      </c>
      <c r="T198" t="inlineStr">
        <is>
          <t>Industry Haircut Pathway</t>
        </is>
      </c>
      <c r="U198" t="n">
        <v>17475.0503</v>
      </c>
      <c r="V198" t="n">
        <v>11491.5931</v>
      </c>
      <c r="W198" t="n">
        <v>14124.3143</v>
      </c>
      <c r="X198" t="n">
        <v>14124.3143</v>
      </c>
      <c r="Y198" t="n">
        <v>3350.736</v>
      </c>
      <c r="Z198" t="n">
        <v>0.00031988</v>
      </c>
      <c r="AA198" t="n">
        <v>0.191744</v>
      </c>
      <c r="AB198" t="n">
        <v>2632.7212</v>
      </c>
      <c r="AC198" t="n">
        <v>239.3383</v>
      </c>
      <c r="AD198" t="n">
        <v>110850.5355</v>
      </c>
      <c r="AE198" t="n">
        <v>73014.9541</v>
      </c>
      <c r="AF198" t="n">
        <v>0.911</v>
      </c>
      <c r="AG198" t="inlineStr">
        <is>
          <t>High</t>
        </is>
      </c>
      <c r="AH198" t="inlineStr">
        <is>
          <t>On Track to Glide Path</t>
        </is>
      </c>
    </row>
    <row r="199">
      <c r="A199" t="inlineStr">
        <is>
          <t>SUP-0013</t>
        </is>
      </c>
      <c r="B199" t="inlineStr">
        <is>
          <t>Electronics Supplier 013</t>
        </is>
      </c>
      <c r="C199" t="inlineStr">
        <is>
          <t>Electronics</t>
        </is>
      </c>
      <c r="D199" t="n">
        <v>2024</v>
      </c>
      <c r="E199" t="n">
        <v>2015</v>
      </c>
      <c r="F199" t="n">
        <v>2040</v>
      </c>
      <c r="G199" t="inlineStr"/>
      <c r="H199" t="inlineStr"/>
      <c r="I199" t="n">
        <v>3136.7134</v>
      </c>
      <c r="J199" t="n">
        <v>17552.63</v>
      </c>
      <c r="K199" t="n">
        <v>44154429.98</v>
      </c>
      <c r="L199" t="n">
        <v>373405405.33</v>
      </c>
      <c r="M199" t="n">
        <v>38019.1719</v>
      </c>
      <c r="N199" t="inlineStr">
        <is>
          <t>Spend-Based Estimate</t>
        </is>
      </c>
      <c r="O199" t="b">
        <v>1</v>
      </c>
      <c r="P199" t="inlineStr">
        <is>
          <t>Medium</t>
        </is>
      </c>
      <c r="Q199" t="inlineStr">
        <is>
          <t>Reported_Emissions; Scope_Emissions</t>
        </is>
      </c>
      <c r="R199" t="inlineStr">
        <is>
          <t>Valid</t>
        </is>
      </c>
      <c r="S199" t="n">
        <v>2030</v>
      </c>
      <c r="T199" t="inlineStr">
        <is>
          <t>Industry Haircut Pathway</t>
        </is>
      </c>
      <c r="U199" t="n">
        <v>17475.0503</v>
      </c>
      <c r="V199" t="n">
        <v>11491.5931</v>
      </c>
      <c r="W199" t="n">
        <v>13884.976</v>
      </c>
      <c r="X199" t="n">
        <v>13884.976</v>
      </c>
      <c r="Y199" t="n">
        <v>3590.0743</v>
      </c>
      <c r="Z199" t="n">
        <v>0.00031446</v>
      </c>
      <c r="AA199" t="n">
        <v>0.20544</v>
      </c>
      <c r="AB199" t="n">
        <v>2393.3829</v>
      </c>
      <c r="AC199" t="n">
        <v>239.3383</v>
      </c>
      <c r="AD199" t="n">
        <v>96965.5595</v>
      </c>
      <c r="AE199" t="n">
        <v>86899.9301</v>
      </c>
      <c r="AF199" t="n">
        <v>0.911</v>
      </c>
      <c r="AG199" t="inlineStr">
        <is>
          <t>High</t>
        </is>
      </c>
      <c r="AH199" t="inlineStr">
        <is>
          <t>On Track to Glide Path</t>
        </is>
      </c>
    </row>
    <row r="200">
      <c r="A200" t="inlineStr">
        <is>
          <t>SUP-0013</t>
        </is>
      </c>
      <c r="B200" t="inlineStr">
        <is>
          <t>Electronics Supplier 013</t>
        </is>
      </c>
      <c r="C200" t="inlineStr">
        <is>
          <t>Electronics</t>
        </is>
      </c>
      <c r="D200" t="n">
        <v>2024</v>
      </c>
      <c r="E200" t="n">
        <v>2015</v>
      </c>
      <c r="F200" t="n">
        <v>2040</v>
      </c>
      <c r="G200" t="inlineStr"/>
      <c r="H200" t="inlineStr"/>
      <c r="I200" t="n">
        <v>3136.7134</v>
      </c>
      <c r="J200" t="n">
        <v>17552.63</v>
      </c>
      <c r="K200" t="n">
        <v>44154429.98</v>
      </c>
      <c r="L200" t="n">
        <v>373405405.33</v>
      </c>
      <c r="M200" t="n">
        <v>38019.1719</v>
      </c>
      <c r="N200" t="inlineStr">
        <is>
          <t>Spend-Based Estimate</t>
        </is>
      </c>
      <c r="O200" t="b">
        <v>1</v>
      </c>
      <c r="P200" t="inlineStr">
        <is>
          <t>Medium</t>
        </is>
      </c>
      <c r="Q200" t="inlineStr">
        <is>
          <t>Reported_Emissions; Scope_Emissions</t>
        </is>
      </c>
      <c r="R200" t="inlineStr">
        <is>
          <t>Valid</t>
        </is>
      </c>
      <c r="S200" t="n">
        <v>2031</v>
      </c>
      <c r="T200" t="inlineStr">
        <is>
          <t>Industry Haircut Pathway</t>
        </is>
      </c>
      <c r="U200" t="n">
        <v>17475.0503</v>
      </c>
      <c r="V200" t="n">
        <v>11491.5931</v>
      </c>
      <c r="W200" t="n">
        <v>13645.6377</v>
      </c>
      <c r="X200" t="n">
        <v>13645.6377</v>
      </c>
      <c r="Y200" t="n">
        <v>3829.4126</v>
      </c>
      <c r="Z200" t="n">
        <v>0.00030904</v>
      </c>
      <c r="AA200" t="n">
        <v>0.219136</v>
      </c>
      <c r="AB200" t="n">
        <v>2154.0446</v>
      </c>
      <c r="AC200" t="n">
        <v>239.3383</v>
      </c>
      <c r="AD200" t="n">
        <v>83319.9218</v>
      </c>
      <c r="AE200" t="n">
        <v>100545.5678</v>
      </c>
      <c r="AF200" t="n">
        <v>0.911</v>
      </c>
      <c r="AG200" t="inlineStr">
        <is>
          <t>High</t>
        </is>
      </c>
      <c r="AH200" t="inlineStr">
        <is>
          <t>On Track to Glide Path</t>
        </is>
      </c>
    </row>
    <row r="201">
      <c r="A201" t="inlineStr">
        <is>
          <t>SUP-0013</t>
        </is>
      </c>
      <c r="B201" t="inlineStr">
        <is>
          <t>Electronics Supplier 013</t>
        </is>
      </c>
      <c r="C201" t="inlineStr">
        <is>
          <t>Electronics</t>
        </is>
      </c>
      <c r="D201" t="n">
        <v>2024</v>
      </c>
      <c r="E201" t="n">
        <v>2015</v>
      </c>
      <c r="F201" t="n">
        <v>2040</v>
      </c>
      <c r="G201" t="inlineStr"/>
      <c r="H201" t="inlineStr"/>
      <c r="I201" t="n">
        <v>3136.7134</v>
      </c>
      <c r="J201" t="n">
        <v>17552.63</v>
      </c>
      <c r="K201" t="n">
        <v>44154429.98</v>
      </c>
      <c r="L201" t="n">
        <v>373405405.33</v>
      </c>
      <c r="M201" t="n">
        <v>38019.1719</v>
      </c>
      <c r="N201" t="inlineStr">
        <is>
          <t>Spend-Based Estimate</t>
        </is>
      </c>
      <c r="O201" t="b">
        <v>1</v>
      </c>
      <c r="P201" t="inlineStr">
        <is>
          <t>Medium</t>
        </is>
      </c>
      <c r="Q201" t="inlineStr">
        <is>
          <t>Reported_Emissions; Scope_Emissions</t>
        </is>
      </c>
      <c r="R201" t="inlineStr">
        <is>
          <t>Valid</t>
        </is>
      </c>
      <c r="S201" t="n">
        <v>2032</v>
      </c>
      <c r="T201" t="inlineStr">
        <is>
          <t>Industry Haircut Pathway</t>
        </is>
      </c>
      <c r="U201" t="n">
        <v>17475.0503</v>
      </c>
      <c r="V201" t="n">
        <v>11491.5931</v>
      </c>
      <c r="W201" t="n">
        <v>13406.2994</v>
      </c>
      <c r="X201" t="n">
        <v>13406.2994</v>
      </c>
      <c r="Y201" t="n">
        <v>4068.7509</v>
      </c>
      <c r="Z201" t="n">
        <v>0.00030362</v>
      </c>
      <c r="AA201" t="n">
        <v>0.232832</v>
      </c>
      <c r="AB201" t="n">
        <v>1914.7063</v>
      </c>
      <c r="AC201" t="n">
        <v>239.3383</v>
      </c>
      <c r="AD201" t="n">
        <v>69913.62239999999</v>
      </c>
      <c r="AE201" t="n">
        <v>113951.8672</v>
      </c>
      <c r="AF201" t="n">
        <v>0.911</v>
      </c>
      <c r="AG201" t="inlineStr">
        <is>
          <t>High</t>
        </is>
      </c>
      <c r="AH201" t="inlineStr">
        <is>
          <t>On Track to Glide Path</t>
        </is>
      </c>
    </row>
    <row r="202">
      <c r="A202" t="inlineStr">
        <is>
          <t>SUP-0013</t>
        </is>
      </c>
      <c r="B202" t="inlineStr">
        <is>
          <t>Electronics Supplier 013</t>
        </is>
      </c>
      <c r="C202" t="inlineStr">
        <is>
          <t>Electronics</t>
        </is>
      </c>
      <c r="D202" t="n">
        <v>2024</v>
      </c>
      <c r="E202" t="n">
        <v>2015</v>
      </c>
      <c r="F202" t="n">
        <v>2040</v>
      </c>
      <c r="G202" t="inlineStr"/>
      <c r="H202" t="inlineStr"/>
      <c r="I202" t="n">
        <v>3136.7134</v>
      </c>
      <c r="J202" t="n">
        <v>17552.63</v>
      </c>
      <c r="K202" t="n">
        <v>44154429.98</v>
      </c>
      <c r="L202" t="n">
        <v>373405405.33</v>
      </c>
      <c r="M202" t="n">
        <v>38019.1719</v>
      </c>
      <c r="N202" t="inlineStr">
        <is>
          <t>Spend-Based Estimate</t>
        </is>
      </c>
      <c r="O202" t="b">
        <v>1</v>
      </c>
      <c r="P202" t="inlineStr">
        <is>
          <t>Medium</t>
        </is>
      </c>
      <c r="Q202" t="inlineStr">
        <is>
          <t>Reported_Emissions; Scope_Emissions</t>
        </is>
      </c>
      <c r="R202" t="inlineStr">
        <is>
          <t>Valid</t>
        </is>
      </c>
      <c r="S202" t="n">
        <v>2033</v>
      </c>
      <c r="T202" t="inlineStr">
        <is>
          <t>Industry Haircut Pathway</t>
        </is>
      </c>
      <c r="U202" t="n">
        <v>17475.0503</v>
      </c>
      <c r="V202" t="n">
        <v>11491.5931</v>
      </c>
      <c r="W202" t="n">
        <v>13166.9611</v>
      </c>
      <c r="X202" t="n">
        <v>13166.9611</v>
      </c>
      <c r="Y202" t="n">
        <v>4308.0892</v>
      </c>
      <c r="Z202" t="n">
        <v>0.0002982</v>
      </c>
      <c r="AA202" t="n">
        <v>0.246528</v>
      </c>
      <c r="AB202" t="n">
        <v>1675.368</v>
      </c>
      <c r="AC202" t="n">
        <v>239.3383</v>
      </c>
      <c r="AD202" t="n">
        <v>56746.6613</v>
      </c>
      <c r="AE202" t="n">
        <v>127118.8283</v>
      </c>
      <c r="AF202" t="n">
        <v>0.911</v>
      </c>
      <c r="AG202" t="inlineStr">
        <is>
          <t>Medium</t>
        </is>
      </c>
      <c r="AH202" t="inlineStr">
        <is>
          <t>On Track to Glide Path</t>
        </is>
      </c>
    </row>
    <row r="203">
      <c r="A203" t="inlineStr">
        <is>
          <t>SUP-0013</t>
        </is>
      </c>
      <c r="B203" t="inlineStr">
        <is>
          <t>Electronics Supplier 013</t>
        </is>
      </c>
      <c r="C203" t="inlineStr">
        <is>
          <t>Electronics</t>
        </is>
      </c>
      <c r="D203" t="n">
        <v>2024</v>
      </c>
      <c r="E203" t="n">
        <v>2015</v>
      </c>
      <c r="F203" t="n">
        <v>2040</v>
      </c>
      <c r="G203" t="inlineStr"/>
      <c r="H203" t="inlineStr"/>
      <c r="I203" t="n">
        <v>3136.7134</v>
      </c>
      <c r="J203" t="n">
        <v>17552.63</v>
      </c>
      <c r="K203" t="n">
        <v>44154429.98</v>
      </c>
      <c r="L203" t="n">
        <v>373405405.33</v>
      </c>
      <c r="M203" t="n">
        <v>38019.1719</v>
      </c>
      <c r="N203" t="inlineStr">
        <is>
          <t>Spend-Based Estimate</t>
        </is>
      </c>
      <c r="O203" t="b">
        <v>1</v>
      </c>
      <c r="P203" t="inlineStr">
        <is>
          <t>Medium</t>
        </is>
      </c>
      <c r="Q203" t="inlineStr">
        <is>
          <t>Reported_Emissions; Scope_Emissions</t>
        </is>
      </c>
      <c r="R203" t="inlineStr">
        <is>
          <t>Valid</t>
        </is>
      </c>
      <c r="S203" t="n">
        <v>2034</v>
      </c>
      <c r="T203" t="inlineStr">
        <is>
          <t>Industry Haircut Pathway</t>
        </is>
      </c>
      <c r="U203" t="n">
        <v>17475.0503</v>
      </c>
      <c r="V203" t="n">
        <v>11491.5931</v>
      </c>
      <c r="W203" t="n">
        <v>12927.6228</v>
      </c>
      <c r="X203" t="n">
        <v>12927.6228</v>
      </c>
      <c r="Y203" t="n">
        <v>4547.4275</v>
      </c>
      <c r="Z203" t="n">
        <v>0.00029278</v>
      </c>
      <c r="AA203" t="n">
        <v>0.260224</v>
      </c>
      <c r="AB203" t="n">
        <v>1436.0297</v>
      </c>
      <c r="AC203" t="n">
        <v>239.3383</v>
      </c>
      <c r="AD203" t="n">
        <v>43819.0385</v>
      </c>
      <c r="AE203" t="n">
        <v>140046.4511</v>
      </c>
      <c r="AF203" t="n">
        <v>0.911</v>
      </c>
      <c r="AG203" t="inlineStr">
        <is>
          <t>Medium</t>
        </is>
      </c>
      <c r="AH203" t="inlineStr">
        <is>
          <t>On Track to Glide Path</t>
        </is>
      </c>
    </row>
    <row r="204">
      <c r="A204" t="inlineStr">
        <is>
          <t>SUP-0013</t>
        </is>
      </c>
      <c r="B204" t="inlineStr">
        <is>
          <t>Electronics Supplier 013</t>
        </is>
      </c>
      <c r="C204" t="inlineStr">
        <is>
          <t>Electronics</t>
        </is>
      </c>
      <c r="D204" t="n">
        <v>2024</v>
      </c>
      <c r="E204" t="n">
        <v>2015</v>
      </c>
      <c r="F204" t="n">
        <v>2040</v>
      </c>
      <c r="G204" t="inlineStr"/>
      <c r="H204" t="inlineStr"/>
      <c r="I204" t="n">
        <v>3136.7134</v>
      </c>
      <c r="J204" t="n">
        <v>17552.63</v>
      </c>
      <c r="K204" t="n">
        <v>44154429.98</v>
      </c>
      <c r="L204" t="n">
        <v>373405405.33</v>
      </c>
      <c r="M204" t="n">
        <v>38019.1719</v>
      </c>
      <c r="N204" t="inlineStr">
        <is>
          <t>Spend-Based Estimate</t>
        </is>
      </c>
      <c r="O204" t="b">
        <v>1</v>
      </c>
      <c r="P204" t="inlineStr">
        <is>
          <t>Medium</t>
        </is>
      </c>
      <c r="Q204" t="inlineStr">
        <is>
          <t>Reported_Emissions; Scope_Emissions</t>
        </is>
      </c>
      <c r="R204" t="inlineStr">
        <is>
          <t>Valid</t>
        </is>
      </c>
      <c r="S204" t="n">
        <v>2035</v>
      </c>
      <c r="T204" t="inlineStr">
        <is>
          <t>Industry Haircut Pathway</t>
        </is>
      </c>
      <c r="U204" t="n">
        <v>17475.0503</v>
      </c>
      <c r="V204" t="n">
        <v>11491.5931</v>
      </c>
      <c r="W204" t="n">
        <v>12688.2845</v>
      </c>
      <c r="X204" t="n">
        <v>12688.2845</v>
      </c>
      <c r="Y204" t="n">
        <v>4786.7658</v>
      </c>
      <c r="Z204" t="n">
        <v>0.00028736</v>
      </c>
      <c r="AA204" t="n">
        <v>0.27392</v>
      </c>
      <c r="AB204" t="n">
        <v>1196.6914</v>
      </c>
      <c r="AC204" t="n">
        <v>239.3383</v>
      </c>
      <c r="AD204" t="n">
        <v>31130.754</v>
      </c>
      <c r="AE204" t="n">
        <v>152734.7356</v>
      </c>
      <c r="AF204" t="n">
        <v>0.911</v>
      </c>
      <c r="AG204" t="inlineStr">
        <is>
          <t>Medium</t>
        </is>
      </c>
      <c r="AH204" t="inlineStr">
        <is>
          <t>On Track to Glide Path</t>
        </is>
      </c>
    </row>
    <row r="205">
      <c r="A205" t="inlineStr">
        <is>
          <t>SUP-0013</t>
        </is>
      </c>
      <c r="B205" t="inlineStr">
        <is>
          <t>Electronics Supplier 013</t>
        </is>
      </c>
      <c r="C205" t="inlineStr">
        <is>
          <t>Electronics</t>
        </is>
      </c>
      <c r="D205" t="n">
        <v>2024</v>
      </c>
      <c r="E205" t="n">
        <v>2015</v>
      </c>
      <c r="F205" t="n">
        <v>2040</v>
      </c>
      <c r="G205" t="inlineStr"/>
      <c r="H205" t="inlineStr"/>
      <c r="I205" t="n">
        <v>3136.7134</v>
      </c>
      <c r="J205" t="n">
        <v>17552.63</v>
      </c>
      <c r="K205" t="n">
        <v>44154429.98</v>
      </c>
      <c r="L205" t="n">
        <v>373405405.33</v>
      </c>
      <c r="M205" t="n">
        <v>38019.1719</v>
      </c>
      <c r="N205" t="inlineStr">
        <is>
          <t>Spend-Based Estimate</t>
        </is>
      </c>
      <c r="O205" t="b">
        <v>1</v>
      </c>
      <c r="P205" t="inlineStr">
        <is>
          <t>Medium</t>
        </is>
      </c>
      <c r="Q205" t="inlineStr">
        <is>
          <t>Reported_Emissions; Scope_Emissions</t>
        </is>
      </c>
      <c r="R205" t="inlineStr">
        <is>
          <t>Valid</t>
        </is>
      </c>
      <c r="S205" t="n">
        <v>2036</v>
      </c>
      <c r="T205" t="inlineStr">
        <is>
          <t>Industry Haircut Pathway</t>
        </is>
      </c>
      <c r="U205" t="n">
        <v>17475.0503</v>
      </c>
      <c r="V205" t="n">
        <v>11491.5931</v>
      </c>
      <c r="W205" t="n">
        <v>12448.9462</v>
      </c>
      <c r="X205" t="n">
        <v>12448.9462</v>
      </c>
      <c r="Y205" t="n">
        <v>5026.1041</v>
      </c>
      <c r="Z205" t="n">
        <v>0.00028194</v>
      </c>
      <c r="AA205" t="n">
        <v>0.287616</v>
      </c>
      <c r="AB205" t="n">
        <v>957.3532</v>
      </c>
      <c r="AC205" t="n">
        <v>239.3383</v>
      </c>
      <c r="AD205" t="n">
        <v>18681.8078</v>
      </c>
      <c r="AE205" t="n">
        <v>165183.6818</v>
      </c>
      <c r="AF205" t="n">
        <v>0.911</v>
      </c>
      <c r="AG205" t="inlineStr">
        <is>
          <t>Medium</t>
        </is>
      </c>
      <c r="AH205" t="inlineStr">
        <is>
          <t>On Track to Glide Path</t>
        </is>
      </c>
    </row>
    <row r="206">
      <c r="A206" t="inlineStr">
        <is>
          <t>SUP-0013</t>
        </is>
      </c>
      <c r="B206" t="inlineStr">
        <is>
          <t>Electronics Supplier 013</t>
        </is>
      </c>
      <c r="C206" t="inlineStr">
        <is>
          <t>Electronics</t>
        </is>
      </c>
      <c r="D206" t="n">
        <v>2024</v>
      </c>
      <c r="E206" t="n">
        <v>2015</v>
      </c>
      <c r="F206" t="n">
        <v>2040</v>
      </c>
      <c r="G206" t="inlineStr"/>
      <c r="H206" t="inlineStr"/>
      <c r="I206" t="n">
        <v>3136.7134</v>
      </c>
      <c r="J206" t="n">
        <v>17552.63</v>
      </c>
      <c r="K206" t="n">
        <v>44154429.98</v>
      </c>
      <c r="L206" t="n">
        <v>373405405.33</v>
      </c>
      <c r="M206" t="n">
        <v>38019.1719</v>
      </c>
      <c r="N206" t="inlineStr">
        <is>
          <t>Spend-Based Estimate</t>
        </is>
      </c>
      <c r="O206" t="b">
        <v>1</v>
      </c>
      <c r="P206" t="inlineStr">
        <is>
          <t>Medium</t>
        </is>
      </c>
      <c r="Q206" t="inlineStr">
        <is>
          <t>Reported_Emissions; Scope_Emissions</t>
        </is>
      </c>
      <c r="R206" t="inlineStr">
        <is>
          <t>Valid</t>
        </is>
      </c>
      <c r="S206" t="n">
        <v>2037</v>
      </c>
      <c r="T206" t="inlineStr">
        <is>
          <t>Industry Haircut Pathway</t>
        </is>
      </c>
      <c r="U206" t="n">
        <v>17475.0503</v>
      </c>
      <c r="V206" t="n">
        <v>11491.5931</v>
      </c>
      <c r="W206" t="n">
        <v>12209.6079</v>
      </c>
      <c r="X206" t="n">
        <v>12209.6079</v>
      </c>
      <c r="Y206" t="n">
        <v>5265.4424</v>
      </c>
      <c r="Z206" t="n">
        <v>0.00027652</v>
      </c>
      <c r="AA206" t="n">
        <v>0.301312</v>
      </c>
      <c r="AB206" t="n">
        <v>718.0149</v>
      </c>
      <c r="AC206" t="n">
        <v>239.3383</v>
      </c>
      <c r="AD206" t="n">
        <v>6472.1999</v>
      </c>
      <c r="AE206" t="n">
        <v>177393.2897</v>
      </c>
      <c r="AF206" t="n">
        <v>0.911</v>
      </c>
      <c r="AG206" t="inlineStr">
        <is>
          <t>Medium</t>
        </is>
      </c>
      <c r="AH206" t="inlineStr">
        <is>
          <t>On Track to Glide Path</t>
        </is>
      </c>
    </row>
    <row r="207">
      <c r="A207" t="inlineStr">
        <is>
          <t>SUP-0013</t>
        </is>
      </c>
      <c r="B207" t="inlineStr">
        <is>
          <t>Electronics Supplier 013</t>
        </is>
      </c>
      <c r="C207" t="inlineStr">
        <is>
          <t>Electronics</t>
        </is>
      </c>
      <c r="D207" t="n">
        <v>2024</v>
      </c>
      <c r="E207" t="n">
        <v>2015</v>
      </c>
      <c r="F207" t="n">
        <v>2040</v>
      </c>
      <c r="G207" t="inlineStr"/>
      <c r="H207" t="inlineStr"/>
      <c r="I207" t="n">
        <v>3136.7134</v>
      </c>
      <c r="J207" t="n">
        <v>17552.63</v>
      </c>
      <c r="K207" t="n">
        <v>44154429.98</v>
      </c>
      <c r="L207" t="n">
        <v>373405405.33</v>
      </c>
      <c r="M207" t="n">
        <v>38019.1719</v>
      </c>
      <c r="N207" t="inlineStr">
        <is>
          <t>Spend-Based Estimate</t>
        </is>
      </c>
      <c r="O207" t="b">
        <v>1</v>
      </c>
      <c r="P207" t="inlineStr">
        <is>
          <t>Medium</t>
        </is>
      </c>
      <c r="Q207" t="inlineStr">
        <is>
          <t>Reported_Emissions; Scope_Emissions</t>
        </is>
      </c>
      <c r="R207" t="inlineStr">
        <is>
          <t>Valid</t>
        </is>
      </c>
      <c r="S207" t="n">
        <v>2038</v>
      </c>
      <c r="T207" t="inlineStr">
        <is>
          <t>Industry Haircut Pathway</t>
        </is>
      </c>
      <c r="U207" t="n">
        <v>17475.0503</v>
      </c>
      <c r="V207" t="n">
        <v>11491.5931</v>
      </c>
      <c r="W207" t="n">
        <v>11970.2697</v>
      </c>
      <c r="X207" t="n">
        <v>11970.2697</v>
      </c>
      <c r="Y207" t="n">
        <v>5504.7806</v>
      </c>
      <c r="Z207" t="n">
        <v>0.0002711</v>
      </c>
      <c r="AA207" t="n">
        <v>0.315008</v>
      </c>
      <c r="AB207" t="n">
        <v>478.6766</v>
      </c>
      <c r="AC207" t="n">
        <v>239.3383</v>
      </c>
      <c r="AD207" t="n">
        <v>-5498.0698</v>
      </c>
      <c r="AE207" t="n">
        <v>189363.5594</v>
      </c>
      <c r="AF207" t="n">
        <v>0.911</v>
      </c>
      <c r="AG207" t="inlineStr">
        <is>
          <t>Medium</t>
        </is>
      </c>
      <c r="AH207" t="inlineStr">
        <is>
          <t>On Track to Glide Path</t>
        </is>
      </c>
    </row>
    <row r="208">
      <c r="A208" t="inlineStr">
        <is>
          <t>SUP-0013</t>
        </is>
      </c>
      <c r="B208" t="inlineStr">
        <is>
          <t>Electronics Supplier 013</t>
        </is>
      </c>
      <c r="C208" t="inlineStr">
        <is>
          <t>Electronics</t>
        </is>
      </c>
      <c r="D208" t="n">
        <v>2024</v>
      </c>
      <c r="E208" t="n">
        <v>2015</v>
      </c>
      <c r="F208" t="n">
        <v>2040</v>
      </c>
      <c r="G208" t="inlineStr"/>
      <c r="H208" t="inlineStr"/>
      <c r="I208" t="n">
        <v>3136.7134</v>
      </c>
      <c r="J208" t="n">
        <v>17552.63</v>
      </c>
      <c r="K208" t="n">
        <v>44154429.98</v>
      </c>
      <c r="L208" t="n">
        <v>373405405.33</v>
      </c>
      <c r="M208" t="n">
        <v>38019.1719</v>
      </c>
      <c r="N208" t="inlineStr">
        <is>
          <t>Spend-Based Estimate</t>
        </is>
      </c>
      <c r="O208" t="b">
        <v>1</v>
      </c>
      <c r="P208" t="inlineStr">
        <is>
          <t>Medium</t>
        </is>
      </c>
      <c r="Q208" t="inlineStr">
        <is>
          <t>Reported_Emissions; Scope_Emissions</t>
        </is>
      </c>
      <c r="R208" t="inlineStr">
        <is>
          <t>Valid</t>
        </is>
      </c>
      <c r="S208" t="n">
        <v>2039</v>
      </c>
      <c r="T208" t="inlineStr">
        <is>
          <t>Industry Haircut Pathway</t>
        </is>
      </c>
      <c r="U208" t="n">
        <v>17475.0503</v>
      </c>
      <c r="V208" t="n">
        <v>11491.5931</v>
      </c>
      <c r="W208" t="n">
        <v>11730.9314</v>
      </c>
      <c r="X208" t="n">
        <v>11730.9314</v>
      </c>
      <c r="Y208" t="n">
        <v>5744.1189</v>
      </c>
      <c r="Z208" t="n">
        <v>0.00026568</v>
      </c>
      <c r="AA208" t="n">
        <v>0.328704</v>
      </c>
      <c r="AB208" t="n">
        <v>239.3383</v>
      </c>
      <c r="AC208" t="n">
        <v>239.3383</v>
      </c>
      <c r="AD208" t="n">
        <v>-17229.0012</v>
      </c>
      <c r="AE208" t="n">
        <v>201094.4908</v>
      </c>
      <c r="AF208" t="n">
        <v>0.911</v>
      </c>
      <c r="AG208" t="inlineStr">
        <is>
          <t>Medium</t>
        </is>
      </c>
      <c r="AH208" t="inlineStr">
        <is>
          <t>On Track to Glide Path</t>
        </is>
      </c>
    </row>
    <row r="209">
      <c r="A209" t="inlineStr">
        <is>
          <t>SUP-0013</t>
        </is>
      </c>
      <c r="B209" t="inlineStr">
        <is>
          <t>Electronics Supplier 013</t>
        </is>
      </c>
      <c r="C209" t="inlineStr">
        <is>
          <t>Electronics</t>
        </is>
      </c>
      <c r="D209" t="n">
        <v>2024</v>
      </c>
      <c r="E209" t="n">
        <v>2015</v>
      </c>
      <c r="F209" t="n">
        <v>2040</v>
      </c>
      <c r="G209" t="inlineStr"/>
      <c r="H209" t="inlineStr"/>
      <c r="I209" t="n">
        <v>3136.7134</v>
      </c>
      <c r="J209" t="n">
        <v>17552.63</v>
      </c>
      <c r="K209" t="n">
        <v>44154429.98</v>
      </c>
      <c r="L209" t="n">
        <v>373405405.33</v>
      </c>
      <c r="M209" t="n">
        <v>38019.1719</v>
      </c>
      <c r="N209" t="inlineStr">
        <is>
          <t>Spend-Based Estimate</t>
        </is>
      </c>
      <c r="O209" t="b">
        <v>1</v>
      </c>
      <c r="P209" t="inlineStr">
        <is>
          <t>Medium</t>
        </is>
      </c>
      <c r="Q209" t="inlineStr">
        <is>
          <t>Reported_Emissions; Scope_Emissions</t>
        </is>
      </c>
      <c r="R209" t="inlineStr">
        <is>
          <t>Valid</t>
        </is>
      </c>
      <c r="S209" t="n">
        <v>2040</v>
      </c>
      <c r="T209" t="inlineStr">
        <is>
          <t>Industry Haircut Pathway</t>
        </is>
      </c>
      <c r="U209" t="n">
        <v>17475.0503</v>
      </c>
      <c r="V209" t="n">
        <v>11491.5931</v>
      </c>
      <c r="W209" t="n">
        <v>11491.5931</v>
      </c>
      <c r="X209" t="n">
        <v>11491.5931</v>
      </c>
      <c r="Y209" t="n">
        <v>5983.4572</v>
      </c>
      <c r="Z209" t="n">
        <v>0.00026026</v>
      </c>
      <c r="AA209" t="n">
        <v>0.3424</v>
      </c>
      <c r="AB209" t="n">
        <v>0</v>
      </c>
      <c r="AC209" t="n">
        <v>239.3383</v>
      </c>
      <c r="AD209" t="n">
        <v>-28720.5943</v>
      </c>
      <c r="AE209" t="n">
        <v>212586.0839</v>
      </c>
      <c r="AF209" t="n">
        <v>0.911</v>
      </c>
      <c r="AG209" t="inlineStr">
        <is>
          <t>Low</t>
        </is>
      </c>
      <c r="AH209" t="inlineStr">
        <is>
          <t>On Track</t>
        </is>
      </c>
    </row>
    <row r="210">
      <c r="A210" t="inlineStr">
        <is>
          <t>SUP-0014</t>
        </is>
      </c>
      <c r="B210" t="inlineStr">
        <is>
          <t>Textiles Supplier 014</t>
        </is>
      </c>
      <c r="C210" t="inlineStr">
        <is>
          <t>Textiles</t>
        </is>
      </c>
      <c r="D210" t="n">
        <v>2024</v>
      </c>
      <c r="E210" t="n">
        <v>2015</v>
      </c>
      <c r="F210" t="n">
        <v>2030</v>
      </c>
      <c r="G210" t="n">
        <v>3472.4816</v>
      </c>
      <c r="H210" t="n">
        <v>406.9801</v>
      </c>
      <c r="I210" t="n">
        <v>645.8626</v>
      </c>
      <c r="J210" t="inlineStr"/>
      <c r="K210" t="n">
        <v>16888486.43</v>
      </c>
      <c r="L210" t="n">
        <v>86249629.91</v>
      </c>
      <c r="M210" t="n">
        <v>3472.4816</v>
      </c>
      <c r="N210" t="inlineStr">
        <is>
          <t>Supplier Reported Emissions</t>
        </is>
      </c>
      <c r="O210" t="b">
        <v>0</v>
      </c>
      <c r="P210" t="inlineStr">
        <is>
          <t>High</t>
        </is>
      </c>
      <c r="Q210" t="inlineStr">
        <is>
          <t>Scope_Emissions</t>
        </is>
      </c>
      <c r="R210" t="inlineStr">
        <is>
          <t>Valid</t>
        </is>
      </c>
      <c r="S210" t="n">
        <v>2025</v>
      </c>
      <c r="T210" t="inlineStr">
        <is>
          <t>Industry Haircut Pathway</t>
        </is>
      </c>
      <c r="U210" t="n">
        <v>8453.938200000001</v>
      </c>
      <c r="V210" t="n">
        <v>5773.1944</v>
      </c>
      <c r="W210" t="n">
        <v>6666.7757</v>
      </c>
      <c r="X210" t="n">
        <v>6666.7757</v>
      </c>
      <c r="Y210" t="n">
        <v>1787.1625</v>
      </c>
      <c r="Z210" t="n">
        <v>0.00039475</v>
      </c>
      <c r="AA210" t="n">
        <v>0.2114</v>
      </c>
      <c r="AB210" t="n">
        <v>893.5813000000001</v>
      </c>
      <c r="AC210" t="n">
        <v>178.7163</v>
      </c>
      <c r="AD210" t="n">
        <v>27972.3907</v>
      </c>
      <c r="AE210" t="n">
        <v>6666.7757</v>
      </c>
      <c r="AF210" t="n">
        <v>0.918</v>
      </c>
      <c r="AG210" t="inlineStr">
        <is>
          <t>High</t>
        </is>
      </c>
      <c r="AH210" t="inlineStr">
        <is>
          <t>On Track to Glide Path</t>
        </is>
      </c>
    </row>
    <row r="211">
      <c r="A211" t="inlineStr">
        <is>
          <t>SUP-0014</t>
        </is>
      </c>
      <c r="B211" t="inlineStr">
        <is>
          <t>Textiles Supplier 014</t>
        </is>
      </c>
      <c r="C211" t="inlineStr">
        <is>
          <t>Textiles</t>
        </is>
      </c>
      <c r="D211" t="n">
        <v>2024</v>
      </c>
      <c r="E211" t="n">
        <v>2015</v>
      </c>
      <c r="F211" t="n">
        <v>2030</v>
      </c>
      <c r="G211" t="n">
        <v>3472.4816</v>
      </c>
      <c r="H211" t="n">
        <v>406.9801</v>
      </c>
      <c r="I211" t="n">
        <v>645.8626</v>
      </c>
      <c r="J211" t="inlineStr"/>
      <c r="K211" t="n">
        <v>16888486.43</v>
      </c>
      <c r="L211" t="n">
        <v>86249629.91</v>
      </c>
      <c r="M211" t="n">
        <v>3472.4816</v>
      </c>
      <c r="N211" t="inlineStr">
        <is>
          <t>Supplier Reported Emissions</t>
        </is>
      </c>
      <c r="O211" t="b">
        <v>0</v>
      </c>
      <c r="P211" t="inlineStr">
        <is>
          <t>High</t>
        </is>
      </c>
      <c r="Q211" t="inlineStr">
        <is>
          <t>Scope_Emissions</t>
        </is>
      </c>
      <c r="R211" t="inlineStr">
        <is>
          <t>Valid</t>
        </is>
      </c>
      <c r="S211" t="n">
        <v>2026</v>
      </c>
      <c r="T211" t="inlineStr">
        <is>
          <t>Industry Haircut Pathway</t>
        </is>
      </c>
      <c r="U211" t="n">
        <v>8453.938200000001</v>
      </c>
      <c r="V211" t="n">
        <v>5773.1944</v>
      </c>
      <c r="W211" t="n">
        <v>6488.0594</v>
      </c>
      <c r="X211" t="n">
        <v>6488.0594</v>
      </c>
      <c r="Y211" t="n">
        <v>1965.8788</v>
      </c>
      <c r="Z211" t="n">
        <v>0.00038417</v>
      </c>
      <c r="AA211" t="n">
        <v>0.23254</v>
      </c>
      <c r="AB211" t="n">
        <v>714.865</v>
      </c>
      <c r="AC211" t="n">
        <v>178.7163</v>
      </c>
      <c r="AD211" t="n">
        <v>21484.3313</v>
      </c>
      <c r="AE211" t="n">
        <v>13154.8351</v>
      </c>
      <c r="AF211" t="n">
        <v>0.918</v>
      </c>
      <c r="AG211" t="inlineStr">
        <is>
          <t>Medium</t>
        </is>
      </c>
      <c r="AH211" t="inlineStr">
        <is>
          <t>On Track to Glide Path</t>
        </is>
      </c>
    </row>
    <row r="212">
      <c r="A212" t="inlineStr">
        <is>
          <t>SUP-0014</t>
        </is>
      </c>
      <c r="B212" t="inlineStr">
        <is>
          <t>Textiles Supplier 014</t>
        </is>
      </c>
      <c r="C212" t="inlineStr">
        <is>
          <t>Textiles</t>
        </is>
      </c>
      <c r="D212" t="n">
        <v>2024</v>
      </c>
      <c r="E212" t="n">
        <v>2015</v>
      </c>
      <c r="F212" t="n">
        <v>2030</v>
      </c>
      <c r="G212" t="n">
        <v>3472.4816</v>
      </c>
      <c r="H212" t="n">
        <v>406.9801</v>
      </c>
      <c r="I212" t="n">
        <v>645.8626</v>
      </c>
      <c r="J212" t="inlineStr"/>
      <c r="K212" t="n">
        <v>16888486.43</v>
      </c>
      <c r="L212" t="n">
        <v>86249629.91</v>
      </c>
      <c r="M212" t="n">
        <v>3472.4816</v>
      </c>
      <c r="N212" t="inlineStr">
        <is>
          <t>Supplier Reported Emissions</t>
        </is>
      </c>
      <c r="O212" t="b">
        <v>0</v>
      </c>
      <c r="P212" t="inlineStr">
        <is>
          <t>High</t>
        </is>
      </c>
      <c r="Q212" t="inlineStr">
        <is>
          <t>Scope_Emissions</t>
        </is>
      </c>
      <c r="R212" t="inlineStr">
        <is>
          <t>Valid</t>
        </is>
      </c>
      <c r="S212" t="n">
        <v>2027</v>
      </c>
      <c r="T212" t="inlineStr">
        <is>
          <t>Industry Haircut Pathway</t>
        </is>
      </c>
      <c r="U212" t="n">
        <v>8453.938200000001</v>
      </c>
      <c r="V212" t="n">
        <v>5773.1944</v>
      </c>
      <c r="W212" t="n">
        <v>6309.3432</v>
      </c>
      <c r="X212" t="n">
        <v>6309.3432</v>
      </c>
      <c r="Y212" t="n">
        <v>2144.595</v>
      </c>
      <c r="Z212" t="n">
        <v>0.00037359</v>
      </c>
      <c r="AA212" t="n">
        <v>0.25368</v>
      </c>
      <c r="AB212" t="n">
        <v>536.1488000000001</v>
      </c>
      <c r="AC212" t="n">
        <v>178.7163</v>
      </c>
      <c r="AD212" t="n">
        <v>15174.9881</v>
      </c>
      <c r="AE212" t="n">
        <v>19464.1783</v>
      </c>
      <c r="AF212" t="n">
        <v>0.918</v>
      </c>
      <c r="AG212" t="inlineStr">
        <is>
          <t>Medium</t>
        </is>
      </c>
      <c r="AH212" t="inlineStr">
        <is>
          <t>On Track to Glide Path</t>
        </is>
      </c>
    </row>
    <row r="213">
      <c r="A213" t="inlineStr">
        <is>
          <t>SUP-0014</t>
        </is>
      </c>
      <c r="B213" t="inlineStr">
        <is>
          <t>Textiles Supplier 014</t>
        </is>
      </c>
      <c r="C213" t="inlineStr">
        <is>
          <t>Textiles</t>
        </is>
      </c>
      <c r="D213" t="n">
        <v>2024</v>
      </c>
      <c r="E213" t="n">
        <v>2015</v>
      </c>
      <c r="F213" t="n">
        <v>2030</v>
      </c>
      <c r="G213" t="n">
        <v>3472.4816</v>
      </c>
      <c r="H213" t="n">
        <v>406.9801</v>
      </c>
      <c r="I213" t="n">
        <v>645.8626</v>
      </c>
      <c r="J213" t="inlineStr"/>
      <c r="K213" t="n">
        <v>16888486.43</v>
      </c>
      <c r="L213" t="n">
        <v>86249629.91</v>
      </c>
      <c r="M213" t="n">
        <v>3472.4816</v>
      </c>
      <c r="N213" t="inlineStr">
        <is>
          <t>Supplier Reported Emissions</t>
        </is>
      </c>
      <c r="O213" t="b">
        <v>0</v>
      </c>
      <c r="P213" t="inlineStr">
        <is>
          <t>High</t>
        </is>
      </c>
      <c r="Q213" t="inlineStr">
        <is>
          <t>Scope_Emissions</t>
        </is>
      </c>
      <c r="R213" t="inlineStr">
        <is>
          <t>Valid</t>
        </is>
      </c>
      <c r="S213" t="n">
        <v>2028</v>
      </c>
      <c r="T213" t="inlineStr">
        <is>
          <t>Industry Haircut Pathway</t>
        </is>
      </c>
      <c r="U213" t="n">
        <v>8453.938200000001</v>
      </c>
      <c r="V213" t="n">
        <v>5773.1944</v>
      </c>
      <c r="W213" t="n">
        <v>6130.6269</v>
      </c>
      <c r="X213" t="n">
        <v>6130.6269</v>
      </c>
      <c r="Y213" t="n">
        <v>2323.3113</v>
      </c>
      <c r="Z213" t="n">
        <v>0.00036301</v>
      </c>
      <c r="AA213" t="n">
        <v>0.27482</v>
      </c>
      <c r="AB213" t="n">
        <v>357.4325</v>
      </c>
      <c r="AC213" t="n">
        <v>178.7163</v>
      </c>
      <c r="AD213" t="n">
        <v>9044.361199999999</v>
      </c>
      <c r="AE213" t="n">
        <v>25594.8052</v>
      </c>
      <c r="AF213" t="n">
        <v>0.918</v>
      </c>
      <c r="AG213" t="inlineStr">
        <is>
          <t>Medium</t>
        </is>
      </c>
      <c r="AH213" t="inlineStr">
        <is>
          <t>On Track to Glide Path</t>
        </is>
      </c>
    </row>
    <row r="214">
      <c r="A214" t="inlineStr">
        <is>
          <t>SUP-0014</t>
        </is>
      </c>
      <c r="B214" t="inlineStr">
        <is>
          <t>Textiles Supplier 014</t>
        </is>
      </c>
      <c r="C214" t="inlineStr">
        <is>
          <t>Textiles</t>
        </is>
      </c>
      <c r="D214" t="n">
        <v>2024</v>
      </c>
      <c r="E214" t="n">
        <v>2015</v>
      </c>
      <c r="F214" t="n">
        <v>2030</v>
      </c>
      <c r="G214" t="n">
        <v>3472.4816</v>
      </c>
      <c r="H214" t="n">
        <v>406.9801</v>
      </c>
      <c r="I214" t="n">
        <v>645.8626</v>
      </c>
      <c r="J214" t="inlineStr"/>
      <c r="K214" t="n">
        <v>16888486.43</v>
      </c>
      <c r="L214" t="n">
        <v>86249629.91</v>
      </c>
      <c r="M214" t="n">
        <v>3472.4816</v>
      </c>
      <c r="N214" t="inlineStr">
        <is>
          <t>Supplier Reported Emissions</t>
        </is>
      </c>
      <c r="O214" t="b">
        <v>0</v>
      </c>
      <c r="P214" t="inlineStr">
        <is>
          <t>High</t>
        </is>
      </c>
      <c r="Q214" t="inlineStr">
        <is>
          <t>Scope_Emissions</t>
        </is>
      </c>
      <c r="R214" t="inlineStr">
        <is>
          <t>Valid</t>
        </is>
      </c>
      <c r="S214" t="n">
        <v>2029</v>
      </c>
      <c r="T214" t="inlineStr">
        <is>
          <t>Industry Haircut Pathway</t>
        </is>
      </c>
      <c r="U214" t="n">
        <v>8453.938200000001</v>
      </c>
      <c r="V214" t="n">
        <v>5773.1944</v>
      </c>
      <c r="W214" t="n">
        <v>5951.9107</v>
      </c>
      <c r="X214" t="n">
        <v>5951.9107</v>
      </c>
      <c r="Y214" t="n">
        <v>2502.0275</v>
      </c>
      <c r="Z214" t="n">
        <v>0.00035242</v>
      </c>
      <c r="AA214" t="n">
        <v>0.29596</v>
      </c>
      <c r="AB214" t="n">
        <v>178.7163</v>
      </c>
      <c r="AC214" t="n">
        <v>178.7163</v>
      </c>
      <c r="AD214" t="n">
        <v>3092.4505</v>
      </c>
      <c r="AE214" t="n">
        <v>31546.7159</v>
      </c>
      <c r="AF214" t="n">
        <v>0.918</v>
      </c>
      <c r="AG214" t="inlineStr">
        <is>
          <t>Medium</t>
        </is>
      </c>
      <c r="AH214" t="inlineStr">
        <is>
          <t>On Track to Glide Path</t>
        </is>
      </c>
    </row>
    <row r="215">
      <c r="A215" t="inlineStr">
        <is>
          <t>SUP-0014</t>
        </is>
      </c>
      <c r="B215" t="inlineStr">
        <is>
          <t>Textiles Supplier 014</t>
        </is>
      </c>
      <c r="C215" t="inlineStr">
        <is>
          <t>Textiles</t>
        </is>
      </c>
      <c r="D215" t="n">
        <v>2024</v>
      </c>
      <c r="E215" t="n">
        <v>2015</v>
      </c>
      <c r="F215" t="n">
        <v>2030</v>
      </c>
      <c r="G215" t="n">
        <v>3472.4816</v>
      </c>
      <c r="H215" t="n">
        <v>406.9801</v>
      </c>
      <c r="I215" t="n">
        <v>645.8626</v>
      </c>
      <c r="J215" t="inlineStr"/>
      <c r="K215" t="n">
        <v>16888486.43</v>
      </c>
      <c r="L215" t="n">
        <v>86249629.91</v>
      </c>
      <c r="M215" t="n">
        <v>3472.4816</v>
      </c>
      <c r="N215" t="inlineStr">
        <is>
          <t>Supplier Reported Emissions</t>
        </is>
      </c>
      <c r="O215" t="b">
        <v>0</v>
      </c>
      <c r="P215" t="inlineStr">
        <is>
          <t>High</t>
        </is>
      </c>
      <c r="Q215" t="inlineStr">
        <is>
          <t>Scope_Emissions</t>
        </is>
      </c>
      <c r="R215" t="inlineStr">
        <is>
          <t>Valid</t>
        </is>
      </c>
      <c r="S215" t="n">
        <v>2030</v>
      </c>
      <c r="T215" t="inlineStr">
        <is>
          <t>Industry Haircut Pathway</t>
        </is>
      </c>
      <c r="U215" t="n">
        <v>8453.938200000001</v>
      </c>
      <c r="V215" t="n">
        <v>5773.1944</v>
      </c>
      <c r="W215" t="n">
        <v>5773.1944</v>
      </c>
      <c r="X215" t="n">
        <v>5773.1944</v>
      </c>
      <c r="Y215" t="n">
        <v>2680.7438</v>
      </c>
      <c r="Z215" t="n">
        <v>0.00034184</v>
      </c>
      <c r="AA215" t="n">
        <v>0.3171</v>
      </c>
      <c r="AB215" t="n">
        <v>0</v>
      </c>
      <c r="AC215" t="n">
        <v>178.7163</v>
      </c>
      <c r="AD215" t="n">
        <v>-2680.7439</v>
      </c>
      <c r="AE215" t="n">
        <v>37319.9103</v>
      </c>
      <c r="AF215" t="n">
        <v>0.918</v>
      </c>
      <c r="AG215" t="inlineStr">
        <is>
          <t>Low</t>
        </is>
      </c>
      <c r="AH215" t="inlineStr">
        <is>
          <t>On Track</t>
        </is>
      </c>
    </row>
    <row r="216">
      <c r="A216" t="inlineStr">
        <is>
          <t>SUP-0014</t>
        </is>
      </c>
      <c r="B216" t="inlineStr">
        <is>
          <t>Textiles Supplier 014</t>
        </is>
      </c>
      <c r="C216" t="inlineStr">
        <is>
          <t>Textiles</t>
        </is>
      </c>
      <c r="D216" t="n">
        <v>2024</v>
      </c>
      <c r="E216" t="n">
        <v>2015</v>
      </c>
      <c r="F216" t="n">
        <v>2030</v>
      </c>
      <c r="G216" t="n">
        <v>3472.4816</v>
      </c>
      <c r="H216" t="n">
        <v>406.9801</v>
      </c>
      <c r="I216" t="n">
        <v>645.8626</v>
      </c>
      <c r="J216" t="inlineStr"/>
      <c r="K216" t="n">
        <v>16888486.43</v>
      </c>
      <c r="L216" t="n">
        <v>86249629.91</v>
      </c>
      <c r="M216" t="n">
        <v>3472.4816</v>
      </c>
      <c r="N216" t="inlineStr">
        <is>
          <t>Supplier Reported Emissions</t>
        </is>
      </c>
      <c r="O216" t="b">
        <v>0</v>
      </c>
      <c r="P216" t="inlineStr">
        <is>
          <t>High</t>
        </is>
      </c>
      <c r="Q216" t="inlineStr">
        <is>
          <t>Scope_Emissions</t>
        </is>
      </c>
      <c r="R216" t="inlineStr">
        <is>
          <t>Valid</t>
        </is>
      </c>
      <c r="S216" t="n">
        <v>2031</v>
      </c>
      <c r="T216" t="inlineStr">
        <is>
          <t>Industry Haircut Pathway</t>
        </is>
      </c>
      <c r="U216" t="n">
        <v>8453.938200000001</v>
      </c>
      <c r="V216" t="n">
        <v>5773.1944</v>
      </c>
      <c r="W216" t="n">
        <v>5773.1944</v>
      </c>
      <c r="X216" t="n">
        <v>5773.1944</v>
      </c>
      <c r="Y216" t="n">
        <v>2680.7438</v>
      </c>
      <c r="Z216" t="n">
        <v>0.00034184</v>
      </c>
      <c r="AA216" t="n">
        <v>0.3171</v>
      </c>
      <c r="AB216" t="n">
        <v>0</v>
      </c>
      <c r="AC216" t="n">
        <v>178.7163</v>
      </c>
      <c r="AD216" t="n">
        <v>-8453.9383</v>
      </c>
      <c r="AE216" t="n">
        <v>43093.1047</v>
      </c>
      <c r="AF216" t="n">
        <v>0.918</v>
      </c>
      <c r="AG216" t="inlineStr">
        <is>
          <t>Low</t>
        </is>
      </c>
      <c r="AH216" t="inlineStr">
        <is>
          <t>On Track</t>
        </is>
      </c>
    </row>
    <row r="217">
      <c r="A217" t="inlineStr">
        <is>
          <t>SUP-0014</t>
        </is>
      </c>
      <c r="B217" t="inlineStr">
        <is>
          <t>Textiles Supplier 014</t>
        </is>
      </c>
      <c r="C217" t="inlineStr">
        <is>
          <t>Textiles</t>
        </is>
      </c>
      <c r="D217" t="n">
        <v>2024</v>
      </c>
      <c r="E217" t="n">
        <v>2015</v>
      </c>
      <c r="F217" t="n">
        <v>2030</v>
      </c>
      <c r="G217" t="n">
        <v>3472.4816</v>
      </c>
      <c r="H217" t="n">
        <v>406.9801</v>
      </c>
      <c r="I217" t="n">
        <v>645.8626</v>
      </c>
      <c r="J217" t="inlineStr"/>
      <c r="K217" t="n">
        <v>16888486.43</v>
      </c>
      <c r="L217" t="n">
        <v>86249629.91</v>
      </c>
      <c r="M217" t="n">
        <v>3472.4816</v>
      </c>
      <c r="N217" t="inlineStr">
        <is>
          <t>Supplier Reported Emissions</t>
        </is>
      </c>
      <c r="O217" t="b">
        <v>0</v>
      </c>
      <c r="P217" t="inlineStr">
        <is>
          <t>High</t>
        </is>
      </c>
      <c r="Q217" t="inlineStr">
        <is>
          <t>Scope_Emissions</t>
        </is>
      </c>
      <c r="R217" t="inlineStr">
        <is>
          <t>Valid</t>
        </is>
      </c>
      <c r="S217" t="n">
        <v>2032</v>
      </c>
      <c r="T217" t="inlineStr">
        <is>
          <t>Industry Haircut Pathway</t>
        </is>
      </c>
      <c r="U217" t="n">
        <v>8453.938200000001</v>
      </c>
      <c r="V217" t="n">
        <v>5773.1944</v>
      </c>
      <c r="W217" t="n">
        <v>5773.1944</v>
      </c>
      <c r="X217" t="n">
        <v>5773.1944</v>
      </c>
      <c r="Y217" t="n">
        <v>2680.7438</v>
      </c>
      <c r="Z217" t="n">
        <v>0.00034184</v>
      </c>
      <c r="AA217" t="n">
        <v>0.3171</v>
      </c>
      <c r="AB217" t="n">
        <v>0</v>
      </c>
      <c r="AC217" t="n">
        <v>178.7163</v>
      </c>
      <c r="AD217" t="n">
        <v>-14227.1327</v>
      </c>
      <c r="AE217" t="n">
        <v>48866.2991</v>
      </c>
      <c r="AF217" t="n">
        <v>0.918</v>
      </c>
      <c r="AG217" t="inlineStr">
        <is>
          <t>Low</t>
        </is>
      </c>
      <c r="AH217" t="inlineStr">
        <is>
          <t>On Track</t>
        </is>
      </c>
    </row>
    <row r="218">
      <c r="A218" t="inlineStr">
        <is>
          <t>SUP-0014</t>
        </is>
      </c>
      <c r="B218" t="inlineStr">
        <is>
          <t>Textiles Supplier 014</t>
        </is>
      </c>
      <c r="C218" t="inlineStr">
        <is>
          <t>Textiles</t>
        </is>
      </c>
      <c r="D218" t="n">
        <v>2024</v>
      </c>
      <c r="E218" t="n">
        <v>2015</v>
      </c>
      <c r="F218" t="n">
        <v>2030</v>
      </c>
      <c r="G218" t="n">
        <v>3472.4816</v>
      </c>
      <c r="H218" t="n">
        <v>406.9801</v>
      </c>
      <c r="I218" t="n">
        <v>645.8626</v>
      </c>
      <c r="J218" t="inlineStr"/>
      <c r="K218" t="n">
        <v>16888486.43</v>
      </c>
      <c r="L218" t="n">
        <v>86249629.91</v>
      </c>
      <c r="M218" t="n">
        <v>3472.4816</v>
      </c>
      <c r="N218" t="inlineStr">
        <is>
          <t>Supplier Reported Emissions</t>
        </is>
      </c>
      <c r="O218" t="b">
        <v>0</v>
      </c>
      <c r="P218" t="inlineStr">
        <is>
          <t>High</t>
        </is>
      </c>
      <c r="Q218" t="inlineStr">
        <is>
          <t>Scope_Emissions</t>
        </is>
      </c>
      <c r="R218" t="inlineStr">
        <is>
          <t>Valid</t>
        </is>
      </c>
      <c r="S218" t="n">
        <v>2033</v>
      </c>
      <c r="T218" t="inlineStr">
        <is>
          <t>Industry Haircut Pathway</t>
        </is>
      </c>
      <c r="U218" t="n">
        <v>8453.938200000001</v>
      </c>
      <c r="V218" t="n">
        <v>5773.1944</v>
      </c>
      <c r="W218" t="n">
        <v>5773.1944</v>
      </c>
      <c r="X218" t="n">
        <v>5773.1944</v>
      </c>
      <c r="Y218" t="n">
        <v>2680.7438</v>
      </c>
      <c r="Z218" t="n">
        <v>0.00034184</v>
      </c>
      <c r="AA218" t="n">
        <v>0.3171</v>
      </c>
      <c r="AB218" t="n">
        <v>0</v>
      </c>
      <c r="AC218" t="n">
        <v>178.7163</v>
      </c>
      <c r="AD218" t="n">
        <v>-20000.3271</v>
      </c>
      <c r="AE218" t="n">
        <v>54639.4935</v>
      </c>
      <c r="AF218" t="n">
        <v>0.918</v>
      </c>
      <c r="AG218" t="inlineStr">
        <is>
          <t>Low</t>
        </is>
      </c>
      <c r="AH218" t="inlineStr">
        <is>
          <t>On Track</t>
        </is>
      </c>
    </row>
    <row r="219">
      <c r="A219" t="inlineStr">
        <is>
          <t>SUP-0014</t>
        </is>
      </c>
      <c r="B219" t="inlineStr">
        <is>
          <t>Textiles Supplier 014</t>
        </is>
      </c>
      <c r="C219" t="inlineStr">
        <is>
          <t>Textiles</t>
        </is>
      </c>
      <c r="D219" t="n">
        <v>2024</v>
      </c>
      <c r="E219" t="n">
        <v>2015</v>
      </c>
      <c r="F219" t="n">
        <v>2030</v>
      </c>
      <c r="G219" t="n">
        <v>3472.4816</v>
      </c>
      <c r="H219" t="n">
        <v>406.9801</v>
      </c>
      <c r="I219" t="n">
        <v>645.8626</v>
      </c>
      <c r="J219" t="inlineStr"/>
      <c r="K219" t="n">
        <v>16888486.43</v>
      </c>
      <c r="L219" t="n">
        <v>86249629.91</v>
      </c>
      <c r="M219" t="n">
        <v>3472.4816</v>
      </c>
      <c r="N219" t="inlineStr">
        <is>
          <t>Supplier Reported Emissions</t>
        </is>
      </c>
      <c r="O219" t="b">
        <v>0</v>
      </c>
      <c r="P219" t="inlineStr">
        <is>
          <t>High</t>
        </is>
      </c>
      <c r="Q219" t="inlineStr">
        <is>
          <t>Scope_Emissions</t>
        </is>
      </c>
      <c r="R219" t="inlineStr">
        <is>
          <t>Valid</t>
        </is>
      </c>
      <c r="S219" t="n">
        <v>2034</v>
      </c>
      <c r="T219" t="inlineStr">
        <is>
          <t>Industry Haircut Pathway</t>
        </is>
      </c>
      <c r="U219" t="n">
        <v>8453.938200000001</v>
      </c>
      <c r="V219" t="n">
        <v>5773.1944</v>
      </c>
      <c r="W219" t="n">
        <v>5773.1944</v>
      </c>
      <c r="X219" t="n">
        <v>5773.1944</v>
      </c>
      <c r="Y219" t="n">
        <v>2680.7438</v>
      </c>
      <c r="Z219" t="n">
        <v>0.00034184</v>
      </c>
      <c r="AA219" t="n">
        <v>0.3171</v>
      </c>
      <c r="AB219" t="n">
        <v>0</v>
      </c>
      <c r="AC219" t="n">
        <v>178.7163</v>
      </c>
      <c r="AD219" t="n">
        <v>-25773.5215</v>
      </c>
      <c r="AE219" t="n">
        <v>60412.6879</v>
      </c>
      <c r="AF219" t="n">
        <v>0.918</v>
      </c>
      <c r="AG219" t="inlineStr">
        <is>
          <t>Low</t>
        </is>
      </c>
      <c r="AH219" t="inlineStr">
        <is>
          <t>On Track</t>
        </is>
      </c>
    </row>
    <row r="220">
      <c r="A220" t="inlineStr">
        <is>
          <t>SUP-0014</t>
        </is>
      </c>
      <c r="B220" t="inlineStr">
        <is>
          <t>Textiles Supplier 014</t>
        </is>
      </c>
      <c r="C220" t="inlineStr">
        <is>
          <t>Textiles</t>
        </is>
      </c>
      <c r="D220" t="n">
        <v>2024</v>
      </c>
      <c r="E220" t="n">
        <v>2015</v>
      </c>
      <c r="F220" t="n">
        <v>2030</v>
      </c>
      <c r="G220" t="n">
        <v>3472.4816</v>
      </c>
      <c r="H220" t="n">
        <v>406.9801</v>
      </c>
      <c r="I220" t="n">
        <v>645.8626</v>
      </c>
      <c r="J220" t="inlineStr"/>
      <c r="K220" t="n">
        <v>16888486.43</v>
      </c>
      <c r="L220" t="n">
        <v>86249629.91</v>
      </c>
      <c r="M220" t="n">
        <v>3472.4816</v>
      </c>
      <c r="N220" t="inlineStr">
        <is>
          <t>Supplier Reported Emissions</t>
        </is>
      </c>
      <c r="O220" t="b">
        <v>0</v>
      </c>
      <c r="P220" t="inlineStr">
        <is>
          <t>High</t>
        </is>
      </c>
      <c r="Q220" t="inlineStr">
        <is>
          <t>Scope_Emissions</t>
        </is>
      </c>
      <c r="R220" t="inlineStr">
        <is>
          <t>Valid</t>
        </is>
      </c>
      <c r="S220" t="n">
        <v>2035</v>
      </c>
      <c r="T220" t="inlineStr">
        <is>
          <t>Industry Haircut Pathway</t>
        </is>
      </c>
      <c r="U220" t="n">
        <v>8453.938200000001</v>
      </c>
      <c r="V220" t="n">
        <v>5773.1944</v>
      </c>
      <c r="W220" t="n">
        <v>5773.1944</v>
      </c>
      <c r="X220" t="n">
        <v>5773.1944</v>
      </c>
      <c r="Y220" t="n">
        <v>2680.7438</v>
      </c>
      <c r="Z220" t="n">
        <v>0.00034184</v>
      </c>
      <c r="AA220" t="n">
        <v>0.3171</v>
      </c>
      <c r="AB220" t="n">
        <v>0</v>
      </c>
      <c r="AC220" t="n">
        <v>178.7163</v>
      </c>
      <c r="AD220" t="n">
        <v>-31546.7159</v>
      </c>
      <c r="AE220" t="n">
        <v>66185.8823</v>
      </c>
      <c r="AF220" t="n">
        <v>0.918</v>
      </c>
      <c r="AG220" t="inlineStr">
        <is>
          <t>Low</t>
        </is>
      </c>
      <c r="AH220" t="inlineStr">
        <is>
          <t>On Track</t>
        </is>
      </c>
    </row>
    <row r="221">
      <c r="A221" t="inlineStr">
        <is>
          <t>SUP-0014</t>
        </is>
      </c>
      <c r="B221" t="inlineStr">
        <is>
          <t>Textiles Supplier 014</t>
        </is>
      </c>
      <c r="C221" t="inlineStr">
        <is>
          <t>Textiles</t>
        </is>
      </c>
      <c r="D221" t="n">
        <v>2024</v>
      </c>
      <c r="E221" t="n">
        <v>2015</v>
      </c>
      <c r="F221" t="n">
        <v>2030</v>
      </c>
      <c r="G221" t="n">
        <v>3472.4816</v>
      </c>
      <c r="H221" t="n">
        <v>406.9801</v>
      </c>
      <c r="I221" t="n">
        <v>645.8626</v>
      </c>
      <c r="J221" t="inlineStr"/>
      <c r="K221" t="n">
        <v>16888486.43</v>
      </c>
      <c r="L221" t="n">
        <v>86249629.91</v>
      </c>
      <c r="M221" t="n">
        <v>3472.4816</v>
      </c>
      <c r="N221" t="inlineStr">
        <is>
          <t>Supplier Reported Emissions</t>
        </is>
      </c>
      <c r="O221" t="b">
        <v>0</v>
      </c>
      <c r="P221" t="inlineStr">
        <is>
          <t>High</t>
        </is>
      </c>
      <c r="Q221" t="inlineStr">
        <is>
          <t>Scope_Emissions</t>
        </is>
      </c>
      <c r="R221" t="inlineStr">
        <is>
          <t>Valid</t>
        </is>
      </c>
      <c r="S221" t="n">
        <v>2036</v>
      </c>
      <c r="T221" t="inlineStr">
        <is>
          <t>Industry Haircut Pathway</t>
        </is>
      </c>
      <c r="U221" t="n">
        <v>8453.938200000001</v>
      </c>
      <c r="V221" t="n">
        <v>5773.1944</v>
      </c>
      <c r="W221" t="n">
        <v>5773.1944</v>
      </c>
      <c r="X221" t="n">
        <v>5773.1944</v>
      </c>
      <c r="Y221" t="n">
        <v>2680.7438</v>
      </c>
      <c r="Z221" t="n">
        <v>0.00034184</v>
      </c>
      <c r="AA221" t="n">
        <v>0.3171</v>
      </c>
      <c r="AB221" t="n">
        <v>0</v>
      </c>
      <c r="AC221" t="n">
        <v>178.7163</v>
      </c>
      <c r="AD221" t="n">
        <v>-37319.9103</v>
      </c>
      <c r="AE221" t="n">
        <v>71959.07670000001</v>
      </c>
      <c r="AF221" t="n">
        <v>0.918</v>
      </c>
      <c r="AG221" t="inlineStr">
        <is>
          <t>Low</t>
        </is>
      </c>
      <c r="AH221" t="inlineStr">
        <is>
          <t>On Track</t>
        </is>
      </c>
    </row>
    <row r="222">
      <c r="A222" t="inlineStr">
        <is>
          <t>SUP-0014</t>
        </is>
      </c>
      <c r="B222" t="inlineStr">
        <is>
          <t>Textiles Supplier 014</t>
        </is>
      </c>
      <c r="C222" t="inlineStr">
        <is>
          <t>Textiles</t>
        </is>
      </c>
      <c r="D222" t="n">
        <v>2024</v>
      </c>
      <c r="E222" t="n">
        <v>2015</v>
      </c>
      <c r="F222" t="n">
        <v>2030</v>
      </c>
      <c r="G222" t="n">
        <v>3472.4816</v>
      </c>
      <c r="H222" t="n">
        <v>406.9801</v>
      </c>
      <c r="I222" t="n">
        <v>645.8626</v>
      </c>
      <c r="J222" t="inlineStr"/>
      <c r="K222" t="n">
        <v>16888486.43</v>
      </c>
      <c r="L222" t="n">
        <v>86249629.91</v>
      </c>
      <c r="M222" t="n">
        <v>3472.4816</v>
      </c>
      <c r="N222" t="inlineStr">
        <is>
          <t>Supplier Reported Emissions</t>
        </is>
      </c>
      <c r="O222" t="b">
        <v>0</v>
      </c>
      <c r="P222" t="inlineStr">
        <is>
          <t>High</t>
        </is>
      </c>
      <c r="Q222" t="inlineStr">
        <is>
          <t>Scope_Emissions</t>
        </is>
      </c>
      <c r="R222" t="inlineStr">
        <is>
          <t>Valid</t>
        </is>
      </c>
      <c r="S222" t="n">
        <v>2037</v>
      </c>
      <c r="T222" t="inlineStr">
        <is>
          <t>Industry Haircut Pathway</t>
        </is>
      </c>
      <c r="U222" t="n">
        <v>8453.938200000001</v>
      </c>
      <c r="V222" t="n">
        <v>5773.1944</v>
      </c>
      <c r="W222" t="n">
        <v>5773.1944</v>
      </c>
      <c r="X222" t="n">
        <v>5773.1944</v>
      </c>
      <c r="Y222" t="n">
        <v>2680.7438</v>
      </c>
      <c r="Z222" t="n">
        <v>0.00034184</v>
      </c>
      <c r="AA222" t="n">
        <v>0.3171</v>
      </c>
      <c r="AB222" t="n">
        <v>0</v>
      </c>
      <c r="AC222" t="n">
        <v>178.7163</v>
      </c>
      <c r="AD222" t="n">
        <v>-43093.1047</v>
      </c>
      <c r="AE222" t="n">
        <v>77732.2711</v>
      </c>
      <c r="AF222" t="n">
        <v>0.918</v>
      </c>
      <c r="AG222" t="inlineStr">
        <is>
          <t>Low</t>
        </is>
      </c>
      <c r="AH222" t="inlineStr">
        <is>
          <t>On Track</t>
        </is>
      </c>
    </row>
    <row r="223">
      <c r="A223" t="inlineStr">
        <is>
          <t>SUP-0014</t>
        </is>
      </c>
      <c r="B223" t="inlineStr">
        <is>
          <t>Textiles Supplier 014</t>
        </is>
      </c>
      <c r="C223" t="inlineStr">
        <is>
          <t>Textiles</t>
        </is>
      </c>
      <c r="D223" t="n">
        <v>2024</v>
      </c>
      <c r="E223" t="n">
        <v>2015</v>
      </c>
      <c r="F223" t="n">
        <v>2030</v>
      </c>
      <c r="G223" t="n">
        <v>3472.4816</v>
      </c>
      <c r="H223" t="n">
        <v>406.9801</v>
      </c>
      <c r="I223" t="n">
        <v>645.8626</v>
      </c>
      <c r="J223" t="inlineStr"/>
      <c r="K223" t="n">
        <v>16888486.43</v>
      </c>
      <c r="L223" t="n">
        <v>86249629.91</v>
      </c>
      <c r="M223" t="n">
        <v>3472.4816</v>
      </c>
      <c r="N223" t="inlineStr">
        <is>
          <t>Supplier Reported Emissions</t>
        </is>
      </c>
      <c r="O223" t="b">
        <v>0</v>
      </c>
      <c r="P223" t="inlineStr">
        <is>
          <t>High</t>
        </is>
      </c>
      <c r="Q223" t="inlineStr">
        <is>
          <t>Scope_Emissions</t>
        </is>
      </c>
      <c r="R223" t="inlineStr">
        <is>
          <t>Valid</t>
        </is>
      </c>
      <c r="S223" t="n">
        <v>2038</v>
      </c>
      <c r="T223" t="inlineStr">
        <is>
          <t>Industry Haircut Pathway</t>
        </is>
      </c>
      <c r="U223" t="n">
        <v>8453.938200000001</v>
      </c>
      <c r="V223" t="n">
        <v>5773.1944</v>
      </c>
      <c r="W223" t="n">
        <v>5773.1944</v>
      </c>
      <c r="X223" t="n">
        <v>5773.1944</v>
      </c>
      <c r="Y223" t="n">
        <v>2680.7438</v>
      </c>
      <c r="Z223" t="n">
        <v>0.00034184</v>
      </c>
      <c r="AA223" t="n">
        <v>0.3171</v>
      </c>
      <c r="AB223" t="n">
        <v>0</v>
      </c>
      <c r="AC223" t="n">
        <v>178.7163</v>
      </c>
      <c r="AD223" t="n">
        <v>-48866.2991</v>
      </c>
      <c r="AE223" t="n">
        <v>83505.46550000001</v>
      </c>
      <c r="AF223" t="n">
        <v>0.918</v>
      </c>
      <c r="AG223" t="inlineStr">
        <is>
          <t>Low</t>
        </is>
      </c>
      <c r="AH223" t="inlineStr">
        <is>
          <t>On Track</t>
        </is>
      </c>
    </row>
    <row r="224">
      <c r="A224" t="inlineStr">
        <is>
          <t>SUP-0014</t>
        </is>
      </c>
      <c r="B224" t="inlineStr">
        <is>
          <t>Textiles Supplier 014</t>
        </is>
      </c>
      <c r="C224" t="inlineStr">
        <is>
          <t>Textiles</t>
        </is>
      </c>
      <c r="D224" t="n">
        <v>2024</v>
      </c>
      <c r="E224" t="n">
        <v>2015</v>
      </c>
      <c r="F224" t="n">
        <v>2030</v>
      </c>
      <c r="G224" t="n">
        <v>3472.4816</v>
      </c>
      <c r="H224" t="n">
        <v>406.9801</v>
      </c>
      <c r="I224" t="n">
        <v>645.8626</v>
      </c>
      <c r="J224" t="inlineStr"/>
      <c r="K224" t="n">
        <v>16888486.43</v>
      </c>
      <c r="L224" t="n">
        <v>86249629.91</v>
      </c>
      <c r="M224" t="n">
        <v>3472.4816</v>
      </c>
      <c r="N224" t="inlineStr">
        <is>
          <t>Supplier Reported Emissions</t>
        </is>
      </c>
      <c r="O224" t="b">
        <v>0</v>
      </c>
      <c r="P224" t="inlineStr">
        <is>
          <t>High</t>
        </is>
      </c>
      <c r="Q224" t="inlineStr">
        <is>
          <t>Scope_Emissions</t>
        </is>
      </c>
      <c r="R224" t="inlineStr">
        <is>
          <t>Valid</t>
        </is>
      </c>
      <c r="S224" t="n">
        <v>2039</v>
      </c>
      <c r="T224" t="inlineStr">
        <is>
          <t>Industry Haircut Pathway</t>
        </is>
      </c>
      <c r="U224" t="n">
        <v>8453.938200000001</v>
      </c>
      <c r="V224" t="n">
        <v>5773.1944</v>
      </c>
      <c r="W224" t="n">
        <v>5773.1944</v>
      </c>
      <c r="X224" t="n">
        <v>5773.1944</v>
      </c>
      <c r="Y224" t="n">
        <v>2680.7438</v>
      </c>
      <c r="Z224" t="n">
        <v>0.00034184</v>
      </c>
      <c r="AA224" t="n">
        <v>0.3171</v>
      </c>
      <c r="AB224" t="n">
        <v>0</v>
      </c>
      <c r="AC224" t="n">
        <v>178.7163</v>
      </c>
      <c r="AD224" t="n">
        <v>-54639.4935</v>
      </c>
      <c r="AE224" t="n">
        <v>89278.6599</v>
      </c>
      <c r="AF224" t="n">
        <v>0.918</v>
      </c>
      <c r="AG224" t="inlineStr">
        <is>
          <t>Low</t>
        </is>
      </c>
      <c r="AH224" t="inlineStr">
        <is>
          <t>On Track</t>
        </is>
      </c>
    </row>
    <row r="225">
      <c r="A225" t="inlineStr">
        <is>
          <t>SUP-0014</t>
        </is>
      </c>
      <c r="B225" t="inlineStr">
        <is>
          <t>Textiles Supplier 014</t>
        </is>
      </c>
      <c r="C225" t="inlineStr">
        <is>
          <t>Textiles</t>
        </is>
      </c>
      <c r="D225" t="n">
        <v>2024</v>
      </c>
      <c r="E225" t="n">
        <v>2015</v>
      </c>
      <c r="F225" t="n">
        <v>2030</v>
      </c>
      <c r="G225" t="n">
        <v>3472.4816</v>
      </c>
      <c r="H225" t="n">
        <v>406.9801</v>
      </c>
      <c r="I225" t="n">
        <v>645.8626</v>
      </c>
      <c r="J225" t="inlineStr"/>
      <c r="K225" t="n">
        <v>16888486.43</v>
      </c>
      <c r="L225" t="n">
        <v>86249629.91</v>
      </c>
      <c r="M225" t="n">
        <v>3472.4816</v>
      </c>
      <c r="N225" t="inlineStr">
        <is>
          <t>Supplier Reported Emissions</t>
        </is>
      </c>
      <c r="O225" t="b">
        <v>0</v>
      </c>
      <c r="P225" t="inlineStr">
        <is>
          <t>High</t>
        </is>
      </c>
      <c r="Q225" t="inlineStr">
        <is>
          <t>Scope_Emissions</t>
        </is>
      </c>
      <c r="R225" t="inlineStr">
        <is>
          <t>Valid</t>
        </is>
      </c>
      <c r="S225" t="n">
        <v>2040</v>
      </c>
      <c r="T225" t="inlineStr">
        <is>
          <t>Industry Haircut Pathway</t>
        </is>
      </c>
      <c r="U225" t="n">
        <v>8453.938200000001</v>
      </c>
      <c r="V225" t="n">
        <v>5773.1944</v>
      </c>
      <c r="W225" t="n">
        <v>5773.1944</v>
      </c>
      <c r="X225" t="n">
        <v>5773.1944</v>
      </c>
      <c r="Y225" t="n">
        <v>2680.7438</v>
      </c>
      <c r="Z225" t="n">
        <v>0.00034184</v>
      </c>
      <c r="AA225" t="n">
        <v>0.3171</v>
      </c>
      <c r="AB225" t="n">
        <v>0</v>
      </c>
      <c r="AC225" t="n">
        <v>178.7163</v>
      </c>
      <c r="AD225" t="n">
        <v>-60412.6879</v>
      </c>
      <c r="AE225" t="n">
        <v>95051.85430000001</v>
      </c>
      <c r="AF225" t="n">
        <v>0.918</v>
      </c>
      <c r="AG225" t="inlineStr">
        <is>
          <t>Low</t>
        </is>
      </c>
      <c r="AH225" t="inlineStr">
        <is>
          <t>On Track</t>
        </is>
      </c>
    </row>
    <row r="226">
      <c r="A226" t="inlineStr">
        <is>
          <t>SUP-0015</t>
        </is>
      </c>
      <c r="B226" t="inlineStr">
        <is>
          <t>Packaging Supplier 015</t>
        </is>
      </c>
      <c r="C226" t="inlineStr">
        <is>
          <t>Packaging</t>
        </is>
      </c>
      <c r="D226" t="n">
        <v>2024</v>
      </c>
      <c r="E226" t="n">
        <v>2019</v>
      </c>
      <c r="F226" t="n">
        <v>2040</v>
      </c>
      <c r="G226" t="n">
        <v>23747.9613</v>
      </c>
      <c r="H226" t="n">
        <v>3219.745</v>
      </c>
      <c r="I226" t="n">
        <v>4441.0993</v>
      </c>
      <c r="J226" t="inlineStr"/>
      <c r="K226" t="n">
        <v>22456674.89</v>
      </c>
      <c r="L226" t="n">
        <v>113404484.34</v>
      </c>
      <c r="M226" t="n">
        <v>23747.9613</v>
      </c>
      <c r="N226" t="inlineStr">
        <is>
          <t>Supplier Reported Emissions</t>
        </is>
      </c>
      <c r="O226" t="b">
        <v>0</v>
      </c>
      <c r="P226" t="inlineStr">
        <is>
          <t>High</t>
        </is>
      </c>
      <c r="Q226" t="inlineStr">
        <is>
          <t>Scope_Emissions</t>
        </is>
      </c>
      <c r="R226" t="inlineStr">
        <is>
          <t>Valid</t>
        </is>
      </c>
      <c r="S226" t="n">
        <v>2025</v>
      </c>
      <c r="T226" t="inlineStr">
        <is>
          <t>Supplier Target Pathway</t>
        </is>
      </c>
      <c r="U226" t="n">
        <v>26229.5269</v>
      </c>
      <c r="V226" t="n">
        <v>19606.5714</v>
      </c>
      <c r="W226" t="n">
        <v>24337.2539</v>
      </c>
      <c r="X226" t="n">
        <v>24337.2539</v>
      </c>
      <c r="Y226" t="n">
        <v>1892.273</v>
      </c>
      <c r="Z226" t="n">
        <v>0.00108374</v>
      </c>
      <c r="AA226" t="n">
        <v>0.072143</v>
      </c>
      <c r="AB226" t="n">
        <v>4730.6825</v>
      </c>
      <c r="AC226" t="n">
        <v>315.3788</v>
      </c>
      <c r="AD226" t="n">
        <v>289367.8885</v>
      </c>
      <c r="AE226" t="n">
        <v>24337.2539</v>
      </c>
      <c r="AF226" t="n">
        <v>0.99</v>
      </c>
      <c r="AG226" t="inlineStr">
        <is>
          <t>High</t>
        </is>
      </c>
      <c r="AH226" t="inlineStr">
        <is>
          <t>On Track to Glide Path</t>
        </is>
      </c>
    </row>
    <row r="227">
      <c r="A227" t="inlineStr">
        <is>
          <t>SUP-0015</t>
        </is>
      </c>
      <c r="B227" t="inlineStr">
        <is>
          <t>Packaging Supplier 015</t>
        </is>
      </c>
      <c r="C227" t="inlineStr">
        <is>
          <t>Packaging</t>
        </is>
      </c>
      <c r="D227" t="n">
        <v>2024</v>
      </c>
      <c r="E227" t="n">
        <v>2019</v>
      </c>
      <c r="F227" t="n">
        <v>2040</v>
      </c>
      <c r="G227" t="n">
        <v>23747.9613</v>
      </c>
      <c r="H227" t="n">
        <v>3219.745</v>
      </c>
      <c r="I227" t="n">
        <v>4441.0993</v>
      </c>
      <c r="J227" t="inlineStr"/>
      <c r="K227" t="n">
        <v>22456674.89</v>
      </c>
      <c r="L227" t="n">
        <v>113404484.34</v>
      </c>
      <c r="M227" t="n">
        <v>23747.9613</v>
      </c>
      <c r="N227" t="inlineStr">
        <is>
          <t>Supplier Reported Emissions</t>
        </is>
      </c>
      <c r="O227" t="b">
        <v>0</v>
      </c>
      <c r="P227" t="inlineStr">
        <is>
          <t>High</t>
        </is>
      </c>
      <c r="Q227" t="inlineStr">
        <is>
          <t>Scope_Emissions</t>
        </is>
      </c>
      <c r="R227" t="inlineStr">
        <is>
          <t>Valid</t>
        </is>
      </c>
      <c r="S227" t="n">
        <v>2026</v>
      </c>
      <c r="T227" t="inlineStr">
        <is>
          <t>Supplier Target Pathway</t>
        </is>
      </c>
      <c r="U227" t="n">
        <v>26229.5269</v>
      </c>
      <c r="V227" t="n">
        <v>19606.5714</v>
      </c>
      <c r="W227" t="n">
        <v>24021.8751</v>
      </c>
      <c r="X227" t="n">
        <v>24021.8751</v>
      </c>
      <c r="Y227" t="n">
        <v>2207.6518</v>
      </c>
      <c r="Z227" t="n">
        <v>0.0010697</v>
      </c>
      <c r="AA227" t="n">
        <v>0.08416700000000001</v>
      </c>
      <c r="AB227" t="n">
        <v>4415.3037</v>
      </c>
      <c r="AC227" t="n">
        <v>315.3788</v>
      </c>
      <c r="AD227" t="n">
        <v>265346.0134</v>
      </c>
      <c r="AE227" t="n">
        <v>48359.129</v>
      </c>
      <c r="AF227" t="n">
        <v>0.99</v>
      </c>
      <c r="AG227" t="inlineStr">
        <is>
          <t>High</t>
        </is>
      </c>
      <c r="AH227" t="inlineStr">
        <is>
          <t>On Track to Glide Path</t>
        </is>
      </c>
    </row>
    <row r="228">
      <c r="A228" t="inlineStr">
        <is>
          <t>SUP-0015</t>
        </is>
      </c>
      <c r="B228" t="inlineStr">
        <is>
          <t>Packaging Supplier 015</t>
        </is>
      </c>
      <c r="C228" t="inlineStr">
        <is>
          <t>Packaging</t>
        </is>
      </c>
      <c r="D228" t="n">
        <v>2024</v>
      </c>
      <c r="E228" t="n">
        <v>2019</v>
      </c>
      <c r="F228" t="n">
        <v>2040</v>
      </c>
      <c r="G228" t="n">
        <v>23747.9613</v>
      </c>
      <c r="H228" t="n">
        <v>3219.745</v>
      </c>
      <c r="I228" t="n">
        <v>4441.0993</v>
      </c>
      <c r="J228" t="inlineStr"/>
      <c r="K228" t="n">
        <v>22456674.89</v>
      </c>
      <c r="L228" t="n">
        <v>113404484.34</v>
      </c>
      <c r="M228" t="n">
        <v>23747.9613</v>
      </c>
      <c r="N228" t="inlineStr">
        <is>
          <t>Supplier Reported Emissions</t>
        </is>
      </c>
      <c r="O228" t="b">
        <v>0</v>
      </c>
      <c r="P228" t="inlineStr">
        <is>
          <t>High</t>
        </is>
      </c>
      <c r="Q228" t="inlineStr">
        <is>
          <t>Scope_Emissions</t>
        </is>
      </c>
      <c r="R228" t="inlineStr">
        <is>
          <t>Valid</t>
        </is>
      </c>
      <c r="S228" t="n">
        <v>2027</v>
      </c>
      <c r="T228" t="inlineStr">
        <is>
          <t>Supplier Target Pathway</t>
        </is>
      </c>
      <c r="U228" t="n">
        <v>26229.5269</v>
      </c>
      <c r="V228" t="n">
        <v>19606.5714</v>
      </c>
      <c r="W228" t="n">
        <v>23706.4962</v>
      </c>
      <c r="X228" t="n">
        <v>23706.4962</v>
      </c>
      <c r="Y228" t="n">
        <v>2523.0307</v>
      </c>
      <c r="Z228" t="n">
        <v>0.00105565</v>
      </c>
      <c r="AA228" t="n">
        <v>0.09619</v>
      </c>
      <c r="AB228" t="n">
        <v>4099.9249</v>
      </c>
      <c r="AC228" t="n">
        <v>315.3788</v>
      </c>
      <c r="AD228" t="n">
        <v>241639.5172</v>
      </c>
      <c r="AE228" t="n">
        <v>72065.62519999999</v>
      </c>
      <c r="AF228" t="n">
        <v>0.99</v>
      </c>
      <c r="AG228" t="inlineStr">
        <is>
          <t>High</t>
        </is>
      </c>
      <c r="AH228" t="inlineStr">
        <is>
          <t>On Track to Glide Path</t>
        </is>
      </c>
    </row>
    <row r="229">
      <c r="A229" t="inlineStr">
        <is>
          <t>SUP-0015</t>
        </is>
      </c>
      <c r="B229" t="inlineStr">
        <is>
          <t>Packaging Supplier 015</t>
        </is>
      </c>
      <c r="C229" t="inlineStr">
        <is>
          <t>Packaging</t>
        </is>
      </c>
      <c r="D229" t="n">
        <v>2024</v>
      </c>
      <c r="E229" t="n">
        <v>2019</v>
      </c>
      <c r="F229" t="n">
        <v>2040</v>
      </c>
      <c r="G229" t="n">
        <v>23747.9613</v>
      </c>
      <c r="H229" t="n">
        <v>3219.745</v>
      </c>
      <c r="I229" t="n">
        <v>4441.0993</v>
      </c>
      <c r="J229" t="inlineStr"/>
      <c r="K229" t="n">
        <v>22456674.89</v>
      </c>
      <c r="L229" t="n">
        <v>113404484.34</v>
      </c>
      <c r="M229" t="n">
        <v>23747.9613</v>
      </c>
      <c r="N229" t="inlineStr">
        <is>
          <t>Supplier Reported Emissions</t>
        </is>
      </c>
      <c r="O229" t="b">
        <v>0</v>
      </c>
      <c r="P229" t="inlineStr">
        <is>
          <t>High</t>
        </is>
      </c>
      <c r="Q229" t="inlineStr">
        <is>
          <t>Scope_Emissions</t>
        </is>
      </c>
      <c r="R229" t="inlineStr">
        <is>
          <t>Valid</t>
        </is>
      </c>
      <c r="S229" t="n">
        <v>2028</v>
      </c>
      <c r="T229" t="inlineStr">
        <is>
          <t>Supplier Target Pathway</t>
        </is>
      </c>
      <c r="U229" t="n">
        <v>26229.5269</v>
      </c>
      <c r="V229" t="n">
        <v>19606.5714</v>
      </c>
      <c r="W229" t="n">
        <v>23391.1174</v>
      </c>
      <c r="X229" t="n">
        <v>23391.1174</v>
      </c>
      <c r="Y229" t="n">
        <v>2838.4095</v>
      </c>
      <c r="Z229" t="n">
        <v>0.00104161</v>
      </c>
      <c r="AA229" t="n">
        <v>0.108214</v>
      </c>
      <c r="AB229" t="n">
        <v>3784.546</v>
      </c>
      <c r="AC229" t="n">
        <v>315.3788</v>
      </c>
      <c r="AD229" t="n">
        <v>218248.3998</v>
      </c>
      <c r="AE229" t="n">
        <v>95456.7426</v>
      </c>
      <c r="AF229" t="n">
        <v>0.99</v>
      </c>
      <c r="AG229" t="inlineStr">
        <is>
          <t>High</t>
        </is>
      </c>
      <c r="AH229" t="inlineStr">
        <is>
          <t>On Track to Glide Path</t>
        </is>
      </c>
    </row>
    <row r="230">
      <c r="A230" t="inlineStr">
        <is>
          <t>SUP-0015</t>
        </is>
      </c>
      <c r="B230" t="inlineStr">
        <is>
          <t>Packaging Supplier 015</t>
        </is>
      </c>
      <c r="C230" t="inlineStr">
        <is>
          <t>Packaging</t>
        </is>
      </c>
      <c r="D230" t="n">
        <v>2024</v>
      </c>
      <c r="E230" t="n">
        <v>2019</v>
      </c>
      <c r="F230" t="n">
        <v>2040</v>
      </c>
      <c r="G230" t="n">
        <v>23747.9613</v>
      </c>
      <c r="H230" t="n">
        <v>3219.745</v>
      </c>
      <c r="I230" t="n">
        <v>4441.0993</v>
      </c>
      <c r="J230" t="inlineStr"/>
      <c r="K230" t="n">
        <v>22456674.89</v>
      </c>
      <c r="L230" t="n">
        <v>113404484.34</v>
      </c>
      <c r="M230" t="n">
        <v>23747.9613</v>
      </c>
      <c r="N230" t="inlineStr">
        <is>
          <t>Supplier Reported Emissions</t>
        </is>
      </c>
      <c r="O230" t="b">
        <v>0</v>
      </c>
      <c r="P230" t="inlineStr">
        <is>
          <t>High</t>
        </is>
      </c>
      <c r="Q230" t="inlineStr">
        <is>
          <t>Scope_Emissions</t>
        </is>
      </c>
      <c r="R230" t="inlineStr">
        <is>
          <t>Valid</t>
        </is>
      </c>
      <c r="S230" t="n">
        <v>2029</v>
      </c>
      <c r="T230" t="inlineStr">
        <is>
          <t>Supplier Target Pathway</t>
        </is>
      </c>
      <c r="U230" t="n">
        <v>26229.5269</v>
      </c>
      <c r="V230" t="n">
        <v>19606.5714</v>
      </c>
      <c r="W230" t="n">
        <v>23075.7385</v>
      </c>
      <c r="X230" t="n">
        <v>23075.7385</v>
      </c>
      <c r="Y230" t="n">
        <v>3153.7884</v>
      </c>
      <c r="Z230" t="n">
        <v>0.00102757</v>
      </c>
      <c r="AA230" t="n">
        <v>0.120238</v>
      </c>
      <c r="AB230" t="n">
        <v>3469.1672</v>
      </c>
      <c r="AC230" t="n">
        <v>315.3788</v>
      </c>
      <c r="AD230" t="n">
        <v>195172.6613</v>
      </c>
      <c r="AE230" t="n">
        <v>118532.4811</v>
      </c>
      <c r="AF230" t="n">
        <v>0.99</v>
      </c>
      <c r="AG230" t="inlineStr">
        <is>
          <t>High</t>
        </is>
      </c>
      <c r="AH230" t="inlineStr">
        <is>
          <t>On Track to Glide Path</t>
        </is>
      </c>
    </row>
    <row r="231">
      <c r="A231" t="inlineStr">
        <is>
          <t>SUP-0015</t>
        </is>
      </c>
      <c r="B231" t="inlineStr">
        <is>
          <t>Packaging Supplier 015</t>
        </is>
      </c>
      <c r="C231" t="inlineStr">
        <is>
          <t>Packaging</t>
        </is>
      </c>
      <c r="D231" t="n">
        <v>2024</v>
      </c>
      <c r="E231" t="n">
        <v>2019</v>
      </c>
      <c r="F231" t="n">
        <v>2040</v>
      </c>
      <c r="G231" t="n">
        <v>23747.9613</v>
      </c>
      <c r="H231" t="n">
        <v>3219.745</v>
      </c>
      <c r="I231" t="n">
        <v>4441.0993</v>
      </c>
      <c r="J231" t="inlineStr"/>
      <c r="K231" t="n">
        <v>22456674.89</v>
      </c>
      <c r="L231" t="n">
        <v>113404484.34</v>
      </c>
      <c r="M231" t="n">
        <v>23747.9613</v>
      </c>
      <c r="N231" t="inlineStr">
        <is>
          <t>Supplier Reported Emissions</t>
        </is>
      </c>
      <c r="O231" t="b">
        <v>0</v>
      </c>
      <c r="P231" t="inlineStr">
        <is>
          <t>High</t>
        </is>
      </c>
      <c r="Q231" t="inlineStr">
        <is>
          <t>Scope_Emissions</t>
        </is>
      </c>
      <c r="R231" t="inlineStr">
        <is>
          <t>Valid</t>
        </is>
      </c>
      <c r="S231" t="n">
        <v>2030</v>
      </c>
      <c r="T231" t="inlineStr">
        <is>
          <t>Supplier Target Pathway</t>
        </is>
      </c>
      <c r="U231" t="n">
        <v>26229.5269</v>
      </c>
      <c r="V231" t="n">
        <v>19606.5714</v>
      </c>
      <c r="W231" t="n">
        <v>22760.3597</v>
      </c>
      <c r="X231" t="n">
        <v>22760.3597</v>
      </c>
      <c r="Y231" t="n">
        <v>3469.1672</v>
      </c>
      <c r="Z231" t="n">
        <v>0.00101352</v>
      </c>
      <c r="AA231" t="n">
        <v>0.132262</v>
      </c>
      <c r="AB231" t="n">
        <v>3153.7884</v>
      </c>
      <c r="AC231" t="n">
        <v>315.3788</v>
      </c>
      <c r="AD231" t="n">
        <v>172412.3016</v>
      </c>
      <c r="AE231" t="n">
        <v>141292.8408</v>
      </c>
      <c r="AF231" t="n">
        <v>0.99</v>
      </c>
      <c r="AG231" t="inlineStr">
        <is>
          <t>High</t>
        </is>
      </c>
      <c r="AH231" t="inlineStr">
        <is>
          <t>On Track to Glide Path</t>
        </is>
      </c>
    </row>
    <row r="232">
      <c r="A232" t="inlineStr">
        <is>
          <t>SUP-0015</t>
        </is>
      </c>
      <c r="B232" t="inlineStr">
        <is>
          <t>Packaging Supplier 015</t>
        </is>
      </c>
      <c r="C232" t="inlineStr">
        <is>
          <t>Packaging</t>
        </is>
      </c>
      <c r="D232" t="n">
        <v>2024</v>
      </c>
      <c r="E232" t="n">
        <v>2019</v>
      </c>
      <c r="F232" t="n">
        <v>2040</v>
      </c>
      <c r="G232" t="n">
        <v>23747.9613</v>
      </c>
      <c r="H232" t="n">
        <v>3219.745</v>
      </c>
      <c r="I232" t="n">
        <v>4441.0993</v>
      </c>
      <c r="J232" t="inlineStr"/>
      <c r="K232" t="n">
        <v>22456674.89</v>
      </c>
      <c r="L232" t="n">
        <v>113404484.34</v>
      </c>
      <c r="M232" t="n">
        <v>23747.9613</v>
      </c>
      <c r="N232" t="inlineStr">
        <is>
          <t>Supplier Reported Emissions</t>
        </is>
      </c>
      <c r="O232" t="b">
        <v>0</v>
      </c>
      <c r="P232" t="inlineStr">
        <is>
          <t>High</t>
        </is>
      </c>
      <c r="Q232" t="inlineStr">
        <is>
          <t>Scope_Emissions</t>
        </is>
      </c>
      <c r="R232" t="inlineStr">
        <is>
          <t>Valid</t>
        </is>
      </c>
      <c r="S232" t="n">
        <v>2031</v>
      </c>
      <c r="T232" t="inlineStr">
        <is>
          <t>Supplier Target Pathway</t>
        </is>
      </c>
      <c r="U232" t="n">
        <v>26229.5269</v>
      </c>
      <c r="V232" t="n">
        <v>19606.5714</v>
      </c>
      <c r="W232" t="n">
        <v>22444.9809</v>
      </c>
      <c r="X232" t="n">
        <v>22444.9809</v>
      </c>
      <c r="Y232" t="n">
        <v>3784.546</v>
      </c>
      <c r="Z232" t="n">
        <v>0.0009994800000000001</v>
      </c>
      <c r="AA232" t="n">
        <v>0.144286</v>
      </c>
      <c r="AB232" t="n">
        <v>2838.4095</v>
      </c>
      <c r="AC232" t="n">
        <v>315.3788</v>
      </c>
      <c r="AD232" t="n">
        <v>149967.3207</v>
      </c>
      <c r="AE232" t="n">
        <v>163737.8217</v>
      </c>
      <c r="AF232" t="n">
        <v>0.99</v>
      </c>
      <c r="AG232" t="inlineStr">
        <is>
          <t>Medium</t>
        </is>
      </c>
      <c r="AH232" t="inlineStr">
        <is>
          <t>On Track to Glide Path</t>
        </is>
      </c>
    </row>
    <row r="233">
      <c r="A233" t="inlineStr">
        <is>
          <t>SUP-0015</t>
        </is>
      </c>
      <c r="B233" t="inlineStr">
        <is>
          <t>Packaging Supplier 015</t>
        </is>
      </c>
      <c r="C233" t="inlineStr">
        <is>
          <t>Packaging</t>
        </is>
      </c>
      <c r="D233" t="n">
        <v>2024</v>
      </c>
      <c r="E233" t="n">
        <v>2019</v>
      </c>
      <c r="F233" t="n">
        <v>2040</v>
      </c>
      <c r="G233" t="n">
        <v>23747.9613</v>
      </c>
      <c r="H233" t="n">
        <v>3219.745</v>
      </c>
      <c r="I233" t="n">
        <v>4441.0993</v>
      </c>
      <c r="J233" t="inlineStr"/>
      <c r="K233" t="n">
        <v>22456674.89</v>
      </c>
      <c r="L233" t="n">
        <v>113404484.34</v>
      </c>
      <c r="M233" t="n">
        <v>23747.9613</v>
      </c>
      <c r="N233" t="inlineStr">
        <is>
          <t>Supplier Reported Emissions</t>
        </is>
      </c>
      <c r="O233" t="b">
        <v>0</v>
      </c>
      <c r="P233" t="inlineStr">
        <is>
          <t>High</t>
        </is>
      </c>
      <c r="Q233" t="inlineStr">
        <is>
          <t>Scope_Emissions</t>
        </is>
      </c>
      <c r="R233" t="inlineStr">
        <is>
          <t>Valid</t>
        </is>
      </c>
      <c r="S233" t="n">
        <v>2032</v>
      </c>
      <c r="T233" t="inlineStr">
        <is>
          <t>Supplier Target Pathway</t>
        </is>
      </c>
      <c r="U233" t="n">
        <v>26229.5269</v>
      </c>
      <c r="V233" t="n">
        <v>19606.5714</v>
      </c>
      <c r="W233" t="n">
        <v>22129.602</v>
      </c>
      <c r="X233" t="n">
        <v>22129.602</v>
      </c>
      <c r="Y233" t="n">
        <v>4099.9249</v>
      </c>
      <c r="Z233" t="n">
        <v>0.00098544</v>
      </c>
      <c r="AA233" t="n">
        <v>0.15631</v>
      </c>
      <c r="AB233" t="n">
        <v>2523.0307</v>
      </c>
      <c r="AC233" t="n">
        <v>315.3788</v>
      </c>
      <c r="AD233" t="n">
        <v>127837.7187</v>
      </c>
      <c r="AE233" t="n">
        <v>185867.4237</v>
      </c>
      <c r="AF233" t="n">
        <v>0.99</v>
      </c>
      <c r="AG233" t="inlineStr">
        <is>
          <t>Medium</t>
        </is>
      </c>
      <c r="AH233" t="inlineStr">
        <is>
          <t>On Track to Glide Path</t>
        </is>
      </c>
    </row>
    <row r="234">
      <c r="A234" t="inlineStr">
        <is>
          <t>SUP-0015</t>
        </is>
      </c>
      <c r="B234" t="inlineStr">
        <is>
          <t>Packaging Supplier 015</t>
        </is>
      </c>
      <c r="C234" t="inlineStr">
        <is>
          <t>Packaging</t>
        </is>
      </c>
      <c r="D234" t="n">
        <v>2024</v>
      </c>
      <c r="E234" t="n">
        <v>2019</v>
      </c>
      <c r="F234" t="n">
        <v>2040</v>
      </c>
      <c r="G234" t="n">
        <v>23747.9613</v>
      </c>
      <c r="H234" t="n">
        <v>3219.745</v>
      </c>
      <c r="I234" t="n">
        <v>4441.0993</v>
      </c>
      <c r="J234" t="inlineStr"/>
      <c r="K234" t="n">
        <v>22456674.89</v>
      </c>
      <c r="L234" t="n">
        <v>113404484.34</v>
      </c>
      <c r="M234" t="n">
        <v>23747.9613</v>
      </c>
      <c r="N234" t="inlineStr">
        <is>
          <t>Supplier Reported Emissions</t>
        </is>
      </c>
      <c r="O234" t="b">
        <v>0</v>
      </c>
      <c r="P234" t="inlineStr">
        <is>
          <t>High</t>
        </is>
      </c>
      <c r="Q234" t="inlineStr">
        <is>
          <t>Scope_Emissions</t>
        </is>
      </c>
      <c r="R234" t="inlineStr">
        <is>
          <t>Valid</t>
        </is>
      </c>
      <c r="S234" t="n">
        <v>2033</v>
      </c>
      <c r="T234" t="inlineStr">
        <is>
          <t>Supplier Target Pathway</t>
        </is>
      </c>
      <c r="U234" t="n">
        <v>26229.5269</v>
      </c>
      <c r="V234" t="n">
        <v>19606.5714</v>
      </c>
      <c r="W234" t="n">
        <v>21814.2232</v>
      </c>
      <c r="X234" t="n">
        <v>21814.2232</v>
      </c>
      <c r="Y234" t="n">
        <v>4415.3037</v>
      </c>
      <c r="Z234" t="n">
        <v>0.00097139</v>
      </c>
      <c r="AA234" t="n">
        <v>0.168333</v>
      </c>
      <c r="AB234" t="n">
        <v>2207.6518</v>
      </c>
      <c r="AC234" t="n">
        <v>315.3788</v>
      </c>
      <c r="AD234" t="n">
        <v>106023.4955</v>
      </c>
      <c r="AE234" t="n">
        <v>207681.6469</v>
      </c>
      <c r="AF234" t="n">
        <v>0.99</v>
      </c>
      <c r="AG234" t="inlineStr">
        <is>
          <t>Medium</t>
        </is>
      </c>
      <c r="AH234" t="inlineStr">
        <is>
          <t>On Track to Glide Path</t>
        </is>
      </c>
    </row>
    <row r="235">
      <c r="A235" t="inlineStr">
        <is>
          <t>SUP-0015</t>
        </is>
      </c>
      <c r="B235" t="inlineStr">
        <is>
          <t>Packaging Supplier 015</t>
        </is>
      </c>
      <c r="C235" t="inlineStr">
        <is>
          <t>Packaging</t>
        </is>
      </c>
      <c r="D235" t="n">
        <v>2024</v>
      </c>
      <c r="E235" t="n">
        <v>2019</v>
      </c>
      <c r="F235" t="n">
        <v>2040</v>
      </c>
      <c r="G235" t="n">
        <v>23747.9613</v>
      </c>
      <c r="H235" t="n">
        <v>3219.745</v>
      </c>
      <c r="I235" t="n">
        <v>4441.0993</v>
      </c>
      <c r="J235" t="inlineStr"/>
      <c r="K235" t="n">
        <v>22456674.89</v>
      </c>
      <c r="L235" t="n">
        <v>113404484.34</v>
      </c>
      <c r="M235" t="n">
        <v>23747.9613</v>
      </c>
      <c r="N235" t="inlineStr">
        <is>
          <t>Supplier Reported Emissions</t>
        </is>
      </c>
      <c r="O235" t="b">
        <v>0</v>
      </c>
      <c r="P235" t="inlineStr">
        <is>
          <t>High</t>
        </is>
      </c>
      <c r="Q235" t="inlineStr">
        <is>
          <t>Scope_Emissions</t>
        </is>
      </c>
      <c r="R235" t="inlineStr">
        <is>
          <t>Valid</t>
        </is>
      </c>
      <c r="S235" t="n">
        <v>2034</v>
      </c>
      <c r="T235" t="inlineStr">
        <is>
          <t>Supplier Target Pathway</t>
        </is>
      </c>
      <c r="U235" t="n">
        <v>26229.5269</v>
      </c>
      <c r="V235" t="n">
        <v>19606.5714</v>
      </c>
      <c r="W235" t="n">
        <v>21498.8444</v>
      </c>
      <c r="X235" t="n">
        <v>21498.8444</v>
      </c>
      <c r="Y235" t="n">
        <v>4730.6825</v>
      </c>
      <c r="Z235" t="n">
        <v>0.00095735</v>
      </c>
      <c r="AA235" t="n">
        <v>0.180357</v>
      </c>
      <c r="AB235" t="n">
        <v>1892.273</v>
      </c>
      <c r="AC235" t="n">
        <v>315.3788</v>
      </c>
      <c r="AD235" t="n">
        <v>84524.6511</v>
      </c>
      <c r="AE235" t="n">
        <v>229180.4913</v>
      </c>
      <c r="AF235" t="n">
        <v>0.99</v>
      </c>
      <c r="AG235" t="inlineStr">
        <is>
          <t>Medium</t>
        </is>
      </c>
      <c r="AH235" t="inlineStr">
        <is>
          <t>On Track to Glide Path</t>
        </is>
      </c>
    </row>
    <row r="236">
      <c r="A236" t="inlineStr">
        <is>
          <t>SUP-0015</t>
        </is>
      </c>
      <c r="B236" t="inlineStr">
        <is>
          <t>Packaging Supplier 015</t>
        </is>
      </c>
      <c r="C236" t="inlineStr">
        <is>
          <t>Packaging</t>
        </is>
      </c>
      <c r="D236" t="n">
        <v>2024</v>
      </c>
      <c r="E236" t="n">
        <v>2019</v>
      </c>
      <c r="F236" t="n">
        <v>2040</v>
      </c>
      <c r="G236" t="n">
        <v>23747.9613</v>
      </c>
      <c r="H236" t="n">
        <v>3219.745</v>
      </c>
      <c r="I236" t="n">
        <v>4441.0993</v>
      </c>
      <c r="J236" t="inlineStr"/>
      <c r="K236" t="n">
        <v>22456674.89</v>
      </c>
      <c r="L236" t="n">
        <v>113404484.34</v>
      </c>
      <c r="M236" t="n">
        <v>23747.9613</v>
      </c>
      <c r="N236" t="inlineStr">
        <is>
          <t>Supplier Reported Emissions</t>
        </is>
      </c>
      <c r="O236" t="b">
        <v>0</v>
      </c>
      <c r="P236" t="inlineStr">
        <is>
          <t>High</t>
        </is>
      </c>
      <c r="Q236" t="inlineStr">
        <is>
          <t>Scope_Emissions</t>
        </is>
      </c>
      <c r="R236" t="inlineStr">
        <is>
          <t>Valid</t>
        </is>
      </c>
      <c r="S236" t="n">
        <v>2035</v>
      </c>
      <c r="T236" t="inlineStr">
        <is>
          <t>Supplier Target Pathway</t>
        </is>
      </c>
      <c r="U236" t="n">
        <v>26229.5269</v>
      </c>
      <c r="V236" t="n">
        <v>19606.5714</v>
      </c>
      <c r="W236" t="n">
        <v>21183.4655</v>
      </c>
      <c r="X236" t="n">
        <v>21183.4655</v>
      </c>
      <c r="Y236" t="n">
        <v>5046.0614</v>
      </c>
      <c r="Z236" t="n">
        <v>0.0009433</v>
      </c>
      <c r="AA236" t="n">
        <v>0.192381</v>
      </c>
      <c r="AB236" t="n">
        <v>1576.8942</v>
      </c>
      <c r="AC236" t="n">
        <v>315.3788</v>
      </c>
      <c r="AD236" t="n">
        <v>63341.1856</v>
      </c>
      <c r="AE236" t="n">
        <v>250363.9568</v>
      </c>
      <c r="AF236" t="n">
        <v>0.99</v>
      </c>
      <c r="AG236" t="inlineStr">
        <is>
          <t>Medium</t>
        </is>
      </c>
      <c r="AH236" t="inlineStr">
        <is>
          <t>On Track to Glide Path</t>
        </is>
      </c>
    </row>
    <row r="237">
      <c r="A237" t="inlineStr">
        <is>
          <t>SUP-0015</t>
        </is>
      </c>
      <c r="B237" t="inlineStr">
        <is>
          <t>Packaging Supplier 015</t>
        </is>
      </c>
      <c r="C237" t="inlineStr">
        <is>
          <t>Packaging</t>
        </is>
      </c>
      <c r="D237" t="n">
        <v>2024</v>
      </c>
      <c r="E237" t="n">
        <v>2019</v>
      </c>
      <c r="F237" t="n">
        <v>2040</v>
      </c>
      <c r="G237" t="n">
        <v>23747.9613</v>
      </c>
      <c r="H237" t="n">
        <v>3219.745</v>
      </c>
      <c r="I237" t="n">
        <v>4441.0993</v>
      </c>
      <c r="J237" t="inlineStr"/>
      <c r="K237" t="n">
        <v>22456674.89</v>
      </c>
      <c r="L237" t="n">
        <v>113404484.34</v>
      </c>
      <c r="M237" t="n">
        <v>23747.9613</v>
      </c>
      <c r="N237" t="inlineStr">
        <is>
          <t>Supplier Reported Emissions</t>
        </is>
      </c>
      <c r="O237" t="b">
        <v>0</v>
      </c>
      <c r="P237" t="inlineStr">
        <is>
          <t>High</t>
        </is>
      </c>
      <c r="Q237" t="inlineStr">
        <is>
          <t>Scope_Emissions</t>
        </is>
      </c>
      <c r="R237" t="inlineStr">
        <is>
          <t>Valid</t>
        </is>
      </c>
      <c r="S237" t="n">
        <v>2036</v>
      </c>
      <c r="T237" t="inlineStr">
        <is>
          <t>Supplier Target Pathway</t>
        </is>
      </c>
      <c r="U237" t="n">
        <v>26229.5269</v>
      </c>
      <c r="V237" t="n">
        <v>19606.5714</v>
      </c>
      <c r="W237" t="n">
        <v>20868.0867</v>
      </c>
      <c r="X237" t="n">
        <v>20868.0867</v>
      </c>
      <c r="Y237" t="n">
        <v>5361.4402</v>
      </c>
      <c r="Z237" t="n">
        <v>0.00092926</v>
      </c>
      <c r="AA237" t="n">
        <v>0.204405</v>
      </c>
      <c r="AB237" t="n">
        <v>1261.5153</v>
      </c>
      <c r="AC237" t="n">
        <v>315.3788</v>
      </c>
      <c r="AD237" t="n">
        <v>42473.0989</v>
      </c>
      <c r="AE237" t="n">
        <v>271232.0435</v>
      </c>
      <c r="AF237" t="n">
        <v>0.99</v>
      </c>
      <c r="AG237" t="inlineStr">
        <is>
          <t>Medium</t>
        </is>
      </c>
      <c r="AH237" t="inlineStr">
        <is>
          <t>On Track to Glide Path</t>
        </is>
      </c>
    </row>
    <row r="238">
      <c r="A238" t="inlineStr">
        <is>
          <t>SUP-0015</t>
        </is>
      </c>
      <c r="B238" t="inlineStr">
        <is>
          <t>Packaging Supplier 015</t>
        </is>
      </c>
      <c r="C238" t="inlineStr">
        <is>
          <t>Packaging</t>
        </is>
      </c>
      <c r="D238" t="n">
        <v>2024</v>
      </c>
      <c r="E238" t="n">
        <v>2019</v>
      </c>
      <c r="F238" t="n">
        <v>2040</v>
      </c>
      <c r="G238" t="n">
        <v>23747.9613</v>
      </c>
      <c r="H238" t="n">
        <v>3219.745</v>
      </c>
      <c r="I238" t="n">
        <v>4441.0993</v>
      </c>
      <c r="J238" t="inlineStr"/>
      <c r="K238" t="n">
        <v>22456674.89</v>
      </c>
      <c r="L238" t="n">
        <v>113404484.34</v>
      </c>
      <c r="M238" t="n">
        <v>23747.9613</v>
      </c>
      <c r="N238" t="inlineStr">
        <is>
          <t>Supplier Reported Emissions</t>
        </is>
      </c>
      <c r="O238" t="b">
        <v>0</v>
      </c>
      <c r="P238" t="inlineStr">
        <is>
          <t>High</t>
        </is>
      </c>
      <c r="Q238" t="inlineStr">
        <is>
          <t>Scope_Emissions</t>
        </is>
      </c>
      <c r="R238" t="inlineStr">
        <is>
          <t>Valid</t>
        </is>
      </c>
      <c r="S238" t="n">
        <v>2037</v>
      </c>
      <c r="T238" t="inlineStr">
        <is>
          <t>Supplier Target Pathway</t>
        </is>
      </c>
      <c r="U238" t="n">
        <v>26229.5269</v>
      </c>
      <c r="V238" t="n">
        <v>19606.5714</v>
      </c>
      <c r="W238" t="n">
        <v>20552.7079</v>
      </c>
      <c r="X238" t="n">
        <v>20552.7079</v>
      </c>
      <c r="Y238" t="n">
        <v>5676.819</v>
      </c>
      <c r="Z238" t="n">
        <v>0.00091522</v>
      </c>
      <c r="AA238" t="n">
        <v>0.216429</v>
      </c>
      <c r="AB238" t="n">
        <v>946.1365</v>
      </c>
      <c r="AC238" t="n">
        <v>315.3788</v>
      </c>
      <c r="AD238" t="n">
        <v>21920.391</v>
      </c>
      <c r="AE238" t="n">
        <v>291784.7514</v>
      </c>
      <c r="AF238" t="n">
        <v>0.99</v>
      </c>
      <c r="AG238" t="inlineStr">
        <is>
          <t>Medium</t>
        </is>
      </c>
      <c r="AH238" t="inlineStr">
        <is>
          <t>On Track to Glide Path</t>
        </is>
      </c>
    </row>
    <row r="239">
      <c r="A239" t="inlineStr">
        <is>
          <t>SUP-0015</t>
        </is>
      </c>
      <c r="B239" t="inlineStr">
        <is>
          <t>Packaging Supplier 015</t>
        </is>
      </c>
      <c r="C239" t="inlineStr">
        <is>
          <t>Packaging</t>
        </is>
      </c>
      <c r="D239" t="n">
        <v>2024</v>
      </c>
      <c r="E239" t="n">
        <v>2019</v>
      </c>
      <c r="F239" t="n">
        <v>2040</v>
      </c>
      <c r="G239" t="n">
        <v>23747.9613</v>
      </c>
      <c r="H239" t="n">
        <v>3219.745</v>
      </c>
      <c r="I239" t="n">
        <v>4441.0993</v>
      </c>
      <c r="J239" t="inlineStr"/>
      <c r="K239" t="n">
        <v>22456674.89</v>
      </c>
      <c r="L239" t="n">
        <v>113404484.34</v>
      </c>
      <c r="M239" t="n">
        <v>23747.9613</v>
      </c>
      <c r="N239" t="inlineStr">
        <is>
          <t>Supplier Reported Emissions</t>
        </is>
      </c>
      <c r="O239" t="b">
        <v>0</v>
      </c>
      <c r="P239" t="inlineStr">
        <is>
          <t>High</t>
        </is>
      </c>
      <c r="Q239" t="inlineStr">
        <is>
          <t>Scope_Emissions</t>
        </is>
      </c>
      <c r="R239" t="inlineStr">
        <is>
          <t>Valid</t>
        </is>
      </c>
      <c r="S239" t="n">
        <v>2038</v>
      </c>
      <c r="T239" t="inlineStr">
        <is>
          <t>Supplier Target Pathway</t>
        </is>
      </c>
      <c r="U239" t="n">
        <v>26229.5269</v>
      </c>
      <c r="V239" t="n">
        <v>19606.5714</v>
      </c>
      <c r="W239" t="n">
        <v>20237.329</v>
      </c>
      <c r="X239" t="n">
        <v>20237.329</v>
      </c>
      <c r="Y239" t="n">
        <v>5992.1979</v>
      </c>
      <c r="Z239" t="n">
        <v>0.00090117</v>
      </c>
      <c r="AA239" t="n">
        <v>0.228452</v>
      </c>
      <c r="AB239" t="n">
        <v>630.7577</v>
      </c>
      <c r="AC239" t="n">
        <v>315.3788</v>
      </c>
      <c r="AD239" t="n">
        <v>1683.062</v>
      </c>
      <c r="AE239" t="n">
        <v>312022.0804</v>
      </c>
      <c r="AF239" t="n">
        <v>0.99</v>
      </c>
      <c r="AG239" t="inlineStr">
        <is>
          <t>Medium</t>
        </is>
      </c>
      <c r="AH239" t="inlineStr">
        <is>
          <t>On Track to Glide Path</t>
        </is>
      </c>
    </row>
    <row r="240">
      <c r="A240" t="inlineStr">
        <is>
          <t>SUP-0015</t>
        </is>
      </c>
      <c r="B240" t="inlineStr">
        <is>
          <t>Packaging Supplier 015</t>
        </is>
      </c>
      <c r="C240" t="inlineStr">
        <is>
          <t>Packaging</t>
        </is>
      </c>
      <c r="D240" t="n">
        <v>2024</v>
      </c>
      <c r="E240" t="n">
        <v>2019</v>
      </c>
      <c r="F240" t="n">
        <v>2040</v>
      </c>
      <c r="G240" t="n">
        <v>23747.9613</v>
      </c>
      <c r="H240" t="n">
        <v>3219.745</v>
      </c>
      <c r="I240" t="n">
        <v>4441.0993</v>
      </c>
      <c r="J240" t="inlineStr"/>
      <c r="K240" t="n">
        <v>22456674.89</v>
      </c>
      <c r="L240" t="n">
        <v>113404484.34</v>
      </c>
      <c r="M240" t="n">
        <v>23747.9613</v>
      </c>
      <c r="N240" t="inlineStr">
        <is>
          <t>Supplier Reported Emissions</t>
        </is>
      </c>
      <c r="O240" t="b">
        <v>0</v>
      </c>
      <c r="P240" t="inlineStr">
        <is>
          <t>High</t>
        </is>
      </c>
      <c r="Q240" t="inlineStr">
        <is>
          <t>Scope_Emissions</t>
        </is>
      </c>
      <c r="R240" t="inlineStr">
        <is>
          <t>Valid</t>
        </is>
      </c>
      <c r="S240" t="n">
        <v>2039</v>
      </c>
      <c r="T240" t="inlineStr">
        <is>
          <t>Supplier Target Pathway</t>
        </is>
      </c>
      <c r="U240" t="n">
        <v>26229.5269</v>
      </c>
      <c r="V240" t="n">
        <v>19606.5714</v>
      </c>
      <c r="W240" t="n">
        <v>19921.9502</v>
      </c>
      <c r="X240" t="n">
        <v>19921.9502</v>
      </c>
      <c r="Y240" t="n">
        <v>6307.5767</v>
      </c>
      <c r="Z240" t="n">
        <v>0.00088713</v>
      </c>
      <c r="AA240" t="n">
        <v>0.240476</v>
      </c>
      <c r="AB240" t="n">
        <v>315.3788</v>
      </c>
      <c r="AC240" t="n">
        <v>315.3788</v>
      </c>
      <c r="AD240" t="n">
        <v>-18238.8882</v>
      </c>
      <c r="AE240" t="n">
        <v>331944.0306</v>
      </c>
      <c r="AF240" t="n">
        <v>0.99</v>
      </c>
      <c r="AG240" t="inlineStr">
        <is>
          <t>Medium</t>
        </is>
      </c>
      <c r="AH240" t="inlineStr">
        <is>
          <t>On Track to Glide Path</t>
        </is>
      </c>
    </row>
    <row r="241">
      <c r="A241" t="inlineStr">
        <is>
          <t>SUP-0015</t>
        </is>
      </c>
      <c r="B241" t="inlineStr">
        <is>
          <t>Packaging Supplier 015</t>
        </is>
      </c>
      <c r="C241" t="inlineStr">
        <is>
          <t>Packaging</t>
        </is>
      </c>
      <c r="D241" t="n">
        <v>2024</v>
      </c>
      <c r="E241" t="n">
        <v>2019</v>
      </c>
      <c r="F241" t="n">
        <v>2040</v>
      </c>
      <c r="G241" t="n">
        <v>23747.9613</v>
      </c>
      <c r="H241" t="n">
        <v>3219.745</v>
      </c>
      <c r="I241" t="n">
        <v>4441.0993</v>
      </c>
      <c r="J241" t="inlineStr"/>
      <c r="K241" t="n">
        <v>22456674.89</v>
      </c>
      <c r="L241" t="n">
        <v>113404484.34</v>
      </c>
      <c r="M241" t="n">
        <v>23747.9613</v>
      </c>
      <c r="N241" t="inlineStr">
        <is>
          <t>Supplier Reported Emissions</t>
        </is>
      </c>
      <c r="O241" t="b">
        <v>0</v>
      </c>
      <c r="P241" t="inlineStr">
        <is>
          <t>High</t>
        </is>
      </c>
      <c r="Q241" t="inlineStr">
        <is>
          <t>Scope_Emissions</t>
        </is>
      </c>
      <c r="R241" t="inlineStr">
        <is>
          <t>Valid</t>
        </is>
      </c>
      <c r="S241" t="n">
        <v>2040</v>
      </c>
      <c r="T241" t="inlineStr">
        <is>
          <t>Supplier Target Pathway</t>
        </is>
      </c>
      <c r="U241" t="n">
        <v>26229.5269</v>
      </c>
      <c r="V241" t="n">
        <v>19606.5714</v>
      </c>
      <c r="W241" t="n">
        <v>19606.5714</v>
      </c>
      <c r="X241" t="n">
        <v>19606.5714</v>
      </c>
      <c r="Y241" t="n">
        <v>6622.9555</v>
      </c>
      <c r="Z241" t="n">
        <v>0.00087308</v>
      </c>
      <c r="AA241" t="n">
        <v>0.2525</v>
      </c>
      <c r="AB241" t="n">
        <v>0</v>
      </c>
      <c r="AC241" t="n">
        <v>315.3788</v>
      </c>
      <c r="AD241" t="n">
        <v>-37845.4596</v>
      </c>
      <c r="AE241" t="n">
        <v>351550.602</v>
      </c>
      <c r="AF241" t="n">
        <v>0.99</v>
      </c>
      <c r="AG241" t="inlineStr">
        <is>
          <t>Low</t>
        </is>
      </c>
      <c r="AH241" t="inlineStr">
        <is>
          <t>On Track</t>
        </is>
      </c>
    </row>
    <row r="242">
      <c r="A242" t="inlineStr">
        <is>
          <t>SUP-0016</t>
        </is>
      </c>
      <c r="B242" t="inlineStr">
        <is>
          <t>Metals Supplier 016</t>
        </is>
      </c>
      <c r="C242" t="inlineStr">
        <is>
          <t>Metals</t>
        </is>
      </c>
      <c r="D242" t="n">
        <v>2024</v>
      </c>
      <c r="E242" t="n">
        <v>2018</v>
      </c>
      <c r="F242" t="n">
        <v>2040</v>
      </c>
      <c r="G242" t="inlineStr"/>
      <c r="H242" t="n">
        <v>2668.1832</v>
      </c>
      <c r="I242" t="n">
        <v>1561.6493</v>
      </c>
      <c r="J242" t="n">
        <v>10042.1493</v>
      </c>
      <c r="K242" t="n">
        <v>15066149.88</v>
      </c>
      <c r="L242" t="n">
        <v>44846003.77</v>
      </c>
      <c r="M242" t="n">
        <v>14271.9818</v>
      </c>
      <c r="N242" t="inlineStr">
        <is>
          <t>Scope 1 + Scope 2 + Scope 3</t>
        </is>
      </c>
      <c r="O242" t="b">
        <v>1</v>
      </c>
      <c r="P242" t="inlineStr">
        <is>
          <t>High</t>
        </is>
      </c>
      <c r="Q242" t="inlineStr">
        <is>
          <t>Reported_Emissions</t>
        </is>
      </c>
      <c r="R242" t="inlineStr">
        <is>
          <t>Valid</t>
        </is>
      </c>
      <c r="S242" t="n">
        <v>2025</v>
      </c>
      <c r="T242" t="inlineStr">
        <is>
          <t>Supplier Target Pathway</t>
        </is>
      </c>
      <c r="U242" t="n">
        <v>11796.9131</v>
      </c>
      <c r="V242" t="n">
        <v>8730.895399999999</v>
      </c>
      <c r="W242" t="n">
        <v>10821.362</v>
      </c>
      <c r="X242" t="n">
        <v>10821.362</v>
      </c>
      <c r="Y242" t="n">
        <v>975.5511</v>
      </c>
      <c r="Z242" t="n">
        <v>0.00071826</v>
      </c>
      <c r="AA242" t="n">
        <v>0.082695</v>
      </c>
      <c r="AB242" t="n">
        <v>2090.4666</v>
      </c>
      <c r="AC242" t="n">
        <v>139.3644</v>
      </c>
      <c r="AD242" t="n">
        <v>128872.9644</v>
      </c>
      <c r="AE242" t="n">
        <v>10821.362</v>
      </c>
      <c r="AF242" t="n">
        <v>0.99</v>
      </c>
      <c r="AG242" t="inlineStr">
        <is>
          <t>High</t>
        </is>
      </c>
      <c r="AH242" t="inlineStr">
        <is>
          <t>On Track to Glide Path</t>
        </is>
      </c>
    </row>
    <row r="243">
      <c r="A243" t="inlineStr">
        <is>
          <t>SUP-0016</t>
        </is>
      </c>
      <c r="B243" t="inlineStr">
        <is>
          <t>Metals Supplier 016</t>
        </is>
      </c>
      <c r="C243" t="inlineStr">
        <is>
          <t>Metals</t>
        </is>
      </c>
      <c r="D243" t="n">
        <v>2024</v>
      </c>
      <c r="E243" t="n">
        <v>2018</v>
      </c>
      <c r="F243" t="n">
        <v>2040</v>
      </c>
      <c r="G243" t="inlineStr"/>
      <c r="H243" t="n">
        <v>2668.1832</v>
      </c>
      <c r="I243" t="n">
        <v>1561.6493</v>
      </c>
      <c r="J243" t="n">
        <v>10042.1493</v>
      </c>
      <c r="K243" t="n">
        <v>15066149.88</v>
      </c>
      <c r="L243" t="n">
        <v>44846003.77</v>
      </c>
      <c r="M243" t="n">
        <v>14271.9818</v>
      </c>
      <c r="N243" t="inlineStr">
        <is>
          <t>Scope 1 + Scope 2 + Scope 3</t>
        </is>
      </c>
      <c r="O243" t="b">
        <v>1</v>
      </c>
      <c r="P243" t="inlineStr">
        <is>
          <t>High</t>
        </is>
      </c>
      <c r="Q243" t="inlineStr">
        <is>
          <t>Reported_Emissions</t>
        </is>
      </c>
      <c r="R243" t="inlineStr">
        <is>
          <t>Valid</t>
        </is>
      </c>
      <c r="S243" t="n">
        <v>2026</v>
      </c>
      <c r="T243" t="inlineStr">
        <is>
          <t>Supplier Target Pathway</t>
        </is>
      </c>
      <c r="U243" t="n">
        <v>11796.9131</v>
      </c>
      <c r="V243" t="n">
        <v>8730.895399999999</v>
      </c>
      <c r="W243" t="n">
        <v>10681.9976</v>
      </c>
      <c r="X243" t="n">
        <v>10681.9976</v>
      </c>
      <c r="Y243" t="n">
        <v>1114.9155</v>
      </c>
      <c r="Z243" t="n">
        <v>0.00070901</v>
      </c>
      <c r="AA243" t="n">
        <v>0.094509</v>
      </c>
      <c r="AB243" t="n">
        <v>1951.1022</v>
      </c>
      <c r="AC243" t="n">
        <v>139.3644</v>
      </c>
      <c r="AD243" t="n">
        <v>118190.9668</v>
      </c>
      <c r="AE243" t="n">
        <v>21503.3596</v>
      </c>
      <c r="AF243" t="n">
        <v>0.99</v>
      </c>
      <c r="AG243" t="inlineStr">
        <is>
          <t>High</t>
        </is>
      </c>
      <c r="AH243" t="inlineStr">
        <is>
          <t>On Track to Glide Path</t>
        </is>
      </c>
    </row>
    <row r="244">
      <c r="A244" t="inlineStr">
        <is>
          <t>SUP-0016</t>
        </is>
      </c>
      <c r="B244" t="inlineStr">
        <is>
          <t>Metals Supplier 016</t>
        </is>
      </c>
      <c r="C244" t="inlineStr">
        <is>
          <t>Metals</t>
        </is>
      </c>
      <c r="D244" t="n">
        <v>2024</v>
      </c>
      <c r="E244" t="n">
        <v>2018</v>
      </c>
      <c r="F244" t="n">
        <v>2040</v>
      </c>
      <c r="G244" t="inlineStr"/>
      <c r="H244" t="n">
        <v>2668.1832</v>
      </c>
      <c r="I244" t="n">
        <v>1561.6493</v>
      </c>
      <c r="J244" t="n">
        <v>10042.1493</v>
      </c>
      <c r="K244" t="n">
        <v>15066149.88</v>
      </c>
      <c r="L244" t="n">
        <v>44846003.77</v>
      </c>
      <c r="M244" t="n">
        <v>14271.9818</v>
      </c>
      <c r="N244" t="inlineStr">
        <is>
          <t>Scope 1 + Scope 2 + Scope 3</t>
        </is>
      </c>
      <c r="O244" t="b">
        <v>1</v>
      </c>
      <c r="P244" t="inlineStr">
        <is>
          <t>High</t>
        </is>
      </c>
      <c r="Q244" t="inlineStr">
        <is>
          <t>Reported_Emissions</t>
        </is>
      </c>
      <c r="R244" t="inlineStr">
        <is>
          <t>Valid</t>
        </is>
      </c>
      <c r="S244" t="n">
        <v>2027</v>
      </c>
      <c r="T244" t="inlineStr">
        <is>
          <t>Supplier Target Pathway</t>
        </is>
      </c>
      <c r="U244" t="n">
        <v>11796.9131</v>
      </c>
      <c r="V244" t="n">
        <v>8730.895399999999</v>
      </c>
      <c r="W244" t="n">
        <v>10542.6331</v>
      </c>
      <c r="X244" t="n">
        <v>10542.6331</v>
      </c>
      <c r="Y244" t="n">
        <v>1254.28</v>
      </c>
      <c r="Z244" t="n">
        <v>0.00069976</v>
      </c>
      <c r="AA244" t="n">
        <v>0.106323</v>
      </c>
      <c r="AB244" t="n">
        <v>1811.7377</v>
      </c>
      <c r="AC244" t="n">
        <v>139.3644</v>
      </c>
      <c r="AD244" t="n">
        <v>107648.3337</v>
      </c>
      <c r="AE244" t="n">
        <v>32045.9927</v>
      </c>
      <c r="AF244" t="n">
        <v>0.99</v>
      </c>
      <c r="AG244" t="inlineStr">
        <is>
          <t>High</t>
        </is>
      </c>
      <c r="AH244" t="inlineStr">
        <is>
          <t>On Track to Glide Path</t>
        </is>
      </c>
    </row>
    <row r="245">
      <c r="A245" t="inlineStr">
        <is>
          <t>SUP-0016</t>
        </is>
      </c>
      <c r="B245" t="inlineStr">
        <is>
          <t>Metals Supplier 016</t>
        </is>
      </c>
      <c r="C245" t="inlineStr">
        <is>
          <t>Metals</t>
        </is>
      </c>
      <c r="D245" t="n">
        <v>2024</v>
      </c>
      <c r="E245" t="n">
        <v>2018</v>
      </c>
      <c r="F245" t="n">
        <v>2040</v>
      </c>
      <c r="G245" t="inlineStr"/>
      <c r="H245" t="n">
        <v>2668.1832</v>
      </c>
      <c r="I245" t="n">
        <v>1561.6493</v>
      </c>
      <c r="J245" t="n">
        <v>10042.1493</v>
      </c>
      <c r="K245" t="n">
        <v>15066149.88</v>
      </c>
      <c r="L245" t="n">
        <v>44846003.77</v>
      </c>
      <c r="M245" t="n">
        <v>14271.9818</v>
      </c>
      <c r="N245" t="inlineStr">
        <is>
          <t>Scope 1 + Scope 2 + Scope 3</t>
        </is>
      </c>
      <c r="O245" t="b">
        <v>1</v>
      </c>
      <c r="P245" t="inlineStr">
        <is>
          <t>High</t>
        </is>
      </c>
      <c r="Q245" t="inlineStr">
        <is>
          <t>Reported_Emissions</t>
        </is>
      </c>
      <c r="R245" t="inlineStr">
        <is>
          <t>Valid</t>
        </is>
      </c>
      <c r="S245" t="n">
        <v>2028</v>
      </c>
      <c r="T245" t="inlineStr">
        <is>
          <t>Supplier Target Pathway</t>
        </is>
      </c>
      <c r="U245" t="n">
        <v>11796.9131</v>
      </c>
      <c r="V245" t="n">
        <v>8730.895399999999</v>
      </c>
      <c r="W245" t="n">
        <v>10403.2687</v>
      </c>
      <c r="X245" t="n">
        <v>10403.2687</v>
      </c>
      <c r="Y245" t="n">
        <v>1393.6444</v>
      </c>
      <c r="Z245" t="n">
        <v>0.00069051</v>
      </c>
      <c r="AA245" t="n">
        <v>0.118136</v>
      </c>
      <c r="AB245" t="n">
        <v>1672.3733</v>
      </c>
      <c r="AC245" t="n">
        <v>139.3644</v>
      </c>
      <c r="AD245" t="n">
        <v>97245.065</v>
      </c>
      <c r="AE245" t="n">
        <v>42449.2614</v>
      </c>
      <c r="AF245" t="n">
        <v>0.99</v>
      </c>
      <c r="AG245" t="inlineStr">
        <is>
          <t>High</t>
        </is>
      </c>
      <c r="AH245" t="inlineStr">
        <is>
          <t>On Track to Glide Path</t>
        </is>
      </c>
    </row>
    <row r="246">
      <c r="A246" t="inlineStr">
        <is>
          <t>SUP-0016</t>
        </is>
      </c>
      <c r="B246" t="inlineStr">
        <is>
          <t>Metals Supplier 016</t>
        </is>
      </c>
      <c r="C246" t="inlineStr">
        <is>
          <t>Metals</t>
        </is>
      </c>
      <c r="D246" t="n">
        <v>2024</v>
      </c>
      <c r="E246" t="n">
        <v>2018</v>
      </c>
      <c r="F246" t="n">
        <v>2040</v>
      </c>
      <c r="G246" t="inlineStr"/>
      <c r="H246" t="n">
        <v>2668.1832</v>
      </c>
      <c r="I246" t="n">
        <v>1561.6493</v>
      </c>
      <c r="J246" t="n">
        <v>10042.1493</v>
      </c>
      <c r="K246" t="n">
        <v>15066149.88</v>
      </c>
      <c r="L246" t="n">
        <v>44846003.77</v>
      </c>
      <c r="M246" t="n">
        <v>14271.9818</v>
      </c>
      <c r="N246" t="inlineStr">
        <is>
          <t>Scope 1 + Scope 2 + Scope 3</t>
        </is>
      </c>
      <c r="O246" t="b">
        <v>1</v>
      </c>
      <c r="P246" t="inlineStr">
        <is>
          <t>High</t>
        </is>
      </c>
      <c r="Q246" t="inlineStr">
        <is>
          <t>Reported_Emissions</t>
        </is>
      </c>
      <c r="R246" t="inlineStr">
        <is>
          <t>Valid</t>
        </is>
      </c>
      <c r="S246" t="n">
        <v>2029</v>
      </c>
      <c r="T246" t="inlineStr">
        <is>
          <t>Supplier Target Pathway</t>
        </is>
      </c>
      <c r="U246" t="n">
        <v>11796.9131</v>
      </c>
      <c r="V246" t="n">
        <v>8730.895399999999</v>
      </c>
      <c r="W246" t="n">
        <v>10263.9042</v>
      </c>
      <c r="X246" t="n">
        <v>10263.9042</v>
      </c>
      <c r="Y246" t="n">
        <v>1533.0089</v>
      </c>
      <c r="Z246" t="n">
        <v>0.00068126</v>
      </c>
      <c r="AA246" t="n">
        <v>0.12995</v>
      </c>
      <c r="AB246" t="n">
        <v>1533.0089</v>
      </c>
      <c r="AC246" t="n">
        <v>139.3644</v>
      </c>
      <c r="AD246" t="n">
        <v>86981.1608</v>
      </c>
      <c r="AE246" t="n">
        <v>52713.1656</v>
      </c>
      <c r="AF246" t="n">
        <v>0.99</v>
      </c>
      <c r="AG246" t="inlineStr">
        <is>
          <t>High</t>
        </is>
      </c>
      <c r="AH246" t="inlineStr">
        <is>
          <t>On Track to Glide Path</t>
        </is>
      </c>
    </row>
    <row r="247">
      <c r="A247" t="inlineStr">
        <is>
          <t>SUP-0016</t>
        </is>
      </c>
      <c r="B247" t="inlineStr">
        <is>
          <t>Metals Supplier 016</t>
        </is>
      </c>
      <c r="C247" t="inlineStr">
        <is>
          <t>Metals</t>
        </is>
      </c>
      <c r="D247" t="n">
        <v>2024</v>
      </c>
      <c r="E247" t="n">
        <v>2018</v>
      </c>
      <c r="F247" t="n">
        <v>2040</v>
      </c>
      <c r="G247" t="inlineStr"/>
      <c r="H247" t="n">
        <v>2668.1832</v>
      </c>
      <c r="I247" t="n">
        <v>1561.6493</v>
      </c>
      <c r="J247" t="n">
        <v>10042.1493</v>
      </c>
      <c r="K247" t="n">
        <v>15066149.88</v>
      </c>
      <c r="L247" t="n">
        <v>44846003.77</v>
      </c>
      <c r="M247" t="n">
        <v>14271.9818</v>
      </c>
      <c r="N247" t="inlineStr">
        <is>
          <t>Scope 1 + Scope 2 + Scope 3</t>
        </is>
      </c>
      <c r="O247" t="b">
        <v>1</v>
      </c>
      <c r="P247" t="inlineStr">
        <is>
          <t>High</t>
        </is>
      </c>
      <c r="Q247" t="inlineStr">
        <is>
          <t>Reported_Emissions</t>
        </is>
      </c>
      <c r="R247" t="inlineStr">
        <is>
          <t>Valid</t>
        </is>
      </c>
      <c r="S247" t="n">
        <v>2030</v>
      </c>
      <c r="T247" t="inlineStr">
        <is>
          <t>Supplier Target Pathway</t>
        </is>
      </c>
      <c r="U247" t="n">
        <v>11796.9131</v>
      </c>
      <c r="V247" t="n">
        <v>8730.895399999999</v>
      </c>
      <c r="W247" t="n">
        <v>10124.5398</v>
      </c>
      <c r="X247" t="n">
        <v>10124.5398</v>
      </c>
      <c r="Y247" t="n">
        <v>1672.3733</v>
      </c>
      <c r="Z247" t="n">
        <v>0.00067201</v>
      </c>
      <c r="AA247" t="n">
        <v>0.141764</v>
      </c>
      <c r="AB247" t="n">
        <v>1393.6444</v>
      </c>
      <c r="AC247" t="n">
        <v>139.3644</v>
      </c>
      <c r="AD247" t="n">
        <v>76856.621</v>
      </c>
      <c r="AE247" t="n">
        <v>62837.7054</v>
      </c>
      <c r="AF247" t="n">
        <v>0.99</v>
      </c>
      <c r="AG247" t="inlineStr">
        <is>
          <t>High</t>
        </is>
      </c>
      <c r="AH247" t="inlineStr">
        <is>
          <t>On Track to Glide Path</t>
        </is>
      </c>
    </row>
    <row r="248">
      <c r="A248" t="inlineStr">
        <is>
          <t>SUP-0016</t>
        </is>
      </c>
      <c r="B248" t="inlineStr">
        <is>
          <t>Metals Supplier 016</t>
        </is>
      </c>
      <c r="C248" t="inlineStr">
        <is>
          <t>Metals</t>
        </is>
      </c>
      <c r="D248" t="n">
        <v>2024</v>
      </c>
      <c r="E248" t="n">
        <v>2018</v>
      </c>
      <c r="F248" t="n">
        <v>2040</v>
      </c>
      <c r="G248" t="inlineStr"/>
      <c r="H248" t="n">
        <v>2668.1832</v>
      </c>
      <c r="I248" t="n">
        <v>1561.6493</v>
      </c>
      <c r="J248" t="n">
        <v>10042.1493</v>
      </c>
      <c r="K248" t="n">
        <v>15066149.88</v>
      </c>
      <c r="L248" t="n">
        <v>44846003.77</v>
      </c>
      <c r="M248" t="n">
        <v>14271.9818</v>
      </c>
      <c r="N248" t="inlineStr">
        <is>
          <t>Scope 1 + Scope 2 + Scope 3</t>
        </is>
      </c>
      <c r="O248" t="b">
        <v>1</v>
      </c>
      <c r="P248" t="inlineStr">
        <is>
          <t>High</t>
        </is>
      </c>
      <c r="Q248" t="inlineStr">
        <is>
          <t>Reported_Emissions</t>
        </is>
      </c>
      <c r="R248" t="inlineStr">
        <is>
          <t>Valid</t>
        </is>
      </c>
      <c r="S248" t="n">
        <v>2031</v>
      </c>
      <c r="T248" t="inlineStr">
        <is>
          <t>Supplier Target Pathway</t>
        </is>
      </c>
      <c r="U248" t="n">
        <v>11796.9131</v>
      </c>
      <c r="V248" t="n">
        <v>8730.895399999999</v>
      </c>
      <c r="W248" t="n">
        <v>9985.1754</v>
      </c>
      <c r="X248" t="n">
        <v>9985.1754</v>
      </c>
      <c r="Y248" t="n">
        <v>1811.7377</v>
      </c>
      <c r="Z248" t="n">
        <v>0.00066276</v>
      </c>
      <c r="AA248" t="n">
        <v>0.153577</v>
      </c>
      <c r="AB248" t="n">
        <v>1254.28</v>
      </c>
      <c r="AC248" t="n">
        <v>139.3644</v>
      </c>
      <c r="AD248" t="n">
        <v>66871.44560000001</v>
      </c>
      <c r="AE248" t="n">
        <v>72822.8808</v>
      </c>
      <c r="AF248" t="n">
        <v>0.99</v>
      </c>
      <c r="AG248" t="inlineStr">
        <is>
          <t>Medium</t>
        </is>
      </c>
      <c r="AH248" t="inlineStr">
        <is>
          <t>On Track to Glide Path</t>
        </is>
      </c>
    </row>
    <row r="249">
      <c r="A249" t="inlineStr">
        <is>
          <t>SUP-0016</t>
        </is>
      </c>
      <c r="B249" t="inlineStr">
        <is>
          <t>Metals Supplier 016</t>
        </is>
      </c>
      <c r="C249" t="inlineStr">
        <is>
          <t>Metals</t>
        </is>
      </c>
      <c r="D249" t="n">
        <v>2024</v>
      </c>
      <c r="E249" t="n">
        <v>2018</v>
      </c>
      <c r="F249" t="n">
        <v>2040</v>
      </c>
      <c r="G249" t="inlineStr"/>
      <c r="H249" t="n">
        <v>2668.1832</v>
      </c>
      <c r="I249" t="n">
        <v>1561.6493</v>
      </c>
      <c r="J249" t="n">
        <v>10042.1493</v>
      </c>
      <c r="K249" t="n">
        <v>15066149.88</v>
      </c>
      <c r="L249" t="n">
        <v>44846003.77</v>
      </c>
      <c r="M249" t="n">
        <v>14271.9818</v>
      </c>
      <c r="N249" t="inlineStr">
        <is>
          <t>Scope 1 + Scope 2 + Scope 3</t>
        </is>
      </c>
      <c r="O249" t="b">
        <v>1</v>
      </c>
      <c r="P249" t="inlineStr">
        <is>
          <t>High</t>
        </is>
      </c>
      <c r="Q249" t="inlineStr">
        <is>
          <t>Reported_Emissions</t>
        </is>
      </c>
      <c r="R249" t="inlineStr">
        <is>
          <t>Valid</t>
        </is>
      </c>
      <c r="S249" t="n">
        <v>2032</v>
      </c>
      <c r="T249" t="inlineStr">
        <is>
          <t>Supplier Target Pathway</t>
        </is>
      </c>
      <c r="U249" t="n">
        <v>11796.9131</v>
      </c>
      <c r="V249" t="n">
        <v>8730.895399999999</v>
      </c>
      <c r="W249" t="n">
        <v>9845.8109</v>
      </c>
      <c r="X249" t="n">
        <v>9845.8109</v>
      </c>
      <c r="Y249" t="n">
        <v>1951.1022</v>
      </c>
      <c r="Z249" t="n">
        <v>0.0006535100000000001</v>
      </c>
      <c r="AA249" t="n">
        <v>0.165391</v>
      </c>
      <c r="AB249" t="n">
        <v>1114.9155</v>
      </c>
      <c r="AC249" t="n">
        <v>139.3644</v>
      </c>
      <c r="AD249" t="n">
        <v>57025.6347</v>
      </c>
      <c r="AE249" t="n">
        <v>82668.6917</v>
      </c>
      <c r="AF249" t="n">
        <v>0.99</v>
      </c>
      <c r="AG249" t="inlineStr">
        <is>
          <t>Medium</t>
        </is>
      </c>
      <c r="AH249" t="inlineStr">
        <is>
          <t>On Track to Glide Path</t>
        </is>
      </c>
    </row>
    <row r="250">
      <c r="A250" t="inlineStr">
        <is>
          <t>SUP-0016</t>
        </is>
      </c>
      <c r="B250" t="inlineStr">
        <is>
          <t>Metals Supplier 016</t>
        </is>
      </c>
      <c r="C250" t="inlineStr">
        <is>
          <t>Metals</t>
        </is>
      </c>
      <c r="D250" t="n">
        <v>2024</v>
      </c>
      <c r="E250" t="n">
        <v>2018</v>
      </c>
      <c r="F250" t="n">
        <v>2040</v>
      </c>
      <c r="G250" t="inlineStr"/>
      <c r="H250" t="n">
        <v>2668.1832</v>
      </c>
      <c r="I250" t="n">
        <v>1561.6493</v>
      </c>
      <c r="J250" t="n">
        <v>10042.1493</v>
      </c>
      <c r="K250" t="n">
        <v>15066149.88</v>
      </c>
      <c r="L250" t="n">
        <v>44846003.77</v>
      </c>
      <c r="M250" t="n">
        <v>14271.9818</v>
      </c>
      <c r="N250" t="inlineStr">
        <is>
          <t>Scope 1 + Scope 2 + Scope 3</t>
        </is>
      </c>
      <c r="O250" t="b">
        <v>1</v>
      </c>
      <c r="P250" t="inlineStr">
        <is>
          <t>High</t>
        </is>
      </c>
      <c r="Q250" t="inlineStr">
        <is>
          <t>Reported_Emissions</t>
        </is>
      </c>
      <c r="R250" t="inlineStr">
        <is>
          <t>Valid</t>
        </is>
      </c>
      <c r="S250" t="n">
        <v>2033</v>
      </c>
      <c r="T250" t="inlineStr">
        <is>
          <t>Supplier Target Pathway</t>
        </is>
      </c>
      <c r="U250" t="n">
        <v>11796.9131</v>
      </c>
      <c r="V250" t="n">
        <v>8730.895399999999</v>
      </c>
      <c r="W250" t="n">
        <v>9706.4465</v>
      </c>
      <c r="X250" t="n">
        <v>9706.4465</v>
      </c>
      <c r="Y250" t="n">
        <v>2090.4666</v>
      </c>
      <c r="Z250" t="n">
        <v>0.00064426</v>
      </c>
      <c r="AA250" t="n">
        <v>0.177205</v>
      </c>
      <c r="AB250" t="n">
        <v>975.5511</v>
      </c>
      <c r="AC250" t="n">
        <v>139.3644</v>
      </c>
      <c r="AD250" t="n">
        <v>47319.1882</v>
      </c>
      <c r="AE250" t="n">
        <v>92375.1382</v>
      </c>
      <c r="AF250" t="n">
        <v>0.99</v>
      </c>
      <c r="AG250" t="inlineStr">
        <is>
          <t>Medium</t>
        </is>
      </c>
      <c r="AH250" t="inlineStr">
        <is>
          <t>On Track to Glide Path</t>
        </is>
      </c>
    </row>
    <row r="251">
      <c r="A251" t="inlineStr">
        <is>
          <t>SUP-0016</t>
        </is>
      </c>
      <c r="B251" t="inlineStr">
        <is>
          <t>Metals Supplier 016</t>
        </is>
      </c>
      <c r="C251" t="inlineStr">
        <is>
          <t>Metals</t>
        </is>
      </c>
      <c r="D251" t="n">
        <v>2024</v>
      </c>
      <c r="E251" t="n">
        <v>2018</v>
      </c>
      <c r="F251" t="n">
        <v>2040</v>
      </c>
      <c r="G251" t="inlineStr"/>
      <c r="H251" t="n">
        <v>2668.1832</v>
      </c>
      <c r="I251" t="n">
        <v>1561.6493</v>
      </c>
      <c r="J251" t="n">
        <v>10042.1493</v>
      </c>
      <c r="K251" t="n">
        <v>15066149.88</v>
      </c>
      <c r="L251" t="n">
        <v>44846003.77</v>
      </c>
      <c r="M251" t="n">
        <v>14271.9818</v>
      </c>
      <c r="N251" t="inlineStr">
        <is>
          <t>Scope 1 + Scope 2 + Scope 3</t>
        </is>
      </c>
      <c r="O251" t="b">
        <v>1</v>
      </c>
      <c r="P251" t="inlineStr">
        <is>
          <t>High</t>
        </is>
      </c>
      <c r="Q251" t="inlineStr">
        <is>
          <t>Reported_Emissions</t>
        </is>
      </c>
      <c r="R251" t="inlineStr">
        <is>
          <t>Valid</t>
        </is>
      </c>
      <c r="S251" t="n">
        <v>2034</v>
      </c>
      <c r="T251" t="inlineStr">
        <is>
          <t>Supplier Target Pathway</t>
        </is>
      </c>
      <c r="U251" t="n">
        <v>11796.9131</v>
      </c>
      <c r="V251" t="n">
        <v>8730.895399999999</v>
      </c>
      <c r="W251" t="n">
        <v>9567.082</v>
      </c>
      <c r="X251" t="n">
        <v>9567.082</v>
      </c>
      <c r="Y251" t="n">
        <v>2229.8311</v>
      </c>
      <c r="Z251" t="n">
        <v>0.00063501</v>
      </c>
      <c r="AA251" t="n">
        <v>0.189018</v>
      </c>
      <c r="AB251" t="n">
        <v>836.1866</v>
      </c>
      <c r="AC251" t="n">
        <v>139.3644</v>
      </c>
      <c r="AD251" t="n">
        <v>37752.1062</v>
      </c>
      <c r="AE251" t="n">
        <v>101942.2202</v>
      </c>
      <c r="AF251" t="n">
        <v>0.99</v>
      </c>
      <c r="AG251" t="inlineStr">
        <is>
          <t>Medium</t>
        </is>
      </c>
      <c r="AH251" t="inlineStr">
        <is>
          <t>On Track to Glide Path</t>
        </is>
      </c>
    </row>
    <row r="252">
      <c r="A252" t="inlineStr">
        <is>
          <t>SUP-0016</t>
        </is>
      </c>
      <c r="B252" t="inlineStr">
        <is>
          <t>Metals Supplier 016</t>
        </is>
      </c>
      <c r="C252" t="inlineStr">
        <is>
          <t>Metals</t>
        </is>
      </c>
      <c r="D252" t="n">
        <v>2024</v>
      </c>
      <c r="E252" t="n">
        <v>2018</v>
      </c>
      <c r="F252" t="n">
        <v>2040</v>
      </c>
      <c r="G252" t="inlineStr"/>
      <c r="H252" t="n">
        <v>2668.1832</v>
      </c>
      <c r="I252" t="n">
        <v>1561.6493</v>
      </c>
      <c r="J252" t="n">
        <v>10042.1493</v>
      </c>
      <c r="K252" t="n">
        <v>15066149.88</v>
      </c>
      <c r="L252" t="n">
        <v>44846003.77</v>
      </c>
      <c r="M252" t="n">
        <v>14271.9818</v>
      </c>
      <c r="N252" t="inlineStr">
        <is>
          <t>Scope 1 + Scope 2 + Scope 3</t>
        </is>
      </c>
      <c r="O252" t="b">
        <v>1</v>
      </c>
      <c r="P252" t="inlineStr">
        <is>
          <t>High</t>
        </is>
      </c>
      <c r="Q252" t="inlineStr">
        <is>
          <t>Reported_Emissions</t>
        </is>
      </c>
      <c r="R252" t="inlineStr">
        <is>
          <t>Valid</t>
        </is>
      </c>
      <c r="S252" t="n">
        <v>2035</v>
      </c>
      <c r="T252" t="inlineStr">
        <is>
          <t>Supplier Target Pathway</t>
        </is>
      </c>
      <c r="U252" t="n">
        <v>11796.9131</v>
      </c>
      <c r="V252" t="n">
        <v>8730.895399999999</v>
      </c>
      <c r="W252" t="n">
        <v>9427.7176</v>
      </c>
      <c r="X252" t="n">
        <v>9427.7176</v>
      </c>
      <c r="Y252" t="n">
        <v>2369.1955</v>
      </c>
      <c r="Z252" t="n">
        <v>0.00062575</v>
      </c>
      <c r="AA252" t="n">
        <v>0.200832</v>
      </c>
      <c r="AB252" t="n">
        <v>696.8222</v>
      </c>
      <c r="AC252" t="n">
        <v>139.3644</v>
      </c>
      <c r="AD252" t="n">
        <v>28324.3886</v>
      </c>
      <c r="AE252" t="n">
        <v>111369.9378</v>
      </c>
      <c r="AF252" t="n">
        <v>0.99</v>
      </c>
      <c r="AG252" t="inlineStr">
        <is>
          <t>Medium</t>
        </is>
      </c>
      <c r="AH252" t="inlineStr">
        <is>
          <t>On Track to Glide Path</t>
        </is>
      </c>
    </row>
    <row r="253">
      <c r="A253" t="inlineStr">
        <is>
          <t>SUP-0016</t>
        </is>
      </c>
      <c r="B253" t="inlineStr">
        <is>
          <t>Metals Supplier 016</t>
        </is>
      </c>
      <c r="C253" t="inlineStr">
        <is>
          <t>Metals</t>
        </is>
      </c>
      <c r="D253" t="n">
        <v>2024</v>
      </c>
      <c r="E253" t="n">
        <v>2018</v>
      </c>
      <c r="F253" t="n">
        <v>2040</v>
      </c>
      <c r="G253" t="inlineStr"/>
      <c r="H253" t="n">
        <v>2668.1832</v>
      </c>
      <c r="I253" t="n">
        <v>1561.6493</v>
      </c>
      <c r="J253" t="n">
        <v>10042.1493</v>
      </c>
      <c r="K253" t="n">
        <v>15066149.88</v>
      </c>
      <c r="L253" t="n">
        <v>44846003.77</v>
      </c>
      <c r="M253" t="n">
        <v>14271.9818</v>
      </c>
      <c r="N253" t="inlineStr">
        <is>
          <t>Scope 1 + Scope 2 + Scope 3</t>
        </is>
      </c>
      <c r="O253" t="b">
        <v>1</v>
      </c>
      <c r="P253" t="inlineStr">
        <is>
          <t>High</t>
        </is>
      </c>
      <c r="Q253" t="inlineStr">
        <is>
          <t>Reported_Emissions</t>
        </is>
      </c>
      <c r="R253" t="inlineStr">
        <is>
          <t>Valid</t>
        </is>
      </c>
      <c r="S253" t="n">
        <v>2036</v>
      </c>
      <c r="T253" t="inlineStr">
        <is>
          <t>Supplier Target Pathway</t>
        </is>
      </c>
      <c r="U253" t="n">
        <v>11796.9131</v>
      </c>
      <c r="V253" t="n">
        <v>8730.895399999999</v>
      </c>
      <c r="W253" t="n">
        <v>9288.3532</v>
      </c>
      <c r="X253" t="n">
        <v>9288.3532</v>
      </c>
      <c r="Y253" t="n">
        <v>2508.5599</v>
      </c>
      <c r="Z253" t="n">
        <v>0.0006165</v>
      </c>
      <c r="AA253" t="n">
        <v>0.212645</v>
      </c>
      <c r="AB253" t="n">
        <v>557.4578</v>
      </c>
      <c r="AC253" t="n">
        <v>139.3644</v>
      </c>
      <c r="AD253" t="n">
        <v>19036.0354</v>
      </c>
      <c r="AE253" t="n">
        <v>120658.291</v>
      </c>
      <c r="AF253" t="n">
        <v>0.99</v>
      </c>
      <c r="AG253" t="inlineStr">
        <is>
          <t>Medium</t>
        </is>
      </c>
      <c r="AH253" t="inlineStr">
        <is>
          <t>On Track to Glide Path</t>
        </is>
      </c>
    </row>
    <row r="254">
      <c r="A254" t="inlineStr">
        <is>
          <t>SUP-0016</t>
        </is>
      </c>
      <c r="B254" t="inlineStr">
        <is>
          <t>Metals Supplier 016</t>
        </is>
      </c>
      <c r="C254" t="inlineStr">
        <is>
          <t>Metals</t>
        </is>
      </c>
      <c r="D254" t="n">
        <v>2024</v>
      </c>
      <c r="E254" t="n">
        <v>2018</v>
      </c>
      <c r="F254" t="n">
        <v>2040</v>
      </c>
      <c r="G254" t="inlineStr"/>
      <c r="H254" t="n">
        <v>2668.1832</v>
      </c>
      <c r="I254" t="n">
        <v>1561.6493</v>
      </c>
      <c r="J254" t="n">
        <v>10042.1493</v>
      </c>
      <c r="K254" t="n">
        <v>15066149.88</v>
      </c>
      <c r="L254" t="n">
        <v>44846003.77</v>
      </c>
      <c r="M254" t="n">
        <v>14271.9818</v>
      </c>
      <c r="N254" t="inlineStr">
        <is>
          <t>Scope 1 + Scope 2 + Scope 3</t>
        </is>
      </c>
      <c r="O254" t="b">
        <v>1</v>
      </c>
      <c r="P254" t="inlineStr">
        <is>
          <t>High</t>
        </is>
      </c>
      <c r="Q254" t="inlineStr">
        <is>
          <t>Reported_Emissions</t>
        </is>
      </c>
      <c r="R254" t="inlineStr">
        <is>
          <t>Valid</t>
        </is>
      </c>
      <c r="S254" t="n">
        <v>2037</v>
      </c>
      <c r="T254" t="inlineStr">
        <is>
          <t>Supplier Target Pathway</t>
        </is>
      </c>
      <c r="U254" t="n">
        <v>11796.9131</v>
      </c>
      <c r="V254" t="n">
        <v>8730.895399999999</v>
      </c>
      <c r="W254" t="n">
        <v>9148.9887</v>
      </c>
      <c r="X254" t="n">
        <v>9148.9887</v>
      </c>
      <c r="Y254" t="n">
        <v>2647.9244</v>
      </c>
      <c r="Z254" t="n">
        <v>0.00060725</v>
      </c>
      <c r="AA254" t="n">
        <v>0.224459</v>
      </c>
      <c r="AB254" t="n">
        <v>418.0933</v>
      </c>
      <c r="AC254" t="n">
        <v>139.3644</v>
      </c>
      <c r="AD254" t="n">
        <v>9887.046700000001</v>
      </c>
      <c r="AE254" t="n">
        <v>129807.2797</v>
      </c>
      <c r="AF254" t="n">
        <v>0.99</v>
      </c>
      <c r="AG254" t="inlineStr">
        <is>
          <t>Medium</t>
        </is>
      </c>
      <c r="AH254" t="inlineStr">
        <is>
          <t>On Track to Glide Path</t>
        </is>
      </c>
    </row>
    <row r="255">
      <c r="A255" t="inlineStr">
        <is>
          <t>SUP-0016</t>
        </is>
      </c>
      <c r="B255" t="inlineStr">
        <is>
          <t>Metals Supplier 016</t>
        </is>
      </c>
      <c r="C255" t="inlineStr">
        <is>
          <t>Metals</t>
        </is>
      </c>
      <c r="D255" t="n">
        <v>2024</v>
      </c>
      <c r="E255" t="n">
        <v>2018</v>
      </c>
      <c r="F255" t="n">
        <v>2040</v>
      </c>
      <c r="G255" t="inlineStr"/>
      <c r="H255" t="n">
        <v>2668.1832</v>
      </c>
      <c r="I255" t="n">
        <v>1561.6493</v>
      </c>
      <c r="J255" t="n">
        <v>10042.1493</v>
      </c>
      <c r="K255" t="n">
        <v>15066149.88</v>
      </c>
      <c r="L255" t="n">
        <v>44846003.77</v>
      </c>
      <c r="M255" t="n">
        <v>14271.9818</v>
      </c>
      <c r="N255" t="inlineStr">
        <is>
          <t>Scope 1 + Scope 2 + Scope 3</t>
        </is>
      </c>
      <c r="O255" t="b">
        <v>1</v>
      </c>
      <c r="P255" t="inlineStr">
        <is>
          <t>High</t>
        </is>
      </c>
      <c r="Q255" t="inlineStr">
        <is>
          <t>Reported_Emissions</t>
        </is>
      </c>
      <c r="R255" t="inlineStr">
        <is>
          <t>Valid</t>
        </is>
      </c>
      <c r="S255" t="n">
        <v>2038</v>
      </c>
      <c r="T255" t="inlineStr">
        <is>
          <t>Supplier Target Pathway</t>
        </is>
      </c>
      <c r="U255" t="n">
        <v>11796.9131</v>
      </c>
      <c r="V255" t="n">
        <v>8730.895399999999</v>
      </c>
      <c r="W255" t="n">
        <v>9009.624299999999</v>
      </c>
      <c r="X255" t="n">
        <v>9009.624299999999</v>
      </c>
      <c r="Y255" t="n">
        <v>2787.2888</v>
      </c>
      <c r="Z255" t="n">
        <v>0.000598</v>
      </c>
      <c r="AA255" t="n">
        <v>0.236273</v>
      </c>
      <c r="AB255" t="n">
        <v>278.7289</v>
      </c>
      <c r="AC255" t="n">
        <v>139.3644</v>
      </c>
      <c r="AD255" t="n">
        <v>877.4224</v>
      </c>
      <c r="AE255" t="n">
        <v>138816.904</v>
      </c>
      <c r="AF255" t="n">
        <v>0.99</v>
      </c>
      <c r="AG255" t="inlineStr">
        <is>
          <t>Medium</t>
        </is>
      </c>
      <c r="AH255" t="inlineStr">
        <is>
          <t>On Track to Glide Path</t>
        </is>
      </c>
    </row>
    <row r="256">
      <c r="A256" t="inlineStr">
        <is>
          <t>SUP-0016</t>
        </is>
      </c>
      <c r="B256" t="inlineStr">
        <is>
          <t>Metals Supplier 016</t>
        </is>
      </c>
      <c r="C256" t="inlineStr">
        <is>
          <t>Metals</t>
        </is>
      </c>
      <c r="D256" t="n">
        <v>2024</v>
      </c>
      <c r="E256" t="n">
        <v>2018</v>
      </c>
      <c r="F256" t="n">
        <v>2040</v>
      </c>
      <c r="G256" t="inlineStr"/>
      <c r="H256" t="n">
        <v>2668.1832</v>
      </c>
      <c r="I256" t="n">
        <v>1561.6493</v>
      </c>
      <c r="J256" t="n">
        <v>10042.1493</v>
      </c>
      <c r="K256" t="n">
        <v>15066149.88</v>
      </c>
      <c r="L256" t="n">
        <v>44846003.77</v>
      </c>
      <c r="M256" t="n">
        <v>14271.9818</v>
      </c>
      <c r="N256" t="inlineStr">
        <is>
          <t>Scope 1 + Scope 2 + Scope 3</t>
        </is>
      </c>
      <c r="O256" t="b">
        <v>1</v>
      </c>
      <c r="P256" t="inlineStr">
        <is>
          <t>High</t>
        </is>
      </c>
      <c r="Q256" t="inlineStr">
        <is>
          <t>Reported_Emissions</t>
        </is>
      </c>
      <c r="R256" t="inlineStr">
        <is>
          <t>Valid</t>
        </is>
      </c>
      <c r="S256" t="n">
        <v>2039</v>
      </c>
      <c r="T256" t="inlineStr">
        <is>
          <t>Supplier Target Pathway</t>
        </is>
      </c>
      <c r="U256" t="n">
        <v>11796.9131</v>
      </c>
      <c r="V256" t="n">
        <v>8730.895399999999</v>
      </c>
      <c r="W256" t="n">
        <v>8870.2598</v>
      </c>
      <c r="X256" t="n">
        <v>8870.2598</v>
      </c>
      <c r="Y256" t="n">
        <v>2926.6533</v>
      </c>
      <c r="Z256" t="n">
        <v>0.00058875</v>
      </c>
      <c r="AA256" t="n">
        <v>0.248086</v>
      </c>
      <c r="AB256" t="n">
        <v>139.3644</v>
      </c>
      <c r="AC256" t="n">
        <v>139.3644</v>
      </c>
      <c r="AD256" t="n">
        <v>-7992.8374</v>
      </c>
      <c r="AE256" t="n">
        <v>147687.1638</v>
      </c>
      <c r="AF256" t="n">
        <v>0.99</v>
      </c>
      <c r="AG256" t="inlineStr">
        <is>
          <t>Medium</t>
        </is>
      </c>
      <c r="AH256" t="inlineStr">
        <is>
          <t>On Track to Glide Path</t>
        </is>
      </c>
    </row>
    <row r="257">
      <c r="A257" t="inlineStr">
        <is>
          <t>SUP-0016</t>
        </is>
      </c>
      <c r="B257" t="inlineStr">
        <is>
          <t>Metals Supplier 016</t>
        </is>
      </c>
      <c r="C257" t="inlineStr">
        <is>
          <t>Metals</t>
        </is>
      </c>
      <c r="D257" t="n">
        <v>2024</v>
      </c>
      <c r="E257" t="n">
        <v>2018</v>
      </c>
      <c r="F257" t="n">
        <v>2040</v>
      </c>
      <c r="G257" t="inlineStr"/>
      <c r="H257" t="n">
        <v>2668.1832</v>
      </c>
      <c r="I257" t="n">
        <v>1561.6493</v>
      </c>
      <c r="J257" t="n">
        <v>10042.1493</v>
      </c>
      <c r="K257" t="n">
        <v>15066149.88</v>
      </c>
      <c r="L257" t="n">
        <v>44846003.77</v>
      </c>
      <c r="M257" t="n">
        <v>14271.9818</v>
      </c>
      <c r="N257" t="inlineStr">
        <is>
          <t>Scope 1 + Scope 2 + Scope 3</t>
        </is>
      </c>
      <c r="O257" t="b">
        <v>1</v>
      </c>
      <c r="P257" t="inlineStr">
        <is>
          <t>High</t>
        </is>
      </c>
      <c r="Q257" t="inlineStr">
        <is>
          <t>Reported_Emissions</t>
        </is>
      </c>
      <c r="R257" t="inlineStr">
        <is>
          <t>Valid</t>
        </is>
      </c>
      <c r="S257" t="n">
        <v>2040</v>
      </c>
      <c r="T257" t="inlineStr">
        <is>
          <t>Supplier Target Pathway</t>
        </is>
      </c>
      <c r="U257" t="n">
        <v>11796.9131</v>
      </c>
      <c r="V257" t="n">
        <v>8730.895399999999</v>
      </c>
      <c r="W257" t="n">
        <v>8730.895399999999</v>
      </c>
      <c r="X257" t="n">
        <v>8730.895399999999</v>
      </c>
      <c r="Y257" t="n">
        <v>3066.0177</v>
      </c>
      <c r="Z257" t="n">
        <v>0.0005795</v>
      </c>
      <c r="AA257" t="n">
        <v>0.2599</v>
      </c>
      <c r="AB257" t="n">
        <v>0</v>
      </c>
      <c r="AC257" t="n">
        <v>139.3644</v>
      </c>
      <c r="AD257" t="n">
        <v>-16723.7328</v>
      </c>
      <c r="AE257" t="n">
        <v>156418.0592</v>
      </c>
      <c r="AF257" t="n">
        <v>0.99</v>
      </c>
      <c r="AG257" t="inlineStr">
        <is>
          <t>Low</t>
        </is>
      </c>
      <c r="AH257" t="inlineStr">
        <is>
          <t>On Track</t>
        </is>
      </c>
    </row>
    <row r="258">
      <c r="A258" t="inlineStr">
        <is>
          <t>SUP-0017</t>
        </is>
      </c>
      <c r="B258" t="inlineStr">
        <is>
          <t>Electronics Supplier 017</t>
        </is>
      </c>
      <c r="C258" t="inlineStr">
        <is>
          <t>Electronics</t>
        </is>
      </c>
      <c r="D258" t="n">
        <v>2024</v>
      </c>
      <c r="E258" t="n">
        <v>2020</v>
      </c>
      <c r="F258" t="n">
        <v>2035</v>
      </c>
      <c r="G258" t="n">
        <v>13125.3202</v>
      </c>
      <c r="H258" t="inlineStr"/>
      <c r="I258" t="inlineStr"/>
      <c r="J258" t="n">
        <v>9101.945900000001</v>
      </c>
      <c r="K258" t="n">
        <v>16073434.72</v>
      </c>
      <c r="L258" t="n">
        <v>43836752.72</v>
      </c>
      <c r="M258" t="n">
        <v>13125.3202</v>
      </c>
      <c r="N258" t="inlineStr">
        <is>
          <t>Supplier Reported Emissions</t>
        </is>
      </c>
      <c r="O258" t="b">
        <v>0</v>
      </c>
      <c r="P258" t="inlineStr">
        <is>
          <t>High</t>
        </is>
      </c>
      <c r="Q258" t="inlineStr">
        <is>
          <t>Scope_Emissions</t>
        </is>
      </c>
      <c r="R258" t="inlineStr">
        <is>
          <t>Valid</t>
        </is>
      </c>
      <c r="S258" t="n">
        <v>2025</v>
      </c>
      <c r="T258" t="inlineStr">
        <is>
          <t>Supplier Target Pathway</t>
        </is>
      </c>
      <c r="U258" t="n">
        <v>13961.8183</v>
      </c>
      <c r="V258" t="n">
        <v>5586.1235</v>
      </c>
      <c r="W258" t="n">
        <v>11169.92</v>
      </c>
      <c r="X258" t="n">
        <v>11169.92</v>
      </c>
      <c r="Y258" t="n">
        <v>2791.8983</v>
      </c>
      <c r="Z258" t="n">
        <v>0.00069493</v>
      </c>
      <c r="AA258" t="n">
        <v>0.199967</v>
      </c>
      <c r="AB258" t="n">
        <v>5583.7965</v>
      </c>
      <c r="AC258" t="n">
        <v>558.3797</v>
      </c>
      <c r="AD258" t="n">
        <v>50277.4385</v>
      </c>
      <c r="AE258" t="n">
        <v>11169.92</v>
      </c>
      <c r="AF258" t="n">
        <v>0.99</v>
      </c>
      <c r="AG258" t="inlineStr">
        <is>
          <t>Critical</t>
        </is>
      </c>
      <c r="AH258" t="inlineStr">
        <is>
          <t>On Track to Glide Path</t>
        </is>
      </c>
    </row>
    <row r="259">
      <c r="A259" t="inlineStr">
        <is>
          <t>SUP-0017</t>
        </is>
      </c>
      <c r="B259" t="inlineStr">
        <is>
          <t>Electronics Supplier 017</t>
        </is>
      </c>
      <c r="C259" t="inlineStr">
        <is>
          <t>Electronics</t>
        </is>
      </c>
      <c r="D259" t="n">
        <v>2024</v>
      </c>
      <c r="E259" t="n">
        <v>2020</v>
      </c>
      <c r="F259" t="n">
        <v>2035</v>
      </c>
      <c r="G259" t="n">
        <v>13125.3202</v>
      </c>
      <c r="H259" t="inlineStr"/>
      <c r="I259" t="inlineStr"/>
      <c r="J259" t="n">
        <v>9101.945900000001</v>
      </c>
      <c r="K259" t="n">
        <v>16073434.72</v>
      </c>
      <c r="L259" t="n">
        <v>43836752.72</v>
      </c>
      <c r="M259" t="n">
        <v>13125.3202</v>
      </c>
      <c r="N259" t="inlineStr">
        <is>
          <t>Supplier Reported Emissions</t>
        </is>
      </c>
      <c r="O259" t="b">
        <v>0</v>
      </c>
      <c r="P259" t="inlineStr">
        <is>
          <t>High</t>
        </is>
      </c>
      <c r="Q259" t="inlineStr">
        <is>
          <t>Scope_Emissions</t>
        </is>
      </c>
      <c r="R259" t="inlineStr">
        <is>
          <t>Valid</t>
        </is>
      </c>
      <c r="S259" t="n">
        <v>2026</v>
      </c>
      <c r="T259" t="inlineStr">
        <is>
          <t>Supplier Target Pathway</t>
        </is>
      </c>
      <c r="U259" t="n">
        <v>13961.8183</v>
      </c>
      <c r="V259" t="n">
        <v>5586.1235</v>
      </c>
      <c r="W259" t="n">
        <v>10611.5404</v>
      </c>
      <c r="X259" t="n">
        <v>10611.5404</v>
      </c>
      <c r="Y259" t="n">
        <v>3350.2779</v>
      </c>
      <c r="Z259" t="n">
        <v>0.00066019</v>
      </c>
      <c r="AA259" t="n">
        <v>0.23996</v>
      </c>
      <c r="AB259" t="n">
        <v>5025.4169</v>
      </c>
      <c r="AC259" t="n">
        <v>558.3797</v>
      </c>
      <c r="AD259" t="n">
        <v>39665.8981</v>
      </c>
      <c r="AE259" t="n">
        <v>21781.4604</v>
      </c>
      <c r="AF259" t="n">
        <v>0.99</v>
      </c>
      <c r="AG259" t="inlineStr">
        <is>
          <t>Critical</t>
        </is>
      </c>
      <c r="AH259" t="inlineStr">
        <is>
          <t>On Track to Glide Path</t>
        </is>
      </c>
    </row>
    <row r="260">
      <c r="A260" t="inlineStr">
        <is>
          <t>SUP-0017</t>
        </is>
      </c>
      <c r="B260" t="inlineStr">
        <is>
          <t>Electronics Supplier 017</t>
        </is>
      </c>
      <c r="C260" t="inlineStr">
        <is>
          <t>Electronics</t>
        </is>
      </c>
      <c r="D260" t="n">
        <v>2024</v>
      </c>
      <c r="E260" t="n">
        <v>2020</v>
      </c>
      <c r="F260" t="n">
        <v>2035</v>
      </c>
      <c r="G260" t="n">
        <v>13125.3202</v>
      </c>
      <c r="H260" t="inlineStr"/>
      <c r="I260" t="inlineStr"/>
      <c r="J260" t="n">
        <v>9101.945900000001</v>
      </c>
      <c r="K260" t="n">
        <v>16073434.72</v>
      </c>
      <c r="L260" t="n">
        <v>43836752.72</v>
      </c>
      <c r="M260" t="n">
        <v>13125.3202</v>
      </c>
      <c r="N260" t="inlineStr">
        <is>
          <t>Supplier Reported Emissions</t>
        </is>
      </c>
      <c r="O260" t="b">
        <v>0</v>
      </c>
      <c r="P260" t="inlineStr">
        <is>
          <t>High</t>
        </is>
      </c>
      <c r="Q260" t="inlineStr">
        <is>
          <t>Scope_Emissions</t>
        </is>
      </c>
      <c r="R260" t="inlineStr">
        <is>
          <t>Valid</t>
        </is>
      </c>
      <c r="S260" t="n">
        <v>2027</v>
      </c>
      <c r="T260" t="inlineStr">
        <is>
          <t>Supplier Target Pathway</t>
        </is>
      </c>
      <c r="U260" t="n">
        <v>13961.8183</v>
      </c>
      <c r="V260" t="n">
        <v>5586.1235</v>
      </c>
      <c r="W260" t="n">
        <v>10053.1607</v>
      </c>
      <c r="X260" t="n">
        <v>10053.1607</v>
      </c>
      <c r="Y260" t="n">
        <v>3908.6576</v>
      </c>
      <c r="Z260" t="n">
        <v>0.0006254500000000001</v>
      </c>
      <c r="AA260" t="n">
        <v>0.279953</v>
      </c>
      <c r="AB260" t="n">
        <v>4467.0372</v>
      </c>
      <c r="AC260" t="n">
        <v>558.3797</v>
      </c>
      <c r="AD260" t="n">
        <v>29612.7374</v>
      </c>
      <c r="AE260" t="n">
        <v>31834.6211</v>
      </c>
      <c r="AF260" t="n">
        <v>0.99</v>
      </c>
      <c r="AG260" t="inlineStr">
        <is>
          <t>Critical</t>
        </is>
      </c>
      <c r="AH260" t="inlineStr">
        <is>
          <t>On Track to Glide Path</t>
        </is>
      </c>
    </row>
    <row r="261">
      <c r="A261" t="inlineStr">
        <is>
          <t>SUP-0017</t>
        </is>
      </c>
      <c r="B261" t="inlineStr">
        <is>
          <t>Electronics Supplier 017</t>
        </is>
      </c>
      <c r="C261" t="inlineStr">
        <is>
          <t>Electronics</t>
        </is>
      </c>
      <c r="D261" t="n">
        <v>2024</v>
      </c>
      <c r="E261" t="n">
        <v>2020</v>
      </c>
      <c r="F261" t="n">
        <v>2035</v>
      </c>
      <c r="G261" t="n">
        <v>13125.3202</v>
      </c>
      <c r="H261" t="inlineStr"/>
      <c r="I261" t="inlineStr"/>
      <c r="J261" t="n">
        <v>9101.945900000001</v>
      </c>
      <c r="K261" t="n">
        <v>16073434.72</v>
      </c>
      <c r="L261" t="n">
        <v>43836752.72</v>
      </c>
      <c r="M261" t="n">
        <v>13125.3202</v>
      </c>
      <c r="N261" t="inlineStr">
        <is>
          <t>Supplier Reported Emissions</t>
        </is>
      </c>
      <c r="O261" t="b">
        <v>0</v>
      </c>
      <c r="P261" t="inlineStr">
        <is>
          <t>High</t>
        </is>
      </c>
      <c r="Q261" t="inlineStr">
        <is>
          <t>Scope_Emissions</t>
        </is>
      </c>
      <c r="R261" t="inlineStr">
        <is>
          <t>Valid</t>
        </is>
      </c>
      <c r="S261" t="n">
        <v>2028</v>
      </c>
      <c r="T261" t="inlineStr">
        <is>
          <t>Supplier Target Pathway</t>
        </is>
      </c>
      <c r="U261" t="n">
        <v>13961.8183</v>
      </c>
      <c r="V261" t="n">
        <v>5586.1235</v>
      </c>
      <c r="W261" t="n">
        <v>9494.7811</v>
      </c>
      <c r="X261" t="n">
        <v>9494.7811</v>
      </c>
      <c r="Y261" t="n">
        <v>4467.0372</v>
      </c>
      <c r="Z261" t="n">
        <v>0.00059071</v>
      </c>
      <c r="AA261" t="n">
        <v>0.319947</v>
      </c>
      <c r="AB261" t="n">
        <v>3908.6576</v>
      </c>
      <c r="AC261" t="n">
        <v>558.3797</v>
      </c>
      <c r="AD261" t="n">
        <v>20117.9563</v>
      </c>
      <c r="AE261" t="n">
        <v>41329.4022</v>
      </c>
      <c r="AF261" t="n">
        <v>0.99</v>
      </c>
      <c r="AG261" t="inlineStr">
        <is>
          <t>Critical</t>
        </is>
      </c>
      <c r="AH261" t="inlineStr">
        <is>
          <t>On Track to Glide Path</t>
        </is>
      </c>
    </row>
    <row r="262">
      <c r="A262" t="inlineStr">
        <is>
          <t>SUP-0017</t>
        </is>
      </c>
      <c r="B262" t="inlineStr">
        <is>
          <t>Electronics Supplier 017</t>
        </is>
      </c>
      <c r="C262" t="inlineStr">
        <is>
          <t>Electronics</t>
        </is>
      </c>
      <c r="D262" t="n">
        <v>2024</v>
      </c>
      <c r="E262" t="n">
        <v>2020</v>
      </c>
      <c r="F262" t="n">
        <v>2035</v>
      </c>
      <c r="G262" t="n">
        <v>13125.3202</v>
      </c>
      <c r="H262" t="inlineStr"/>
      <c r="I262" t="inlineStr"/>
      <c r="J262" t="n">
        <v>9101.945900000001</v>
      </c>
      <c r="K262" t="n">
        <v>16073434.72</v>
      </c>
      <c r="L262" t="n">
        <v>43836752.72</v>
      </c>
      <c r="M262" t="n">
        <v>13125.3202</v>
      </c>
      <c r="N262" t="inlineStr">
        <is>
          <t>Supplier Reported Emissions</t>
        </is>
      </c>
      <c r="O262" t="b">
        <v>0</v>
      </c>
      <c r="P262" t="inlineStr">
        <is>
          <t>High</t>
        </is>
      </c>
      <c r="Q262" t="inlineStr">
        <is>
          <t>Scope_Emissions</t>
        </is>
      </c>
      <c r="R262" t="inlineStr">
        <is>
          <t>Valid</t>
        </is>
      </c>
      <c r="S262" t="n">
        <v>2029</v>
      </c>
      <c r="T262" t="inlineStr">
        <is>
          <t>Supplier Target Pathway</t>
        </is>
      </c>
      <c r="U262" t="n">
        <v>13961.8183</v>
      </c>
      <c r="V262" t="n">
        <v>5586.1235</v>
      </c>
      <c r="W262" t="n">
        <v>8936.401400000001</v>
      </c>
      <c r="X262" t="n">
        <v>8936.401400000001</v>
      </c>
      <c r="Y262" t="n">
        <v>5025.4169</v>
      </c>
      <c r="Z262" t="n">
        <v>0.00055597</v>
      </c>
      <c r="AA262" t="n">
        <v>0.35994</v>
      </c>
      <c r="AB262" t="n">
        <v>3350.2779</v>
      </c>
      <c r="AC262" t="n">
        <v>558.3797</v>
      </c>
      <c r="AD262" t="n">
        <v>11181.5549</v>
      </c>
      <c r="AE262" t="n">
        <v>50265.8036</v>
      </c>
      <c r="AF262" t="n">
        <v>0.99</v>
      </c>
      <c r="AG262" t="inlineStr">
        <is>
          <t>Critical</t>
        </is>
      </c>
      <c r="AH262" t="inlineStr">
        <is>
          <t>On Track to Glide Path</t>
        </is>
      </c>
    </row>
    <row r="263">
      <c r="A263" t="inlineStr">
        <is>
          <t>SUP-0017</t>
        </is>
      </c>
      <c r="B263" t="inlineStr">
        <is>
          <t>Electronics Supplier 017</t>
        </is>
      </c>
      <c r="C263" t="inlineStr">
        <is>
          <t>Electronics</t>
        </is>
      </c>
      <c r="D263" t="n">
        <v>2024</v>
      </c>
      <c r="E263" t="n">
        <v>2020</v>
      </c>
      <c r="F263" t="n">
        <v>2035</v>
      </c>
      <c r="G263" t="n">
        <v>13125.3202</v>
      </c>
      <c r="H263" t="inlineStr"/>
      <c r="I263" t="inlineStr"/>
      <c r="J263" t="n">
        <v>9101.945900000001</v>
      </c>
      <c r="K263" t="n">
        <v>16073434.72</v>
      </c>
      <c r="L263" t="n">
        <v>43836752.72</v>
      </c>
      <c r="M263" t="n">
        <v>13125.3202</v>
      </c>
      <c r="N263" t="inlineStr">
        <is>
          <t>Supplier Reported Emissions</t>
        </is>
      </c>
      <c r="O263" t="b">
        <v>0</v>
      </c>
      <c r="P263" t="inlineStr">
        <is>
          <t>High</t>
        </is>
      </c>
      <c r="Q263" t="inlineStr">
        <is>
          <t>Scope_Emissions</t>
        </is>
      </c>
      <c r="R263" t="inlineStr">
        <is>
          <t>Valid</t>
        </is>
      </c>
      <c r="S263" t="n">
        <v>2030</v>
      </c>
      <c r="T263" t="inlineStr">
        <is>
          <t>Supplier Target Pathway</t>
        </is>
      </c>
      <c r="U263" t="n">
        <v>13961.8183</v>
      </c>
      <c r="V263" t="n">
        <v>5586.1235</v>
      </c>
      <c r="W263" t="n">
        <v>8378.0218</v>
      </c>
      <c r="X263" t="n">
        <v>8378.0218</v>
      </c>
      <c r="Y263" t="n">
        <v>5583.7965</v>
      </c>
      <c r="Z263" t="n">
        <v>0.00052123</v>
      </c>
      <c r="AA263" t="n">
        <v>0.399933</v>
      </c>
      <c r="AB263" t="n">
        <v>2791.8983</v>
      </c>
      <c r="AC263" t="n">
        <v>558.3797</v>
      </c>
      <c r="AD263" t="n">
        <v>2803.5331</v>
      </c>
      <c r="AE263" t="n">
        <v>58643.8254</v>
      </c>
      <c r="AF263" t="n">
        <v>0.99</v>
      </c>
      <c r="AG263" t="inlineStr">
        <is>
          <t>Critical</t>
        </is>
      </c>
      <c r="AH263" t="inlineStr">
        <is>
          <t>On Track to Glide Path</t>
        </is>
      </c>
    </row>
    <row r="264">
      <c r="A264" t="inlineStr">
        <is>
          <t>SUP-0017</t>
        </is>
      </c>
      <c r="B264" t="inlineStr">
        <is>
          <t>Electronics Supplier 017</t>
        </is>
      </c>
      <c r="C264" t="inlineStr">
        <is>
          <t>Electronics</t>
        </is>
      </c>
      <c r="D264" t="n">
        <v>2024</v>
      </c>
      <c r="E264" t="n">
        <v>2020</v>
      </c>
      <c r="F264" t="n">
        <v>2035</v>
      </c>
      <c r="G264" t="n">
        <v>13125.3202</v>
      </c>
      <c r="H264" t="inlineStr"/>
      <c r="I264" t="inlineStr"/>
      <c r="J264" t="n">
        <v>9101.945900000001</v>
      </c>
      <c r="K264" t="n">
        <v>16073434.72</v>
      </c>
      <c r="L264" t="n">
        <v>43836752.72</v>
      </c>
      <c r="M264" t="n">
        <v>13125.3202</v>
      </c>
      <c r="N264" t="inlineStr">
        <is>
          <t>Supplier Reported Emissions</t>
        </is>
      </c>
      <c r="O264" t="b">
        <v>0</v>
      </c>
      <c r="P264" t="inlineStr">
        <is>
          <t>High</t>
        </is>
      </c>
      <c r="Q264" t="inlineStr">
        <is>
          <t>Scope_Emissions</t>
        </is>
      </c>
      <c r="R264" t="inlineStr">
        <is>
          <t>Valid</t>
        </is>
      </c>
      <c r="S264" t="n">
        <v>2031</v>
      </c>
      <c r="T264" t="inlineStr">
        <is>
          <t>Supplier Target Pathway</t>
        </is>
      </c>
      <c r="U264" t="n">
        <v>13961.8183</v>
      </c>
      <c r="V264" t="n">
        <v>5586.1235</v>
      </c>
      <c r="W264" t="n">
        <v>7819.6421</v>
      </c>
      <c r="X264" t="n">
        <v>7819.6421</v>
      </c>
      <c r="Y264" t="n">
        <v>6142.1762</v>
      </c>
      <c r="Z264" t="n">
        <v>0.00048649</v>
      </c>
      <c r="AA264" t="n">
        <v>0.439927</v>
      </c>
      <c r="AB264" t="n">
        <v>2233.5186</v>
      </c>
      <c r="AC264" t="n">
        <v>558.3797</v>
      </c>
      <c r="AD264" t="n">
        <v>-5016.109</v>
      </c>
      <c r="AE264" t="n">
        <v>66463.4675</v>
      </c>
      <c r="AF264" t="n">
        <v>0.99</v>
      </c>
      <c r="AG264" t="inlineStr">
        <is>
          <t>Critical</t>
        </is>
      </c>
      <c r="AH264" t="inlineStr">
        <is>
          <t>On Track to Glide Path</t>
        </is>
      </c>
    </row>
    <row r="265">
      <c r="A265" t="inlineStr">
        <is>
          <t>SUP-0017</t>
        </is>
      </c>
      <c r="B265" t="inlineStr">
        <is>
          <t>Electronics Supplier 017</t>
        </is>
      </c>
      <c r="C265" t="inlineStr">
        <is>
          <t>Electronics</t>
        </is>
      </c>
      <c r="D265" t="n">
        <v>2024</v>
      </c>
      <c r="E265" t="n">
        <v>2020</v>
      </c>
      <c r="F265" t="n">
        <v>2035</v>
      </c>
      <c r="G265" t="n">
        <v>13125.3202</v>
      </c>
      <c r="H265" t="inlineStr"/>
      <c r="I265" t="inlineStr"/>
      <c r="J265" t="n">
        <v>9101.945900000001</v>
      </c>
      <c r="K265" t="n">
        <v>16073434.72</v>
      </c>
      <c r="L265" t="n">
        <v>43836752.72</v>
      </c>
      <c r="M265" t="n">
        <v>13125.3202</v>
      </c>
      <c r="N265" t="inlineStr">
        <is>
          <t>Supplier Reported Emissions</t>
        </is>
      </c>
      <c r="O265" t="b">
        <v>0</v>
      </c>
      <c r="P265" t="inlineStr">
        <is>
          <t>High</t>
        </is>
      </c>
      <c r="Q265" t="inlineStr">
        <is>
          <t>Scope_Emissions</t>
        </is>
      </c>
      <c r="R265" t="inlineStr">
        <is>
          <t>Valid</t>
        </is>
      </c>
      <c r="S265" t="n">
        <v>2032</v>
      </c>
      <c r="T265" t="inlineStr">
        <is>
          <t>Supplier Target Pathway</t>
        </is>
      </c>
      <c r="U265" t="n">
        <v>13961.8183</v>
      </c>
      <c r="V265" t="n">
        <v>5586.1235</v>
      </c>
      <c r="W265" t="n">
        <v>7261.2625</v>
      </c>
      <c r="X265" t="n">
        <v>7261.2625</v>
      </c>
      <c r="Y265" t="n">
        <v>6700.5558</v>
      </c>
      <c r="Z265" t="n">
        <v>0.00045176</v>
      </c>
      <c r="AA265" t="n">
        <v>0.47992</v>
      </c>
      <c r="AB265" t="n">
        <v>1675.139</v>
      </c>
      <c r="AC265" t="n">
        <v>558.3797</v>
      </c>
      <c r="AD265" t="n">
        <v>-12277.3715</v>
      </c>
      <c r="AE265" t="n">
        <v>73724.73</v>
      </c>
      <c r="AF265" t="n">
        <v>0.99</v>
      </c>
      <c r="AG265" t="inlineStr">
        <is>
          <t>High</t>
        </is>
      </c>
      <c r="AH265" t="inlineStr">
        <is>
          <t>On Track to Glide Path</t>
        </is>
      </c>
    </row>
    <row r="266">
      <c r="A266" t="inlineStr">
        <is>
          <t>SUP-0017</t>
        </is>
      </c>
      <c r="B266" t="inlineStr">
        <is>
          <t>Electronics Supplier 017</t>
        </is>
      </c>
      <c r="C266" t="inlineStr">
        <is>
          <t>Electronics</t>
        </is>
      </c>
      <c r="D266" t="n">
        <v>2024</v>
      </c>
      <c r="E266" t="n">
        <v>2020</v>
      </c>
      <c r="F266" t="n">
        <v>2035</v>
      </c>
      <c r="G266" t="n">
        <v>13125.3202</v>
      </c>
      <c r="H266" t="inlineStr"/>
      <c r="I266" t="inlineStr"/>
      <c r="J266" t="n">
        <v>9101.945900000001</v>
      </c>
      <c r="K266" t="n">
        <v>16073434.72</v>
      </c>
      <c r="L266" t="n">
        <v>43836752.72</v>
      </c>
      <c r="M266" t="n">
        <v>13125.3202</v>
      </c>
      <c r="N266" t="inlineStr">
        <is>
          <t>Supplier Reported Emissions</t>
        </is>
      </c>
      <c r="O266" t="b">
        <v>0</v>
      </c>
      <c r="P266" t="inlineStr">
        <is>
          <t>High</t>
        </is>
      </c>
      <c r="Q266" t="inlineStr">
        <is>
          <t>Scope_Emissions</t>
        </is>
      </c>
      <c r="R266" t="inlineStr">
        <is>
          <t>Valid</t>
        </is>
      </c>
      <c r="S266" t="n">
        <v>2033</v>
      </c>
      <c r="T266" t="inlineStr">
        <is>
          <t>Supplier Target Pathway</t>
        </is>
      </c>
      <c r="U266" t="n">
        <v>13961.8183</v>
      </c>
      <c r="V266" t="n">
        <v>5586.1235</v>
      </c>
      <c r="W266" t="n">
        <v>6702.8828</v>
      </c>
      <c r="X266" t="n">
        <v>6702.8828</v>
      </c>
      <c r="Y266" t="n">
        <v>7258.9355</v>
      </c>
      <c r="Z266" t="n">
        <v>0.00041702</v>
      </c>
      <c r="AA266" t="n">
        <v>0.519913</v>
      </c>
      <c r="AB266" t="n">
        <v>1116.7593</v>
      </c>
      <c r="AC266" t="n">
        <v>558.3797</v>
      </c>
      <c r="AD266" t="n">
        <v>-18980.2543</v>
      </c>
      <c r="AE266" t="n">
        <v>80427.6128</v>
      </c>
      <c r="AF266" t="n">
        <v>0.99</v>
      </c>
      <c r="AG266" t="inlineStr">
        <is>
          <t>High</t>
        </is>
      </c>
      <c r="AH266" t="inlineStr">
        <is>
          <t>On Track to Glide Path</t>
        </is>
      </c>
    </row>
    <row r="267">
      <c r="A267" t="inlineStr">
        <is>
          <t>SUP-0017</t>
        </is>
      </c>
      <c r="B267" t="inlineStr">
        <is>
          <t>Electronics Supplier 017</t>
        </is>
      </c>
      <c r="C267" t="inlineStr">
        <is>
          <t>Electronics</t>
        </is>
      </c>
      <c r="D267" t="n">
        <v>2024</v>
      </c>
      <c r="E267" t="n">
        <v>2020</v>
      </c>
      <c r="F267" t="n">
        <v>2035</v>
      </c>
      <c r="G267" t="n">
        <v>13125.3202</v>
      </c>
      <c r="H267" t="inlineStr"/>
      <c r="I267" t="inlineStr"/>
      <c r="J267" t="n">
        <v>9101.945900000001</v>
      </c>
      <c r="K267" t="n">
        <v>16073434.72</v>
      </c>
      <c r="L267" t="n">
        <v>43836752.72</v>
      </c>
      <c r="M267" t="n">
        <v>13125.3202</v>
      </c>
      <c r="N267" t="inlineStr">
        <is>
          <t>Supplier Reported Emissions</t>
        </is>
      </c>
      <c r="O267" t="b">
        <v>0</v>
      </c>
      <c r="P267" t="inlineStr">
        <is>
          <t>High</t>
        </is>
      </c>
      <c r="Q267" t="inlineStr">
        <is>
          <t>Scope_Emissions</t>
        </is>
      </c>
      <c r="R267" t="inlineStr">
        <is>
          <t>Valid</t>
        </is>
      </c>
      <c r="S267" t="n">
        <v>2034</v>
      </c>
      <c r="T267" t="inlineStr">
        <is>
          <t>Supplier Target Pathway</t>
        </is>
      </c>
      <c r="U267" t="n">
        <v>13961.8183</v>
      </c>
      <c r="V267" t="n">
        <v>5586.1235</v>
      </c>
      <c r="W267" t="n">
        <v>6144.5032</v>
      </c>
      <c r="X267" t="n">
        <v>6144.5032</v>
      </c>
      <c r="Y267" t="n">
        <v>7817.3151</v>
      </c>
      <c r="Z267" t="n">
        <v>0.00038228</v>
      </c>
      <c r="AA267" t="n">
        <v>0.559907</v>
      </c>
      <c r="AB267" t="n">
        <v>558.3797</v>
      </c>
      <c r="AC267" t="n">
        <v>558.3797</v>
      </c>
      <c r="AD267" t="n">
        <v>-25124.7575</v>
      </c>
      <c r="AE267" t="n">
        <v>86572.11599999999</v>
      </c>
      <c r="AF267" t="n">
        <v>0.99</v>
      </c>
      <c r="AG267" t="inlineStr">
        <is>
          <t>Medium</t>
        </is>
      </c>
      <c r="AH267" t="inlineStr">
        <is>
          <t>On Track to Glide Path</t>
        </is>
      </c>
    </row>
    <row r="268">
      <c r="A268" t="inlineStr">
        <is>
          <t>SUP-0017</t>
        </is>
      </c>
      <c r="B268" t="inlineStr">
        <is>
          <t>Electronics Supplier 017</t>
        </is>
      </c>
      <c r="C268" t="inlineStr">
        <is>
          <t>Electronics</t>
        </is>
      </c>
      <c r="D268" t="n">
        <v>2024</v>
      </c>
      <c r="E268" t="n">
        <v>2020</v>
      </c>
      <c r="F268" t="n">
        <v>2035</v>
      </c>
      <c r="G268" t="n">
        <v>13125.3202</v>
      </c>
      <c r="H268" t="inlineStr"/>
      <c r="I268" t="inlineStr"/>
      <c r="J268" t="n">
        <v>9101.945900000001</v>
      </c>
      <c r="K268" t="n">
        <v>16073434.72</v>
      </c>
      <c r="L268" t="n">
        <v>43836752.72</v>
      </c>
      <c r="M268" t="n">
        <v>13125.3202</v>
      </c>
      <c r="N268" t="inlineStr">
        <is>
          <t>Supplier Reported Emissions</t>
        </is>
      </c>
      <c r="O268" t="b">
        <v>0</v>
      </c>
      <c r="P268" t="inlineStr">
        <is>
          <t>High</t>
        </is>
      </c>
      <c r="Q268" t="inlineStr">
        <is>
          <t>Scope_Emissions</t>
        </is>
      </c>
      <c r="R268" t="inlineStr">
        <is>
          <t>Valid</t>
        </is>
      </c>
      <c r="S268" t="n">
        <v>2035</v>
      </c>
      <c r="T268" t="inlineStr">
        <is>
          <t>Supplier Target Pathway</t>
        </is>
      </c>
      <c r="U268" t="n">
        <v>13961.8183</v>
      </c>
      <c r="V268" t="n">
        <v>5586.1235</v>
      </c>
      <c r="W268" t="n">
        <v>5586.1235</v>
      </c>
      <c r="X268" t="n">
        <v>5586.1235</v>
      </c>
      <c r="Y268" t="n">
        <v>8375.694799999999</v>
      </c>
      <c r="Z268" t="n">
        <v>0.00034754</v>
      </c>
      <c r="AA268" t="n">
        <v>0.5999</v>
      </c>
      <c r="AB268" t="n">
        <v>0</v>
      </c>
      <c r="AC268" t="n">
        <v>558.3797</v>
      </c>
      <c r="AD268" t="n">
        <v>-30710.881</v>
      </c>
      <c r="AE268" t="n">
        <v>92158.2395</v>
      </c>
      <c r="AF268" t="n">
        <v>0.99</v>
      </c>
      <c r="AG268" t="inlineStr">
        <is>
          <t>Low</t>
        </is>
      </c>
      <c r="AH268" t="inlineStr">
        <is>
          <t>On Track</t>
        </is>
      </c>
    </row>
    <row r="269">
      <c r="A269" t="inlineStr">
        <is>
          <t>SUP-0017</t>
        </is>
      </c>
      <c r="B269" t="inlineStr">
        <is>
          <t>Electronics Supplier 017</t>
        </is>
      </c>
      <c r="C269" t="inlineStr">
        <is>
          <t>Electronics</t>
        </is>
      </c>
      <c r="D269" t="n">
        <v>2024</v>
      </c>
      <c r="E269" t="n">
        <v>2020</v>
      </c>
      <c r="F269" t="n">
        <v>2035</v>
      </c>
      <c r="G269" t="n">
        <v>13125.3202</v>
      </c>
      <c r="H269" t="inlineStr"/>
      <c r="I269" t="inlineStr"/>
      <c r="J269" t="n">
        <v>9101.945900000001</v>
      </c>
      <c r="K269" t="n">
        <v>16073434.72</v>
      </c>
      <c r="L269" t="n">
        <v>43836752.72</v>
      </c>
      <c r="M269" t="n">
        <v>13125.3202</v>
      </c>
      <c r="N269" t="inlineStr">
        <is>
          <t>Supplier Reported Emissions</t>
        </is>
      </c>
      <c r="O269" t="b">
        <v>0</v>
      </c>
      <c r="P269" t="inlineStr">
        <is>
          <t>High</t>
        </is>
      </c>
      <c r="Q269" t="inlineStr">
        <is>
          <t>Scope_Emissions</t>
        </is>
      </c>
      <c r="R269" t="inlineStr">
        <is>
          <t>Valid</t>
        </is>
      </c>
      <c r="S269" t="n">
        <v>2036</v>
      </c>
      <c r="T269" t="inlineStr">
        <is>
          <t>Supplier Target Pathway</t>
        </is>
      </c>
      <c r="U269" t="n">
        <v>13961.8183</v>
      </c>
      <c r="V269" t="n">
        <v>5586.1235</v>
      </c>
      <c r="W269" t="n">
        <v>5586.1235</v>
      </c>
      <c r="X269" t="n">
        <v>5586.1235</v>
      </c>
      <c r="Y269" t="n">
        <v>8375.694799999999</v>
      </c>
      <c r="Z269" t="n">
        <v>0.00034754</v>
      </c>
      <c r="AA269" t="n">
        <v>0.5999</v>
      </c>
      <c r="AB269" t="n">
        <v>0</v>
      </c>
      <c r="AC269" t="n">
        <v>558.3797</v>
      </c>
      <c r="AD269" t="n">
        <v>-36297.0045</v>
      </c>
      <c r="AE269" t="n">
        <v>97744.363</v>
      </c>
      <c r="AF269" t="n">
        <v>0.99</v>
      </c>
      <c r="AG269" t="inlineStr">
        <is>
          <t>Low</t>
        </is>
      </c>
      <c r="AH269" t="inlineStr">
        <is>
          <t>On Track</t>
        </is>
      </c>
    </row>
    <row r="270">
      <c r="A270" t="inlineStr">
        <is>
          <t>SUP-0017</t>
        </is>
      </c>
      <c r="B270" t="inlineStr">
        <is>
          <t>Electronics Supplier 017</t>
        </is>
      </c>
      <c r="C270" t="inlineStr">
        <is>
          <t>Electronics</t>
        </is>
      </c>
      <c r="D270" t="n">
        <v>2024</v>
      </c>
      <c r="E270" t="n">
        <v>2020</v>
      </c>
      <c r="F270" t="n">
        <v>2035</v>
      </c>
      <c r="G270" t="n">
        <v>13125.3202</v>
      </c>
      <c r="H270" t="inlineStr"/>
      <c r="I270" t="inlineStr"/>
      <c r="J270" t="n">
        <v>9101.945900000001</v>
      </c>
      <c r="K270" t="n">
        <v>16073434.72</v>
      </c>
      <c r="L270" t="n">
        <v>43836752.72</v>
      </c>
      <c r="M270" t="n">
        <v>13125.3202</v>
      </c>
      <c r="N270" t="inlineStr">
        <is>
          <t>Supplier Reported Emissions</t>
        </is>
      </c>
      <c r="O270" t="b">
        <v>0</v>
      </c>
      <c r="P270" t="inlineStr">
        <is>
          <t>High</t>
        </is>
      </c>
      <c r="Q270" t="inlineStr">
        <is>
          <t>Scope_Emissions</t>
        </is>
      </c>
      <c r="R270" t="inlineStr">
        <is>
          <t>Valid</t>
        </is>
      </c>
      <c r="S270" t="n">
        <v>2037</v>
      </c>
      <c r="T270" t="inlineStr">
        <is>
          <t>Supplier Target Pathway</t>
        </is>
      </c>
      <c r="U270" t="n">
        <v>13961.8183</v>
      </c>
      <c r="V270" t="n">
        <v>5586.1235</v>
      </c>
      <c r="W270" t="n">
        <v>5586.1235</v>
      </c>
      <c r="X270" t="n">
        <v>5586.1235</v>
      </c>
      <c r="Y270" t="n">
        <v>8375.694799999999</v>
      </c>
      <c r="Z270" t="n">
        <v>0.00034754</v>
      </c>
      <c r="AA270" t="n">
        <v>0.5999</v>
      </c>
      <c r="AB270" t="n">
        <v>0</v>
      </c>
      <c r="AC270" t="n">
        <v>558.3797</v>
      </c>
      <c r="AD270" t="n">
        <v>-41883.128</v>
      </c>
      <c r="AE270" t="n">
        <v>103330.4865</v>
      </c>
      <c r="AF270" t="n">
        <v>0.99</v>
      </c>
      <c r="AG270" t="inlineStr">
        <is>
          <t>Low</t>
        </is>
      </c>
      <c r="AH270" t="inlineStr">
        <is>
          <t>On Track</t>
        </is>
      </c>
    </row>
    <row r="271">
      <c r="A271" t="inlineStr">
        <is>
          <t>SUP-0017</t>
        </is>
      </c>
      <c r="B271" t="inlineStr">
        <is>
          <t>Electronics Supplier 017</t>
        </is>
      </c>
      <c r="C271" t="inlineStr">
        <is>
          <t>Electronics</t>
        </is>
      </c>
      <c r="D271" t="n">
        <v>2024</v>
      </c>
      <c r="E271" t="n">
        <v>2020</v>
      </c>
      <c r="F271" t="n">
        <v>2035</v>
      </c>
      <c r="G271" t="n">
        <v>13125.3202</v>
      </c>
      <c r="H271" t="inlineStr"/>
      <c r="I271" t="inlineStr"/>
      <c r="J271" t="n">
        <v>9101.945900000001</v>
      </c>
      <c r="K271" t="n">
        <v>16073434.72</v>
      </c>
      <c r="L271" t="n">
        <v>43836752.72</v>
      </c>
      <c r="M271" t="n">
        <v>13125.3202</v>
      </c>
      <c r="N271" t="inlineStr">
        <is>
          <t>Supplier Reported Emissions</t>
        </is>
      </c>
      <c r="O271" t="b">
        <v>0</v>
      </c>
      <c r="P271" t="inlineStr">
        <is>
          <t>High</t>
        </is>
      </c>
      <c r="Q271" t="inlineStr">
        <is>
          <t>Scope_Emissions</t>
        </is>
      </c>
      <c r="R271" t="inlineStr">
        <is>
          <t>Valid</t>
        </is>
      </c>
      <c r="S271" t="n">
        <v>2038</v>
      </c>
      <c r="T271" t="inlineStr">
        <is>
          <t>Supplier Target Pathway</t>
        </is>
      </c>
      <c r="U271" t="n">
        <v>13961.8183</v>
      </c>
      <c r="V271" t="n">
        <v>5586.1235</v>
      </c>
      <c r="W271" t="n">
        <v>5586.1235</v>
      </c>
      <c r="X271" t="n">
        <v>5586.1235</v>
      </c>
      <c r="Y271" t="n">
        <v>8375.694799999999</v>
      </c>
      <c r="Z271" t="n">
        <v>0.00034754</v>
      </c>
      <c r="AA271" t="n">
        <v>0.5999</v>
      </c>
      <c r="AB271" t="n">
        <v>0</v>
      </c>
      <c r="AC271" t="n">
        <v>558.3797</v>
      </c>
      <c r="AD271" t="n">
        <v>-47469.2515</v>
      </c>
      <c r="AE271" t="n">
        <v>108916.61</v>
      </c>
      <c r="AF271" t="n">
        <v>0.99</v>
      </c>
      <c r="AG271" t="inlineStr">
        <is>
          <t>Low</t>
        </is>
      </c>
      <c r="AH271" t="inlineStr">
        <is>
          <t>On Track</t>
        </is>
      </c>
    </row>
    <row r="272">
      <c r="A272" t="inlineStr">
        <is>
          <t>SUP-0017</t>
        </is>
      </c>
      <c r="B272" t="inlineStr">
        <is>
          <t>Electronics Supplier 017</t>
        </is>
      </c>
      <c r="C272" t="inlineStr">
        <is>
          <t>Electronics</t>
        </is>
      </c>
      <c r="D272" t="n">
        <v>2024</v>
      </c>
      <c r="E272" t="n">
        <v>2020</v>
      </c>
      <c r="F272" t="n">
        <v>2035</v>
      </c>
      <c r="G272" t="n">
        <v>13125.3202</v>
      </c>
      <c r="H272" t="inlineStr"/>
      <c r="I272" t="inlineStr"/>
      <c r="J272" t="n">
        <v>9101.945900000001</v>
      </c>
      <c r="K272" t="n">
        <v>16073434.72</v>
      </c>
      <c r="L272" t="n">
        <v>43836752.72</v>
      </c>
      <c r="M272" t="n">
        <v>13125.3202</v>
      </c>
      <c r="N272" t="inlineStr">
        <is>
          <t>Supplier Reported Emissions</t>
        </is>
      </c>
      <c r="O272" t="b">
        <v>0</v>
      </c>
      <c r="P272" t="inlineStr">
        <is>
          <t>High</t>
        </is>
      </c>
      <c r="Q272" t="inlineStr">
        <is>
          <t>Scope_Emissions</t>
        </is>
      </c>
      <c r="R272" t="inlineStr">
        <is>
          <t>Valid</t>
        </is>
      </c>
      <c r="S272" t="n">
        <v>2039</v>
      </c>
      <c r="T272" t="inlineStr">
        <is>
          <t>Supplier Target Pathway</t>
        </is>
      </c>
      <c r="U272" t="n">
        <v>13961.8183</v>
      </c>
      <c r="V272" t="n">
        <v>5586.1235</v>
      </c>
      <c r="W272" t="n">
        <v>5586.1235</v>
      </c>
      <c r="X272" t="n">
        <v>5586.1235</v>
      </c>
      <c r="Y272" t="n">
        <v>8375.694799999999</v>
      </c>
      <c r="Z272" t="n">
        <v>0.00034754</v>
      </c>
      <c r="AA272" t="n">
        <v>0.5999</v>
      </c>
      <c r="AB272" t="n">
        <v>0</v>
      </c>
      <c r="AC272" t="n">
        <v>558.3797</v>
      </c>
      <c r="AD272" t="n">
        <v>-53055.375</v>
      </c>
      <c r="AE272" t="n">
        <v>114502.7335</v>
      </c>
      <c r="AF272" t="n">
        <v>0.99</v>
      </c>
      <c r="AG272" t="inlineStr">
        <is>
          <t>Low</t>
        </is>
      </c>
      <c r="AH272" t="inlineStr">
        <is>
          <t>On Track</t>
        </is>
      </c>
    </row>
    <row r="273">
      <c r="A273" t="inlineStr">
        <is>
          <t>SUP-0017</t>
        </is>
      </c>
      <c r="B273" t="inlineStr">
        <is>
          <t>Electronics Supplier 017</t>
        </is>
      </c>
      <c r="C273" t="inlineStr">
        <is>
          <t>Electronics</t>
        </is>
      </c>
      <c r="D273" t="n">
        <v>2024</v>
      </c>
      <c r="E273" t="n">
        <v>2020</v>
      </c>
      <c r="F273" t="n">
        <v>2035</v>
      </c>
      <c r="G273" t="n">
        <v>13125.3202</v>
      </c>
      <c r="H273" t="inlineStr"/>
      <c r="I273" t="inlineStr"/>
      <c r="J273" t="n">
        <v>9101.945900000001</v>
      </c>
      <c r="K273" t="n">
        <v>16073434.72</v>
      </c>
      <c r="L273" t="n">
        <v>43836752.72</v>
      </c>
      <c r="M273" t="n">
        <v>13125.3202</v>
      </c>
      <c r="N273" t="inlineStr">
        <is>
          <t>Supplier Reported Emissions</t>
        </is>
      </c>
      <c r="O273" t="b">
        <v>0</v>
      </c>
      <c r="P273" t="inlineStr">
        <is>
          <t>High</t>
        </is>
      </c>
      <c r="Q273" t="inlineStr">
        <is>
          <t>Scope_Emissions</t>
        </is>
      </c>
      <c r="R273" t="inlineStr">
        <is>
          <t>Valid</t>
        </is>
      </c>
      <c r="S273" t="n">
        <v>2040</v>
      </c>
      <c r="T273" t="inlineStr">
        <is>
          <t>Supplier Target Pathway</t>
        </is>
      </c>
      <c r="U273" t="n">
        <v>13961.8183</v>
      </c>
      <c r="V273" t="n">
        <v>5586.1235</v>
      </c>
      <c r="W273" t="n">
        <v>5586.1235</v>
      </c>
      <c r="X273" t="n">
        <v>5586.1235</v>
      </c>
      <c r="Y273" t="n">
        <v>8375.694799999999</v>
      </c>
      <c r="Z273" t="n">
        <v>0.00034754</v>
      </c>
      <c r="AA273" t="n">
        <v>0.5999</v>
      </c>
      <c r="AB273" t="n">
        <v>0</v>
      </c>
      <c r="AC273" t="n">
        <v>558.3797</v>
      </c>
      <c r="AD273" t="n">
        <v>-58641.4985</v>
      </c>
      <c r="AE273" t="n">
        <v>120088.857</v>
      </c>
      <c r="AF273" t="n">
        <v>0.99</v>
      </c>
      <c r="AG273" t="inlineStr">
        <is>
          <t>Low</t>
        </is>
      </c>
      <c r="AH273" t="inlineStr">
        <is>
          <t>On Track</t>
        </is>
      </c>
    </row>
    <row r="274">
      <c r="A274" t="inlineStr">
        <is>
          <t>SUP-0018</t>
        </is>
      </c>
      <c r="B274" t="inlineStr">
        <is>
          <t>Professional Supplier 018</t>
        </is>
      </c>
      <c r="C274" t="inlineStr">
        <is>
          <t>Professional Services</t>
        </is>
      </c>
      <c r="D274" t="n">
        <v>2024</v>
      </c>
      <c r="E274" t="n">
        <v>2015</v>
      </c>
      <c r="F274" t="n">
        <v>2040</v>
      </c>
      <c r="G274" t="n">
        <v>3029.8477</v>
      </c>
      <c r="H274" t="n">
        <v>476.8177</v>
      </c>
      <c r="I274" t="n">
        <v>252.2195</v>
      </c>
      <c r="J274" t="n">
        <v>2403.8315</v>
      </c>
      <c r="K274" t="n">
        <v>27725818.17</v>
      </c>
      <c r="L274" t="n">
        <v>35389398.07</v>
      </c>
      <c r="M274" t="n">
        <v>3029.8477</v>
      </c>
      <c r="N274" t="inlineStr">
        <is>
          <t>Supplier Reported Emissions</t>
        </is>
      </c>
      <c r="O274" t="b">
        <v>0</v>
      </c>
      <c r="P274" t="inlineStr">
        <is>
          <t>High</t>
        </is>
      </c>
      <c r="Q274" t="inlineStr">
        <is>
          <t>None</t>
        </is>
      </c>
      <c r="R274" t="inlineStr">
        <is>
          <t>Valid</t>
        </is>
      </c>
      <c r="S274" t="n">
        <v>2025</v>
      </c>
      <c r="T274" t="inlineStr">
        <is>
          <t>Historical Trend Pathway</t>
        </is>
      </c>
      <c r="U274" t="n">
        <v>3481.9675</v>
      </c>
      <c r="V274" t="n">
        <v>2948.0078</v>
      </c>
      <c r="W274" t="n">
        <v>3020.1231</v>
      </c>
      <c r="X274" t="n">
        <v>3268.3836</v>
      </c>
      <c r="Y274" t="n">
        <v>461.8444</v>
      </c>
      <c r="Z274" t="n">
        <v>0.00010893</v>
      </c>
      <c r="AA274" t="n">
        <v>0.132639</v>
      </c>
      <c r="AB274" t="n">
        <v>72.1153</v>
      </c>
      <c r="AC274" t="n">
        <v>21.3584</v>
      </c>
      <c r="AD274" t="n">
        <v>44148.0017</v>
      </c>
      <c r="AE274" t="n">
        <v>3020.1231</v>
      </c>
      <c r="AF274" t="n">
        <v>0.855</v>
      </c>
      <c r="AG274" t="inlineStr">
        <is>
          <t>Medium</t>
        </is>
      </c>
      <c r="AH274" t="inlineStr">
        <is>
          <t>On Track to Glide Path</t>
        </is>
      </c>
    </row>
    <row r="275">
      <c r="A275" t="inlineStr">
        <is>
          <t>SUP-0018</t>
        </is>
      </c>
      <c r="B275" t="inlineStr">
        <is>
          <t>Professional Supplier 018</t>
        </is>
      </c>
      <c r="C275" t="inlineStr">
        <is>
          <t>Professional Services</t>
        </is>
      </c>
      <c r="D275" t="n">
        <v>2024</v>
      </c>
      <c r="E275" t="n">
        <v>2015</v>
      </c>
      <c r="F275" t="n">
        <v>2040</v>
      </c>
      <c r="G275" t="n">
        <v>3029.8477</v>
      </c>
      <c r="H275" t="n">
        <v>476.8177</v>
      </c>
      <c r="I275" t="n">
        <v>252.2195</v>
      </c>
      <c r="J275" t="n">
        <v>2403.8315</v>
      </c>
      <c r="K275" t="n">
        <v>27725818.17</v>
      </c>
      <c r="L275" t="n">
        <v>35389398.07</v>
      </c>
      <c r="M275" t="n">
        <v>3029.8477</v>
      </c>
      <c r="N275" t="inlineStr">
        <is>
          <t>Supplier Reported Emissions</t>
        </is>
      </c>
      <c r="O275" t="b">
        <v>0</v>
      </c>
      <c r="P275" t="inlineStr">
        <is>
          <t>High</t>
        </is>
      </c>
      <c r="Q275" t="inlineStr">
        <is>
          <t>None</t>
        </is>
      </c>
      <c r="R275" t="inlineStr">
        <is>
          <t>Valid</t>
        </is>
      </c>
      <c r="S275" t="n">
        <v>2026</v>
      </c>
      <c r="T275" t="inlineStr">
        <is>
          <t>Historical Trend Pathway</t>
        </is>
      </c>
      <c r="U275" t="n">
        <v>3481.9675</v>
      </c>
      <c r="V275" t="n">
        <v>2948.0078</v>
      </c>
      <c r="W275" t="n">
        <v>3010.4297</v>
      </c>
      <c r="X275" t="n">
        <v>3247.0252</v>
      </c>
      <c r="Y275" t="n">
        <v>471.5378</v>
      </c>
      <c r="Z275" t="n">
        <v>0.00010858</v>
      </c>
      <c r="AA275" t="n">
        <v>0.135423</v>
      </c>
      <c r="AB275" t="n">
        <v>62.4219</v>
      </c>
      <c r="AC275" t="n">
        <v>21.3584</v>
      </c>
      <c r="AD275" t="n">
        <v>41137.572</v>
      </c>
      <c r="AE275" t="n">
        <v>6030.5528</v>
      </c>
      <c r="AF275" t="n">
        <v>0.855</v>
      </c>
      <c r="AG275" t="inlineStr">
        <is>
          <t>Medium</t>
        </is>
      </c>
      <c r="AH275" t="inlineStr">
        <is>
          <t>On Track to Glide Path</t>
        </is>
      </c>
    </row>
    <row r="276">
      <c r="A276" t="inlineStr">
        <is>
          <t>SUP-0018</t>
        </is>
      </c>
      <c r="B276" t="inlineStr">
        <is>
          <t>Professional Supplier 018</t>
        </is>
      </c>
      <c r="C276" t="inlineStr">
        <is>
          <t>Professional Services</t>
        </is>
      </c>
      <c r="D276" t="n">
        <v>2024</v>
      </c>
      <c r="E276" t="n">
        <v>2015</v>
      </c>
      <c r="F276" t="n">
        <v>2040</v>
      </c>
      <c r="G276" t="n">
        <v>3029.8477</v>
      </c>
      <c r="H276" t="n">
        <v>476.8177</v>
      </c>
      <c r="I276" t="n">
        <v>252.2195</v>
      </c>
      <c r="J276" t="n">
        <v>2403.8315</v>
      </c>
      <c r="K276" t="n">
        <v>27725818.17</v>
      </c>
      <c r="L276" t="n">
        <v>35389398.07</v>
      </c>
      <c r="M276" t="n">
        <v>3029.8477</v>
      </c>
      <c r="N276" t="inlineStr">
        <is>
          <t>Supplier Reported Emissions</t>
        </is>
      </c>
      <c r="O276" t="b">
        <v>0</v>
      </c>
      <c r="P276" t="inlineStr">
        <is>
          <t>High</t>
        </is>
      </c>
      <c r="Q276" t="inlineStr">
        <is>
          <t>None</t>
        </is>
      </c>
      <c r="R276" t="inlineStr">
        <is>
          <t>Valid</t>
        </is>
      </c>
      <c r="S276" t="n">
        <v>2027</v>
      </c>
      <c r="T276" t="inlineStr">
        <is>
          <t>Historical Trend Pathway</t>
        </is>
      </c>
      <c r="U276" t="n">
        <v>3481.9675</v>
      </c>
      <c r="V276" t="n">
        <v>2948.0078</v>
      </c>
      <c r="W276" t="n">
        <v>3000.7674</v>
      </c>
      <c r="X276" t="n">
        <v>3225.6668</v>
      </c>
      <c r="Y276" t="n">
        <v>481.2001</v>
      </c>
      <c r="Z276" t="n">
        <v>0.00010823</v>
      </c>
      <c r="AA276" t="n">
        <v>0.138198</v>
      </c>
      <c r="AB276" t="n">
        <v>52.7597</v>
      </c>
      <c r="AC276" t="n">
        <v>21.3584</v>
      </c>
      <c r="AD276" t="n">
        <v>38136.8046</v>
      </c>
      <c r="AE276" t="n">
        <v>9031.3202</v>
      </c>
      <c r="AF276" t="n">
        <v>0.855</v>
      </c>
      <c r="AG276" t="inlineStr">
        <is>
          <t>Medium</t>
        </is>
      </c>
      <c r="AH276" t="inlineStr">
        <is>
          <t>On Track to Glide Path</t>
        </is>
      </c>
    </row>
    <row r="277">
      <c r="A277" t="inlineStr">
        <is>
          <t>SUP-0018</t>
        </is>
      </c>
      <c r="B277" t="inlineStr">
        <is>
          <t>Professional Supplier 018</t>
        </is>
      </c>
      <c r="C277" t="inlineStr">
        <is>
          <t>Professional Services</t>
        </is>
      </c>
      <c r="D277" t="n">
        <v>2024</v>
      </c>
      <c r="E277" t="n">
        <v>2015</v>
      </c>
      <c r="F277" t="n">
        <v>2040</v>
      </c>
      <c r="G277" t="n">
        <v>3029.8477</v>
      </c>
      <c r="H277" t="n">
        <v>476.8177</v>
      </c>
      <c r="I277" t="n">
        <v>252.2195</v>
      </c>
      <c r="J277" t="n">
        <v>2403.8315</v>
      </c>
      <c r="K277" t="n">
        <v>27725818.17</v>
      </c>
      <c r="L277" t="n">
        <v>35389398.07</v>
      </c>
      <c r="M277" t="n">
        <v>3029.8477</v>
      </c>
      <c r="N277" t="inlineStr">
        <is>
          <t>Supplier Reported Emissions</t>
        </is>
      </c>
      <c r="O277" t="b">
        <v>0</v>
      </c>
      <c r="P277" t="inlineStr">
        <is>
          <t>High</t>
        </is>
      </c>
      <c r="Q277" t="inlineStr">
        <is>
          <t>None</t>
        </is>
      </c>
      <c r="R277" t="inlineStr">
        <is>
          <t>Valid</t>
        </is>
      </c>
      <c r="S277" t="n">
        <v>2028</v>
      </c>
      <c r="T277" t="inlineStr">
        <is>
          <t>Historical Trend Pathway</t>
        </is>
      </c>
      <c r="U277" t="n">
        <v>3481.9675</v>
      </c>
      <c r="V277" t="n">
        <v>2948.0078</v>
      </c>
      <c r="W277" t="n">
        <v>2991.1362</v>
      </c>
      <c r="X277" t="n">
        <v>3204.3084</v>
      </c>
      <c r="Y277" t="n">
        <v>490.8313</v>
      </c>
      <c r="Z277" t="n">
        <v>0.00010788</v>
      </c>
      <c r="AA277" t="n">
        <v>0.140964</v>
      </c>
      <c r="AB277" t="n">
        <v>43.1284</v>
      </c>
      <c r="AC277" t="n">
        <v>21.3584</v>
      </c>
      <c r="AD277" t="n">
        <v>35145.6684</v>
      </c>
      <c r="AE277" t="n">
        <v>12022.4564</v>
      </c>
      <c r="AF277" t="n">
        <v>0.855</v>
      </c>
      <c r="AG277" t="inlineStr">
        <is>
          <t>Medium</t>
        </is>
      </c>
      <c r="AH277" t="inlineStr">
        <is>
          <t>On Track to Glide Path</t>
        </is>
      </c>
    </row>
    <row r="278">
      <c r="A278" t="inlineStr">
        <is>
          <t>SUP-0018</t>
        </is>
      </c>
      <c r="B278" t="inlineStr">
        <is>
          <t>Professional Supplier 018</t>
        </is>
      </c>
      <c r="C278" t="inlineStr">
        <is>
          <t>Professional Services</t>
        </is>
      </c>
      <c r="D278" t="n">
        <v>2024</v>
      </c>
      <c r="E278" t="n">
        <v>2015</v>
      </c>
      <c r="F278" t="n">
        <v>2040</v>
      </c>
      <c r="G278" t="n">
        <v>3029.8477</v>
      </c>
      <c r="H278" t="n">
        <v>476.8177</v>
      </c>
      <c r="I278" t="n">
        <v>252.2195</v>
      </c>
      <c r="J278" t="n">
        <v>2403.8315</v>
      </c>
      <c r="K278" t="n">
        <v>27725818.17</v>
      </c>
      <c r="L278" t="n">
        <v>35389398.07</v>
      </c>
      <c r="M278" t="n">
        <v>3029.8477</v>
      </c>
      <c r="N278" t="inlineStr">
        <is>
          <t>Supplier Reported Emissions</t>
        </is>
      </c>
      <c r="O278" t="b">
        <v>0</v>
      </c>
      <c r="P278" t="inlineStr">
        <is>
          <t>High</t>
        </is>
      </c>
      <c r="Q278" t="inlineStr">
        <is>
          <t>None</t>
        </is>
      </c>
      <c r="R278" t="inlineStr">
        <is>
          <t>Valid</t>
        </is>
      </c>
      <c r="S278" t="n">
        <v>2029</v>
      </c>
      <c r="T278" t="inlineStr">
        <is>
          <t>Historical Trend Pathway</t>
        </is>
      </c>
      <c r="U278" t="n">
        <v>3481.9675</v>
      </c>
      <c r="V278" t="n">
        <v>2948.0078</v>
      </c>
      <c r="W278" t="n">
        <v>2981.5358</v>
      </c>
      <c r="X278" t="n">
        <v>3182.9501</v>
      </c>
      <c r="Y278" t="n">
        <v>500.4317</v>
      </c>
      <c r="Z278" t="n">
        <v>0.00010754</v>
      </c>
      <c r="AA278" t="n">
        <v>0.143721</v>
      </c>
      <c r="AB278" t="n">
        <v>33.528</v>
      </c>
      <c r="AC278" t="n">
        <v>21.3584</v>
      </c>
      <c r="AD278" t="n">
        <v>32164.1326</v>
      </c>
      <c r="AE278" t="n">
        <v>15003.9922</v>
      </c>
      <c r="AF278" t="n">
        <v>0.855</v>
      </c>
      <c r="AG278" t="inlineStr">
        <is>
          <t>Medium</t>
        </is>
      </c>
      <c r="AH278" t="inlineStr">
        <is>
          <t>On Track to Glide Path</t>
        </is>
      </c>
    </row>
    <row r="279">
      <c r="A279" t="inlineStr">
        <is>
          <t>SUP-0018</t>
        </is>
      </c>
      <c r="B279" t="inlineStr">
        <is>
          <t>Professional Supplier 018</t>
        </is>
      </c>
      <c r="C279" t="inlineStr">
        <is>
          <t>Professional Services</t>
        </is>
      </c>
      <c r="D279" t="n">
        <v>2024</v>
      </c>
      <c r="E279" t="n">
        <v>2015</v>
      </c>
      <c r="F279" t="n">
        <v>2040</v>
      </c>
      <c r="G279" t="n">
        <v>3029.8477</v>
      </c>
      <c r="H279" t="n">
        <v>476.8177</v>
      </c>
      <c r="I279" t="n">
        <v>252.2195</v>
      </c>
      <c r="J279" t="n">
        <v>2403.8315</v>
      </c>
      <c r="K279" t="n">
        <v>27725818.17</v>
      </c>
      <c r="L279" t="n">
        <v>35389398.07</v>
      </c>
      <c r="M279" t="n">
        <v>3029.8477</v>
      </c>
      <c r="N279" t="inlineStr">
        <is>
          <t>Supplier Reported Emissions</t>
        </is>
      </c>
      <c r="O279" t="b">
        <v>0</v>
      </c>
      <c r="P279" t="inlineStr">
        <is>
          <t>High</t>
        </is>
      </c>
      <c r="Q279" t="inlineStr">
        <is>
          <t>None</t>
        </is>
      </c>
      <c r="R279" t="inlineStr">
        <is>
          <t>Valid</t>
        </is>
      </c>
      <c r="S279" t="n">
        <v>2030</v>
      </c>
      <c r="T279" t="inlineStr">
        <is>
          <t>Historical Trend Pathway</t>
        </is>
      </c>
      <c r="U279" t="n">
        <v>3481.9675</v>
      </c>
      <c r="V279" t="n">
        <v>2948.0078</v>
      </c>
      <c r="W279" t="n">
        <v>2971.9663</v>
      </c>
      <c r="X279" t="n">
        <v>3161.5917</v>
      </c>
      <c r="Y279" t="n">
        <v>510.0012</v>
      </c>
      <c r="Z279" t="n">
        <v>0.00010719</v>
      </c>
      <c r="AA279" t="n">
        <v>0.146469</v>
      </c>
      <c r="AB279" t="n">
        <v>23.9585</v>
      </c>
      <c r="AC279" t="n">
        <v>21.3584</v>
      </c>
      <c r="AD279" t="n">
        <v>29192.1663</v>
      </c>
      <c r="AE279" t="n">
        <v>17975.9585</v>
      </c>
      <c r="AF279" t="n">
        <v>0.855</v>
      </c>
      <c r="AG279" t="inlineStr">
        <is>
          <t>Medium</t>
        </is>
      </c>
      <c r="AH279" t="inlineStr">
        <is>
          <t>On Track to Glide Path</t>
        </is>
      </c>
    </row>
    <row r="280">
      <c r="A280" t="inlineStr">
        <is>
          <t>SUP-0018</t>
        </is>
      </c>
      <c r="B280" t="inlineStr">
        <is>
          <t>Professional Supplier 018</t>
        </is>
      </c>
      <c r="C280" t="inlineStr">
        <is>
          <t>Professional Services</t>
        </is>
      </c>
      <c r="D280" t="n">
        <v>2024</v>
      </c>
      <c r="E280" t="n">
        <v>2015</v>
      </c>
      <c r="F280" t="n">
        <v>2040</v>
      </c>
      <c r="G280" t="n">
        <v>3029.8477</v>
      </c>
      <c r="H280" t="n">
        <v>476.8177</v>
      </c>
      <c r="I280" t="n">
        <v>252.2195</v>
      </c>
      <c r="J280" t="n">
        <v>2403.8315</v>
      </c>
      <c r="K280" t="n">
        <v>27725818.17</v>
      </c>
      <c r="L280" t="n">
        <v>35389398.07</v>
      </c>
      <c r="M280" t="n">
        <v>3029.8477</v>
      </c>
      <c r="N280" t="inlineStr">
        <is>
          <t>Supplier Reported Emissions</t>
        </is>
      </c>
      <c r="O280" t="b">
        <v>0</v>
      </c>
      <c r="P280" t="inlineStr">
        <is>
          <t>High</t>
        </is>
      </c>
      <c r="Q280" t="inlineStr">
        <is>
          <t>None</t>
        </is>
      </c>
      <c r="R280" t="inlineStr">
        <is>
          <t>Valid</t>
        </is>
      </c>
      <c r="S280" t="n">
        <v>2031</v>
      </c>
      <c r="T280" t="inlineStr">
        <is>
          <t>Historical Trend Pathway</t>
        </is>
      </c>
      <c r="U280" t="n">
        <v>3481.9675</v>
      </c>
      <c r="V280" t="n">
        <v>2948.0078</v>
      </c>
      <c r="W280" t="n">
        <v>2962.4275</v>
      </c>
      <c r="X280" t="n">
        <v>3140.2333</v>
      </c>
      <c r="Y280" t="n">
        <v>519.54</v>
      </c>
      <c r="Z280" t="n">
        <v>0.00010685</v>
      </c>
      <c r="AA280" t="n">
        <v>0.149209</v>
      </c>
      <c r="AB280" t="n">
        <v>14.4197</v>
      </c>
      <c r="AC280" t="n">
        <v>21.3584</v>
      </c>
      <c r="AD280" t="n">
        <v>26229.7388</v>
      </c>
      <c r="AE280" t="n">
        <v>20938.386</v>
      </c>
      <c r="AF280" t="n">
        <v>0.855</v>
      </c>
      <c r="AG280" t="inlineStr">
        <is>
          <t>Medium</t>
        </is>
      </c>
      <c r="AH280" t="inlineStr">
        <is>
          <t>On Track to Glide Path</t>
        </is>
      </c>
    </row>
    <row r="281">
      <c r="A281" t="inlineStr">
        <is>
          <t>SUP-0018</t>
        </is>
      </c>
      <c r="B281" t="inlineStr">
        <is>
          <t>Professional Supplier 018</t>
        </is>
      </c>
      <c r="C281" t="inlineStr">
        <is>
          <t>Professional Services</t>
        </is>
      </c>
      <c r="D281" t="n">
        <v>2024</v>
      </c>
      <c r="E281" t="n">
        <v>2015</v>
      </c>
      <c r="F281" t="n">
        <v>2040</v>
      </c>
      <c r="G281" t="n">
        <v>3029.8477</v>
      </c>
      <c r="H281" t="n">
        <v>476.8177</v>
      </c>
      <c r="I281" t="n">
        <v>252.2195</v>
      </c>
      <c r="J281" t="n">
        <v>2403.8315</v>
      </c>
      <c r="K281" t="n">
        <v>27725818.17</v>
      </c>
      <c r="L281" t="n">
        <v>35389398.07</v>
      </c>
      <c r="M281" t="n">
        <v>3029.8477</v>
      </c>
      <c r="N281" t="inlineStr">
        <is>
          <t>Supplier Reported Emissions</t>
        </is>
      </c>
      <c r="O281" t="b">
        <v>0</v>
      </c>
      <c r="P281" t="inlineStr">
        <is>
          <t>High</t>
        </is>
      </c>
      <c r="Q281" t="inlineStr">
        <is>
          <t>None</t>
        </is>
      </c>
      <c r="R281" t="inlineStr">
        <is>
          <t>Valid</t>
        </is>
      </c>
      <c r="S281" t="n">
        <v>2032</v>
      </c>
      <c r="T281" t="inlineStr">
        <is>
          <t>Historical Trend Pathway</t>
        </is>
      </c>
      <c r="U281" t="n">
        <v>3481.9675</v>
      </c>
      <c r="V281" t="n">
        <v>2948.0078</v>
      </c>
      <c r="W281" t="n">
        <v>2952.9193</v>
      </c>
      <c r="X281" t="n">
        <v>3118.8749</v>
      </c>
      <c r="Y281" t="n">
        <v>529.0482</v>
      </c>
      <c r="Z281" t="n">
        <v>0.0001065</v>
      </c>
      <c r="AA281" t="n">
        <v>0.151939</v>
      </c>
      <c r="AB281" t="n">
        <v>4.9115</v>
      </c>
      <c r="AC281" t="n">
        <v>21.3584</v>
      </c>
      <c r="AD281" t="n">
        <v>23276.8195</v>
      </c>
      <c r="AE281" t="n">
        <v>23891.3053</v>
      </c>
      <c r="AF281" t="n">
        <v>0.855</v>
      </c>
      <c r="AG281" t="inlineStr">
        <is>
          <t>Medium</t>
        </is>
      </c>
      <c r="AH281" t="inlineStr">
        <is>
          <t>On Track to Glide Path</t>
        </is>
      </c>
    </row>
    <row r="282">
      <c r="A282" t="inlineStr">
        <is>
          <t>SUP-0018</t>
        </is>
      </c>
      <c r="B282" t="inlineStr">
        <is>
          <t>Professional Supplier 018</t>
        </is>
      </c>
      <c r="C282" t="inlineStr">
        <is>
          <t>Professional Services</t>
        </is>
      </c>
      <c r="D282" t="n">
        <v>2024</v>
      </c>
      <c r="E282" t="n">
        <v>2015</v>
      </c>
      <c r="F282" t="n">
        <v>2040</v>
      </c>
      <c r="G282" t="n">
        <v>3029.8477</v>
      </c>
      <c r="H282" t="n">
        <v>476.8177</v>
      </c>
      <c r="I282" t="n">
        <v>252.2195</v>
      </c>
      <c r="J282" t="n">
        <v>2403.8315</v>
      </c>
      <c r="K282" t="n">
        <v>27725818.17</v>
      </c>
      <c r="L282" t="n">
        <v>35389398.07</v>
      </c>
      <c r="M282" t="n">
        <v>3029.8477</v>
      </c>
      <c r="N282" t="inlineStr">
        <is>
          <t>Supplier Reported Emissions</t>
        </is>
      </c>
      <c r="O282" t="b">
        <v>0</v>
      </c>
      <c r="P282" t="inlineStr">
        <is>
          <t>High</t>
        </is>
      </c>
      <c r="Q282" t="inlineStr">
        <is>
          <t>None</t>
        </is>
      </c>
      <c r="R282" t="inlineStr">
        <is>
          <t>Valid</t>
        </is>
      </c>
      <c r="S282" t="n">
        <v>2033</v>
      </c>
      <c r="T282" t="inlineStr">
        <is>
          <t>Historical Trend Pathway</t>
        </is>
      </c>
      <c r="U282" t="n">
        <v>3481.9675</v>
      </c>
      <c r="V282" t="n">
        <v>2948.0078</v>
      </c>
      <c r="W282" t="n">
        <v>2943.4416</v>
      </c>
      <c r="X282" t="n">
        <v>3097.5165</v>
      </c>
      <c r="Y282" t="n">
        <v>538.5259</v>
      </c>
      <c r="Z282" t="n">
        <v>0.00010616</v>
      </c>
      <c r="AA282" t="n">
        <v>0.154661</v>
      </c>
      <c r="AB282" t="n">
        <v>-4.5662</v>
      </c>
      <c r="AC282" t="n">
        <v>21.3584</v>
      </c>
      <c r="AD282" t="n">
        <v>20333.3779</v>
      </c>
      <c r="AE282" t="n">
        <v>26834.7469</v>
      </c>
      <c r="AF282" t="n">
        <v>0.855</v>
      </c>
      <c r="AG282" t="inlineStr">
        <is>
          <t>Low</t>
        </is>
      </c>
      <c r="AH282" t="inlineStr">
        <is>
          <t>On Track to Glide Path</t>
        </is>
      </c>
    </row>
    <row r="283">
      <c r="A283" t="inlineStr">
        <is>
          <t>SUP-0018</t>
        </is>
      </c>
      <c r="B283" t="inlineStr">
        <is>
          <t>Professional Supplier 018</t>
        </is>
      </c>
      <c r="C283" t="inlineStr">
        <is>
          <t>Professional Services</t>
        </is>
      </c>
      <c r="D283" t="n">
        <v>2024</v>
      </c>
      <c r="E283" t="n">
        <v>2015</v>
      </c>
      <c r="F283" t="n">
        <v>2040</v>
      </c>
      <c r="G283" t="n">
        <v>3029.8477</v>
      </c>
      <c r="H283" t="n">
        <v>476.8177</v>
      </c>
      <c r="I283" t="n">
        <v>252.2195</v>
      </c>
      <c r="J283" t="n">
        <v>2403.8315</v>
      </c>
      <c r="K283" t="n">
        <v>27725818.17</v>
      </c>
      <c r="L283" t="n">
        <v>35389398.07</v>
      </c>
      <c r="M283" t="n">
        <v>3029.8477</v>
      </c>
      <c r="N283" t="inlineStr">
        <is>
          <t>Supplier Reported Emissions</t>
        </is>
      </c>
      <c r="O283" t="b">
        <v>0</v>
      </c>
      <c r="P283" t="inlineStr">
        <is>
          <t>High</t>
        </is>
      </c>
      <c r="Q283" t="inlineStr">
        <is>
          <t>None</t>
        </is>
      </c>
      <c r="R283" t="inlineStr">
        <is>
          <t>Valid</t>
        </is>
      </c>
      <c r="S283" t="n">
        <v>2034</v>
      </c>
      <c r="T283" t="inlineStr">
        <is>
          <t>Historical Trend Pathway</t>
        </is>
      </c>
      <c r="U283" t="n">
        <v>3481.9675</v>
      </c>
      <c r="V283" t="n">
        <v>2948.0078</v>
      </c>
      <c r="W283" t="n">
        <v>2933.9943</v>
      </c>
      <c r="X283" t="n">
        <v>3076.1581</v>
      </c>
      <c r="Y283" t="n">
        <v>547.9732</v>
      </c>
      <c r="Z283" t="n">
        <v>0.00010582</v>
      </c>
      <c r="AA283" t="n">
        <v>0.157375</v>
      </c>
      <c r="AB283" t="n">
        <v>-14.0135</v>
      </c>
      <c r="AC283" t="n">
        <v>21.3584</v>
      </c>
      <c r="AD283" t="n">
        <v>17399.3836</v>
      </c>
      <c r="AE283" t="n">
        <v>29768.7412</v>
      </c>
      <c r="AF283" t="n">
        <v>0.855</v>
      </c>
      <c r="AG283" t="inlineStr">
        <is>
          <t>Low</t>
        </is>
      </c>
      <c r="AH283" t="inlineStr">
        <is>
          <t>On Track to Glide Path</t>
        </is>
      </c>
    </row>
    <row r="284">
      <c r="A284" t="inlineStr">
        <is>
          <t>SUP-0018</t>
        </is>
      </c>
      <c r="B284" t="inlineStr">
        <is>
          <t>Professional Supplier 018</t>
        </is>
      </c>
      <c r="C284" t="inlineStr">
        <is>
          <t>Professional Services</t>
        </is>
      </c>
      <c r="D284" t="n">
        <v>2024</v>
      </c>
      <c r="E284" t="n">
        <v>2015</v>
      </c>
      <c r="F284" t="n">
        <v>2040</v>
      </c>
      <c r="G284" t="n">
        <v>3029.8477</v>
      </c>
      <c r="H284" t="n">
        <v>476.8177</v>
      </c>
      <c r="I284" t="n">
        <v>252.2195</v>
      </c>
      <c r="J284" t="n">
        <v>2403.8315</v>
      </c>
      <c r="K284" t="n">
        <v>27725818.17</v>
      </c>
      <c r="L284" t="n">
        <v>35389398.07</v>
      </c>
      <c r="M284" t="n">
        <v>3029.8477</v>
      </c>
      <c r="N284" t="inlineStr">
        <is>
          <t>Supplier Reported Emissions</t>
        </is>
      </c>
      <c r="O284" t="b">
        <v>0</v>
      </c>
      <c r="P284" t="inlineStr">
        <is>
          <t>High</t>
        </is>
      </c>
      <c r="Q284" t="inlineStr">
        <is>
          <t>None</t>
        </is>
      </c>
      <c r="R284" t="inlineStr">
        <is>
          <t>Valid</t>
        </is>
      </c>
      <c r="S284" t="n">
        <v>2035</v>
      </c>
      <c r="T284" t="inlineStr">
        <is>
          <t>Historical Trend Pathway</t>
        </is>
      </c>
      <c r="U284" t="n">
        <v>3481.9675</v>
      </c>
      <c r="V284" t="n">
        <v>2948.0078</v>
      </c>
      <c r="W284" t="n">
        <v>2924.5773</v>
      </c>
      <c r="X284" t="n">
        <v>3054.7997</v>
      </c>
      <c r="Y284" t="n">
        <v>557.3902</v>
      </c>
      <c r="Z284" t="n">
        <v>0.00010548</v>
      </c>
      <c r="AA284" t="n">
        <v>0.160079</v>
      </c>
      <c r="AB284" t="n">
        <v>-23.4304</v>
      </c>
      <c r="AC284" t="n">
        <v>21.3584</v>
      </c>
      <c r="AD284" t="n">
        <v>14474.8063</v>
      </c>
      <c r="AE284" t="n">
        <v>32693.3185</v>
      </c>
      <c r="AF284" t="n">
        <v>0.855</v>
      </c>
      <c r="AG284" t="inlineStr">
        <is>
          <t>Low</t>
        </is>
      </c>
      <c r="AH284" t="inlineStr">
        <is>
          <t>On Track to Glide Path</t>
        </is>
      </c>
    </row>
    <row r="285">
      <c r="A285" t="inlineStr">
        <is>
          <t>SUP-0018</t>
        </is>
      </c>
      <c r="B285" t="inlineStr">
        <is>
          <t>Professional Supplier 018</t>
        </is>
      </c>
      <c r="C285" t="inlineStr">
        <is>
          <t>Professional Services</t>
        </is>
      </c>
      <c r="D285" t="n">
        <v>2024</v>
      </c>
      <c r="E285" t="n">
        <v>2015</v>
      </c>
      <c r="F285" t="n">
        <v>2040</v>
      </c>
      <c r="G285" t="n">
        <v>3029.8477</v>
      </c>
      <c r="H285" t="n">
        <v>476.8177</v>
      </c>
      <c r="I285" t="n">
        <v>252.2195</v>
      </c>
      <c r="J285" t="n">
        <v>2403.8315</v>
      </c>
      <c r="K285" t="n">
        <v>27725818.17</v>
      </c>
      <c r="L285" t="n">
        <v>35389398.07</v>
      </c>
      <c r="M285" t="n">
        <v>3029.8477</v>
      </c>
      <c r="N285" t="inlineStr">
        <is>
          <t>Supplier Reported Emissions</t>
        </is>
      </c>
      <c r="O285" t="b">
        <v>0</v>
      </c>
      <c r="P285" t="inlineStr">
        <is>
          <t>High</t>
        </is>
      </c>
      <c r="Q285" t="inlineStr">
        <is>
          <t>None</t>
        </is>
      </c>
      <c r="R285" t="inlineStr">
        <is>
          <t>Valid</t>
        </is>
      </c>
      <c r="S285" t="n">
        <v>2036</v>
      </c>
      <c r="T285" t="inlineStr">
        <is>
          <t>Historical Trend Pathway</t>
        </is>
      </c>
      <c r="U285" t="n">
        <v>3481.9675</v>
      </c>
      <c r="V285" t="n">
        <v>2948.0078</v>
      </c>
      <c r="W285" t="n">
        <v>2915.1906</v>
      </c>
      <c r="X285" t="n">
        <v>3033.4413</v>
      </c>
      <c r="Y285" t="n">
        <v>566.7769</v>
      </c>
      <c r="Z285" t="n">
        <v>0.00010514</v>
      </c>
      <c r="AA285" t="n">
        <v>0.162775</v>
      </c>
      <c r="AB285" t="n">
        <v>-32.8172</v>
      </c>
      <c r="AC285" t="n">
        <v>21.3584</v>
      </c>
      <c r="AD285" t="n">
        <v>11559.6157</v>
      </c>
      <c r="AE285" t="n">
        <v>35608.5091</v>
      </c>
      <c r="AF285" t="n">
        <v>0.855</v>
      </c>
      <c r="AG285" t="inlineStr">
        <is>
          <t>Low</t>
        </is>
      </c>
      <c r="AH285" t="inlineStr">
        <is>
          <t>On Track to Glide Path</t>
        </is>
      </c>
    </row>
    <row r="286">
      <c r="A286" t="inlineStr">
        <is>
          <t>SUP-0018</t>
        </is>
      </c>
      <c r="B286" t="inlineStr">
        <is>
          <t>Professional Supplier 018</t>
        </is>
      </c>
      <c r="C286" t="inlineStr">
        <is>
          <t>Professional Services</t>
        </is>
      </c>
      <c r="D286" t="n">
        <v>2024</v>
      </c>
      <c r="E286" t="n">
        <v>2015</v>
      </c>
      <c r="F286" t="n">
        <v>2040</v>
      </c>
      <c r="G286" t="n">
        <v>3029.8477</v>
      </c>
      <c r="H286" t="n">
        <v>476.8177</v>
      </c>
      <c r="I286" t="n">
        <v>252.2195</v>
      </c>
      <c r="J286" t="n">
        <v>2403.8315</v>
      </c>
      <c r="K286" t="n">
        <v>27725818.17</v>
      </c>
      <c r="L286" t="n">
        <v>35389398.07</v>
      </c>
      <c r="M286" t="n">
        <v>3029.8477</v>
      </c>
      <c r="N286" t="inlineStr">
        <is>
          <t>Supplier Reported Emissions</t>
        </is>
      </c>
      <c r="O286" t="b">
        <v>0</v>
      </c>
      <c r="P286" t="inlineStr">
        <is>
          <t>High</t>
        </is>
      </c>
      <c r="Q286" t="inlineStr">
        <is>
          <t>None</t>
        </is>
      </c>
      <c r="R286" t="inlineStr">
        <is>
          <t>Valid</t>
        </is>
      </c>
      <c r="S286" t="n">
        <v>2037</v>
      </c>
      <c r="T286" t="inlineStr">
        <is>
          <t>Historical Trend Pathway</t>
        </is>
      </c>
      <c r="U286" t="n">
        <v>3481.9675</v>
      </c>
      <c r="V286" t="n">
        <v>2948.0078</v>
      </c>
      <c r="W286" t="n">
        <v>2905.834</v>
      </c>
      <c r="X286" t="n">
        <v>3012.0829</v>
      </c>
      <c r="Y286" t="n">
        <v>576.1335</v>
      </c>
      <c r="Z286" t="n">
        <v>0.00010481</v>
      </c>
      <c r="AA286" t="n">
        <v>0.165462</v>
      </c>
      <c r="AB286" t="n">
        <v>-42.1738</v>
      </c>
      <c r="AC286" t="n">
        <v>21.3584</v>
      </c>
      <c r="AD286" t="n">
        <v>8653.7817</v>
      </c>
      <c r="AE286" t="n">
        <v>38514.3431</v>
      </c>
      <c r="AF286" t="n">
        <v>0.855</v>
      </c>
      <c r="AG286" t="inlineStr">
        <is>
          <t>Low</t>
        </is>
      </c>
      <c r="AH286" t="inlineStr">
        <is>
          <t>On Track to Glide Path</t>
        </is>
      </c>
    </row>
    <row r="287">
      <c r="A287" t="inlineStr">
        <is>
          <t>SUP-0018</t>
        </is>
      </c>
      <c r="B287" t="inlineStr">
        <is>
          <t>Professional Supplier 018</t>
        </is>
      </c>
      <c r="C287" t="inlineStr">
        <is>
          <t>Professional Services</t>
        </is>
      </c>
      <c r="D287" t="n">
        <v>2024</v>
      </c>
      <c r="E287" t="n">
        <v>2015</v>
      </c>
      <c r="F287" t="n">
        <v>2040</v>
      </c>
      <c r="G287" t="n">
        <v>3029.8477</v>
      </c>
      <c r="H287" t="n">
        <v>476.8177</v>
      </c>
      <c r="I287" t="n">
        <v>252.2195</v>
      </c>
      <c r="J287" t="n">
        <v>2403.8315</v>
      </c>
      <c r="K287" t="n">
        <v>27725818.17</v>
      </c>
      <c r="L287" t="n">
        <v>35389398.07</v>
      </c>
      <c r="M287" t="n">
        <v>3029.8477</v>
      </c>
      <c r="N287" t="inlineStr">
        <is>
          <t>Supplier Reported Emissions</t>
        </is>
      </c>
      <c r="O287" t="b">
        <v>0</v>
      </c>
      <c r="P287" t="inlineStr">
        <is>
          <t>High</t>
        </is>
      </c>
      <c r="Q287" t="inlineStr">
        <is>
          <t>None</t>
        </is>
      </c>
      <c r="R287" t="inlineStr">
        <is>
          <t>Valid</t>
        </is>
      </c>
      <c r="S287" t="n">
        <v>2038</v>
      </c>
      <c r="T287" t="inlineStr">
        <is>
          <t>Historical Trend Pathway</t>
        </is>
      </c>
      <c r="U287" t="n">
        <v>3481.9675</v>
      </c>
      <c r="V287" t="n">
        <v>2948.0078</v>
      </c>
      <c r="W287" t="n">
        <v>2896.5075</v>
      </c>
      <c r="X287" t="n">
        <v>2990.7246</v>
      </c>
      <c r="Y287" t="n">
        <v>585.46</v>
      </c>
      <c r="Z287" t="n">
        <v>0.00010447</v>
      </c>
      <c r="AA287" t="n">
        <v>0.168141</v>
      </c>
      <c r="AB287" t="n">
        <v>-51.5003</v>
      </c>
      <c r="AC287" t="n">
        <v>21.3584</v>
      </c>
      <c r="AD287" t="n">
        <v>5757.2742</v>
      </c>
      <c r="AE287" t="n">
        <v>41410.8506</v>
      </c>
      <c r="AF287" t="n">
        <v>0.855</v>
      </c>
      <c r="AG287" t="inlineStr">
        <is>
          <t>Low</t>
        </is>
      </c>
      <c r="AH287" t="inlineStr">
        <is>
          <t>On Track to Glide Path</t>
        </is>
      </c>
    </row>
    <row r="288">
      <c r="A288" t="inlineStr">
        <is>
          <t>SUP-0018</t>
        </is>
      </c>
      <c r="B288" t="inlineStr">
        <is>
          <t>Professional Supplier 018</t>
        </is>
      </c>
      <c r="C288" t="inlineStr">
        <is>
          <t>Professional Services</t>
        </is>
      </c>
      <c r="D288" t="n">
        <v>2024</v>
      </c>
      <c r="E288" t="n">
        <v>2015</v>
      </c>
      <c r="F288" t="n">
        <v>2040</v>
      </c>
      <c r="G288" t="n">
        <v>3029.8477</v>
      </c>
      <c r="H288" t="n">
        <v>476.8177</v>
      </c>
      <c r="I288" t="n">
        <v>252.2195</v>
      </c>
      <c r="J288" t="n">
        <v>2403.8315</v>
      </c>
      <c r="K288" t="n">
        <v>27725818.17</v>
      </c>
      <c r="L288" t="n">
        <v>35389398.07</v>
      </c>
      <c r="M288" t="n">
        <v>3029.8477</v>
      </c>
      <c r="N288" t="inlineStr">
        <is>
          <t>Supplier Reported Emissions</t>
        </is>
      </c>
      <c r="O288" t="b">
        <v>0</v>
      </c>
      <c r="P288" t="inlineStr">
        <is>
          <t>High</t>
        </is>
      </c>
      <c r="Q288" t="inlineStr">
        <is>
          <t>None</t>
        </is>
      </c>
      <c r="R288" t="inlineStr">
        <is>
          <t>Valid</t>
        </is>
      </c>
      <c r="S288" t="n">
        <v>2039</v>
      </c>
      <c r="T288" t="inlineStr">
        <is>
          <t>Historical Trend Pathway</t>
        </is>
      </c>
      <c r="U288" t="n">
        <v>3481.9675</v>
      </c>
      <c r="V288" t="n">
        <v>2948.0078</v>
      </c>
      <c r="W288" t="n">
        <v>2887.2108</v>
      </c>
      <c r="X288" t="n">
        <v>2969.3662</v>
      </c>
      <c r="Y288" t="n">
        <v>594.7567</v>
      </c>
      <c r="Z288" t="n">
        <v>0.00010413</v>
      </c>
      <c r="AA288" t="n">
        <v>0.170811</v>
      </c>
      <c r="AB288" t="n">
        <v>-60.7969</v>
      </c>
      <c r="AC288" t="n">
        <v>21.3584</v>
      </c>
      <c r="AD288" t="n">
        <v>2870.0634</v>
      </c>
      <c r="AE288" t="n">
        <v>44298.0614</v>
      </c>
      <c r="AF288" t="n">
        <v>0.855</v>
      </c>
      <c r="AG288" t="inlineStr">
        <is>
          <t>Low</t>
        </is>
      </c>
      <c r="AH288" t="inlineStr">
        <is>
          <t>On Track to Glide Path</t>
        </is>
      </c>
    </row>
    <row r="289">
      <c r="A289" t="inlineStr">
        <is>
          <t>SUP-0018</t>
        </is>
      </c>
      <c r="B289" t="inlineStr">
        <is>
          <t>Professional Supplier 018</t>
        </is>
      </c>
      <c r="C289" t="inlineStr">
        <is>
          <t>Professional Services</t>
        </is>
      </c>
      <c r="D289" t="n">
        <v>2024</v>
      </c>
      <c r="E289" t="n">
        <v>2015</v>
      </c>
      <c r="F289" t="n">
        <v>2040</v>
      </c>
      <c r="G289" t="n">
        <v>3029.8477</v>
      </c>
      <c r="H289" t="n">
        <v>476.8177</v>
      </c>
      <c r="I289" t="n">
        <v>252.2195</v>
      </c>
      <c r="J289" t="n">
        <v>2403.8315</v>
      </c>
      <c r="K289" t="n">
        <v>27725818.17</v>
      </c>
      <c r="L289" t="n">
        <v>35389398.07</v>
      </c>
      <c r="M289" t="n">
        <v>3029.8477</v>
      </c>
      <c r="N289" t="inlineStr">
        <is>
          <t>Supplier Reported Emissions</t>
        </is>
      </c>
      <c r="O289" t="b">
        <v>0</v>
      </c>
      <c r="P289" t="inlineStr">
        <is>
          <t>High</t>
        </is>
      </c>
      <c r="Q289" t="inlineStr">
        <is>
          <t>None</t>
        </is>
      </c>
      <c r="R289" t="inlineStr">
        <is>
          <t>Valid</t>
        </is>
      </c>
      <c r="S289" t="n">
        <v>2040</v>
      </c>
      <c r="T289" t="inlineStr">
        <is>
          <t>Historical Trend Pathway</t>
        </is>
      </c>
      <c r="U289" t="n">
        <v>3481.9675</v>
      </c>
      <c r="V289" t="n">
        <v>2948.0078</v>
      </c>
      <c r="W289" t="n">
        <v>2877.944</v>
      </c>
      <c r="X289" t="n">
        <v>2948.0078</v>
      </c>
      <c r="Y289" t="n">
        <v>604.0235</v>
      </c>
      <c r="Z289" t="n">
        <v>0.0001038</v>
      </c>
      <c r="AA289" t="n">
        <v>0.173472</v>
      </c>
      <c r="AB289" t="n">
        <v>-70.0637</v>
      </c>
      <c r="AC289" t="n">
        <v>21.3584</v>
      </c>
      <c r="AD289" t="n">
        <v>-7.8806</v>
      </c>
      <c r="AE289" t="n">
        <v>47176.0054</v>
      </c>
      <c r="AF289" t="n">
        <v>0.855</v>
      </c>
      <c r="AG289" t="inlineStr">
        <is>
          <t>Low</t>
        </is>
      </c>
      <c r="AH289" t="inlineStr">
        <is>
          <t>On Track</t>
        </is>
      </c>
    </row>
    <row r="290">
      <c r="A290" t="inlineStr">
        <is>
          <t>SUP-0019</t>
        </is>
      </c>
      <c r="B290" t="inlineStr">
        <is>
          <t>Metals Supplier 019</t>
        </is>
      </c>
      <c r="C290" t="inlineStr">
        <is>
          <t>Metals</t>
        </is>
      </c>
      <c r="D290" t="n">
        <v>2024</v>
      </c>
      <c r="E290" t="n">
        <v>2021</v>
      </c>
      <c r="F290" t="n">
        <v>2035</v>
      </c>
      <c r="G290" t="inlineStr"/>
      <c r="H290" t="n">
        <v>3459.5557</v>
      </c>
      <c r="I290" t="inlineStr"/>
      <c r="J290" t="inlineStr"/>
      <c r="K290" t="n">
        <v>37295083.38</v>
      </c>
      <c r="L290" t="n">
        <v>66297440.8</v>
      </c>
      <c r="M290" t="n">
        <v>37554.2842</v>
      </c>
      <c r="N290" t="inlineStr">
        <is>
          <t>Spend-Based Estimate</t>
        </is>
      </c>
      <c r="O290" t="b">
        <v>1</v>
      </c>
      <c r="P290" t="inlineStr">
        <is>
          <t>Medium</t>
        </is>
      </c>
      <c r="Q290" t="inlineStr">
        <is>
          <t>Reported_Emissions; Scope_Emissions</t>
        </is>
      </c>
      <c r="R290" t="inlineStr">
        <is>
          <t>Valid</t>
        </is>
      </c>
      <c r="S290" t="n">
        <v>2025</v>
      </c>
      <c r="T290" t="inlineStr">
        <is>
          <t>Supplier Target Pathway</t>
        </is>
      </c>
      <c r="U290" t="n">
        <v>21793.9654</v>
      </c>
      <c r="V290" t="n">
        <v>10519.9471</v>
      </c>
      <c r="W290" t="n">
        <v>18572.8173</v>
      </c>
      <c r="X290" t="n">
        <v>18572.8173</v>
      </c>
      <c r="Y290" t="n">
        <v>3221.1481</v>
      </c>
      <c r="Z290" t="n">
        <v>0.000498</v>
      </c>
      <c r="AA290" t="n">
        <v>0.1478</v>
      </c>
      <c r="AB290" t="n">
        <v>8052.8702</v>
      </c>
      <c r="AC290" t="n">
        <v>805.287</v>
      </c>
      <c r="AD290" t="n">
        <v>97146.6008</v>
      </c>
      <c r="AE290" t="n">
        <v>18572.8173</v>
      </c>
      <c r="AF290" t="n">
        <v>0.986</v>
      </c>
      <c r="AG290" t="inlineStr">
        <is>
          <t>Critical</t>
        </is>
      </c>
      <c r="AH290" t="inlineStr">
        <is>
          <t>On Track to Glide Path</t>
        </is>
      </c>
    </row>
    <row r="291">
      <c r="A291" t="inlineStr">
        <is>
          <t>SUP-0019</t>
        </is>
      </c>
      <c r="B291" t="inlineStr">
        <is>
          <t>Metals Supplier 019</t>
        </is>
      </c>
      <c r="C291" t="inlineStr">
        <is>
          <t>Metals</t>
        </is>
      </c>
      <c r="D291" t="n">
        <v>2024</v>
      </c>
      <c r="E291" t="n">
        <v>2021</v>
      </c>
      <c r="F291" t="n">
        <v>2035</v>
      </c>
      <c r="G291" t="inlineStr"/>
      <c r="H291" t="n">
        <v>3459.5557</v>
      </c>
      <c r="I291" t="inlineStr"/>
      <c r="J291" t="inlineStr"/>
      <c r="K291" t="n">
        <v>37295083.38</v>
      </c>
      <c r="L291" t="n">
        <v>66297440.8</v>
      </c>
      <c r="M291" t="n">
        <v>37554.2842</v>
      </c>
      <c r="N291" t="inlineStr">
        <is>
          <t>Spend-Based Estimate</t>
        </is>
      </c>
      <c r="O291" t="b">
        <v>1</v>
      </c>
      <c r="P291" t="inlineStr">
        <is>
          <t>Medium</t>
        </is>
      </c>
      <c r="Q291" t="inlineStr">
        <is>
          <t>Reported_Emissions; Scope_Emissions</t>
        </is>
      </c>
      <c r="R291" t="inlineStr">
        <is>
          <t>Valid</t>
        </is>
      </c>
      <c r="S291" t="n">
        <v>2026</v>
      </c>
      <c r="T291" t="inlineStr">
        <is>
          <t>Supplier Target Pathway</t>
        </is>
      </c>
      <c r="U291" t="n">
        <v>21793.9654</v>
      </c>
      <c r="V291" t="n">
        <v>10519.9471</v>
      </c>
      <c r="W291" t="n">
        <v>17767.5303</v>
      </c>
      <c r="X291" t="n">
        <v>17767.5303</v>
      </c>
      <c r="Y291" t="n">
        <v>4026.4351</v>
      </c>
      <c r="Z291" t="n">
        <v>0.0004764</v>
      </c>
      <c r="AA291" t="n">
        <v>0.18475</v>
      </c>
      <c r="AB291" t="n">
        <v>7247.5832</v>
      </c>
      <c r="AC291" t="n">
        <v>805.287</v>
      </c>
      <c r="AD291" t="n">
        <v>79379.0705</v>
      </c>
      <c r="AE291" t="n">
        <v>36340.3476</v>
      </c>
      <c r="AF291" t="n">
        <v>0.986</v>
      </c>
      <c r="AG291" t="inlineStr">
        <is>
          <t>Critical</t>
        </is>
      </c>
      <c r="AH291" t="inlineStr">
        <is>
          <t>On Track to Glide Path</t>
        </is>
      </c>
    </row>
    <row r="292">
      <c r="A292" t="inlineStr">
        <is>
          <t>SUP-0019</t>
        </is>
      </c>
      <c r="B292" t="inlineStr">
        <is>
          <t>Metals Supplier 019</t>
        </is>
      </c>
      <c r="C292" t="inlineStr">
        <is>
          <t>Metals</t>
        </is>
      </c>
      <c r="D292" t="n">
        <v>2024</v>
      </c>
      <c r="E292" t="n">
        <v>2021</v>
      </c>
      <c r="F292" t="n">
        <v>2035</v>
      </c>
      <c r="G292" t="inlineStr"/>
      <c r="H292" t="n">
        <v>3459.5557</v>
      </c>
      <c r="I292" t="inlineStr"/>
      <c r="J292" t="inlineStr"/>
      <c r="K292" t="n">
        <v>37295083.38</v>
      </c>
      <c r="L292" t="n">
        <v>66297440.8</v>
      </c>
      <c r="M292" t="n">
        <v>37554.2842</v>
      </c>
      <c r="N292" t="inlineStr">
        <is>
          <t>Spend-Based Estimate</t>
        </is>
      </c>
      <c r="O292" t="b">
        <v>1</v>
      </c>
      <c r="P292" t="inlineStr">
        <is>
          <t>Medium</t>
        </is>
      </c>
      <c r="Q292" t="inlineStr">
        <is>
          <t>Reported_Emissions; Scope_Emissions</t>
        </is>
      </c>
      <c r="R292" t="inlineStr">
        <is>
          <t>Valid</t>
        </is>
      </c>
      <c r="S292" t="n">
        <v>2027</v>
      </c>
      <c r="T292" t="inlineStr">
        <is>
          <t>Supplier Target Pathway</t>
        </is>
      </c>
      <c r="U292" t="n">
        <v>21793.9654</v>
      </c>
      <c r="V292" t="n">
        <v>10519.9471</v>
      </c>
      <c r="W292" t="n">
        <v>16962.2433</v>
      </c>
      <c r="X292" t="n">
        <v>16962.2433</v>
      </c>
      <c r="Y292" t="n">
        <v>4831.7221</v>
      </c>
      <c r="Z292" t="n">
        <v>0.00045481</v>
      </c>
      <c r="AA292" t="n">
        <v>0.2217</v>
      </c>
      <c r="AB292" t="n">
        <v>6442.2962</v>
      </c>
      <c r="AC292" t="n">
        <v>805.287</v>
      </c>
      <c r="AD292" t="n">
        <v>62416.8272</v>
      </c>
      <c r="AE292" t="n">
        <v>53302.5909</v>
      </c>
      <c r="AF292" t="n">
        <v>0.986</v>
      </c>
      <c r="AG292" t="inlineStr">
        <is>
          <t>Critical</t>
        </is>
      </c>
      <c r="AH292" t="inlineStr">
        <is>
          <t>On Track to Glide Path</t>
        </is>
      </c>
    </row>
    <row r="293">
      <c r="A293" t="inlineStr">
        <is>
          <t>SUP-0019</t>
        </is>
      </c>
      <c r="B293" t="inlineStr">
        <is>
          <t>Metals Supplier 019</t>
        </is>
      </c>
      <c r="C293" t="inlineStr">
        <is>
          <t>Metals</t>
        </is>
      </c>
      <c r="D293" t="n">
        <v>2024</v>
      </c>
      <c r="E293" t="n">
        <v>2021</v>
      </c>
      <c r="F293" t="n">
        <v>2035</v>
      </c>
      <c r="G293" t="inlineStr"/>
      <c r="H293" t="n">
        <v>3459.5557</v>
      </c>
      <c r="I293" t="inlineStr"/>
      <c r="J293" t="inlineStr"/>
      <c r="K293" t="n">
        <v>37295083.38</v>
      </c>
      <c r="L293" t="n">
        <v>66297440.8</v>
      </c>
      <c r="M293" t="n">
        <v>37554.2842</v>
      </c>
      <c r="N293" t="inlineStr">
        <is>
          <t>Spend-Based Estimate</t>
        </is>
      </c>
      <c r="O293" t="b">
        <v>1</v>
      </c>
      <c r="P293" t="inlineStr">
        <is>
          <t>Medium</t>
        </is>
      </c>
      <c r="Q293" t="inlineStr">
        <is>
          <t>Reported_Emissions; Scope_Emissions</t>
        </is>
      </c>
      <c r="R293" t="inlineStr">
        <is>
          <t>Valid</t>
        </is>
      </c>
      <c r="S293" t="n">
        <v>2028</v>
      </c>
      <c r="T293" t="inlineStr">
        <is>
          <t>Supplier Target Pathway</t>
        </is>
      </c>
      <c r="U293" t="n">
        <v>21793.9654</v>
      </c>
      <c r="V293" t="n">
        <v>10519.9471</v>
      </c>
      <c r="W293" t="n">
        <v>16156.9562</v>
      </c>
      <c r="X293" t="n">
        <v>16156.9562</v>
      </c>
      <c r="Y293" t="n">
        <v>5637.0092</v>
      </c>
      <c r="Z293" t="n">
        <v>0.00043322</v>
      </c>
      <c r="AA293" t="n">
        <v>0.25865</v>
      </c>
      <c r="AB293" t="n">
        <v>5637.0092</v>
      </c>
      <c r="AC293" t="n">
        <v>805.287</v>
      </c>
      <c r="AD293" t="n">
        <v>46259.871</v>
      </c>
      <c r="AE293" t="n">
        <v>69459.5471</v>
      </c>
      <c r="AF293" t="n">
        <v>0.986</v>
      </c>
      <c r="AG293" t="inlineStr">
        <is>
          <t>Critical</t>
        </is>
      </c>
      <c r="AH293" t="inlineStr">
        <is>
          <t>On Track to Glide Path</t>
        </is>
      </c>
    </row>
    <row r="294">
      <c r="A294" t="inlineStr">
        <is>
          <t>SUP-0019</t>
        </is>
      </c>
      <c r="B294" t="inlineStr">
        <is>
          <t>Metals Supplier 019</t>
        </is>
      </c>
      <c r="C294" t="inlineStr">
        <is>
          <t>Metals</t>
        </is>
      </c>
      <c r="D294" t="n">
        <v>2024</v>
      </c>
      <c r="E294" t="n">
        <v>2021</v>
      </c>
      <c r="F294" t="n">
        <v>2035</v>
      </c>
      <c r="G294" t="inlineStr"/>
      <c r="H294" t="n">
        <v>3459.5557</v>
      </c>
      <c r="I294" t="inlineStr"/>
      <c r="J294" t="inlineStr"/>
      <c r="K294" t="n">
        <v>37295083.38</v>
      </c>
      <c r="L294" t="n">
        <v>66297440.8</v>
      </c>
      <c r="M294" t="n">
        <v>37554.2842</v>
      </c>
      <c r="N294" t="inlineStr">
        <is>
          <t>Spend-Based Estimate</t>
        </is>
      </c>
      <c r="O294" t="b">
        <v>1</v>
      </c>
      <c r="P294" t="inlineStr">
        <is>
          <t>Medium</t>
        </is>
      </c>
      <c r="Q294" t="inlineStr">
        <is>
          <t>Reported_Emissions; Scope_Emissions</t>
        </is>
      </c>
      <c r="R294" t="inlineStr">
        <is>
          <t>Valid</t>
        </is>
      </c>
      <c r="S294" t="n">
        <v>2029</v>
      </c>
      <c r="T294" t="inlineStr">
        <is>
          <t>Supplier Target Pathway</t>
        </is>
      </c>
      <c r="U294" t="n">
        <v>21793.9654</v>
      </c>
      <c r="V294" t="n">
        <v>10519.9471</v>
      </c>
      <c r="W294" t="n">
        <v>15351.6692</v>
      </c>
      <c r="X294" t="n">
        <v>15351.6692</v>
      </c>
      <c r="Y294" t="n">
        <v>6442.2962</v>
      </c>
      <c r="Z294" t="n">
        <v>0.00041163</v>
      </c>
      <c r="AA294" t="n">
        <v>0.2956</v>
      </c>
      <c r="AB294" t="n">
        <v>4831.7221</v>
      </c>
      <c r="AC294" t="n">
        <v>805.287</v>
      </c>
      <c r="AD294" t="n">
        <v>30908.2018</v>
      </c>
      <c r="AE294" t="n">
        <v>84811.2163</v>
      </c>
      <c r="AF294" t="n">
        <v>0.986</v>
      </c>
      <c r="AG294" t="inlineStr">
        <is>
          <t>Critical</t>
        </is>
      </c>
      <c r="AH294" t="inlineStr">
        <is>
          <t>On Track to Glide Path</t>
        </is>
      </c>
    </row>
    <row r="295">
      <c r="A295" t="inlineStr">
        <is>
          <t>SUP-0019</t>
        </is>
      </c>
      <c r="B295" t="inlineStr">
        <is>
          <t>Metals Supplier 019</t>
        </is>
      </c>
      <c r="C295" t="inlineStr">
        <is>
          <t>Metals</t>
        </is>
      </c>
      <c r="D295" t="n">
        <v>2024</v>
      </c>
      <c r="E295" t="n">
        <v>2021</v>
      </c>
      <c r="F295" t="n">
        <v>2035</v>
      </c>
      <c r="G295" t="inlineStr"/>
      <c r="H295" t="n">
        <v>3459.5557</v>
      </c>
      <c r="I295" t="inlineStr"/>
      <c r="J295" t="inlineStr"/>
      <c r="K295" t="n">
        <v>37295083.38</v>
      </c>
      <c r="L295" t="n">
        <v>66297440.8</v>
      </c>
      <c r="M295" t="n">
        <v>37554.2842</v>
      </c>
      <c r="N295" t="inlineStr">
        <is>
          <t>Spend-Based Estimate</t>
        </is>
      </c>
      <c r="O295" t="b">
        <v>1</v>
      </c>
      <c r="P295" t="inlineStr">
        <is>
          <t>Medium</t>
        </is>
      </c>
      <c r="Q295" t="inlineStr">
        <is>
          <t>Reported_Emissions; Scope_Emissions</t>
        </is>
      </c>
      <c r="R295" t="inlineStr">
        <is>
          <t>Valid</t>
        </is>
      </c>
      <c r="S295" t="n">
        <v>2030</v>
      </c>
      <c r="T295" t="inlineStr">
        <is>
          <t>Supplier Target Pathway</t>
        </is>
      </c>
      <c r="U295" t="n">
        <v>21793.9654</v>
      </c>
      <c r="V295" t="n">
        <v>10519.9471</v>
      </c>
      <c r="W295" t="n">
        <v>14546.3822</v>
      </c>
      <c r="X295" t="n">
        <v>14546.3822</v>
      </c>
      <c r="Y295" t="n">
        <v>7247.5832</v>
      </c>
      <c r="Z295" t="n">
        <v>0.00039003</v>
      </c>
      <c r="AA295" t="n">
        <v>0.33255</v>
      </c>
      <c r="AB295" t="n">
        <v>4026.4351</v>
      </c>
      <c r="AC295" t="n">
        <v>805.287</v>
      </c>
      <c r="AD295" t="n">
        <v>16361.8196</v>
      </c>
      <c r="AE295" t="n">
        <v>99357.59849999999</v>
      </c>
      <c r="AF295" t="n">
        <v>0.986</v>
      </c>
      <c r="AG295" t="inlineStr">
        <is>
          <t>Critical</t>
        </is>
      </c>
      <c r="AH295" t="inlineStr">
        <is>
          <t>On Track to Glide Path</t>
        </is>
      </c>
    </row>
    <row r="296">
      <c r="A296" t="inlineStr">
        <is>
          <t>SUP-0019</t>
        </is>
      </c>
      <c r="B296" t="inlineStr">
        <is>
          <t>Metals Supplier 019</t>
        </is>
      </c>
      <c r="C296" t="inlineStr">
        <is>
          <t>Metals</t>
        </is>
      </c>
      <c r="D296" t="n">
        <v>2024</v>
      </c>
      <c r="E296" t="n">
        <v>2021</v>
      </c>
      <c r="F296" t="n">
        <v>2035</v>
      </c>
      <c r="G296" t="inlineStr"/>
      <c r="H296" t="n">
        <v>3459.5557</v>
      </c>
      <c r="I296" t="inlineStr"/>
      <c r="J296" t="inlineStr"/>
      <c r="K296" t="n">
        <v>37295083.38</v>
      </c>
      <c r="L296" t="n">
        <v>66297440.8</v>
      </c>
      <c r="M296" t="n">
        <v>37554.2842</v>
      </c>
      <c r="N296" t="inlineStr">
        <is>
          <t>Spend-Based Estimate</t>
        </is>
      </c>
      <c r="O296" t="b">
        <v>1</v>
      </c>
      <c r="P296" t="inlineStr">
        <is>
          <t>Medium</t>
        </is>
      </c>
      <c r="Q296" t="inlineStr">
        <is>
          <t>Reported_Emissions; Scope_Emissions</t>
        </is>
      </c>
      <c r="R296" t="inlineStr">
        <is>
          <t>Valid</t>
        </is>
      </c>
      <c r="S296" t="n">
        <v>2031</v>
      </c>
      <c r="T296" t="inlineStr">
        <is>
          <t>Supplier Target Pathway</t>
        </is>
      </c>
      <c r="U296" t="n">
        <v>21793.9654</v>
      </c>
      <c r="V296" t="n">
        <v>10519.9471</v>
      </c>
      <c r="W296" t="n">
        <v>13741.0952</v>
      </c>
      <c r="X296" t="n">
        <v>13741.0952</v>
      </c>
      <c r="Y296" t="n">
        <v>8052.8702</v>
      </c>
      <c r="Z296" t="n">
        <v>0.00036844</v>
      </c>
      <c r="AA296" t="n">
        <v>0.3695</v>
      </c>
      <c r="AB296" t="n">
        <v>3221.1481</v>
      </c>
      <c r="AC296" t="n">
        <v>805.287</v>
      </c>
      <c r="AD296" t="n">
        <v>2620.7244</v>
      </c>
      <c r="AE296" t="n">
        <v>113098.6937</v>
      </c>
      <c r="AF296" t="n">
        <v>0.986</v>
      </c>
      <c r="AG296" t="inlineStr">
        <is>
          <t>High</t>
        </is>
      </c>
      <c r="AH296" t="inlineStr">
        <is>
          <t>On Track to Glide Path</t>
        </is>
      </c>
    </row>
    <row r="297">
      <c r="A297" t="inlineStr">
        <is>
          <t>SUP-0019</t>
        </is>
      </c>
      <c r="B297" t="inlineStr">
        <is>
          <t>Metals Supplier 019</t>
        </is>
      </c>
      <c r="C297" t="inlineStr">
        <is>
          <t>Metals</t>
        </is>
      </c>
      <c r="D297" t="n">
        <v>2024</v>
      </c>
      <c r="E297" t="n">
        <v>2021</v>
      </c>
      <c r="F297" t="n">
        <v>2035</v>
      </c>
      <c r="G297" t="inlineStr"/>
      <c r="H297" t="n">
        <v>3459.5557</v>
      </c>
      <c r="I297" t="inlineStr"/>
      <c r="J297" t="inlineStr"/>
      <c r="K297" t="n">
        <v>37295083.38</v>
      </c>
      <c r="L297" t="n">
        <v>66297440.8</v>
      </c>
      <c r="M297" t="n">
        <v>37554.2842</v>
      </c>
      <c r="N297" t="inlineStr">
        <is>
          <t>Spend-Based Estimate</t>
        </is>
      </c>
      <c r="O297" t="b">
        <v>1</v>
      </c>
      <c r="P297" t="inlineStr">
        <is>
          <t>Medium</t>
        </is>
      </c>
      <c r="Q297" t="inlineStr">
        <is>
          <t>Reported_Emissions; Scope_Emissions</t>
        </is>
      </c>
      <c r="R297" t="inlineStr">
        <is>
          <t>Valid</t>
        </is>
      </c>
      <c r="S297" t="n">
        <v>2032</v>
      </c>
      <c r="T297" t="inlineStr">
        <is>
          <t>Supplier Target Pathway</t>
        </is>
      </c>
      <c r="U297" t="n">
        <v>21793.9654</v>
      </c>
      <c r="V297" t="n">
        <v>10519.9471</v>
      </c>
      <c r="W297" t="n">
        <v>12935.8082</v>
      </c>
      <c r="X297" t="n">
        <v>12935.8082</v>
      </c>
      <c r="Y297" t="n">
        <v>8858.1572</v>
      </c>
      <c r="Z297" t="n">
        <v>0.00034685</v>
      </c>
      <c r="AA297" t="n">
        <v>0.40645</v>
      </c>
      <c r="AB297" t="n">
        <v>2415.8611</v>
      </c>
      <c r="AC297" t="n">
        <v>805.287</v>
      </c>
      <c r="AD297" t="n">
        <v>-10315.0838</v>
      </c>
      <c r="AE297" t="n">
        <v>126034.5019</v>
      </c>
      <c r="AF297" t="n">
        <v>0.986</v>
      </c>
      <c r="AG297" t="inlineStr">
        <is>
          <t>High</t>
        </is>
      </c>
      <c r="AH297" t="inlineStr">
        <is>
          <t>On Track to Glide Path</t>
        </is>
      </c>
    </row>
    <row r="298">
      <c r="A298" t="inlineStr">
        <is>
          <t>SUP-0019</t>
        </is>
      </c>
      <c r="B298" t="inlineStr">
        <is>
          <t>Metals Supplier 019</t>
        </is>
      </c>
      <c r="C298" t="inlineStr">
        <is>
          <t>Metals</t>
        </is>
      </c>
      <c r="D298" t="n">
        <v>2024</v>
      </c>
      <c r="E298" t="n">
        <v>2021</v>
      </c>
      <c r="F298" t="n">
        <v>2035</v>
      </c>
      <c r="G298" t="inlineStr"/>
      <c r="H298" t="n">
        <v>3459.5557</v>
      </c>
      <c r="I298" t="inlineStr"/>
      <c r="J298" t="inlineStr"/>
      <c r="K298" t="n">
        <v>37295083.38</v>
      </c>
      <c r="L298" t="n">
        <v>66297440.8</v>
      </c>
      <c r="M298" t="n">
        <v>37554.2842</v>
      </c>
      <c r="N298" t="inlineStr">
        <is>
          <t>Spend-Based Estimate</t>
        </is>
      </c>
      <c r="O298" t="b">
        <v>1</v>
      </c>
      <c r="P298" t="inlineStr">
        <is>
          <t>Medium</t>
        </is>
      </c>
      <c r="Q298" t="inlineStr">
        <is>
          <t>Reported_Emissions; Scope_Emissions</t>
        </is>
      </c>
      <c r="R298" t="inlineStr">
        <is>
          <t>Valid</t>
        </is>
      </c>
      <c r="S298" t="n">
        <v>2033</v>
      </c>
      <c r="T298" t="inlineStr">
        <is>
          <t>Supplier Target Pathway</t>
        </is>
      </c>
      <c r="U298" t="n">
        <v>21793.9654</v>
      </c>
      <c r="V298" t="n">
        <v>10519.9471</v>
      </c>
      <c r="W298" t="n">
        <v>12130.5211</v>
      </c>
      <c r="X298" t="n">
        <v>12130.5211</v>
      </c>
      <c r="Y298" t="n">
        <v>9663.444299999999</v>
      </c>
      <c r="Z298" t="n">
        <v>0.00032526</v>
      </c>
      <c r="AA298" t="n">
        <v>0.4434</v>
      </c>
      <c r="AB298" t="n">
        <v>1610.574</v>
      </c>
      <c r="AC298" t="n">
        <v>805.287</v>
      </c>
      <c r="AD298" t="n">
        <v>-22445.6049</v>
      </c>
      <c r="AE298" t="n">
        <v>138165.023</v>
      </c>
      <c r="AF298" t="n">
        <v>0.986</v>
      </c>
      <c r="AG298" t="inlineStr">
        <is>
          <t>High</t>
        </is>
      </c>
      <c r="AH298" t="inlineStr">
        <is>
          <t>On Track to Glide Path</t>
        </is>
      </c>
    </row>
    <row r="299">
      <c r="A299" t="inlineStr">
        <is>
          <t>SUP-0019</t>
        </is>
      </c>
      <c r="B299" t="inlineStr">
        <is>
          <t>Metals Supplier 019</t>
        </is>
      </c>
      <c r="C299" t="inlineStr">
        <is>
          <t>Metals</t>
        </is>
      </c>
      <c r="D299" t="n">
        <v>2024</v>
      </c>
      <c r="E299" t="n">
        <v>2021</v>
      </c>
      <c r="F299" t="n">
        <v>2035</v>
      </c>
      <c r="G299" t="inlineStr"/>
      <c r="H299" t="n">
        <v>3459.5557</v>
      </c>
      <c r="I299" t="inlineStr"/>
      <c r="J299" t="inlineStr"/>
      <c r="K299" t="n">
        <v>37295083.38</v>
      </c>
      <c r="L299" t="n">
        <v>66297440.8</v>
      </c>
      <c r="M299" t="n">
        <v>37554.2842</v>
      </c>
      <c r="N299" t="inlineStr">
        <is>
          <t>Spend-Based Estimate</t>
        </is>
      </c>
      <c r="O299" t="b">
        <v>1</v>
      </c>
      <c r="P299" t="inlineStr">
        <is>
          <t>Medium</t>
        </is>
      </c>
      <c r="Q299" t="inlineStr">
        <is>
          <t>Reported_Emissions; Scope_Emissions</t>
        </is>
      </c>
      <c r="R299" t="inlineStr">
        <is>
          <t>Valid</t>
        </is>
      </c>
      <c r="S299" t="n">
        <v>2034</v>
      </c>
      <c r="T299" t="inlineStr">
        <is>
          <t>Supplier Target Pathway</t>
        </is>
      </c>
      <c r="U299" t="n">
        <v>21793.9654</v>
      </c>
      <c r="V299" t="n">
        <v>10519.9471</v>
      </c>
      <c r="W299" t="n">
        <v>11325.2341</v>
      </c>
      <c r="X299" t="n">
        <v>11325.2341</v>
      </c>
      <c r="Y299" t="n">
        <v>10468.7313</v>
      </c>
      <c r="Z299" t="n">
        <v>0.00030367</v>
      </c>
      <c r="AA299" t="n">
        <v>0.48035</v>
      </c>
      <c r="AB299" t="n">
        <v>805.287</v>
      </c>
      <c r="AC299" t="n">
        <v>805.287</v>
      </c>
      <c r="AD299" t="n">
        <v>-33770.839</v>
      </c>
      <c r="AE299" t="n">
        <v>149490.2571</v>
      </c>
      <c r="AF299" t="n">
        <v>0.986</v>
      </c>
      <c r="AG299" t="inlineStr">
        <is>
          <t>Medium</t>
        </is>
      </c>
      <c r="AH299" t="inlineStr">
        <is>
          <t>On Track to Glide Path</t>
        </is>
      </c>
    </row>
    <row r="300">
      <c r="A300" t="inlineStr">
        <is>
          <t>SUP-0019</t>
        </is>
      </c>
      <c r="B300" t="inlineStr">
        <is>
          <t>Metals Supplier 019</t>
        </is>
      </c>
      <c r="C300" t="inlineStr">
        <is>
          <t>Metals</t>
        </is>
      </c>
      <c r="D300" t="n">
        <v>2024</v>
      </c>
      <c r="E300" t="n">
        <v>2021</v>
      </c>
      <c r="F300" t="n">
        <v>2035</v>
      </c>
      <c r="G300" t="inlineStr"/>
      <c r="H300" t="n">
        <v>3459.5557</v>
      </c>
      <c r="I300" t="inlineStr"/>
      <c r="J300" t="inlineStr"/>
      <c r="K300" t="n">
        <v>37295083.38</v>
      </c>
      <c r="L300" t="n">
        <v>66297440.8</v>
      </c>
      <c r="M300" t="n">
        <v>37554.2842</v>
      </c>
      <c r="N300" t="inlineStr">
        <is>
          <t>Spend-Based Estimate</t>
        </is>
      </c>
      <c r="O300" t="b">
        <v>1</v>
      </c>
      <c r="P300" t="inlineStr">
        <is>
          <t>Medium</t>
        </is>
      </c>
      <c r="Q300" t="inlineStr">
        <is>
          <t>Reported_Emissions; Scope_Emissions</t>
        </is>
      </c>
      <c r="R300" t="inlineStr">
        <is>
          <t>Valid</t>
        </is>
      </c>
      <c r="S300" t="n">
        <v>2035</v>
      </c>
      <c r="T300" t="inlineStr">
        <is>
          <t>Supplier Target Pathway</t>
        </is>
      </c>
      <c r="U300" t="n">
        <v>21793.9654</v>
      </c>
      <c r="V300" t="n">
        <v>10519.9471</v>
      </c>
      <c r="W300" t="n">
        <v>10519.9471</v>
      </c>
      <c r="X300" t="n">
        <v>10519.9471</v>
      </c>
      <c r="Y300" t="n">
        <v>11274.0183</v>
      </c>
      <c r="Z300" t="n">
        <v>0.00028207</v>
      </c>
      <c r="AA300" t="n">
        <v>0.5173</v>
      </c>
      <c r="AB300" t="n">
        <v>0</v>
      </c>
      <c r="AC300" t="n">
        <v>805.287</v>
      </c>
      <c r="AD300" t="n">
        <v>-44290.7861</v>
      </c>
      <c r="AE300" t="n">
        <v>160010.2042</v>
      </c>
      <c r="AF300" t="n">
        <v>0.986</v>
      </c>
      <c r="AG300" t="inlineStr">
        <is>
          <t>Low</t>
        </is>
      </c>
      <c r="AH300" t="inlineStr">
        <is>
          <t>On Track</t>
        </is>
      </c>
    </row>
    <row r="301">
      <c r="A301" t="inlineStr">
        <is>
          <t>SUP-0019</t>
        </is>
      </c>
      <c r="B301" t="inlineStr">
        <is>
          <t>Metals Supplier 019</t>
        </is>
      </c>
      <c r="C301" t="inlineStr">
        <is>
          <t>Metals</t>
        </is>
      </c>
      <c r="D301" t="n">
        <v>2024</v>
      </c>
      <c r="E301" t="n">
        <v>2021</v>
      </c>
      <c r="F301" t="n">
        <v>2035</v>
      </c>
      <c r="G301" t="inlineStr"/>
      <c r="H301" t="n">
        <v>3459.5557</v>
      </c>
      <c r="I301" t="inlineStr"/>
      <c r="J301" t="inlineStr"/>
      <c r="K301" t="n">
        <v>37295083.38</v>
      </c>
      <c r="L301" t="n">
        <v>66297440.8</v>
      </c>
      <c r="M301" t="n">
        <v>37554.2842</v>
      </c>
      <c r="N301" t="inlineStr">
        <is>
          <t>Spend-Based Estimate</t>
        </is>
      </c>
      <c r="O301" t="b">
        <v>1</v>
      </c>
      <c r="P301" t="inlineStr">
        <is>
          <t>Medium</t>
        </is>
      </c>
      <c r="Q301" t="inlineStr">
        <is>
          <t>Reported_Emissions; Scope_Emissions</t>
        </is>
      </c>
      <c r="R301" t="inlineStr">
        <is>
          <t>Valid</t>
        </is>
      </c>
      <c r="S301" t="n">
        <v>2036</v>
      </c>
      <c r="T301" t="inlineStr">
        <is>
          <t>Supplier Target Pathway</t>
        </is>
      </c>
      <c r="U301" t="n">
        <v>21793.9654</v>
      </c>
      <c r="V301" t="n">
        <v>10519.9471</v>
      </c>
      <c r="W301" t="n">
        <v>10519.9471</v>
      </c>
      <c r="X301" t="n">
        <v>10519.9471</v>
      </c>
      <c r="Y301" t="n">
        <v>11274.0183</v>
      </c>
      <c r="Z301" t="n">
        <v>0.00028207</v>
      </c>
      <c r="AA301" t="n">
        <v>0.5173</v>
      </c>
      <c r="AB301" t="n">
        <v>0</v>
      </c>
      <c r="AC301" t="n">
        <v>805.287</v>
      </c>
      <c r="AD301" t="n">
        <v>-54810.7332</v>
      </c>
      <c r="AE301" t="n">
        <v>170530.1513</v>
      </c>
      <c r="AF301" t="n">
        <v>0.986</v>
      </c>
      <c r="AG301" t="inlineStr">
        <is>
          <t>Low</t>
        </is>
      </c>
      <c r="AH301" t="inlineStr">
        <is>
          <t>On Track</t>
        </is>
      </c>
    </row>
    <row r="302">
      <c r="A302" t="inlineStr">
        <is>
          <t>SUP-0019</t>
        </is>
      </c>
      <c r="B302" t="inlineStr">
        <is>
          <t>Metals Supplier 019</t>
        </is>
      </c>
      <c r="C302" t="inlineStr">
        <is>
          <t>Metals</t>
        </is>
      </c>
      <c r="D302" t="n">
        <v>2024</v>
      </c>
      <c r="E302" t="n">
        <v>2021</v>
      </c>
      <c r="F302" t="n">
        <v>2035</v>
      </c>
      <c r="G302" t="inlineStr"/>
      <c r="H302" t="n">
        <v>3459.5557</v>
      </c>
      <c r="I302" t="inlineStr"/>
      <c r="J302" t="inlineStr"/>
      <c r="K302" t="n">
        <v>37295083.38</v>
      </c>
      <c r="L302" t="n">
        <v>66297440.8</v>
      </c>
      <c r="M302" t="n">
        <v>37554.2842</v>
      </c>
      <c r="N302" t="inlineStr">
        <is>
          <t>Spend-Based Estimate</t>
        </is>
      </c>
      <c r="O302" t="b">
        <v>1</v>
      </c>
      <c r="P302" t="inlineStr">
        <is>
          <t>Medium</t>
        </is>
      </c>
      <c r="Q302" t="inlineStr">
        <is>
          <t>Reported_Emissions; Scope_Emissions</t>
        </is>
      </c>
      <c r="R302" t="inlineStr">
        <is>
          <t>Valid</t>
        </is>
      </c>
      <c r="S302" t="n">
        <v>2037</v>
      </c>
      <c r="T302" t="inlineStr">
        <is>
          <t>Supplier Target Pathway</t>
        </is>
      </c>
      <c r="U302" t="n">
        <v>21793.9654</v>
      </c>
      <c r="V302" t="n">
        <v>10519.9471</v>
      </c>
      <c r="W302" t="n">
        <v>10519.9471</v>
      </c>
      <c r="X302" t="n">
        <v>10519.9471</v>
      </c>
      <c r="Y302" t="n">
        <v>11274.0183</v>
      </c>
      <c r="Z302" t="n">
        <v>0.00028207</v>
      </c>
      <c r="AA302" t="n">
        <v>0.5173</v>
      </c>
      <c r="AB302" t="n">
        <v>0</v>
      </c>
      <c r="AC302" t="n">
        <v>805.287</v>
      </c>
      <c r="AD302" t="n">
        <v>-65330.6803</v>
      </c>
      <c r="AE302" t="n">
        <v>181050.0984</v>
      </c>
      <c r="AF302" t="n">
        <v>0.986</v>
      </c>
      <c r="AG302" t="inlineStr">
        <is>
          <t>Low</t>
        </is>
      </c>
      <c r="AH302" t="inlineStr">
        <is>
          <t>On Track</t>
        </is>
      </c>
    </row>
    <row r="303">
      <c r="A303" t="inlineStr">
        <is>
          <t>SUP-0019</t>
        </is>
      </c>
      <c r="B303" t="inlineStr">
        <is>
          <t>Metals Supplier 019</t>
        </is>
      </c>
      <c r="C303" t="inlineStr">
        <is>
          <t>Metals</t>
        </is>
      </c>
      <c r="D303" t="n">
        <v>2024</v>
      </c>
      <c r="E303" t="n">
        <v>2021</v>
      </c>
      <c r="F303" t="n">
        <v>2035</v>
      </c>
      <c r="G303" t="inlineStr"/>
      <c r="H303" t="n">
        <v>3459.5557</v>
      </c>
      <c r="I303" t="inlineStr"/>
      <c r="J303" t="inlineStr"/>
      <c r="K303" t="n">
        <v>37295083.38</v>
      </c>
      <c r="L303" t="n">
        <v>66297440.8</v>
      </c>
      <c r="M303" t="n">
        <v>37554.2842</v>
      </c>
      <c r="N303" t="inlineStr">
        <is>
          <t>Spend-Based Estimate</t>
        </is>
      </c>
      <c r="O303" t="b">
        <v>1</v>
      </c>
      <c r="P303" t="inlineStr">
        <is>
          <t>Medium</t>
        </is>
      </c>
      <c r="Q303" t="inlineStr">
        <is>
          <t>Reported_Emissions; Scope_Emissions</t>
        </is>
      </c>
      <c r="R303" t="inlineStr">
        <is>
          <t>Valid</t>
        </is>
      </c>
      <c r="S303" t="n">
        <v>2038</v>
      </c>
      <c r="T303" t="inlineStr">
        <is>
          <t>Supplier Target Pathway</t>
        </is>
      </c>
      <c r="U303" t="n">
        <v>21793.9654</v>
      </c>
      <c r="V303" t="n">
        <v>10519.9471</v>
      </c>
      <c r="W303" t="n">
        <v>10519.9471</v>
      </c>
      <c r="X303" t="n">
        <v>10519.9471</v>
      </c>
      <c r="Y303" t="n">
        <v>11274.0183</v>
      </c>
      <c r="Z303" t="n">
        <v>0.00028207</v>
      </c>
      <c r="AA303" t="n">
        <v>0.5173</v>
      </c>
      <c r="AB303" t="n">
        <v>0</v>
      </c>
      <c r="AC303" t="n">
        <v>805.287</v>
      </c>
      <c r="AD303" t="n">
        <v>-75850.6274</v>
      </c>
      <c r="AE303" t="n">
        <v>191570.0455</v>
      </c>
      <c r="AF303" t="n">
        <v>0.986</v>
      </c>
      <c r="AG303" t="inlineStr">
        <is>
          <t>Low</t>
        </is>
      </c>
      <c r="AH303" t="inlineStr">
        <is>
          <t>On Track</t>
        </is>
      </c>
    </row>
    <row r="304">
      <c r="A304" t="inlineStr">
        <is>
          <t>SUP-0019</t>
        </is>
      </c>
      <c r="B304" t="inlineStr">
        <is>
          <t>Metals Supplier 019</t>
        </is>
      </c>
      <c r="C304" t="inlineStr">
        <is>
          <t>Metals</t>
        </is>
      </c>
      <c r="D304" t="n">
        <v>2024</v>
      </c>
      <c r="E304" t="n">
        <v>2021</v>
      </c>
      <c r="F304" t="n">
        <v>2035</v>
      </c>
      <c r="G304" t="inlineStr"/>
      <c r="H304" t="n">
        <v>3459.5557</v>
      </c>
      <c r="I304" t="inlineStr"/>
      <c r="J304" t="inlineStr"/>
      <c r="K304" t="n">
        <v>37295083.38</v>
      </c>
      <c r="L304" t="n">
        <v>66297440.8</v>
      </c>
      <c r="M304" t="n">
        <v>37554.2842</v>
      </c>
      <c r="N304" t="inlineStr">
        <is>
          <t>Spend-Based Estimate</t>
        </is>
      </c>
      <c r="O304" t="b">
        <v>1</v>
      </c>
      <c r="P304" t="inlineStr">
        <is>
          <t>Medium</t>
        </is>
      </c>
      <c r="Q304" t="inlineStr">
        <is>
          <t>Reported_Emissions; Scope_Emissions</t>
        </is>
      </c>
      <c r="R304" t="inlineStr">
        <is>
          <t>Valid</t>
        </is>
      </c>
      <c r="S304" t="n">
        <v>2039</v>
      </c>
      <c r="T304" t="inlineStr">
        <is>
          <t>Supplier Target Pathway</t>
        </is>
      </c>
      <c r="U304" t="n">
        <v>21793.9654</v>
      </c>
      <c r="V304" t="n">
        <v>10519.9471</v>
      </c>
      <c r="W304" t="n">
        <v>10519.9471</v>
      </c>
      <c r="X304" t="n">
        <v>10519.9471</v>
      </c>
      <c r="Y304" t="n">
        <v>11274.0183</v>
      </c>
      <c r="Z304" t="n">
        <v>0.00028207</v>
      </c>
      <c r="AA304" t="n">
        <v>0.5173</v>
      </c>
      <c r="AB304" t="n">
        <v>0</v>
      </c>
      <c r="AC304" t="n">
        <v>805.287</v>
      </c>
      <c r="AD304" t="n">
        <v>-86370.5745</v>
      </c>
      <c r="AE304" t="n">
        <v>202089.9926</v>
      </c>
      <c r="AF304" t="n">
        <v>0.986</v>
      </c>
      <c r="AG304" t="inlineStr">
        <is>
          <t>Low</t>
        </is>
      </c>
      <c r="AH304" t="inlineStr">
        <is>
          <t>On Track</t>
        </is>
      </c>
    </row>
    <row r="305">
      <c r="A305" t="inlineStr">
        <is>
          <t>SUP-0019</t>
        </is>
      </c>
      <c r="B305" t="inlineStr">
        <is>
          <t>Metals Supplier 019</t>
        </is>
      </c>
      <c r="C305" t="inlineStr">
        <is>
          <t>Metals</t>
        </is>
      </c>
      <c r="D305" t="n">
        <v>2024</v>
      </c>
      <c r="E305" t="n">
        <v>2021</v>
      </c>
      <c r="F305" t="n">
        <v>2035</v>
      </c>
      <c r="G305" t="inlineStr"/>
      <c r="H305" t="n">
        <v>3459.5557</v>
      </c>
      <c r="I305" t="inlineStr"/>
      <c r="J305" t="inlineStr"/>
      <c r="K305" t="n">
        <v>37295083.38</v>
      </c>
      <c r="L305" t="n">
        <v>66297440.8</v>
      </c>
      <c r="M305" t="n">
        <v>37554.2842</v>
      </c>
      <c r="N305" t="inlineStr">
        <is>
          <t>Spend-Based Estimate</t>
        </is>
      </c>
      <c r="O305" t="b">
        <v>1</v>
      </c>
      <c r="P305" t="inlineStr">
        <is>
          <t>Medium</t>
        </is>
      </c>
      <c r="Q305" t="inlineStr">
        <is>
          <t>Reported_Emissions; Scope_Emissions</t>
        </is>
      </c>
      <c r="R305" t="inlineStr">
        <is>
          <t>Valid</t>
        </is>
      </c>
      <c r="S305" t="n">
        <v>2040</v>
      </c>
      <c r="T305" t="inlineStr">
        <is>
          <t>Supplier Target Pathway</t>
        </is>
      </c>
      <c r="U305" t="n">
        <v>21793.9654</v>
      </c>
      <c r="V305" t="n">
        <v>10519.9471</v>
      </c>
      <c r="W305" t="n">
        <v>10519.9471</v>
      </c>
      <c r="X305" t="n">
        <v>10519.9471</v>
      </c>
      <c r="Y305" t="n">
        <v>11274.0183</v>
      </c>
      <c r="Z305" t="n">
        <v>0.00028207</v>
      </c>
      <c r="AA305" t="n">
        <v>0.5173</v>
      </c>
      <c r="AB305" t="n">
        <v>0</v>
      </c>
      <c r="AC305" t="n">
        <v>805.287</v>
      </c>
      <c r="AD305" t="n">
        <v>-96890.52159999999</v>
      </c>
      <c r="AE305" t="n">
        <v>212609.9397</v>
      </c>
      <c r="AF305" t="n">
        <v>0.986</v>
      </c>
      <c r="AG305" t="inlineStr">
        <is>
          <t>Low</t>
        </is>
      </c>
      <c r="AH305" t="inlineStr">
        <is>
          <t>On Track</t>
        </is>
      </c>
    </row>
    <row r="306">
      <c r="A306" t="inlineStr">
        <is>
          <t>SUP-0020</t>
        </is>
      </c>
      <c r="B306" t="inlineStr">
        <is>
          <t>Logistics Supplier 020</t>
        </is>
      </c>
      <c r="C306" t="inlineStr">
        <is>
          <t>Logistics</t>
        </is>
      </c>
      <c r="D306" t="n">
        <v>2024</v>
      </c>
      <c r="E306" t="n">
        <v>2020</v>
      </c>
      <c r="F306" t="n">
        <v>2035</v>
      </c>
      <c r="G306" t="n">
        <v>3981.359</v>
      </c>
      <c r="H306" t="inlineStr"/>
      <c r="I306" t="n">
        <v>922.1822</v>
      </c>
      <c r="J306" t="n">
        <v>2042.0147</v>
      </c>
      <c r="K306" t="n">
        <v>16706856.05</v>
      </c>
      <c r="L306" t="n">
        <v>90210085.53</v>
      </c>
      <c r="M306" t="n">
        <v>3981.359</v>
      </c>
      <c r="N306" t="inlineStr">
        <is>
          <t>Supplier Reported Emissions</t>
        </is>
      </c>
      <c r="O306" t="b">
        <v>0</v>
      </c>
      <c r="P306" t="inlineStr">
        <is>
          <t>High</t>
        </is>
      </c>
      <c r="Q306" t="inlineStr">
        <is>
          <t>Scope_Emissions</t>
        </is>
      </c>
      <c r="R306" t="inlineStr">
        <is>
          <t>Valid</t>
        </is>
      </c>
      <c r="S306" t="n">
        <v>2025</v>
      </c>
      <c r="T306" t="inlineStr">
        <is>
          <t>Supplier Target Pathway</t>
        </is>
      </c>
      <c r="U306" t="n">
        <v>3808.153</v>
      </c>
      <c r="V306" t="n">
        <v>1264.3068</v>
      </c>
      <c r="W306" t="n">
        <v>2960.2043</v>
      </c>
      <c r="X306" t="n">
        <v>2960.2043</v>
      </c>
      <c r="Y306" t="n">
        <v>847.9487</v>
      </c>
      <c r="Z306" t="n">
        <v>0.00017718</v>
      </c>
      <c r="AA306" t="n">
        <v>0.222667</v>
      </c>
      <c r="AB306" t="n">
        <v>1695.8975</v>
      </c>
      <c r="AC306" t="n">
        <v>169.5897</v>
      </c>
      <c r="AD306" t="n">
        <v>10947.1705</v>
      </c>
      <c r="AE306" t="n">
        <v>2960.2043</v>
      </c>
      <c r="AF306" t="n">
        <v>0.975</v>
      </c>
      <c r="AG306" t="inlineStr">
        <is>
          <t>Critical</t>
        </is>
      </c>
      <c r="AH306" t="inlineStr">
        <is>
          <t>On Track to Glide Path</t>
        </is>
      </c>
    </row>
    <row r="307">
      <c r="A307" t="inlineStr">
        <is>
          <t>SUP-0020</t>
        </is>
      </c>
      <c r="B307" t="inlineStr">
        <is>
          <t>Logistics Supplier 020</t>
        </is>
      </c>
      <c r="C307" t="inlineStr">
        <is>
          <t>Logistics</t>
        </is>
      </c>
      <c r="D307" t="n">
        <v>2024</v>
      </c>
      <c r="E307" t="n">
        <v>2020</v>
      </c>
      <c r="F307" t="n">
        <v>2035</v>
      </c>
      <c r="G307" t="n">
        <v>3981.359</v>
      </c>
      <c r="H307" t="inlineStr"/>
      <c r="I307" t="n">
        <v>922.1822</v>
      </c>
      <c r="J307" t="n">
        <v>2042.0147</v>
      </c>
      <c r="K307" t="n">
        <v>16706856.05</v>
      </c>
      <c r="L307" t="n">
        <v>90210085.53</v>
      </c>
      <c r="M307" t="n">
        <v>3981.359</v>
      </c>
      <c r="N307" t="inlineStr">
        <is>
          <t>Supplier Reported Emissions</t>
        </is>
      </c>
      <c r="O307" t="b">
        <v>0</v>
      </c>
      <c r="P307" t="inlineStr">
        <is>
          <t>High</t>
        </is>
      </c>
      <c r="Q307" t="inlineStr">
        <is>
          <t>Scope_Emissions</t>
        </is>
      </c>
      <c r="R307" t="inlineStr">
        <is>
          <t>Valid</t>
        </is>
      </c>
      <c r="S307" t="n">
        <v>2026</v>
      </c>
      <c r="T307" t="inlineStr">
        <is>
          <t>Supplier Target Pathway</t>
        </is>
      </c>
      <c r="U307" t="n">
        <v>3808.153</v>
      </c>
      <c r="V307" t="n">
        <v>1264.3068</v>
      </c>
      <c r="W307" t="n">
        <v>2790.6145</v>
      </c>
      <c r="X307" t="n">
        <v>2790.6145</v>
      </c>
      <c r="Y307" t="n">
        <v>1017.5385</v>
      </c>
      <c r="Z307" t="n">
        <v>0.00016703</v>
      </c>
      <c r="AA307" t="n">
        <v>0.2672</v>
      </c>
      <c r="AB307" t="n">
        <v>1526.3077</v>
      </c>
      <c r="AC307" t="n">
        <v>169.5897</v>
      </c>
      <c r="AD307" t="n">
        <v>8156.556</v>
      </c>
      <c r="AE307" t="n">
        <v>5750.8188</v>
      </c>
      <c r="AF307" t="n">
        <v>0.975</v>
      </c>
      <c r="AG307" t="inlineStr">
        <is>
          <t>Critical</t>
        </is>
      </c>
      <c r="AH307" t="inlineStr">
        <is>
          <t>On Track to Glide Path</t>
        </is>
      </c>
    </row>
    <row r="308">
      <c r="A308" t="inlineStr">
        <is>
          <t>SUP-0020</t>
        </is>
      </c>
      <c r="B308" t="inlineStr">
        <is>
          <t>Logistics Supplier 020</t>
        </is>
      </c>
      <c r="C308" t="inlineStr">
        <is>
          <t>Logistics</t>
        </is>
      </c>
      <c r="D308" t="n">
        <v>2024</v>
      </c>
      <c r="E308" t="n">
        <v>2020</v>
      </c>
      <c r="F308" t="n">
        <v>2035</v>
      </c>
      <c r="G308" t="n">
        <v>3981.359</v>
      </c>
      <c r="H308" t="inlineStr"/>
      <c r="I308" t="n">
        <v>922.1822</v>
      </c>
      <c r="J308" t="n">
        <v>2042.0147</v>
      </c>
      <c r="K308" t="n">
        <v>16706856.05</v>
      </c>
      <c r="L308" t="n">
        <v>90210085.53</v>
      </c>
      <c r="M308" t="n">
        <v>3981.359</v>
      </c>
      <c r="N308" t="inlineStr">
        <is>
          <t>Supplier Reported Emissions</t>
        </is>
      </c>
      <c r="O308" t="b">
        <v>0</v>
      </c>
      <c r="P308" t="inlineStr">
        <is>
          <t>High</t>
        </is>
      </c>
      <c r="Q308" t="inlineStr">
        <is>
          <t>Scope_Emissions</t>
        </is>
      </c>
      <c r="R308" t="inlineStr">
        <is>
          <t>Valid</t>
        </is>
      </c>
      <c r="S308" t="n">
        <v>2027</v>
      </c>
      <c r="T308" t="inlineStr">
        <is>
          <t>Supplier Target Pathway</t>
        </is>
      </c>
      <c r="U308" t="n">
        <v>3808.153</v>
      </c>
      <c r="V308" t="n">
        <v>1264.3068</v>
      </c>
      <c r="W308" t="n">
        <v>2621.0248</v>
      </c>
      <c r="X308" t="n">
        <v>2621.0248</v>
      </c>
      <c r="Y308" t="n">
        <v>1187.1282</v>
      </c>
      <c r="Z308" t="n">
        <v>0.00015688</v>
      </c>
      <c r="AA308" t="n">
        <v>0.311733</v>
      </c>
      <c r="AB308" t="n">
        <v>1356.718</v>
      </c>
      <c r="AC308" t="n">
        <v>169.5897</v>
      </c>
      <c r="AD308" t="n">
        <v>5535.5312</v>
      </c>
      <c r="AE308" t="n">
        <v>8371.8436</v>
      </c>
      <c r="AF308" t="n">
        <v>0.975</v>
      </c>
      <c r="AG308" t="inlineStr">
        <is>
          <t>Critical</t>
        </is>
      </c>
      <c r="AH308" t="inlineStr">
        <is>
          <t>On Track to Glide Path</t>
        </is>
      </c>
    </row>
    <row r="309">
      <c r="A309" t="inlineStr">
        <is>
          <t>SUP-0020</t>
        </is>
      </c>
      <c r="B309" t="inlineStr">
        <is>
          <t>Logistics Supplier 020</t>
        </is>
      </c>
      <c r="C309" t="inlineStr">
        <is>
          <t>Logistics</t>
        </is>
      </c>
      <c r="D309" t="n">
        <v>2024</v>
      </c>
      <c r="E309" t="n">
        <v>2020</v>
      </c>
      <c r="F309" t="n">
        <v>2035</v>
      </c>
      <c r="G309" t="n">
        <v>3981.359</v>
      </c>
      <c r="H309" t="inlineStr"/>
      <c r="I309" t="n">
        <v>922.1822</v>
      </c>
      <c r="J309" t="n">
        <v>2042.0147</v>
      </c>
      <c r="K309" t="n">
        <v>16706856.05</v>
      </c>
      <c r="L309" t="n">
        <v>90210085.53</v>
      </c>
      <c r="M309" t="n">
        <v>3981.359</v>
      </c>
      <c r="N309" t="inlineStr">
        <is>
          <t>Supplier Reported Emissions</t>
        </is>
      </c>
      <c r="O309" t="b">
        <v>0</v>
      </c>
      <c r="P309" t="inlineStr">
        <is>
          <t>High</t>
        </is>
      </c>
      <c r="Q309" t="inlineStr">
        <is>
          <t>Scope_Emissions</t>
        </is>
      </c>
      <c r="R309" t="inlineStr">
        <is>
          <t>Valid</t>
        </is>
      </c>
      <c r="S309" t="n">
        <v>2028</v>
      </c>
      <c r="T309" t="inlineStr">
        <is>
          <t>Supplier Target Pathway</t>
        </is>
      </c>
      <c r="U309" t="n">
        <v>3808.153</v>
      </c>
      <c r="V309" t="n">
        <v>1264.3068</v>
      </c>
      <c r="W309" t="n">
        <v>2451.435</v>
      </c>
      <c r="X309" t="n">
        <v>2451.435</v>
      </c>
      <c r="Y309" t="n">
        <v>1356.718</v>
      </c>
      <c r="Z309" t="n">
        <v>0.00014673</v>
      </c>
      <c r="AA309" t="n">
        <v>0.356267</v>
      </c>
      <c r="AB309" t="n">
        <v>1187.1282</v>
      </c>
      <c r="AC309" t="n">
        <v>169.5897</v>
      </c>
      <c r="AD309" t="n">
        <v>3084.0962</v>
      </c>
      <c r="AE309" t="n">
        <v>10823.2786</v>
      </c>
      <c r="AF309" t="n">
        <v>0.975</v>
      </c>
      <c r="AG309" t="inlineStr">
        <is>
          <t>Critical</t>
        </is>
      </c>
      <c r="AH309" t="inlineStr">
        <is>
          <t>On Track to Glide Path</t>
        </is>
      </c>
    </row>
    <row r="310">
      <c r="A310" t="inlineStr">
        <is>
          <t>SUP-0020</t>
        </is>
      </c>
      <c r="B310" t="inlineStr">
        <is>
          <t>Logistics Supplier 020</t>
        </is>
      </c>
      <c r="C310" t="inlineStr">
        <is>
          <t>Logistics</t>
        </is>
      </c>
      <c r="D310" t="n">
        <v>2024</v>
      </c>
      <c r="E310" t="n">
        <v>2020</v>
      </c>
      <c r="F310" t="n">
        <v>2035</v>
      </c>
      <c r="G310" t="n">
        <v>3981.359</v>
      </c>
      <c r="H310" t="inlineStr"/>
      <c r="I310" t="n">
        <v>922.1822</v>
      </c>
      <c r="J310" t="n">
        <v>2042.0147</v>
      </c>
      <c r="K310" t="n">
        <v>16706856.05</v>
      </c>
      <c r="L310" t="n">
        <v>90210085.53</v>
      </c>
      <c r="M310" t="n">
        <v>3981.359</v>
      </c>
      <c r="N310" t="inlineStr">
        <is>
          <t>Supplier Reported Emissions</t>
        </is>
      </c>
      <c r="O310" t="b">
        <v>0</v>
      </c>
      <c r="P310" t="inlineStr">
        <is>
          <t>High</t>
        </is>
      </c>
      <c r="Q310" t="inlineStr">
        <is>
          <t>Scope_Emissions</t>
        </is>
      </c>
      <c r="R310" t="inlineStr">
        <is>
          <t>Valid</t>
        </is>
      </c>
      <c r="S310" t="n">
        <v>2029</v>
      </c>
      <c r="T310" t="inlineStr">
        <is>
          <t>Supplier Target Pathway</t>
        </is>
      </c>
      <c r="U310" t="n">
        <v>3808.153</v>
      </c>
      <c r="V310" t="n">
        <v>1264.3068</v>
      </c>
      <c r="W310" t="n">
        <v>2281.8453</v>
      </c>
      <c r="X310" t="n">
        <v>2281.8453</v>
      </c>
      <c r="Y310" t="n">
        <v>1526.3077</v>
      </c>
      <c r="Z310" t="n">
        <v>0.00013658</v>
      </c>
      <c r="AA310" t="n">
        <v>0.4008</v>
      </c>
      <c r="AB310" t="n">
        <v>1017.5385</v>
      </c>
      <c r="AC310" t="n">
        <v>169.5897</v>
      </c>
      <c r="AD310" t="n">
        <v>802.2509</v>
      </c>
      <c r="AE310" t="n">
        <v>13105.1239</v>
      </c>
      <c r="AF310" t="n">
        <v>0.975</v>
      </c>
      <c r="AG310" t="inlineStr">
        <is>
          <t>Critical</t>
        </is>
      </c>
      <c r="AH310" t="inlineStr">
        <is>
          <t>On Track to Glide Path</t>
        </is>
      </c>
    </row>
    <row r="311">
      <c r="A311" t="inlineStr">
        <is>
          <t>SUP-0020</t>
        </is>
      </c>
      <c r="B311" t="inlineStr">
        <is>
          <t>Logistics Supplier 020</t>
        </is>
      </c>
      <c r="C311" t="inlineStr">
        <is>
          <t>Logistics</t>
        </is>
      </c>
      <c r="D311" t="n">
        <v>2024</v>
      </c>
      <c r="E311" t="n">
        <v>2020</v>
      </c>
      <c r="F311" t="n">
        <v>2035</v>
      </c>
      <c r="G311" t="n">
        <v>3981.359</v>
      </c>
      <c r="H311" t="inlineStr"/>
      <c r="I311" t="n">
        <v>922.1822</v>
      </c>
      <c r="J311" t="n">
        <v>2042.0147</v>
      </c>
      <c r="K311" t="n">
        <v>16706856.05</v>
      </c>
      <c r="L311" t="n">
        <v>90210085.53</v>
      </c>
      <c r="M311" t="n">
        <v>3981.359</v>
      </c>
      <c r="N311" t="inlineStr">
        <is>
          <t>Supplier Reported Emissions</t>
        </is>
      </c>
      <c r="O311" t="b">
        <v>0</v>
      </c>
      <c r="P311" t="inlineStr">
        <is>
          <t>High</t>
        </is>
      </c>
      <c r="Q311" t="inlineStr">
        <is>
          <t>Scope_Emissions</t>
        </is>
      </c>
      <c r="R311" t="inlineStr">
        <is>
          <t>Valid</t>
        </is>
      </c>
      <c r="S311" t="n">
        <v>2030</v>
      </c>
      <c r="T311" t="inlineStr">
        <is>
          <t>Supplier Target Pathway</t>
        </is>
      </c>
      <c r="U311" t="n">
        <v>3808.153</v>
      </c>
      <c r="V311" t="n">
        <v>1264.3068</v>
      </c>
      <c r="W311" t="n">
        <v>2112.2555</v>
      </c>
      <c r="X311" t="n">
        <v>2112.2555</v>
      </c>
      <c r="Y311" t="n">
        <v>1695.8975</v>
      </c>
      <c r="Z311" t="n">
        <v>0.00012643</v>
      </c>
      <c r="AA311" t="n">
        <v>0.445333</v>
      </c>
      <c r="AB311" t="n">
        <v>847.9487</v>
      </c>
      <c r="AC311" t="n">
        <v>169.5897</v>
      </c>
      <c r="AD311" t="n">
        <v>-1310.0046</v>
      </c>
      <c r="AE311" t="n">
        <v>15217.3794</v>
      </c>
      <c r="AF311" t="n">
        <v>0.975</v>
      </c>
      <c r="AG311" t="inlineStr">
        <is>
          <t>Critical</t>
        </is>
      </c>
      <c r="AH311" t="inlineStr">
        <is>
          <t>On Track to Glide Path</t>
        </is>
      </c>
    </row>
    <row r="312">
      <c r="A312" t="inlineStr">
        <is>
          <t>SUP-0020</t>
        </is>
      </c>
      <c r="B312" t="inlineStr">
        <is>
          <t>Logistics Supplier 020</t>
        </is>
      </c>
      <c r="C312" t="inlineStr">
        <is>
          <t>Logistics</t>
        </is>
      </c>
      <c r="D312" t="n">
        <v>2024</v>
      </c>
      <c r="E312" t="n">
        <v>2020</v>
      </c>
      <c r="F312" t="n">
        <v>2035</v>
      </c>
      <c r="G312" t="n">
        <v>3981.359</v>
      </c>
      <c r="H312" t="inlineStr"/>
      <c r="I312" t="n">
        <v>922.1822</v>
      </c>
      <c r="J312" t="n">
        <v>2042.0147</v>
      </c>
      <c r="K312" t="n">
        <v>16706856.05</v>
      </c>
      <c r="L312" t="n">
        <v>90210085.53</v>
      </c>
      <c r="M312" t="n">
        <v>3981.359</v>
      </c>
      <c r="N312" t="inlineStr">
        <is>
          <t>Supplier Reported Emissions</t>
        </is>
      </c>
      <c r="O312" t="b">
        <v>0</v>
      </c>
      <c r="P312" t="inlineStr">
        <is>
          <t>High</t>
        </is>
      </c>
      <c r="Q312" t="inlineStr">
        <is>
          <t>Scope_Emissions</t>
        </is>
      </c>
      <c r="R312" t="inlineStr">
        <is>
          <t>Valid</t>
        </is>
      </c>
      <c r="S312" t="n">
        <v>2031</v>
      </c>
      <c r="T312" t="inlineStr">
        <is>
          <t>Supplier Target Pathway</t>
        </is>
      </c>
      <c r="U312" t="n">
        <v>3808.153</v>
      </c>
      <c r="V312" t="n">
        <v>1264.3068</v>
      </c>
      <c r="W312" t="n">
        <v>1942.6658</v>
      </c>
      <c r="X312" t="n">
        <v>1942.6658</v>
      </c>
      <c r="Y312" t="n">
        <v>1865.4872</v>
      </c>
      <c r="Z312" t="n">
        <v>0.00011628</v>
      </c>
      <c r="AA312" t="n">
        <v>0.489867</v>
      </c>
      <c r="AB312" t="n">
        <v>678.359</v>
      </c>
      <c r="AC312" t="n">
        <v>169.5897</v>
      </c>
      <c r="AD312" t="n">
        <v>-3252.6704</v>
      </c>
      <c r="AE312" t="n">
        <v>17160.0452</v>
      </c>
      <c r="AF312" t="n">
        <v>0.975</v>
      </c>
      <c r="AG312" t="inlineStr">
        <is>
          <t>Critical</t>
        </is>
      </c>
      <c r="AH312" t="inlineStr">
        <is>
          <t>On Track to Glide Path</t>
        </is>
      </c>
    </row>
    <row r="313">
      <c r="A313" t="inlineStr">
        <is>
          <t>SUP-0020</t>
        </is>
      </c>
      <c r="B313" t="inlineStr">
        <is>
          <t>Logistics Supplier 020</t>
        </is>
      </c>
      <c r="C313" t="inlineStr">
        <is>
          <t>Logistics</t>
        </is>
      </c>
      <c r="D313" t="n">
        <v>2024</v>
      </c>
      <c r="E313" t="n">
        <v>2020</v>
      </c>
      <c r="F313" t="n">
        <v>2035</v>
      </c>
      <c r="G313" t="n">
        <v>3981.359</v>
      </c>
      <c r="H313" t="inlineStr"/>
      <c r="I313" t="n">
        <v>922.1822</v>
      </c>
      <c r="J313" t="n">
        <v>2042.0147</v>
      </c>
      <c r="K313" t="n">
        <v>16706856.05</v>
      </c>
      <c r="L313" t="n">
        <v>90210085.53</v>
      </c>
      <c r="M313" t="n">
        <v>3981.359</v>
      </c>
      <c r="N313" t="inlineStr">
        <is>
          <t>Supplier Reported Emissions</t>
        </is>
      </c>
      <c r="O313" t="b">
        <v>0</v>
      </c>
      <c r="P313" t="inlineStr">
        <is>
          <t>High</t>
        </is>
      </c>
      <c r="Q313" t="inlineStr">
        <is>
          <t>Scope_Emissions</t>
        </is>
      </c>
      <c r="R313" t="inlineStr">
        <is>
          <t>Valid</t>
        </is>
      </c>
      <c r="S313" t="n">
        <v>2032</v>
      </c>
      <c r="T313" t="inlineStr">
        <is>
          <t>Supplier Target Pathway</t>
        </is>
      </c>
      <c r="U313" t="n">
        <v>3808.153</v>
      </c>
      <c r="V313" t="n">
        <v>1264.3068</v>
      </c>
      <c r="W313" t="n">
        <v>1773.076</v>
      </c>
      <c r="X313" t="n">
        <v>1773.076</v>
      </c>
      <c r="Y313" t="n">
        <v>2035.077</v>
      </c>
      <c r="Z313" t="n">
        <v>0.00010613</v>
      </c>
      <c r="AA313" t="n">
        <v>0.5344</v>
      </c>
      <c r="AB313" t="n">
        <v>508.7692</v>
      </c>
      <c r="AC313" t="n">
        <v>169.5897</v>
      </c>
      <c r="AD313" t="n">
        <v>-5025.7464</v>
      </c>
      <c r="AE313" t="n">
        <v>18933.1212</v>
      </c>
      <c r="AF313" t="n">
        <v>0.975</v>
      </c>
      <c r="AG313" t="inlineStr">
        <is>
          <t>Critical</t>
        </is>
      </c>
      <c r="AH313" t="inlineStr">
        <is>
          <t>On Track to Glide Path</t>
        </is>
      </c>
    </row>
    <row r="314">
      <c r="A314" t="inlineStr">
        <is>
          <t>SUP-0020</t>
        </is>
      </c>
      <c r="B314" t="inlineStr">
        <is>
          <t>Logistics Supplier 020</t>
        </is>
      </c>
      <c r="C314" t="inlineStr">
        <is>
          <t>Logistics</t>
        </is>
      </c>
      <c r="D314" t="n">
        <v>2024</v>
      </c>
      <c r="E314" t="n">
        <v>2020</v>
      </c>
      <c r="F314" t="n">
        <v>2035</v>
      </c>
      <c r="G314" t="n">
        <v>3981.359</v>
      </c>
      <c r="H314" t="inlineStr"/>
      <c r="I314" t="n">
        <v>922.1822</v>
      </c>
      <c r="J314" t="n">
        <v>2042.0147</v>
      </c>
      <c r="K314" t="n">
        <v>16706856.05</v>
      </c>
      <c r="L314" t="n">
        <v>90210085.53</v>
      </c>
      <c r="M314" t="n">
        <v>3981.359</v>
      </c>
      <c r="N314" t="inlineStr">
        <is>
          <t>Supplier Reported Emissions</t>
        </is>
      </c>
      <c r="O314" t="b">
        <v>0</v>
      </c>
      <c r="P314" t="inlineStr">
        <is>
          <t>High</t>
        </is>
      </c>
      <c r="Q314" t="inlineStr">
        <is>
          <t>Scope_Emissions</t>
        </is>
      </c>
      <c r="R314" t="inlineStr">
        <is>
          <t>Valid</t>
        </is>
      </c>
      <c r="S314" t="n">
        <v>2033</v>
      </c>
      <c r="T314" t="inlineStr">
        <is>
          <t>Supplier Target Pathway</t>
        </is>
      </c>
      <c r="U314" t="n">
        <v>3808.153</v>
      </c>
      <c r="V314" t="n">
        <v>1264.3068</v>
      </c>
      <c r="W314" t="n">
        <v>1603.4863</v>
      </c>
      <c r="X314" t="n">
        <v>1603.4863</v>
      </c>
      <c r="Y314" t="n">
        <v>2204.6667</v>
      </c>
      <c r="Z314" t="n">
        <v>9.598e-05</v>
      </c>
      <c r="AA314" t="n">
        <v>0.578933</v>
      </c>
      <c r="AB314" t="n">
        <v>339.1795</v>
      </c>
      <c r="AC314" t="n">
        <v>169.5897</v>
      </c>
      <c r="AD314" t="n">
        <v>-6629.2327</v>
      </c>
      <c r="AE314" t="n">
        <v>20536.6075</v>
      </c>
      <c r="AF314" t="n">
        <v>0.975</v>
      </c>
      <c r="AG314" t="inlineStr">
        <is>
          <t>High</t>
        </is>
      </c>
      <c r="AH314" t="inlineStr">
        <is>
          <t>On Track to Glide Path</t>
        </is>
      </c>
    </row>
    <row r="315">
      <c r="A315" t="inlineStr">
        <is>
          <t>SUP-0020</t>
        </is>
      </c>
      <c r="B315" t="inlineStr">
        <is>
          <t>Logistics Supplier 020</t>
        </is>
      </c>
      <c r="C315" t="inlineStr">
        <is>
          <t>Logistics</t>
        </is>
      </c>
      <c r="D315" t="n">
        <v>2024</v>
      </c>
      <c r="E315" t="n">
        <v>2020</v>
      </c>
      <c r="F315" t="n">
        <v>2035</v>
      </c>
      <c r="G315" t="n">
        <v>3981.359</v>
      </c>
      <c r="H315" t="inlineStr"/>
      <c r="I315" t="n">
        <v>922.1822</v>
      </c>
      <c r="J315" t="n">
        <v>2042.0147</v>
      </c>
      <c r="K315" t="n">
        <v>16706856.05</v>
      </c>
      <c r="L315" t="n">
        <v>90210085.53</v>
      </c>
      <c r="M315" t="n">
        <v>3981.359</v>
      </c>
      <c r="N315" t="inlineStr">
        <is>
          <t>Supplier Reported Emissions</t>
        </is>
      </c>
      <c r="O315" t="b">
        <v>0</v>
      </c>
      <c r="P315" t="inlineStr">
        <is>
          <t>High</t>
        </is>
      </c>
      <c r="Q315" t="inlineStr">
        <is>
          <t>Scope_Emissions</t>
        </is>
      </c>
      <c r="R315" t="inlineStr">
        <is>
          <t>Valid</t>
        </is>
      </c>
      <c r="S315" t="n">
        <v>2034</v>
      </c>
      <c r="T315" t="inlineStr">
        <is>
          <t>Supplier Target Pathway</t>
        </is>
      </c>
      <c r="U315" t="n">
        <v>3808.153</v>
      </c>
      <c r="V315" t="n">
        <v>1264.3068</v>
      </c>
      <c r="W315" t="n">
        <v>1433.8965</v>
      </c>
      <c r="X315" t="n">
        <v>1433.8965</v>
      </c>
      <c r="Y315" t="n">
        <v>2374.2565</v>
      </c>
      <c r="Z315" t="n">
        <v>8.583e-05</v>
      </c>
      <c r="AA315" t="n">
        <v>0.623467</v>
      </c>
      <c r="AB315" t="n">
        <v>169.5897</v>
      </c>
      <c r="AC315" t="n">
        <v>169.5897</v>
      </c>
      <c r="AD315" t="n">
        <v>-8063.1292</v>
      </c>
      <c r="AE315" t="n">
        <v>21970.504</v>
      </c>
      <c r="AF315" t="n">
        <v>0.975</v>
      </c>
      <c r="AG315" t="inlineStr">
        <is>
          <t>Medium</t>
        </is>
      </c>
      <c r="AH315" t="inlineStr">
        <is>
          <t>On Track to Glide Path</t>
        </is>
      </c>
    </row>
    <row r="316">
      <c r="A316" t="inlineStr">
        <is>
          <t>SUP-0020</t>
        </is>
      </c>
      <c r="B316" t="inlineStr">
        <is>
          <t>Logistics Supplier 020</t>
        </is>
      </c>
      <c r="C316" t="inlineStr">
        <is>
          <t>Logistics</t>
        </is>
      </c>
      <c r="D316" t="n">
        <v>2024</v>
      </c>
      <c r="E316" t="n">
        <v>2020</v>
      </c>
      <c r="F316" t="n">
        <v>2035</v>
      </c>
      <c r="G316" t="n">
        <v>3981.359</v>
      </c>
      <c r="H316" t="inlineStr"/>
      <c r="I316" t="n">
        <v>922.1822</v>
      </c>
      <c r="J316" t="n">
        <v>2042.0147</v>
      </c>
      <c r="K316" t="n">
        <v>16706856.05</v>
      </c>
      <c r="L316" t="n">
        <v>90210085.53</v>
      </c>
      <c r="M316" t="n">
        <v>3981.359</v>
      </c>
      <c r="N316" t="inlineStr">
        <is>
          <t>Supplier Reported Emissions</t>
        </is>
      </c>
      <c r="O316" t="b">
        <v>0</v>
      </c>
      <c r="P316" t="inlineStr">
        <is>
          <t>High</t>
        </is>
      </c>
      <c r="Q316" t="inlineStr">
        <is>
          <t>Scope_Emissions</t>
        </is>
      </c>
      <c r="R316" t="inlineStr">
        <is>
          <t>Valid</t>
        </is>
      </c>
      <c r="S316" t="n">
        <v>2035</v>
      </c>
      <c r="T316" t="inlineStr">
        <is>
          <t>Supplier Target Pathway</t>
        </is>
      </c>
      <c r="U316" t="n">
        <v>3808.153</v>
      </c>
      <c r="V316" t="n">
        <v>1264.3068</v>
      </c>
      <c r="W316" t="n">
        <v>1264.3068</v>
      </c>
      <c r="X316" t="n">
        <v>1264.3068</v>
      </c>
      <c r="Y316" t="n">
        <v>2543.8462</v>
      </c>
      <c r="Z316" t="n">
        <v>7.567999999999999e-05</v>
      </c>
      <c r="AA316" t="n">
        <v>0.668</v>
      </c>
      <c r="AB316" t="n">
        <v>0</v>
      </c>
      <c r="AC316" t="n">
        <v>169.5897</v>
      </c>
      <c r="AD316" t="n">
        <v>-9327.436</v>
      </c>
      <c r="AE316" t="n">
        <v>23234.8108</v>
      </c>
      <c r="AF316" t="n">
        <v>0.975</v>
      </c>
      <c r="AG316" t="inlineStr">
        <is>
          <t>Low</t>
        </is>
      </c>
      <c r="AH316" t="inlineStr">
        <is>
          <t>On Track</t>
        </is>
      </c>
    </row>
    <row r="317">
      <c r="A317" t="inlineStr">
        <is>
          <t>SUP-0020</t>
        </is>
      </c>
      <c r="B317" t="inlineStr">
        <is>
          <t>Logistics Supplier 020</t>
        </is>
      </c>
      <c r="C317" t="inlineStr">
        <is>
          <t>Logistics</t>
        </is>
      </c>
      <c r="D317" t="n">
        <v>2024</v>
      </c>
      <c r="E317" t="n">
        <v>2020</v>
      </c>
      <c r="F317" t="n">
        <v>2035</v>
      </c>
      <c r="G317" t="n">
        <v>3981.359</v>
      </c>
      <c r="H317" t="inlineStr"/>
      <c r="I317" t="n">
        <v>922.1822</v>
      </c>
      <c r="J317" t="n">
        <v>2042.0147</v>
      </c>
      <c r="K317" t="n">
        <v>16706856.05</v>
      </c>
      <c r="L317" t="n">
        <v>90210085.53</v>
      </c>
      <c r="M317" t="n">
        <v>3981.359</v>
      </c>
      <c r="N317" t="inlineStr">
        <is>
          <t>Supplier Reported Emissions</t>
        </is>
      </c>
      <c r="O317" t="b">
        <v>0</v>
      </c>
      <c r="P317" t="inlineStr">
        <is>
          <t>High</t>
        </is>
      </c>
      <c r="Q317" t="inlineStr">
        <is>
          <t>Scope_Emissions</t>
        </is>
      </c>
      <c r="R317" t="inlineStr">
        <is>
          <t>Valid</t>
        </is>
      </c>
      <c r="S317" t="n">
        <v>2036</v>
      </c>
      <c r="T317" t="inlineStr">
        <is>
          <t>Supplier Target Pathway</t>
        </is>
      </c>
      <c r="U317" t="n">
        <v>3808.153</v>
      </c>
      <c r="V317" t="n">
        <v>1264.3068</v>
      </c>
      <c r="W317" t="n">
        <v>1264.3068</v>
      </c>
      <c r="X317" t="n">
        <v>1264.3068</v>
      </c>
      <c r="Y317" t="n">
        <v>2543.8462</v>
      </c>
      <c r="Z317" t="n">
        <v>7.567999999999999e-05</v>
      </c>
      <c r="AA317" t="n">
        <v>0.668</v>
      </c>
      <c r="AB317" t="n">
        <v>0</v>
      </c>
      <c r="AC317" t="n">
        <v>169.5897</v>
      </c>
      <c r="AD317" t="n">
        <v>-10591.7428</v>
      </c>
      <c r="AE317" t="n">
        <v>24499.1176</v>
      </c>
      <c r="AF317" t="n">
        <v>0.975</v>
      </c>
      <c r="AG317" t="inlineStr">
        <is>
          <t>Low</t>
        </is>
      </c>
      <c r="AH317" t="inlineStr">
        <is>
          <t>On Track</t>
        </is>
      </c>
    </row>
    <row r="318">
      <c r="A318" t="inlineStr">
        <is>
          <t>SUP-0020</t>
        </is>
      </c>
      <c r="B318" t="inlineStr">
        <is>
          <t>Logistics Supplier 020</t>
        </is>
      </c>
      <c r="C318" t="inlineStr">
        <is>
          <t>Logistics</t>
        </is>
      </c>
      <c r="D318" t="n">
        <v>2024</v>
      </c>
      <c r="E318" t="n">
        <v>2020</v>
      </c>
      <c r="F318" t="n">
        <v>2035</v>
      </c>
      <c r="G318" t="n">
        <v>3981.359</v>
      </c>
      <c r="H318" t="inlineStr"/>
      <c r="I318" t="n">
        <v>922.1822</v>
      </c>
      <c r="J318" t="n">
        <v>2042.0147</v>
      </c>
      <c r="K318" t="n">
        <v>16706856.05</v>
      </c>
      <c r="L318" t="n">
        <v>90210085.53</v>
      </c>
      <c r="M318" t="n">
        <v>3981.359</v>
      </c>
      <c r="N318" t="inlineStr">
        <is>
          <t>Supplier Reported Emissions</t>
        </is>
      </c>
      <c r="O318" t="b">
        <v>0</v>
      </c>
      <c r="P318" t="inlineStr">
        <is>
          <t>High</t>
        </is>
      </c>
      <c r="Q318" t="inlineStr">
        <is>
          <t>Scope_Emissions</t>
        </is>
      </c>
      <c r="R318" t="inlineStr">
        <is>
          <t>Valid</t>
        </is>
      </c>
      <c r="S318" t="n">
        <v>2037</v>
      </c>
      <c r="T318" t="inlineStr">
        <is>
          <t>Supplier Target Pathway</t>
        </is>
      </c>
      <c r="U318" t="n">
        <v>3808.153</v>
      </c>
      <c r="V318" t="n">
        <v>1264.3068</v>
      </c>
      <c r="W318" t="n">
        <v>1264.3068</v>
      </c>
      <c r="X318" t="n">
        <v>1264.3068</v>
      </c>
      <c r="Y318" t="n">
        <v>2543.8462</v>
      </c>
      <c r="Z318" t="n">
        <v>7.567999999999999e-05</v>
      </c>
      <c r="AA318" t="n">
        <v>0.668</v>
      </c>
      <c r="AB318" t="n">
        <v>0</v>
      </c>
      <c r="AC318" t="n">
        <v>169.5897</v>
      </c>
      <c r="AD318" t="n">
        <v>-11856.0496</v>
      </c>
      <c r="AE318" t="n">
        <v>25763.4244</v>
      </c>
      <c r="AF318" t="n">
        <v>0.975</v>
      </c>
      <c r="AG318" t="inlineStr">
        <is>
          <t>Low</t>
        </is>
      </c>
      <c r="AH318" t="inlineStr">
        <is>
          <t>On Track</t>
        </is>
      </c>
    </row>
    <row r="319">
      <c r="A319" t="inlineStr">
        <is>
          <t>SUP-0020</t>
        </is>
      </c>
      <c r="B319" t="inlineStr">
        <is>
          <t>Logistics Supplier 020</t>
        </is>
      </c>
      <c r="C319" t="inlineStr">
        <is>
          <t>Logistics</t>
        </is>
      </c>
      <c r="D319" t="n">
        <v>2024</v>
      </c>
      <c r="E319" t="n">
        <v>2020</v>
      </c>
      <c r="F319" t="n">
        <v>2035</v>
      </c>
      <c r="G319" t="n">
        <v>3981.359</v>
      </c>
      <c r="H319" t="inlineStr"/>
      <c r="I319" t="n">
        <v>922.1822</v>
      </c>
      <c r="J319" t="n">
        <v>2042.0147</v>
      </c>
      <c r="K319" t="n">
        <v>16706856.05</v>
      </c>
      <c r="L319" t="n">
        <v>90210085.53</v>
      </c>
      <c r="M319" t="n">
        <v>3981.359</v>
      </c>
      <c r="N319" t="inlineStr">
        <is>
          <t>Supplier Reported Emissions</t>
        </is>
      </c>
      <c r="O319" t="b">
        <v>0</v>
      </c>
      <c r="P319" t="inlineStr">
        <is>
          <t>High</t>
        </is>
      </c>
      <c r="Q319" t="inlineStr">
        <is>
          <t>Scope_Emissions</t>
        </is>
      </c>
      <c r="R319" t="inlineStr">
        <is>
          <t>Valid</t>
        </is>
      </c>
      <c r="S319" t="n">
        <v>2038</v>
      </c>
      <c r="T319" t="inlineStr">
        <is>
          <t>Supplier Target Pathway</t>
        </is>
      </c>
      <c r="U319" t="n">
        <v>3808.153</v>
      </c>
      <c r="V319" t="n">
        <v>1264.3068</v>
      </c>
      <c r="W319" t="n">
        <v>1264.3068</v>
      </c>
      <c r="X319" t="n">
        <v>1264.3068</v>
      </c>
      <c r="Y319" t="n">
        <v>2543.8462</v>
      </c>
      <c r="Z319" t="n">
        <v>7.567999999999999e-05</v>
      </c>
      <c r="AA319" t="n">
        <v>0.668</v>
      </c>
      <c r="AB319" t="n">
        <v>0</v>
      </c>
      <c r="AC319" t="n">
        <v>169.5897</v>
      </c>
      <c r="AD319" t="n">
        <v>-13120.3564</v>
      </c>
      <c r="AE319" t="n">
        <v>27027.7312</v>
      </c>
      <c r="AF319" t="n">
        <v>0.975</v>
      </c>
      <c r="AG319" t="inlineStr">
        <is>
          <t>Low</t>
        </is>
      </c>
      <c r="AH319" t="inlineStr">
        <is>
          <t>On Track</t>
        </is>
      </c>
    </row>
    <row r="320">
      <c r="A320" t="inlineStr">
        <is>
          <t>SUP-0020</t>
        </is>
      </c>
      <c r="B320" t="inlineStr">
        <is>
          <t>Logistics Supplier 020</t>
        </is>
      </c>
      <c r="C320" t="inlineStr">
        <is>
          <t>Logistics</t>
        </is>
      </c>
      <c r="D320" t="n">
        <v>2024</v>
      </c>
      <c r="E320" t="n">
        <v>2020</v>
      </c>
      <c r="F320" t="n">
        <v>2035</v>
      </c>
      <c r="G320" t="n">
        <v>3981.359</v>
      </c>
      <c r="H320" t="inlineStr"/>
      <c r="I320" t="n">
        <v>922.1822</v>
      </c>
      <c r="J320" t="n">
        <v>2042.0147</v>
      </c>
      <c r="K320" t="n">
        <v>16706856.05</v>
      </c>
      <c r="L320" t="n">
        <v>90210085.53</v>
      </c>
      <c r="M320" t="n">
        <v>3981.359</v>
      </c>
      <c r="N320" t="inlineStr">
        <is>
          <t>Supplier Reported Emissions</t>
        </is>
      </c>
      <c r="O320" t="b">
        <v>0</v>
      </c>
      <c r="P320" t="inlineStr">
        <is>
          <t>High</t>
        </is>
      </c>
      <c r="Q320" t="inlineStr">
        <is>
          <t>Scope_Emissions</t>
        </is>
      </c>
      <c r="R320" t="inlineStr">
        <is>
          <t>Valid</t>
        </is>
      </c>
      <c r="S320" t="n">
        <v>2039</v>
      </c>
      <c r="T320" t="inlineStr">
        <is>
          <t>Supplier Target Pathway</t>
        </is>
      </c>
      <c r="U320" t="n">
        <v>3808.153</v>
      </c>
      <c r="V320" t="n">
        <v>1264.3068</v>
      </c>
      <c r="W320" t="n">
        <v>1264.3068</v>
      </c>
      <c r="X320" t="n">
        <v>1264.3068</v>
      </c>
      <c r="Y320" t="n">
        <v>2543.8462</v>
      </c>
      <c r="Z320" t="n">
        <v>7.567999999999999e-05</v>
      </c>
      <c r="AA320" t="n">
        <v>0.668</v>
      </c>
      <c r="AB320" t="n">
        <v>0</v>
      </c>
      <c r="AC320" t="n">
        <v>169.5897</v>
      </c>
      <c r="AD320" t="n">
        <v>-14384.6632</v>
      </c>
      <c r="AE320" t="n">
        <v>28292.038</v>
      </c>
      <c r="AF320" t="n">
        <v>0.975</v>
      </c>
      <c r="AG320" t="inlineStr">
        <is>
          <t>Low</t>
        </is>
      </c>
      <c r="AH320" t="inlineStr">
        <is>
          <t>On Track</t>
        </is>
      </c>
    </row>
    <row r="321">
      <c r="A321" t="inlineStr">
        <is>
          <t>SUP-0020</t>
        </is>
      </c>
      <c r="B321" t="inlineStr">
        <is>
          <t>Logistics Supplier 020</t>
        </is>
      </c>
      <c r="C321" t="inlineStr">
        <is>
          <t>Logistics</t>
        </is>
      </c>
      <c r="D321" t="n">
        <v>2024</v>
      </c>
      <c r="E321" t="n">
        <v>2020</v>
      </c>
      <c r="F321" t="n">
        <v>2035</v>
      </c>
      <c r="G321" t="n">
        <v>3981.359</v>
      </c>
      <c r="H321" t="inlineStr"/>
      <c r="I321" t="n">
        <v>922.1822</v>
      </c>
      <c r="J321" t="n">
        <v>2042.0147</v>
      </c>
      <c r="K321" t="n">
        <v>16706856.05</v>
      </c>
      <c r="L321" t="n">
        <v>90210085.53</v>
      </c>
      <c r="M321" t="n">
        <v>3981.359</v>
      </c>
      <c r="N321" t="inlineStr">
        <is>
          <t>Supplier Reported Emissions</t>
        </is>
      </c>
      <c r="O321" t="b">
        <v>0</v>
      </c>
      <c r="P321" t="inlineStr">
        <is>
          <t>High</t>
        </is>
      </c>
      <c r="Q321" t="inlineStr">
        <is>
          <t>Scope_Emissions</t>
        </is>
      </c>
      <c r="R321" t="inlineStr">
        <is>
          <t>Valid</t>
        </is>
      </c>
      <c r="S321" t="n">
        <v>2040</v>
      </c>
      <c r="T321" t="inlineStr">
        <is>
          <t>Supplier Target Pathway</t>
        </is>
      </c>
      <c r="U321" t="n">
        <v>3808.153</v>
      </c>
      <c r="V321" t="n">
        <v>1264.3068</v>
      </c>
      <c r="W321" t="n">
        <v>1264.3068</v>
      </c>
      <c r="X321" t="n">
        <v>1264.3068</v>
      </c>
      <c r="Y321" t="n">
        <v>2543.8462</v>
      </c>
      <c r="Z321" t="n">
        <v>7.567999999999999e-05</v>
      </c>
      <c r="AA321" t="n">
        <v>0.668</v>
      </c>
      <c r="AB321" t="n">
        <v>0</v>
      </c>
      <c r="AC321" t="n">
        <v>169.5897</v>
      </c>
      <c r="AD321" t="n">
        <v>-15648.97</v>
      </c>
      <c r="AE321" t="n">
        <v>29556.3448</v>
      </c>
      <c r="AF321" t="n">
        <v>0.975</v>
      </c>
      <c r="AG321" t="inlineStr">
        <is>
          <t>Low</t>
        </is>
      </c>
      <c r="AH321" t="inlineStr">
        <is>
          <t>On Track</t>
        </is>
      </c>
    </row>
    <row r="322">
      <c r="A322" t="inlineStr">
        <is>
          <t>SUP-0021</t>
        </is>
      </c>
      <c r="B322" t="inlineStr">
        <is>
          <t>Textiles Supplier 021</t>
        </is>
      </c>
      <c r="C322" t="inlineStr">
        <is>
          <t>Textiles</t>
        </is>
      </c>
      <c r="D322" t="n">
        <v>2024</v>
      </c>
      <c r="E322" t="n">
        <v>2018</v>
      </c>
      <c r="F322" t="n">
        <v>2030</v>
      </c>
      <c r="G322" t="n">
        <v>1610.0749</v>
      </c>
      <c r="H322" t="n">
        <v>398.3082</v>
      </c>
      <c r="I322" t="inlineStr"/>
      <c r="J322" t="n">
        <v>1050.747</v>
      </c>
      <c r="K322" t="n">
        <v>9197090.859999999</v>
      </c>
      <c r="L322" t="n">
        <v>34774642.83</v>
      </c>
      <c r="M322" t="n">
        <v>1610.0749</v>
      </c>
      <c r="N322" t="inlineStr">
        <is>
          <t>Supplier Reported Emissions</t>
        </is>
      </c>
      <c r="O322" t="b">
        <v>0</v>
      </c>
      <c r="P322" t="inlineStr">
        <is>
          <t>High</t>
        </is>
      </c>
      <c r="Q322" t="inlineStr">
        <is>
          <t>Scope_Emissions</t>
        </is>
      </c>
      <c r="R322" t="inlineStr">
        <is>
          <t>Valid</t>
        </is>
      </c>
      <c r="S322" t="n">
        <v>2025</v>
      </c>
      <c r="T322" t="inlineStr">
        <is>
          <t>Supplier Target Pathway</t>
        </is>
      </c>
      <c r="U322" t="n">
        <v>1485.2844</v>
      </c>
      <c r="V322" t="n">
        <v>768.6347</v>
      </c>
      <c r="W322" t="n">
        <v>1067.2387</v>
      </c>
      <c r="X322" t="n">
        <v>1067.2387</v>
      </c>
      <c r="Y322" t="n">
        <v>418.0457</v>
      </c>
      <c r="Z322" t="n">
        <v>0.00011604</v>
      </c>
      <c r="AA322" t="n">
        <v>0.281458</v>
      </c>
      <c r="AB322" t="n">
        <v>298.6041</v>
      </c>
      <c r="AC322" t="n">
        <v>59.7208</v>
      </c>
      <c r="AD322" t="n">
        <v>3544.5695</v>
      </c>
      <c r="AE322" t="n">
        <v>1067.2387</v>
      </c>
      <c r="AF322" t="n">
        <v>0.99</v>
      </c>
      <c r="AG322" t="inlineStr">
        <is>
          <t>Critical</t>
        </is>
      </c>
      <c r="AH322" t="inlineStr">
        <is>
          <t>On Track to Glide Path</t>
        </is>
      </c>
    </row>
    <row r="323">
      <c r="A323" t="inlineStr">
        <is>
          <t>SUP-0021</t>
        </is>
      </c>
      <c r="B323" t="inlineStr">
        <is>
          <t>Textiles Supplier 021</t>
        </is>
      </c>
      <c r="C323" t="inlineStr">
        <is>
          <t>Textiles</t>
        </is>
      </c>
      <c r="D323" t="n">
        <v>2024</v>
      </c>
      <c r="E323" t="n">
        <v>2018</v>
      </c>
      <c r="F323" t="n">
        <v>2030</v>
      </c>
      <c r="G323" t="n">
        <v>1610.0749</v>
      </c>
      <c r="H323" t="n">
        <v>398.3082</v>
      </c>
      <c r="I323" t="inlineStr"/>
      <c r="J323" t="n">
        <v>1050.747</v>
      </c>
      <c r="K323" t="n">
        <v>9197090.859999999</v>
      </c>
      <c r="L323" t="n">
        <v>34774642.83</v>
      </c>
      <c r="M323" t="n">
        <v>1610.0749</v>
      </c>
      <c r="N323" t="inlineStr">
        <is>
          <t>Supplier Reported Emissions</t>
        </is>
      </c>
      <c r="O323" t="b">
        <v>0</v>
      </c>
      <c r="P323" t="inlineStr">
        <is>
          <t>High</t>
        </is>
      </c>
      <c r="Q323" t="inlineStr">
        <is>
          <t>Scope_Emissions</t>
        </is>
      </c>
      <c r="R323" t="inlineStr">
        <is>
          <t>Valid</t>
        </is>
      </c>
      <c r="S323" t="n">
        <v>2026</v>
      </c>
      <c r="T323" t="inlineStr">
        <is>
          <t>Supplier Target Pathway</t>
        </is>
      </c>
      <c r="U323" t="n">
        <v>1485.2844</v>
      </c>
      <c r="V323" t="n">
        <v>768.6347</v>
      </c>
      <c r="W323" t="n">
        <v>1007.5179</v>
      </c>
      <c r="X323" t="n">
        <v>1007.5179</v>
      </c>
      <c r="Y323" t="n">
        <v>477.7665</v>
      </c>
      <c r="Z323" t="n">
        <v>0.00010955</v>
      </c>
      <c r="AA323" t="n">
        <v>0.321667</v>
      </c>
      <c r="AB323" t="n">
        <v>238.8832</v>
      </c>
      <c r="AC323" t="n">
        <v>59.7208</v>
      </c>
      <c r="AD323" t="n">
        <v>2537.0516</v>
      </c>
      <c r="AE323" t="n">
        <v>2074.7566</v>
      </c>
      <c r="AF323" t="n">
        <v>0.99</v>
      </c>
      <c r="AG323" t="inlineStr">
        <is>
          <t>High</t>
        </is>
      </c>
      <c r="AH323" t="inlineStr">
        <is>
          <t>On Track to Glide Path</t>
        </is>
      </c>
    </row>
    <row r="324">
      <c r="A324" t="inlineStr">
        <is>
          <t>SUP-0021</t>
        </is>
      </c>
      <c r="B324" t="inlineStr">
        <is>
          <t>Textiles Supplier 021</t>
        </is>
      </c>
      <c r="C324" t="inlineStr">
        <is>
          <t>Textiles</t>
        </is>
      </c>
      <c r="D324" t="n">
        <v>2024</v>
      </c>
      <c r="E324" t="n">
        <v>2018</v>
      </c>
      <c r="F324" t="n">
        <v>2030</v>
      </c>
      <c r="G324" t="n">
        <v>1610.0749</v>
      </c>
      <c r="H324" t="n">
        <v>398.3082</v>
      </c>
      <c r="I324" t="inlineStr"/>
      <c r="J324" t="n">
        <v>1050.747</v>
      </c>
      <c r="K324" t="n">
        <v>9197090.859999999</v>
      </c>
      <c r="L324" t="n">
        <v>34774642.83</v>
      </c>
      <c r="M324" t="n">
        <v>1610.0749</v>
      </c>
      <c r="N324" t="inlineStr">
        <is>
          <t>Supplier Reported Emissions</t>
        </is>
      </c>
      <c r="O324" t="b">
        <v>0</v>
      </c>
      <c r="P324" t="inlineStr">
        <is>
          <t>High</t>
        </is>
      </c>
      <c r="Q324" t="inlineStr">
        <is>
          <t>Scope_Emissions</t>
        </is>
      </c>
      <c r="R324" t="inlineStr">
        <is>
          <t>Valid</t>
        </is>
      </c>
      <c r="S324" t="n">
        <v>2027</v>
      </c>
      <c r="T324" t="inlineStr">
        <is>
          <t>Supplier Target Pathway</t>
        </is>
      </c>
      <c r="U324" t="n">
        <v>1485.2844</v>
      </c>
      <c r="V324" t="n">
        <v>768.6347</v>
      </c>
      <c r="W324" t="n">
        <v>947.7971</v>
      </c>
      <c r="X324" t="n">
        <v>947.7971</v>
      </c>
      <c r="Y324" t="n">
        <v>537.4873</v>
      </c>
      <c r="Z324" t="n">
        <v>0.00010305</v>
      </c>
      <c r="AA324" t="n">
        <v>0.361875</v>
      </c>
      <c r="AB324" t="n">
        <v>179.1624</v>
      </c>
      <c r="AC324" t="n">
        <v>59.7208</v>
      </c>
      <c r="AD324" t="n">
        <v>1589.2545</v>
      </c>
      <c r="AE324" t="n">
        <v>3022.5537</v>
      </c>
      <c r="AF324" t="n">
        <v>0.99</v>
      </c>
      <c r="AG324" t="inlineStr">
        <is>
          <t>High</t>
        </is>
      </c>
      <c r="AH324" t="inlineStr">
        <is>
          <t>On Track to Glide Path</t>
        </is>
      </c>
    </row>
    <row r="325">
      <c r="A325" t="inlineStr">
        <is>
          <t>SUP-0021</t>
        </is>
      </c>
      <c r="B325" t="inlineStr">
        <is>
          <t>Textiles Supplier 021</t>
        </is>
      </c>
      <c r="C325" t="inlineStr">
        <is>
          <t>Textiles</t>
        </is>
      </c>
      <c r="D325" t="n">
        <v>2024</v>
      </c>
      <c r="E325" t="n">
        <v>2018</v>
      </c>
      <c r="F325" t="n">
        <v>2030</v>
      </c>
      <c r="G325" t="n">
        <v>1610.0749</v>
      </c>
      <c r="H325" t="n">
        <v>398.3082</v>
      </c>
      <c r="I325" t="inlineStr"/>
      <c r="J325" t="n">
        <v>1050.747</v>
      </c>
      <c r="K325" t="n">
        <v>9197090.859999999</v>
      </c>
      <c r="L325" t="n">
        <v>34774642.83</v>
      </c>
      <c r="M325" t="n">
        <v>1610.0749</v>
      </c>
      <c r="N325" t="inlineStr">
        <is>
          <t>Supplier Reported Emissions</t>
        </is>
      </c>
      <c r="O325" t="b">
        <v>0</v>
      </c>
      <c r="P325" t="inlineStr">
        <is>
          <t>High</t>
        </is>
      </c>
      <c r="Q325" t="inlineStr">
        <is>
          <t>Scope_Emissions</t>
        </is>
      </c>
      <c r="R325" t="inlineStr">
        <is>
          <t>Valid</t>
        </is>
      </c>
      <c r="S325" t="n">
        <v>2028</v>
      </c>
      <c r="T325" t="inlineStr">
        <is>
          <t>Supplier Target Pathway</t>
        </is>
      </c>
      <c r="U325" t="n">
        <v>1485.2844</v>
      </c>
      <c r="V325" t="n">
        <v>768.6347</v>
      </c>
      <c r="W325" t="n">
        <v>888.0762999999999</v>
      </c>
      <c r="X325" t="n">
        <v>888.0762999999999</v>
      </c>
      <c r="Y325" t="n">
        <v>597.2080999999999</v>
      </c>
      <c r="Z325" t="n">
        <v>9.656e-05</v>
      </c>
      <c r="AA325" t="n">
        <v>0.402083</v>
      </c>
      <c r="AB325" t="n">
        <v>119.4416</v>
      </c>
      <c r="AC325" t="n">
        <v>59.7208</v>
      </c>
      <c r="AD325" t="n">
        <v>701.1781999999999</v>
      </c>
      <c r="AE325" t="n">
        <v>3910.63</v>
      </c>
      <c r="AF325" t="n">
        <v>0.99</v>
      </c>
      <c r="AG325" t="inlineStr">
        <is>
          <t>High</t>
        </is>
      </c>
      <c r="AH325" t="inlineStr">
        <is>
          <t>On Track to Glide Path</t>
        </is>
      </c>
    </row>
    <row r="326">
      <c r="A326" t="inlineStr">
        <is>
          <t>SUP-0021</t>
        </is>
      </c>
      <c r="B326" t="inlineStr">
        <is>
          <t>Textiles Supplier 021</t>
        </is>
      </c>
      <c r="C326" t="inlineStr">
        <is>
          <t>Textiles</t>
        </is>
      </c>
      <c r="D326" t="n">
        <v>2024</v>
      </c>
      <c r="E326" t="n">
        <v>2018</v>
      </c>
      <c r="F326" t="n">
        <v>2030</v>
      </c>
      <c r="G326" t="n">
        <v>1610.0749</v>
      </c>
      <c r="H326" t="n">
        <v>398.3082</v>
      </c>
      <c r="I326" t="inlineStr"/>
      <c r="J326" t="n">
        <v>1050.747</v>
      </c>
      <c r="K326" t="n">
        <v>9197090.859999999</v>
      </c>
      <c r="L326" t="n">
        <v>34774642.83</v>
      </c>
      <c r="M326" t="n">
        <v>1610.0749</v>
      </c>
      <c r="N326" t="inlineStr">
        <is>
          <t>Supplier Reported Emissions</t>
        </is>
      </c>
      <c r="O326" t="b">
        <v>0</v>
      </c>
      <c r="P326" t="inlineStr">
        <is>
          <t>High</t>
        </is>
      </c>
      <c r="Q326" t="inlineStr">
        <is>
          <t>Scope_Emissions</t>
        </is>
      </c>
      <c r="R326" t="inlineStr">
        <is>
          <t>Valid</t>
        </is>
      </c>
      <c r="S326" t="n">
        <v>2029</v>
      </c>
      <c r="T326" t="inlineStr">
        <is>
          <t>Supplier Target Pathway</t>
        </is>
      </c>
      <c r="U326" t="n">
        <v>1485.2844</v>
      </c>
      <c r="V326" t="n">
        <v>768.6347</v>
      </c>
      <c r="W326" t="n">
        <v>828.3555</v>
      </c>
      <c r="X326" t="n">
        <v>828.3555</v>
      </c>
      <c r="Y326" t="n">
        <v>656.9289</v>
      </c>
      <c r="Z326" t="n">
        <v>9.007e-05</v>
      </c>
      <c r="AA326" t="n">
        <v>0.442292</v>
      </c>
      <c r="AB326" t="n">
        <v>59.7208</v>
      </c>
      <c r="AC326" t="n">
        <v>59.7208</v>
      </c>
      <c r="AD326" t="n">
        <v>-127.1773</v>
      </c>
      <c r="AE326" t="n">
        <v>4738.9855</v>
      </c>
      <c r="AF326" t="n">
        <v>0.99</v>
      </c>
      <c r="AG326" t="inlineStr">
        <is>
          <t>Medium</t>
        </is>
      </c>
      <c r="AH326" t="inlineStr">
        <is>
          <t>On Track to Glide Path</t>
        </is>
      </c>
    </row>
    <row r="327">
      <c r="A327" t="inlineStr">
        <is>
          <t>SUP-0021</t>
        </is>
      </c>
      <c r="B327" t="inlineStr">
        <is>
          <t>Textiles Supplier 021</t>
        </is>
      </c>
      <c r="C327" t="inlineStr">
        <is>
          <t>Textiles</t>
        </is>
      </c>
      <c r="D327" t="n">
        <v>2024</v>
      </c>
      <c r="E327" t="n">
        <v>2018</v>
      </c>
      <c r="F327" t="n">
        <v>2030</v>
      </c>
      <c r="G327" t="n">
        <v>1610.0749</v>
      </c>
      <c r="H327" t="n">
        <v>398.3082</v>
      </c>
      <c r="I327" t="inlineStr"/>
      <c r="J327" t="n">
        <v>1050.747</v>
      </c>
      <c r="K327" t="n">
        <v>9197090.859999999</v>
      </c>
      <c r="L327" t="n">
        <v>34774642.83</v>
      </c>
      <c r="M327" t="n">
        <v>1610.0749</v>
      </c>
      <c r="N327" t="inlineStr">
        <is>
          <t>Supplier Reported Emissions</t>
        </is>
      </c>
      <c r="O327" t="b">
        <v>0</v>
      </c>
      <c r="P327" t="inlineStr">
        <is>
          <t>High</t>
        </is>
      </c>
      <c r="Q327" t="inlineStr">
        <is>
          <t>Scope_Emissions</t>
        </is>
      </c>
      <c r="R327" t="inlineStr">
        <is>
          <t>Valid</t>
        </is>
      </c>
      <c r="S327" t="n">
        <v>2030</v>
      </c>
      <c r="T327" t="inlineStr">
        <is>
          <t>Supplier Target Pathway</t>
        </is>
      </c>
      <c r="U327" t="n">
        <v>1485.2844</v>
      </c>
      <c r="V327" t="n">
        <v>768.6347</v>
      </c>
      <c r="W327" t="n">
        <v>768.6347</v>
      </c>
      <c r="X327" t="n">
        <v>768.6347</v>
      </c>
      <c r="Y327" t="n">
        <v>716.6497000000001</v>
      </c>
      <c r="Z327" t="n">
        <v>8.357e-05</v>
      </c>
      <c r="AA327" t="n">
        <v>0.4825</v>
      </c>
      <c r="AB327" t="n">
        <v>0</v>
      </c>
      <c r="AC327" t="n">
        <v>59.7208</v>
      </c>
      <c r="AD327" t="n">
        <v>-895.812</v>
      </c>
      <c r="AE327" t="n">
        <v>5507.6202</v>
      </c>
      <c r="AF327" t="n">
        <v>0.99</v>
      </c>
      <c r="AG327" t="inlineStr">
        <is>
          <t>Low</t>
        </is>
      </c>
      <c r="AH327" t="inlineStr">
        <is>
          <t>On Track</t>
        </is>
      </c>
    </row>
    <row r="328">
      <c r="A328" t="inlineStr">
        <is>
          <t>SUP-0021</t>
        </is>
      </c>
      <c r="B328" t="inlineStr">
        <is>
          <t>Textiles Supplier 021</t>
        </is>
      </c>
      <c r="C328" t="inlineStr">
        <is>
          <t>Textiles</t>
        </is>
      </c>
      <c r="D328" t="n">
        <v>2024</v>
      </c>
      <c r="E328" t="n">
        <v>2018</v>
      </c>
      <c r="F328" t="n">
        <v>2030</v>
      </c>
      <c r="G328" t="n">
        <v>1610.0749</v>
      </c>
      <c r="H328" t="n">
        <v>398.3082</v>
      </c>
      <c r="I328" t="inlineStr"/>
      <c r="J328" t="n">
        <v>1050.747</v>
      </c>
      <c r="K328" t="n">
        <v>9197090.859999999</v>
      </c>
      <c r="L328" t="n">
        <v>34774642.83</v>
      </c>
      <c r="M328" t="n">
        <v>1610.0749</v>
      </c>
      <c r="N328" t="inlineStr">
        <is>
          <t>Supplier Reported Emissions</t>
        </is>
      </c>
      <c r="O328" t="b">
        <v>0</v>
      </c>
      <c r="P328" t="inlineStr">
        <is>
          <t>High</t>
        </is>
      </c>
      <c r="Q328" t="inlineStr">
        <is>
          <t>Scope_Emissions</t>
        </is>
      </c>
      <c r="R328" t="inlineStr">
        <is>
          <t>Valid</t>
        </is>
      </c>
      <c r="S328" t="n">
        <v>2031</v>
      </c>
      <c r="T328" t="inlineStr">
        <is>
          <t>Supplier Target Pathway</t>
        </is>
      </c>
      <c r="U328" t="n">
        <v>1485.2844</v>
      </c>
      <c r="V328" t="n">
        <v>768.6347</v>
      </c>
      <c r="W328" t="n">
        <v>768.6347</v>
      </c>
      <c r="X328" t="n">
        <v>768.6347</v>
      </c>
      <c r="Y328" t="n">
        <v>716.6497000000001</v>
      </c>
      <c r="Z328" t="n">
        <v>8.357e-05</v>
      </c>
      <c r="AA328" t="n">
        <v>0.4825</v>
      </c>
      <c r="AB328" t="n">
        <v>0</v>
      </c>
      <c r="AC328" t="n">
        <v>59.7208</v>
      </c>
      <c r="AD328" t="n">
        <v>-1664.4467</v>
      </c>
      <c r="AE328" t="n">
        <v>6276.2549</v>
      </c>
      <c r="AF328" t="n">
        <v>0.99</v>
      </c>
      <c r="AG328" t="inlineStr">
        <is>
          <t>Low</t>
        </is>
      </c>
      <c r="AH328" t="inlineStr">
        <is>
          <t>On Track</t>
        </is>
      </c>
    </row>
    <row r="329">
      <c r="A329" t="inlineStr">
        <is>
          <t>SUP-0021</t>
        </is>
      </c>
      <c r="B329" t="inlineStr">
        <is>
          <t>Textiles Supplier 021</t>
        </is>
      </c>
      <c r="C329" t="inlineStr">
        <is>
          <t>Textiles</t>
        </is>
      </c>
      <c r="D329" t="n">
        <v>2024</v>
      </c>
      <c r="E329" t="n">
        <v>2018</v>
      </c>
      <c r="F329" t="n">
        <v>2030</v>
      </c>
      <c r="G329" t="n">
        <v>1610.0749</v>
      </c>
      <c r="H329" t="n">
        <v>398.3082</v>
      </c>
      <c r="I329" t="inlineStr"/>
      <c r="J329" t="n">
        <v>1050.747</v>
      </c>
      <c r="K329" t="n">
        <v>9197090.859999999</v>
      </c>
      <c r="L329" t="n">
        <v>34774642.83</v>
      </c>
      <c r="M329" t="n">
        <v>1610.0749</v>
      </c>
      <c r="N329" t="inlineStr">
        <is>
          <t>Supplier Reported Emissions</t>
        </is>
      </c>
      <c r="O329" t="b">
        <v>0</v>
      </c>
      <c r="P329" t="inlineStr">
        <is>
          <t>High</t>
        </is>
      </c>
      <c r="Q329" t="inlineStr">
        <is>
          <t>Scope_Emissions</t>
        </is>
      </c>
      <c r="R329" t="inlineStr">
        <is>
          <t>Valid</t>
        </is>
      </c>
      <c r="S329" t="n">
        <v>2032</v>
      </c>
      <c r="T329" t="inlineStr">
        <is>
          <t>Supplier Target Pathway</t>
        </is>
      </c>
      <c r="U329" t="n">
        <v>1485.2844</v>
      </c>
      <c r="V329" t="n">
        <v>768.6347</v>
      </c>
      <c r="W329" t="n">
        <v>768.6347</v>
      </c>
      <c r="X329" t="n">
        <v>768.6347</v>
      </c>
      <c r="Y329" t="n">
        <v>716.6497000000001</v>
      </c>
      <c r="Z329" t="n">
        <v>8.357e-05</v>
      </c>
      <c r="AA329" t="n">
        <v>0.4825</v>
      </c>
      <c r="AB329" t="n">
        <v>0</v>
      </c>
      <c r="AC329" t="n">
        <v>59.7208</v>
      </c>
      <c r="AD329" t="n">
        <v>-2433.0814</v>
      </c>
      <c r="AE329" t="n">
        <v>7044.8896</v>
      </c>
      <c r="AF329" t="n">
        <v>0.99</v>
      </c>
      <c r="AG329" t="inlineStr">
        <is>
          <t>Low</t>
        </is>
      </c>
      <c r="AH329" t="inlineStr">
        <is>
          <t>On Track</t>
        </is>
      </c>
    </row>
    <row r="330">
      <c r="A330" t="inlineStr">
        <is>
          <t>SUP-0021</t>
        </is>
      </c>
      <c r="B330" t="inlineStr">
        <is>
          <t>Textiles Supplier 021</t>
        </is>
      </c>
      <c r="C330" t="inlineStr">
        <is>
          <t>Textiles</t>
        </is>
      </c>
      <c r="D330" t="n">
        <v>2024</v>
      </c>
      <c r="E330" t="n">
        <v>2018</v>
      </c>
      <c r="F330" t="n">
        <v>2030</v>
      </c>
      <c r="G330" t="n">
        <v>1610.0749</v>
      </c>
      <c r="H330" t="n">
        <v>398.3082</v>
      </c>
      <c r="I330" t="inlineStr"/>
      <c r="J330" t="n">
        <v>1050.747</v>
      </c>
      <c r="K330" t="n">
        <v>9197090.859999999</v>
      </c>
      <c r="L330" t="n">
        <v>34774642.83</v>
      </c>
      <c r="M330" t="n">
        <v>1610.0749</v>
      </c>
      <c r="N330" t="inlineStr">
        <is>
          <t>Supplier Reported Emissions</t>
        </is>
      </c>
      <c r="O330" t="b">
        <v>0</v>
      </c>
      <c r="P330" t="inlineStr">
        <is>
          <t>High</t>
        </is>
      </c>
      <c r="Q330" t="inlineStr">
        <is>
          <t>Scope_Emissions</t>
        </is>
      </c>
      <c r="R330" t="inlineStr">
        <is>
          <t>Valid</t>
        </is>
      </c>
      <c r="S330" t="n">
        <v>2033</v>
      </c>
      <c r="T330" t="inlineStr">
        <is>
          <t>Supplier Target Pathway</t>
        </is>
      </c>
      <c r="U330" t="n">
        <v>1485.2844</v>
      </c>
      <c r="V330" t="n">
        <v>768.6347</v>
      </c>
      <c r="W330" t="n">
        <v>768.6347</v>
      </c>
      <c r="X330" t="n">
        <v>768.6347</v>
      </c>
      <c r="Y330" t="n">
        <v>716.6497000000001</v>
      </c>
      <c r="Z330" t="n">
        <v>8.357e-05</v>
      </c>
      <c r="AA330" t="n">
        <v>0.4825</v>
      </c>
      <c r="AB330" t="n">
        <v>0</v>
      </c>
      <c r="AC330" t="n">
        <v>59.7208</v>
      </c>
      <c r="AD330" t="n">
        <v>-3201.7161</v>
      </c>
      <c r="AE330" t="n">
        <v>7813.5243</v>
      </c>
      <c r="AF330" t="n">
        <v>0.99</v>
      </c>
      <c r="AG330" t="inlineStr">
        <is>
          <t>Low</t>
        </is>
      </c>
      <c r="AH330" t="inlineStr">
        <is>
          <t>On Track</t>
        </is>
      </c>
    </row>
    <row r="331">
      <c r="A331" t="inlineStr">
        <is>
          <t>SUP-0021</t>
        </is>
      </c>
      <c r="B331" t="inlineStr">
        <is>
          <t>Textiles Supplier 021</t>
        </is>
      </c>
      <c r="C331" t="inlineStr">
        <is>
          <t>Textiles</t>
        </is>
      </c>
      <c r="D331" t="n">
        <v>2024</v>
      </c>
      <c r="E331" t="n">
        <v>2018</v>
      </c>
      <c r="F331" t="n">
        <v>2030</v>
      </c>
      <c r="G331" t="n">
        <v>1610.0749</v>
      </c>
      <c r="H331" t="n">
        <v>398.3082</v>
      </c>
      <c r="I331" t="inlineStr"/>
      <c r="J331" t="n">
        <v>1050.747</v>
      </c>
      <c r="K331" t="n">
        <v>9197090.859999999</v>
      </c>
      <c r="L331" t="n">
        <v>34774642.83</v>
      </c>
      <c r="M331" t="n">
        <v>1610.0749</v>
      </c>
      <c r="N331" t="inlineStr">
        <is>
          <t>Supplier Reported Emissions</t>
        </is>
      </c>
      <c r="O331" t="b">
        <v>0</v>
      </c>
      <c r="P331" t="inlineStr">
        <is>
          <t>High</t>
        </is>
      </c>
      <c r="Q331" t="inlineStr">
        <is>
          <t>Scope_Emissions</t>
        </is>
      </c>
      <c r="R331" t="inlineStr">
        <is>
          <t>Valid</t>
        </is>
      </c>
      <c r="S331" t="n">
        <v>2034</v>
      </c>
      <c r="T331" t="inlineStr">
        <is>
          <t>Supplier Target Pathway</t>
        </is>
      </c>
      <c r="U331" t="n">
        <v>1485.2844</v>
      </c>
      <c r="V331" t="n">
        <v>768.6347</v>
      </c>
      <c r="W331" t="n">
        <v>768.6347</v>
      </c>
      <c r="X331" t="n">
        <v>768.6347</v>
      </c>
      <c r="Y331" t="n">
        <v>716.6497000000001</v>
      </c>
      <c r="Z331" t="n">
        <v>8.357e-05</v>
      </c>
      <c r="AA331" t="n">
        <v>0.4825</v>
      </c>
      <c r="AB331" t="n">
        <v>0</v>
      </c>
      <c r="AC331" t="n">
        <v>59.7208</v>
      </c>
      <c r="AD331" t="n">
        <v>-3970.3508</v>
      </c>
      <c r="AE331" t="n">
        <v>8582.159</v>
      </c>
      <c r="AF331" t="n">
        <v>0.99</v>
      </c>
      <c r="AG331" t="inlineStr">
        <is>
          <t>Low</t>
        </is>
      </c>
      <c r="AH331" t="inlineStr">
        <is>
          <t>On Track</t>
        </is>
      </c>
    </row>
    <row r="332">
      <c r="A332" t="inlineStr">
        <is>
          <t>SUP-0021</t>
        </is>
      </c>
      <c r="B332" t="inlineStr">
        <is>
          <t>Textiles Supplier 021</t>
        </is>
      </c>
      <c r="C332" t="inlineStr">
        <is>
          <t>Textiles</t>
        </is>
      </c>
      <c r="D332" t="n">
        <v>2024</v>
      </c>
      <c r="E332" t="n">
        <v>2018</v>
      </c>
      <c r="F332" t="n">
        <v>2030</v>
      </c>
      <c r="G332" t="n">
        <v>1610.0749</v>
      </c>
      <c r="H332" t="n">
        <v>398.3082</v>
      </c>
      <c r="I332" t="inlineStr"/>
      <c r="J332" t="n">
        <v>1050.747</v>
      </c>
      <c r="K332" t="n">
        <v>9197090.859999999</v>
      </c>
      <c r="L332" t="n">
        <v>34774642.83</v>
      </c>
      <c r="M332" t="n">
        <v>1610.0749</v>
      </c>
      <c r="N332" t="inlineStr">
        <is>
          <t>Supplier Reported Emissions</t>
        </is>
      </c>
      <c r="O332" t="b">
        <v>0</v>
      </c>
      <c r="P332" t="inlineStr">
        <is>
          <t>High</t>
        </is>
      </c>
      <c r="Q332" t="inlineStr">
        <is>
          <t>Scope_Emissions</t>
        </is>
      </c>
      <c r="R332" t="inlineStr">
        <is>
          <t>Valid</t>
        </is>
      </c>
      <c r="S332" t="n">
        <v>2035</v>
      </c>
      <c r="T332" t="inlineStr">
        <is>
          <t>Supplier Target Pathway</t>
        </is>
      </c>
      <c r="U332" t="n">
        <v>1485.2844</v>
      </c>
      <c r="V332" t="n">
        <v>768.6347</v>
      </c>
      <c r="W332" t="n">
        <v>768.6347</v>
      </c>
      <c r="X332" t="n">
        <v>768.6347</v>
      </c>
      <c r="Y332" t="n">
        <v>716.6497000000001</v>
      </c>
      <c r="Z332" t="n">
        <v>8.357e-05</v>
      </c>
      <c r="AA332" t="n">
        <v>0.4825</v>
      </c>
      <c r="AB332" t="n">
        <v>0</v>
      </c>
      <c r="AC332" t="n">
        <v>59.7208</v>
      </c>
      <c r="AD332" t="n">
        <v>-4738.9855</v>
      </c>
      <c r="AE332" t="n">
        <v>9350.7937</v>
      </c>
      <c r="AF332" t="n">
        <v>0.99</v>
      </c>
      <c r="AG332" t="inlineStr">
        <is>
          <t>Low</t>
        </is>
      </c>
      <c r="AH332" t="inlineStr">
        <is>
          <t>On Track</t>
        </is>
      </c>
    </row>
    <row r="333">
      <c r="A333" t="inlineStr">
        <is>
          <t>SUP-0021</t>
        </is>
      </c>
      <c r="B333" t="inlineStr">
        <is>
          <t>Textiles Supplier 021</t>
        </is>
      </c>
      <c r="C333" t="inlineStr">
        <is>
          <t>Textiles</t>
        </is>
      </c>
      <c r="D333" t="n">
        <v>2024</v>
      </c>
      <c r="E333" t="n">
        <v>2018</v>
      </c>
      <c r="F333" t="n">
        <v>2030</v>
      </c>
      <c r="G333" t="n">
        <v>1610.0749</v>
      </c>
      <c r="H333" t="n">
        <v>398.3082</v>
      </c>
      <c r="I333" t="inlineStr"/>
      <c r="J333" t="n">
        <v>1050.747</v>
      </c>
      <c r="K333" t="n">
        <v>9197090.859999999</v>
      </c>
      <c r="L333" t="n">
        <v>34774642.83</v>
      </c>
      <c r="M333" t="n">
        <v>1610.0749</v>
      </c>
      <c r="N333" t="inlineStr">
        <is>
          <t>Supplier Reported Emissions</t>
        </is>
      </c>
      <c r="O333" t="b">
        <v>0</v>
      </c>
      <c r="P333" t="inlineStr">
        <is>
          <t>High</t>
        </is>
      </c>
      <c r="Q333" t="inlineStr">
        <is>
          <t>Scope_Emissions</t>
        </is>
      </c>
      <c r="R333" t="inlineStr">
        <is>
          <t>Valid</t>
        </is>
      </c>
      <c r="S333" t="n">
        <v>2036</v>
      </c>
      <c r="T333" t="inlineStr">
        <is>
          <t>Supplier Target Pathway</t>
        </is>
      </c>
      <c r="U333" t="n">
        <v>1485.2844</v>
      </c>
      <c r="V333" t="n">
        <v>768.6347</v>
      </c>
      <c r="W333" t="n">
        <v>768.6347</v>
      </c>
      <c r="X333" t="n">
        <v>768.6347</v>
      </c>
      <c r="Y333" t="n">
        <v>716.6497000000001</v>
      </c>
      <c r="Z333" t="n">
        <v>8.357e-05</v>
      </c>
      <c r="AA333" t="n">
        <v>0.4825</v>
      </c>
      <c r="AB333" t="n">
        <v>0</v>
      </c>
      <c r="AC333" t="n">
        <v>59.7208</v>
      </c>
      <c r="AD333" t="n">
        <v>-5507.6202</v>
      </c>
      <c r="AE333" t="n">
        <v>10119.4284</v>
      </c>
      <c r="AF333" t="n">
        <v>0.99</v>
      </c>
      <c r="AG333" t="inlineStr">
        <is>
          <t>Low</t>
        </is>
      </c>
      <c r="AH333" t="inlineStr">
        <is>
          <t>On Track</t>
        </is>
      </c>
    </row>
    <row r="334">
      <c r="A334" t="inlineStr">
        <is>
          <t>SUP-0021</t>
        </is>
      </c>
      <c r="B334" t="inlineStr">
        <is>
          <t>Textiles Supplier 021</t>
        </is>
      </c>
      <c r="C334" t="inlineStr">
        <is>
          <t>Textiles</t>
        </is>
      </c>
      <c r="D334" t="n">
        <v>2024</v>
      </c>
      <c r="E334" t="n">
        <v>2018</v>
      </c>
      <c r="F334" t="n">
        <v>2030</v>
      </c>
      <c r="G334" t="n">
        <v>1610.0749</v>
      </c>
      <c r="H334" t="n">
        <v>398.3082</v>
      </c>
      <c r="I334" t="inlineStr"/>
      <c r="J334" t="n">
        <v>1050.747</v>
      </c>
      <c r="K334" t="n">
        <v>9197090.859999999</v>
      </c>
      <c r="L334" t="n">
        <v>34774642.83</v>
      </c>
      <c r="M334" t="n">
        <v>1610.0749</v>
      </c>
      <c r="N334" t="inlineStr">
        <is>
          <t>Supplier Reported Emissions</t>
        </is>
      </c>
      <c r="O334" t="b">
        <v>0</v>
      </c>
      <c r="P334" t="inlineStr">
        <is>
          <t>High</t>
        </is>
      </c>
      <c r="Q334" t="inlineStr">
        <is>
          <t>Scope_Emissions</t>
        </is>
      </c>
      <c r="R334" t="inlineStr">
        <is>
          <t>Valid</t>
        </is>
      </c>
      <c r="S334" t="n">
        <v>2037</v>
      </c>
      <c r="T334" t="inlineStr">
        <is>
          <t>Supplier Target Pathway</t>
        </is>
      </c>
      <c r="U334" t="n">
        <v>1485.2844</v>
      </c>
      <c r="V334" t="n">
        <v>768.6347</v>
      </c>
      <c r="W334" t="n">
        <v>768.6347</v>
      </c>
      <c r="X334" t="n">
        <v>768.6347</v>
      </c>
      <c r="Y334" t="n">
        <v>716.6497000000001</v>
      </c>
      <c r="Z334" t="n">
        <v>8.357e-05</v>
      </c>
      <c r="AA334" t="n">
        <v>0.4825</v>
      </c>
      <c r="AB334" t="n">
        <v>0</v>
      </c>
      <c r="AC334" t="n">
        <v>59.7208</v>
      </c>
      <c r="AD334" t="n">
        <v>-6276.2549</v>
      </c>
      <c r="AE334" t="n">
        <v>10888.0631</v>
      </c>
      <c r="AF334" t="n">
        <v>0.99</v>
      </c>
      <c r="AG334" t="inlineStr">
        <is>
          <t>Low</t>
        </is>
      </c>
      <c r="AH334" t="inlineStr">
        <is>
          <t>On Track</t>
        </is>
      </c>
    </row>
    <row r="335">
      <c r="A335" t="inlineStr">
        <is>
          <t>SUP-0021</t>
        </is>
      </c>
      <c r="B335" t="inlineStr">
        <is>
          <t>Textiles Supplier 021</t>
        </is>
      </c>
      <c r="C335" t="inlineStr">
        <is>
          <t>Textiles</t>
        </is>
      </c>
      <c r="D335" t="n">
        <v>2024</v>
      </c>
      <c r="E335" t="n">
        <v>2018</v>
      </c>
      <c r="F335" t="n">
        <v>2030</v>
      </c>
      <c r="G335" t="n">
        <v>1610.0749</v>
      </c>
      <c r="H335" t="n">
        <v>398.3082</v>
      </c>
      <c r="I335" t="inlineStr"/>
      <c r="J335" t="n">
        <v>1050.747</v>
      </c>
      <c r="K335" t="n">
        <v>9197090.859999999</v>
      </c>
      <c r="L335" t="n">
        <v>34774642.83</v>
      </c>
      <c r="M335" t="n">
        <v>1610.0749</v>
      </c>
      <c r="N335" t="inlineStr">
        <is>
          <t>Supplier Reported Emissions</t>
        </is>
      </c>
      <c r="O335" t="b">
        <v>0</v>
      </c>
      <c r="P335" t="inlineStr">
        <is>
          <t>High</t>
        </is>
      </c>
      <c r="Q335" t="inlineStr">
        <is>
          <t>Scope_Emissions</t>
        </is>
      </c>
      <c r="R335" t="inlineStr">
        <is>
          <t>Valid</t>
        </is>
      </c>
      <c r="S335" t="n">
        <v>2038</v>
      </c>
      <c r="T335" t="inlineStr">
        <is>
          <t>Supplier Target Pathway</t>
        </is>
      </c>
      <c r="U335" t="n">
        <v>1485.2844</v>
      </c>
      <c r="V335" t="n">
        <v>768.6347</v>
      </c>
      <c r="W335" t="n">
        <v>768.6347</v>
      </c>
      <c r="X335" t="n">
        <v>768.6347</v>
      </c>
      <c r="Y335" t="n">
        <v>716.6497000000001</v>
      </c>
      <c r="Z335" t="n">
        <v>8.357e-05</v>
      </c>
      <c r="AA335" t="n">
        <v>0.4825</v>
      </c>
      <c r="AB335" t="n">
        <v>0</v>
      </c>
      <c r="AC335" t="n">
        <v>59.7208</v>
      </c>
      <c r="AD335" t="n">
        <v>-7044.8896</v>
      </c>
      <c r="AE335" t="n">
        <v>11656.6978</v>
      </c>
      <c r="AF335" t="n">
        <v>0.99</v>
      </c>
      <c r="AG335" t="inlineStr">
        <is>
          <t>Low</t>
        </is>
      </c>
      <c r="AH335" t="inlineStr">
        <is>
          <t>On Track</t>
        </is>
      </c>
    </row>
    <row r="336">
      <c r="A336" t="inlineStr">
        <is>
          <t>SUP-0021</t>
        </is>
      </c>
      <c r="B336" t="inlineStr">
        <is>
          <t>Textiles Supplier 021</t>
        </is>
      </c>
      <c r="C336" t="inlineStr">
        <is>
          <t>Textiles</t>
        </is>
      </c>
      <c r="D336" t="n">
        <v>2024</v>
      </c>
      <c r="E336" t="n">
        <v>2018</v>
      </c>
      <c r="F336" t="n">
        <v>2030</v>
      </c>
      <c r="G336" t="n">
        <v>1610.0749</v>
      </c>
      <c r="H336" t="n">
        <v>398.3082</v>
      </c>
      <c r="I336" t="inlineStr"/>
      <c r="J336" t="n">
        <v>1050.747</v>
      </c>
      <c r="K336" t="n">
        <v>9197090.859999999</v>
      </c>
      <c r="L336" t="n">
        <v>34774642.83</v>
      </c>
      <c r="M336" t="n">
        <v>1610.0749</v>
      </c>
      <c r="N336" t="inlineStr">
        <is>
          <t>Supplier Reported Emissions</t>
        </is>
      </c>
      <c r="O336" t="b">
        <v>0</v>
      </c>
      <c r="P336" t="inlineStr">
        <is>
          <t>High</t>
        </is>
      </c>
      <c r="Q336" t="inlineStr">
        <is>
          <t>Scope_Emissions</t>
        </is>
      </c>
      <c r="R336" t="inlineStr">
        <is>
          <t>Valid</t>
        </is>
      </c>
      <c r="S336" t="n">
        <v>2039</v>
      </c>
      <c r="T336" t="inlineStr">
        <is>
          <t>Supplier Target Pathway</t>
        </is>
      </c>
      <c r="U336" t="n">
        <v>1485.2844</v>
      </c>
      <c r="V336" t="n">
        <v>768.6347</v>
      </c>
      <c r="W336" t="n">
        <v>768.6347</v>
      </c>
      <c r="X336" t="n">
        <v>768.6347</v>
      </c>
      <c r="Y336" t="n">
        <v>716.6497000000001</v>
      </c>
      <c r="Z336" t="n">
        <v>8.357e-05</v>
      </c>
      <c r="AA336" t="n">
        <v>0.4825</v>
      </c>
      <c r="AB336" t="n">
        <v>0</v>
      </c>
      <c r="AC336" t="n">
        <v>59.7208</v>
      </c>
      <c r="AD336" t="n">
        <v>-7813.5243</v>
      </c>
      <c r="AE336" t="n">
        <v>12425.3325</v>
      </c>
      <c r="AF336" t="n">
        <v>0.99</v>
      </c>
      <c r="AG336" t="inlineStr">
        <is>
          <t>Low</t>
        </is>
      </c>
      <c r="AH336" t="inlineStr">
        <is>
          <t>On Track</t>
        </is>
      </c>
    </row>
    <row r="337">
      <c r="A337" t="inlineStr">
        <is>
          <t>SUP-0021</t>
        </is>
      </c>
      <c r="B337" t="inlineStr">
        <is>
          <t>Textiles Supplier 021</t>
        </is>
      </c>
      <c r="C337" t="inlineStr">
        <is>
          <t>Textiles</t>
        </is>
      </c>
      <c r="D337" t="n">
        <v>2024</v>
      </c>
      <c r="E337" t="n">
        <v>2018</v>
      </c>
      <c r="F337" t="n">
        <v>2030</v>
      </c>
      <c r="G337" t="n">
        <v>1610.0749</v>
      </c>
      <c r="H337" t="n">
        <v>398.3082</v>
      </c>
      <c r="I337" t="inlineStr"/>
      <c r="J337" t="n">
        <v>1050.747</v>
      </c>
      <c r="K337" t="n">
        <v>9197090.859999999</v>
      </c>
      <c r="L337" t="n">
        <v>34774642.83</v>
      </c>
      <c r="M337" t="n">
        <v>1610.0749</v>
      </c>
      <c r="N337" t="inlineStr">
        <is>
          <t>Supplier Reported Emissions</t>
        </is>
      </c>
      <c r="O337" t="b">
        <v>0</v>
      </c>
      <c r="P337" t="inlineStr">
        <is>
          <t>High</t>
        </is>
      </c>
      <c r="Q337" t="inlineStr">
        <is>
          <t>Scope_Emissions</t>
        </is>
      </c>
      <c r="R337" t="inlineStr">
        <is>
          <t>Valid</t>
        </is>
      </c>
      <c r="S337" t="n">
        <v>2040</v>
      </c>
      <c r="T337" t="inlineStr">
        <is>
          <t>Supplier Target Pathway</t>
        </is>
      </c>
      <c r="U337" t="n">
        <v>1485.2844</v>
      </c>
      <c r="V337" t="n">
        <v>768.6347</v>
      </c>
      <c r="W337" t="n">
        <v>768.6347</v>
      </c>
      <c r="X337" t="n">
        <v>768.6347</v>
      </c>
      <c r="Y337" t="n">
        <v>716.6497000000001</v>
      </c>
      <c r="Z337" t="n">
        <v>8.357e-05</v>
      </c>
      <c r="AA337" t="n">
        <v>0.4825</v>
      </c>
      <c r="AB337" t="n">
        <v>0</v>
      </c>
      <c r="AC337" t="n">
        <v>59.7208</v>
      </c>
      <c r="AD337" t="n">
        <v>-8582.159</v>
      </c>
      <c r="AE337" t="n">
        <v>13193.9672</v>
      </c>
      <c r="AF337" t="n">
        <v>0.99</v>
      </c>
      <c r="AG337" t="inlineStr">
        <is>
          <t>Low</t>
        </is>
      </c>
      <c r="AH337" t="inlineStr">
        <is>
          <t>On Track</t>
        </is>
      </c>
    </row>
    <row r="338">
      <c r="A338" t="inlineStr">
        <is>
          <t>SUP-0022</t>
        </is>
      </c>
      <c r="B338" t="inlineStr">
        <is>
          <t>Chemicals Supplier 022</t>
        </is>
      </c>
      <c r="C338" t="inlineStr">
        <is>
          <t>Chemicals</t>
        </is>
      </c>
      <c r="D338" t="n">
        <v>2024</v>
      </c>
      <c r="E338" t="n">
        <v>2015</v>
      </c>
      <c r="F338" t="n">
        <v>2035</v>
      </c>
      <c r="G338" t="inlineStr"/>
      <c r="H338" t="n">
        <v>7473.9866</v>
      </c>
      <c r="I338" t="n">
        <v>2614.5193</v>
      </c>
      <c r="J338" t="n">
        <v>17684.5289</v>
      </c>
      <c r="K338" t="n">
        <v>27410943.79</v>
      </c>
      <c r="L338" t="n">
        <v>264885835.43</v>
      </c>
      <c r="M338" t="n">
        <v>27773.0348</v>
      </c>
      <c r="N338" t="inlineStr">
        <is>
          <t>Scope 1 + Scope 2 + Scope 3</t>
        </is>
      </c>
      <c r="O338" t="b">
        <v>1</v>
      </c>
      <c r="P338" t="inlineStr">
        <is>
          <t>High</t>
        </is>
      </c>
      <c r="Q338" t="inlineStr">
        <is>
          <t>Reported_Emissions</t>
        </is>
      </c>
      <c r="R338" t="inlineStr">
        <is>
          <t>Valid</t>
        </is>
      </c>
      <c r="S338" t="n">
        <v>2025</v>
      </c>
      <c r="T338" t="inlineStr">
        <is>
          <t>Industry Haircut Pathway</t>
        </is>
      </c>
      <c r="U338" t="n">
        <v>21460.6994</v>
      </c>
      <c r="V338" t="n">
        <v>10238.8997</v>
      </c>
      <c r="W338" t="n">
        <v>15849.7995</v>
      </c>
      <c r="X338" t="n">
        <v>15849.7995</v>
      </c>
      <c r="Y338" t="n">
        <v>5610.8999</v>
      </c>
      <c r="Z338" t="n">
        <v>0.00057823</v>
      </c>
      <c r="AA338" t="n">
        <v>0.26145</v>
      </c>
      <c r="AB338" t="n">
        <v>5610.8999</v>
      </c>
      <c r="AC338" t="n">
        <v>561.09</v>
      </c>
      <c r="AD338" t="n">
        <v>96778.0972</v>
      </c>
      <c r="AE338" t="n">
        <v>15849.7995</v>
      </c>
      <c r="AF338" t="n">
        <v>0.918</v>
      </c>
      <c r="AG338" t="inlineStr">
        <is>
          <t>Critical</t>
        </is>
      </c>
      <c r="AH338" t="inlineStr">
        <is>
          <t>On Track to Glide Path</t>
        </is>
      </c>
    </row>
    <row r="339">
      <c r="A339" t="inlineStr">
        <is>
          <t>SUP-0022</t>
        </is>
      </c>
      <c r="B339" t="inlineStr">
        <is>
          <t>Chemicals Supplier 022</t>
        </is>
      </c>
      <c r="C339" t="inlineStr">
        <is>
          <t>Chemicals</t>
        </is>
      </c>
      <c r="D339" t="n">
        <v>2024</v>
      </c>
      <c r="E339" t="n">
        <v>2015</v>
      </c>
      <c r="F339" t="n">
        <v>2035</v>
      </c>
      <c r="G339" t="inlineStr"/>
      <c r="H339" t="n">
        <v>7473.9866</v>
      </c>
      <c r="I339" t="n">
        <v>2614.5193</v>
      </c>
      <c r="J339" t="n">
        <v>17684.5289</v>
      </c>
      <c r="K339" t="n">
        <v>27410943.79</v>
      </c>
      <c r="L339" t="n">
        <v>264885835.43</v>
      </c>
      <c r="M339" t="n">
        <v>27773.0348</v>
      </c>
      <c r="N339" t="inlineStr">
        <is>
          <t>Scope 1 + Scope 2 + Scope 3</t>
        </is>
      </c>
      <c r="O339" t="b">
        <v>1</v>
      </c>
      <c r="P339" t="inlineStr">
        <is>
          <t>High</t>
        </is>
      </c>
      <c r="Q339" t="inlineStr">
        <is>
          <t>Reported_Emissions</t>
        </is>
      </c>
      <c r="R339" t="inlineStr">
        <is>
          <t>Valid</t>
        </is>
      </c>
      <c r="S339" t="n">
        <v>2026</v>
      </c>
      <c r="T339" t="inlineStr">
        <is>
          <t>Industry Haircut Pathway</t>
        </is>
      </c>
      <c r="U339" t="n">
        <v>21460.6994</v>
      </c>
      <c r="V339" t="n">
        <v>10238.8997</v>
      </c>
      <c r="W339" t="n">
        <v>15288.7096</v>
      </c>
      <c r="X339" t="n">
        <v>15288.7096</v>
      </c>
      <c r="Y339" t="n">
        <v>6171.9898</v>
      </c>
      <c r="Z339" t="n">
        <v>0.00055776</v>
      </c>
      <c r="AA339" t="n">
        <v>0.287595</v>
      </c>
      <c r="AB339" t="n">
        <v>5049.8099</v>
      </c>
      <c r="AC339" t="n">
        <v>561.09</v>
      </c>
      <c r="AD339" t="n">
        <v>81489.3876</v>
      </c>
      <c r="AE339" t="n">
        <v>31138.5091</v>
      </c>
      <c r="AF339" t="n">
        <v>0.918</v>
      </c>
      <c r="AG339" t="inlineStr">
        <is>
          <t>Critical</t>
        </is>
      </c>
      <c r="AH339" t="inlineStr">
        <is>
          <t>On Track to Glide Path</t>
        </is>
      </c>
    </row>
    <row r="340">
      <c r="A340" t="inlineStr">
        <is>
          <t>SUP-0022</t>
        </is>
      </c>
      <c r="B340" t="inlineStr">
        <is>
          <t>Chemicals Supplier 022</t>
        </is>
      </c>
      <c r="C340" t="inlineStr">
        <is>
          <t>Chemicals</t>
        </is>
      </c>
      <c r="D340" t="n">
        <v>2024</v>
      </c>
      <c r="E340" t="n">
        <v>2015</v>
      </c>
      <c r="F340" t="n">
        <v>2035</v>
      </c>
      <c r="G340" t="inlineStr"/>
      <c r="H340" t="n">
        <v>7473.9866</v>
      </c>
      <c r="I340" t="n">
        <v>2614.5193</v>
      </c>
      <c r="J340" t="n">
        <v>17684.5289</v>
      </c>
      <c r="K340" t="n">
        <v>27410943.79</v>
      </c>
      <c r="L340" t="n">
        <v>264885835.43</v>
      </c>
      <c r="M340" t="n">
        <v>27773.0348</v>
      </c>
      <c r="N340" t="inlineStr">
        <is>
          <t>Scope 1 + Scope 2 + Scope 3</t>
        </is>
      </c>
      <c r="O340" t="b">
        <v>1</v>
      </c>
      <c r="P340" t="inlineStr">
        <is>
          <t>High</t>
        </is>
      </c>
      <c r="Q340" t="inlineStr">
        <is>
          <t>Reported_Emissions</t>
        </is>
      </c>
      <c r="R340" t="inlineStr">
        <is>
          <t>Valid</t>
        </is>
      </c>
      <c r="S340" t="n">
        <v>2027</v>
      </c>
      <c r="T340" t="inlineStr">
        <is>
          <t>Industry Haircut Pathway</t>
        </is>
      </c>
      <c r="U340" t="n">
        <v>21460.6994</v>
      </c>
      <c r="V340" t="n">
        <v>10238.8997</v>
      </c>
      <c r="W340" t="n">
        <v>14727.6196</v>
      </c>
      <c r="X340" t="n">
        <v>14727.6196</v>
      </c>
      <c r="Y340" t="n">
        <v>6733.0798</v>
      </c>
      <c r="Z340" t="n">
        <v>0.0005372899999999999</v>
      </c>
      <c r="AA340" t="n">
        <v>0.31374</v>
      </c>
      <c r="AB340" t="n">
        <v>4488.7199</v>
      </c>
      <c r="AC340" t="n">
        <v>561.09</v>
      </c>
      <c r="AD340" t="n">
        <v>66761.768</v>
      </c>
      <c r="AE340" t="n">
        <v>45866.1287</v>
      </c>
      <c r="AF340" t="n">
        <v>0.918</v>
      </c>
      <c r="AG340" t="inlineStr">
        <is>
          <t>Critical</t>
        </is>
      </c>
      <c r="AH340" t="inlineStr">
        <is>
          <t>On Track to Glide Path</t>
        </is>
      </c>
    </row>
    <row r="341">
      <c r="A341" t="inlineStr">
        <is>
          <t>SUP-0022</t>
        </is>
      </c>
      <c r="B341" t="inlineStr">
        <is>
          <t>Chemicals Supplier 022</t>
        </is>
      </c>
      <c r="C341" t="inlineStr">
        <is>
          <t>Chemicals</t>
        </is>
      </c>
      <c r="D341" t="n">
        <v>2024</v>
      </c>
      <c r="E341" t="n">
        <v>2015</v>
      </c>
      <c r="F341" t="n">
        <v>2035</v>
      </c>
      <c r="G341" t="inlineStr"/>
      <c r="H341" t="n">
        <v>7473.9866</v>
      </c>
      <c r="I341" t="n">
        <v>2614.5193</v>
      </c>
      <c r="J341" t="n">
        <v>17684.5289</v>
      </c>
      <c r="K341" t="n">
        <v>27410943.79</v>
      </c>
      <c r="L341" t="n">
        <v>264885835.43</v>
      </c>
      <c r="M341" t="n">
        <v>27773.0348</v>
      </c>
      <c r="N341" t="inlineStr">
        <is>
          <t>Scope 1 + Scope 2 + Scope 3</t>
        </is>
      </c>
      <c r="O341" t="b">
        <v>1</v>
      </c>
      <c r="P341" t="inlineStr">
        <is>
          <t>High</t>
        </is>
      </c>
      <c r="Q341" t="inlineStr">
        <is>
          <t>Reported_Emissions</t>
        </is>
      </c>
      <c r="R341" t="inlineStr">
        <is>
          <t>Valid</t>
        </is>
      </c>
      <c r="S341" t="n">
        <v>2028</v>
      </c>
      <c r="T341" t="inlineStr">
        <is>
          <t>Industry Haircut Pathway</t>
        </is>
      </c>
      <c r="U341" t="n">
        <v>21460.6994</v>
      </c>
      <c r="V341" t="n">
        <v>10238.8997</v>
      </c>
      <c r="W341" t="n">
        <v>14166.5296</v>
      </c>
      <c r="X341" t="n">
        <v>14166.5296</v>
      </c>
      <c r="Y341" t="n">
        <v>7294.1698</v>
      </c>
      <c r="Z341" t="n">
        <v>0.00051682</v>
      </c>
      <c r="AA341" t="n">
        <v>0.339885</v>
      </c>
      <c r="AB341" t="n">
        <v>3927.6299</v>
      </c>
      <c r="AC341" t="n">
        <v>561.09</v>
      </c>
      <c r="AD341" t="n">
        <v>52595.2384</v>
      </c>
      <c r="AE341" t="n">
        <v>60032.6583</v>
      </c>
      <c r="AF341" t="n">
        <v>0.918</v>
      </c>
      <c r="AG341" t="inlineStr">
        <is>
          <t>Critical</t>
        </is>
      </c>
      <c r="AH341" t="inlineStr">
        <is>
          <t>On Track to Glide Path</t>
        </is>
      </c>
    </row>
    <row r="342">
      <c r="A342" t="inlineStr">
        <is>
          <t>SUP-0022</t>
        </is>
      </c>
      <c r="B342" t="inlineStr">
        <is>
          <t>Chemicals Supplier 022</t>
        </is>
      </c>
      <c r="C342" t="inlineStr">
        <is>
          <t>Chemicals</t>
        </is>
      </c>
      <c r="D342" t="n">
        <v>2024</v>
      </c>
      <c r="E342" t="n">
        <v>2015</v>
      </c>
      <c r="F342" t="n">
        <v>2035</v>
      </c>
      <c r="G342" t="inlineStr"/>
      <c r="H342" t="n">
        <v>7473.9866</v>
      </c>
      <c r="I342" t="n">
        <v>2614.5193</v>
      </c>
      <c r="J342" t="n">
        <v>17684.5289</v>
      </c>
      <c r="K342" t="n">
        <v>27410943.79</v>
      </c>
      <c r="L342" t="n">
        <v>264885835.43</v>
      </c>
      <c r="M342" t="n">
        <v>27773.0348</v>
      </c>
      <c r="N342" t="inlineStr">
        <is>
          <t>Scope 1 + Scope 2 + Scope 3</t>
        </is>
      </c>
      <c r="O342" t="b">
        <v>1</v>
      </c>
      <c r="P342" t="inlineStr">
        <is>
          <t>High</t>
        </is>
      </c>
      <c r="Q342" t="inlineStr">
        <is>
          <t>Reported_Emissions</t>
        </is>
      </c>
      <c r="R342" t="inlineStr">
        <is>
          <t>Valid</t>
        </is>
      </c>
      <c r="S342" t="n">
        <v>2029</v>
      </c>
      <c r="T342" t="inlineStr">
        <is>
          <t>Industry Haircut Pathway</t>
        </is>
      </c>
      <c r="U342" t="n">
        <v>21460.6994</v>
      </c>
      <c r="V342" t="n">
        <v>10238.8997</v>
      </c>
      <c r="W342" t="n">
        <v>13605.4396</v>
      </c>
      <c r="X342" t="n">
        <v>13605.4396</v>
      </c>
      <c r="Y342" t="n">
        <v>7855.2598</v>
      </c>
      <c r="Z342" t="n">
        <v>0.00049635</v>
      </c>
      <c r="AA342" t="n">
        <v>0.36603</v>
      </c>
      <c r="AB342" t="n">
        <v>3366.5399</v>
      </c>
      <c r="AC342" t="n">
        <v>561.09</v>
      </c>
      <c r="AD342" t="n">
        <v>38989.7988</v>
      </c>
      <c r="AE342" t="n">
        <v>73638.09789999999</v>
      </c>
      <c r="AF342" t="n">
        <v>0.918</v>
      </c>
      <c r="AG342" t="inlineStr">
        <is>
          <t>High</t>
        </is>
      </c>
      <c r="AH342" t="inlineStr">
        <is>
          <t>On Track to Glide Path</t>
        </is>
      </c>
    </row>
    <row r="343">
      <c r="A343" t="inlineStr">
        <is>
          <t>SUP-0022</t>
        </is>
      </c>
      <c r="B343" t="inlineStr">
        <is>
          <t>Chemicals Supplier 022</t>
        </is>
      </c>
      <c r="C343" t="inlineStr">
        <is>
          <t>Chemicals</t>
        </is>
      </c>
      <c r="D343" t="n">
        <v>2024</v>
      </c>
      <c r="E343" t="n">
        <v>2015</v>
      </c>
      <c r="F343" t="n">
        <v>2035</v>
      </c>
      <c r="G343" t="inlineStr"/>
      <c r="H343" t="n">
        <v>7473.9866</v>
      </c>
      <c r="I343" t="n">
        <v>2614.5193</v>
      </c>
      <c r="J343" t="n">
        <v>17684.5289</v>
      </c>
      <c r="K343" t="n">
        <v>27410943.79</v>
      </c>
      <c r="L343" t="n">
        <v>264885835.43</v>
      </c>
      <c r="M343" t="n">
        <v>27773.0348</v>
      </c>
      <c r="N343" t="inlineStr">
        <is>
          <t>Scope 1 + Scope 2 + Scope 3</t>
        </is>
      </c>
      <c r="O343" t="b">
        <v>1</v>
      </c>
      <c r="P343" t="inlineStr">
        <is>
          <t>High</t>
        </is>
      </c>
      <c r="Q343" t="inlineStr">
        <is>
          <t>Reported_Emissions</t>
        </is>
      </c>
      <c r="R343" t="inlineStr">
        <is>
          <t>Valid</t>
        </is>
      </c>
      <c r="S343" t="n">
        <v>2030</v>
      </c>
      <c r="T343" t="inlineStr">
        <is>
          <t>Industry Haircut Pathway</t>
        </is>
      </c>
      <c r="U343" t="n">
        <v>21460.6994</v>
      </c>
      <c r="V343" t="n">
        <v>10238.8997</v>
      </c>
      <c r="W343" t="n">
        <v>13044.3496</v>
      </c>
      <c r="X343" t="n">
        <v>13044.3496</v>
      </c>
      <c r="Y343" t="n">
        <v>8416.3498</v>
      </c>
      <c r="Z343" t="n">
        <v>0.00047588</v>
      </c>
      <c r="AA343" t="n">
        <v>0.392175</v>
      </c>
      <c r="AB343" t="n">
        <v>2805.4499</v>
      </c>
      <c r="AC343" t="n">
        <v>561.09</v>
      </c>
      <c r="AD343" t="n">
        <v>25945.4492</v>
      </c>
      <c r="AE343" t="n">
        <v>86682.44749999999</v>
      </c>
      <c r="AF343" t="n">
        <v>0.918</v>
      </c>
      <c r="AG343" t="inlineStr">
        <is>
          <t>High</t>
        </is>
      </c>
      <c r="AH343" t="inlineStr">
        <is>
          <t>On Track to Glide Path</t>
        </is>
      </c>
    </row>
    <row r="344">
      <c r="A344" t="inlineStr">
        <is>
          <t>SUP-0022</t>
        </is>
      </c>
      <c r="B344" t="inlineStr">
        <is>
          <t>Chemicals Supplier 022</t>
        </is>
      </c>
      <c r="C344" t="inlineStr">
        <is>
          <t>Chemicals</t>
        </is>
      </c>
      <c r="D344" t="n">
        <v>2024</v>
      </c>
      <c r="E344" t="n">
        <v>2015</v>
      </c>
      <c r="F344" t="n">
        <v>2035</v>
      </c>
      <c r="G344" t="inlineStr"/>
      <c r="H344" t="n">
        <v>7473.9866</v>
      </c>
      <c r="I344" t="n">
        <v>2614.5193</v>
      </c>
      <c r="J344" t="n">
        <v>17684.5289</v>
      </c>
      <c r="K344" t="n">
        <v>27410943.79</v>
      </c>
      <c r="L344" t="n">
        <v>264885835.43</v>
      </c>
      <c r="M344" t="n">
        <v>27773.0348</v>
      </c>
      <c r="N344" t="inlineStr">
        <is>
          <t>Scope 1 + Scope 2 + Scope 3</t>
        </is>
      </c>
      <c r="O344" t="b">
        <v>1</v>
      </c>
      <c r="P344" t="inlineStr">
        <is>
          <t>High</t>
        </is>
      </c>
      <c r="Q344" t="inlineStr">
        <is>
          <t>Reported_Emissions</t>
        </is>
      </c>
      <c r="R344" t="inlineStr">
        <is>
          <t>Valid</t>
        </is>
      </c>
      <c r="S344" t="n">
        <v>2031</v>
      </c>
      <c r="T344" t="inlineStr">
        <is>
          <t>Industry Haircut Pathway</t>
        </is>
      </c>
      <c r="U344" t="n">
        <v>21460.6994</v>
      </c>
      <c r="V344" t="n">
        <v>10238.8997</v>
      </c>
      <c r="W344" t="n">
        <v>12483.2596</v>
      </c>
      <c r="X344" t="n">
        <v>12483.2596</v>
      </c>
      <c r="Y344" t="n">
        <v>8977.4398</v>
      </c>
      <c r="Z344" t="n">
        <v>0.00045541</v>
      </c>
      <c r="AA344" t="n">
        <v>0.41832</v>
      </c>
      <c r="AB344" t="n">
        <v>2244.3599</v>
      </c>
      <c r="AC344" t="n">
        <v>561.09</v>
      </c>
      <c r="AD344" t="n">
        <v>13462.1896</v>
      </c>
      <c r="AE344" t="n">
        <v>99165.7071</v>
      </c>
      <c r="AF344" t="n">
        <v>0.918</v>
      </c>
      <c r="AG344" t="inlineStr">
        <is>
          <t>High</t>
        </is>
      </c>
      <c r="AH344" t="inlineStr">
        <is>
          <t>On Track to Glide Path</t>
        </is>
      </c>
    </row>
    <row r="345">
      <c r="A345" t="inlineStr">
        <is>
          <t>SUP-0022</t>
        </is>
      </c>
      <c r="B345" t="inlineStr">
        <is>
          <t>Chemicals Supplier 022</t>
        </is>
      </c>
      <c r="C345" t="inlineStr">
        <is>
          <t>Chemicals</t>
        </is>
      </c>
      <c r="D345" t="n">
        <v>2024</v>
      </c>
      <c r="E345" t="n">
        <v>2015</v>
      </c>
      <c r="F345" t="n">
        <v>2035</v>
      </c>
      <c r="G345" t="inlineStr"/>
      <c r="H345" t="n">
        <v>7473.9866</v>
      </c>
      <c r="I345" t="n">
        <v>2614.5193</v>
      </c>
      <c r="J345" t="n">
        <v>17684.5289</v>
      </c>
      <c r="K345" t="n">
        <v>27410943.79</v>
      </c>
      <c r="L345" t="n">
        <v>264885835.43</v>
      </c>
      <c r="M345" t="n">
        <v>27773.0348</v>
      </c>
      <c r="N345" t="inlineStr">
        <is>
          <t>Scope 1 + Scope 2 + Scope 3</t>
        </is>
      </c>
      <c r="O345" t="b">
        <v>1</v>
      </c>
      <c r="P345" t="inlineStr">
        <is>
          <t>High</t>
        </is>
      </c>
      <c r="Q345" t="inlineStr">
        <is>
          <t>Reported_Emissions</t>
        </is>
      </c>
      <c r="R345" t="inlineStr">
        <is>
          <t>Valid</t>
        </is>
      </c>
      <c r="S345" t="n">
        <v>2032</v>
      </c>
      <c r="T345" t="inlineStr">
        <is>
          <t>Industry Haircut Pathway</t>
        </is>
      </c>
      <c r="U345" t="n">
        <v>21460.6994</v>
      </c>
      <c r="V345" t="n">
        <v>10238.8997</v>
      </c>
      <c r="W345" t="n">
        <v>11922.1696</v>
      </c>
      <c r="X345" t="n">
        <v>11922.1696</v>
      </c>
      <c r="Y345" t="n">
        <v>9538.5298</v>
      </c>
      <c r="Z345" t="n">
        <v>0.00043494</v>
      </c>
      <c r="AA345" t="n">
        <v>0.444465</v>
      </c>
      <c r="AB345" t="n">
        <v>1683.27</v>
      </c>
      <c r="AC345" t="n">
        <v>561.09</v>
      </c>
      <c r="AD345" t="n">
        <v>1540.02</v>
      </c>
      <c r="AE345" t="n">
        <v>111087.8767</v>
      </c>
      <c r="AF345" t="n">
        <v>0.918</v>
      </c>
      <c r="AG345" t="inlineStr">
        <is>
          <t>High</t>
        </is>
      </c>
      <c r="AH345" t="inlineStr">
        <is>
          <t>On Track to Glide Path</t>
        </is>
      </c>
    </row>
    <row r="346">
      <c r="A346" t="inlineStr">
        <is>
          <t>SUP-0022</t>
        </is>
      </c>
      <c r="B346" t="inlineStr">
        <is>
          <t>Chemicals Supplier 022</t>
        </is>
      </c>
      <c r="C346" t="inlineStr">
        <is>
          <t>Chemicals</t>
        </is>
      </c>
      <c r="D346" t="n">
        <v>2024</v>
      </c>
      <c r="E346" t="n">
        <v>2015</v>
      </c>
      <c r="F346" t="n">
        <v>2035</v>
      </c>
      <c r="G346" t="inlineStr"/>
      <c r="H346" t="n">
        <v>7473.9866</v>
      </c>
      <c r="I346" t="n">
        <v>2614.5193</v>
      </c>
      <c r="J346" t="n">
        <v>17684.5289</v>
      </c>
      <c r="K346" t="n">
        <v>27410943.79</v>
      </c>
      <c r="L346" t="n">
        <v>264885835.43</v>
      </c>
      <c r="M346" t="n">
        <v>27773.0348</v>
      </c>
      <c r="N346" t="inlineStr">
        <is>
          <t>Scope 1 + Scope 2 + Scope 3</t>
        </is>
      </c>
      <c r="O346" t="b">
        <v>1</v>
      </c>
      <c r="P346" t="inlineStr">
        <is>
          <t>High</t>
        </is>
      </c>
      <c r="Q346" t="inlineStr">
        <is>
          <t>Reported_Emissions</t>
        </is>
      </c>
      <c r="R346" t="inlineStr">
        <is>
          <t>Valid</t>
        </is>
      </c>
      <c r="S346" t="n">
        <v>2033</v>
      </c>
      <c r="T346" t="inlineStr">
        <is>
          <t>Industry Haircut Pathway</t>
        </is>
      </c>
      <c r="U346" t="n">
        <v>21460.6994</v>
      </c>
      <c r="V346" t="n">
        <v>10238.8997</v>
      </c>
      <c r="W346" t="n">
        <v>11361.0797</v>
      </c>
      <c r="X346" t="n">
        <v>11361.0797</v>
      </c>
      <c r="Y346" t="n">
        <v>10099.6197</v>
      </c>
      <c r="Z346" t="n">
        <v>0.00041447</v>
      </c>
      <c r="AA346" t="n">
        <v>0.47061</v>
      </c>
      <c r="AB346" t="n">
        <v>1122.18</v>
      </c>
      <c r="AC346" t="n">
        <v>561.09</v>
      </c>
      <c r="AD346" t="n">
        <v>-9821.0597</v>
      </c>
      <c r="AE346" t="n">
        <v>122448.9564</v>
      </c>
      <c r="AF346" t="n">
        <v>0.918</v>
      </c>
      <c r="AG346" t="inlineStr">
        <is>
          <t>Medium</t>
        </is>
      </c>
      <c r="AH346" t="inlineStr">
        <is>
          <t>On Track to Glide Path</t>
        </is>
      </c>
    </row>
    <row r="347">
      <c r="A347" t="inlineStr">
        <is>
          <t>SUP-0022</t>
        </is>
      </c>
      <c r="B347" t="inlineStr">
        <is>
          <t>Chemicals Supplier 022</t>
        </is>
      </c>
      <c r="C347" t="inlineStr">
        <is>
          <t>Chemicals</t>
        </is>
      </c>
      <c r="D347" t="n">
        <v>2024</v>
      </c>
      <c r="E347" t="n">
        <v>2015</v>
      </c>
      <c r="F347" t="n">
        <v>2035</v>
      </c>
      <c r="G347" t="inlineStr"/>
      <c r="H347" t="n">
        <v>7473.9866</v>
      </c>
      <c r="I347" t="n">
        <v>2614.5193</v>
      </c>
      <c r="J347" t="n">
        <v>17684.5289</v>
      </c>
      <c r="K347" t="n">
        <v>27410943.79</v>
      </c>
      <c r="L347" t="n">
        <v>264885835.43</v>
      </c>
      <c r="M347" t="n">
        <v>27773.0348</v>
      </c>
      <c r="N347" t="inlineStr">
        <is>
          <t>Scope 1 + Scope 2 + Scope 3</t>
        </is>
      </c>
      <c r="O347" t="b">
        <v>1</v>
      </c>
      <c r="P347" t="inlineStr">
        <is>
          <t>High</t>
        </is>
      </c>
      <c r="Q347" t="inlineStr">
        <is>
          <t>Reported_Emissions</t>
        </is>
      </c>
      <c r="R347" t="inlineStr">
        <is>
          <t>Valid</t>
        </is>
      </c>
      <c r="S347" t="n">
        <v>2034</v>
      </c>
      <c r="T347" t="inlineStr">
        <is>
          <t>Industry Haircut Pathway</t>
        </is>
      </c>
      <c r="U347" t="n">
        <v>21460.6994</v>
      </c>
      <c r="V347" t="n">
        <v>10238.8997</v>
      </c>
      <c r="W347" t="n">
        <v>10799.9897</v>
      </c>
      <c r="X347" t="n">
        <v>10799.9897</v>
      </c>
      <c r="Y347" t="n">
        <v>10660.7097</v>
      </c>
      <c r="Z347" t="n">
        <v>0.000394</v>
      </c>
      <c r="AA347" t="n">
        <v>0.496755</v>
      </c>
      <c r="AB347" t="n">
        <v>561.09</v>
      </c>
      <c r="AC347" t="n">
        <v>561.09</v>
      </c>
      <c r="AD347" t="n">
        <v>-20621.0494</v>
      </c>
      <c r="AE347" t="n">
        <v>133248.9461</v>
      </c>
      <c r="AF347" t="n">
        <v>0.918</v>
      </c>
      <c r="AG347" t="inlineStr">
        <is>
          <t>Medium</t>
        </is>
      </c>
      <c r="AH347" t="inlineStr">
        <is>
          <t>On Track to Glide Path</t>
        </is>
      </c>
    </row>
    <row r="348">
      <c r="A348" t="inlineStr">
        <is>
          <t>SUP-0022</t>
        </is>
      </c>
      <c r="B348" t="inlineStr">
        <is>
          <t>Chemicals Supplier 022</t>
        </is>
      </c>
      <c r="C348" t="inlineStr">
        <is>
          <t>Chemicals</t>
        </is>
      </c>
      <c r="D348" t="n">
        <v>2024</v>
      </c>
      <c r="E348" t="n">
        <v>2015</v>
      </c>
      <c r="F348" t="n">
        <v>2035</v>
      </c>
      <c r="G348" t="inlineStr"/>
      <c r="H348" t="n">
        <v>7473.9866</v>
      </c>
      <c r="I348" t="n">
        <v>2614.5193</v>
      </c>
      <c r="J348" t="n">
        <v>17684.5289</v>
      </c>
      <c r="K348" t="n">
        <v>27410943.79</v>
      </c>
      <c r="L348" t="n">
        <v>264885835.43</v>
      </c>
      <c r="M348" t="n">
        <v>27773.0348</v>
      </c>
      <c r="N348" t="inlineStr">
        <is>
          <t>Scope 1 + Scope 2 + Scope 3</t>
        </is>
      </c>
      <c r="O348" t="b">
        <v>1</v>
      </c>
      <c r="P348" t="inlineStr">
        <is>
          <t>High</t>
        </is>
      </c>
      <c r="Q348" t="inlineStr">
        <is>
          <t>Reported_Emissions</t>
        </is>
      </c>
      <c r="R348" t="inlineStr">
        <is>
          <t>Valid</t>
        </is>
      </c>
      <c r="S348" t="n">
        <v>2035</v>
      </c>
      <c r="T348" t="inlineStr">
        <is>
          <t>Industry Haircut Pathway</t>
        </is>
      </c>
      <c r="U348" t="n">
        <v>21460.6994</v>
      </c>
      <c r="V348" t="n">
        <v>10238.8997</v>
      </c>
      <c r="W348" t="n">
        <v>10238.8997</v>
      </c>
      <c r="X348" t="n">
        <v>10238.8997</v>
      </c>
      <c r="Y348" t="n">
        <v>11221.7997</v>
      </c>
      <c r="Z348" t="n">
        <v>0.00037353</v>
      </c>
      <c r="AA348" t="n">
        <v>0.5229</v>
      </c>
      <c r="AB348" t="n">
        <v>0</v>
      </c>
      <c r="AC348" t="n">
        <v>561.09</v>
      </c>
      <c r="AD348" t="n">
        <v>-30859.9491</v>
      </c>
      <c r="AE348" t="n">
        <v>143487.8458</v>
      </c>
      <c r="AF348" t="n">
        <v>0.918</v>
      </c>
      <c r="AG348" t="inlineStr">
        <is>
          <t>Low</t>
        </is>
      </c>
      <c r="AH348" t="inlineStr">
        <is>
          <t>On Track</t>
        </is>
      </c>
    </row>
    <row r="349">
      <c r="A349" t="inlineStr">
        <is>
          <t>SUP-0022</t>
        </is>
      </c>
      <c r="B349" t="inlineStr">
        <is>
          <t>Chemicals Supplier 022</t>
        </is>
      </c>
      <c r="C349" t="inlineStr">
        <is>
          <t>Chemicals</t>
        </is>
      </c>
      <c r="D349" t="n">
        <v>2024</v>
      </c>
      <c r="E349" t="n">
        <v>2015</v>
      </c>
      <c r="F349" t="n">
        <v>2035</v>
      </c>
      <c r="G349" t="inlineStr"/>
      <c r="H349" t="n">
        <v>7473.9866</v>
      </c>
      <c r="I349" t="n">
        <v>2614.5193</v>
      </c>
      <c r="J349" t="n">
        <v>17684.5289</v>
      </c>
      <c r="K349" t="n">
        <v>27410943.79</v>
      </c>
      <c r="L349" t="n">
        <v>264885835.43</v>
      </c>
      <c r="M349" t="n">
        <v>27773.0348</v>
      </c>
      <c r="N349" t="inlineStr">
        <is>
          <t>Scope 1 + Scope 2 + Scope 3</t>
        </is>
      </c>
      <c r="O349" t="b">
        <v>1</v>
      </c>
      <c r="P349" t="inlineStr">
        <is>
          <t>High</t>
        </is>
      </c>
      <c r="Q349" t="inlineStr">
        <is>
          <t>Reported_Emissions</t>
        </is>
      </c>
      <c r="R349" t="inlineStr">
        <is>
          <t>Valid</t>
        </is>
      </c>
      <c r="S349" t="n">
        <v>2036</v>
      </c>
      <c r="T349" t="inlineStr">
        <is>
          <t>Industry Haircut Pathway</t>
        </is>
      </c>
      <c r="U349" t="n">
        <v>21460.6994</v>
      </c>
      <c r="V349" t="n">
        <v>10238.8997</v>
      </c>
      <c r="W349" t="n">
        <v>10238.8997</v>
      </c>
      <c r="X349" t="n">
        <v>10238.8997</v>
      </c>
      <c r="Y349" t="n">
        <v>11221.7997</v>
      </c>
      <c r="Z349" t="n">
        <v>0.00037353</v>
      </c>
      <c r="AA349" t="n">
        <v>0.5229</v>
      </c>
      <c r="AB349" t="n">
        <v>0</v>
      </c>
      <c r="AC349" t="n">
        <v>561.09</v>
      </c>
      <c r="AD349" t="n">
        <v>-41098.8488</v>
      </c>
      <c r="AE349" t="n">
        <v>153726.7455</v>
      </c>
      <c r="AF349" t="n">
        <v>0.918</v>
      </c>
      <c r="AG349" t="inlineStr">
        <is>
          <t>Low</t>
        </is>
      </c>
      <c r="AH349" t="inlineStr">
        <is>
          <t>On Track</t>
        </is>
      </c>
    </row>
    <row r="350">
      <c r="A350" t="inlineStr">
        <is>
          <t>SUP-0022</t>
        </is>
      </c>
      <c r="B350" t="inlineStr">
        <is>
          <t>Chemicals Supplier 022</t>
        </is>
      </c>
      <c r="C350" t="inlineStr">
        <is>
          <t>Chemicals</t>
        </is>
      </c>
      <c r="D350" t="n">
        <v>2024</v>
      </c>
      <c r="E350" t="n">
        <v>2015</v>
      </c>
      <c r="F350" t="n">
        <v>2035</v>
      </c>
      <c r="G350" t="inlineStr"/>
      <c r="H350" t="n">
        <v>7473.9866</v>
      </c>
      <c r="I350" t="n">
        <v>2614.5193</v>
      </c>
      <c r="J350" t="n">
        <v>17684.5289</v>
      </c>
      <c r="K350" t="n">
        <v>27410943.79</v>
      </c>
      <c r="L350" t="n">
        <v>264885835.43</v>
      </c>
      <c r="M350" t="n">
        <v>27773.0348</v>
      </c>
      <c r="N350" t="inlineStr">
        <is>
          <t>Scope 1 + Scope 2 + Scope 3</t>
        </is>
      </c>
      <c r="O350" t="b">
        <v>1</v>
      </c>
      <c r="P350" t="inlineStr">
        <is>
          <t>High</t>
        </is>
      </c>
      <c r="Q350" t="inlineStr">
        <is>
          <t>Reported_Emissions</t>
        </is>
      </c>
      <c r="R350" t="inlineStr">
        <is>
          <t>Valid</t>
        </is>
      </c>
      <c r="S350" t="n">
        <v>2037</v>
      </c>
      <c r="T350" t="inlineStr">
        <is>
          <t>Industry Haircut Pathway</t>
        </is>
      </c>
      <c r="U350" t="n">
        <v>21460.6994</v>
      </c>
      <c r="V350" t="n">
        <v>10238.8997</v>
      </c>
      <c r="W350" t="n">
        <v>10238.8997</v>
      </c>
      <c r="X350" t="n">
        <v>10238.8997</v>
      </c>
      <c r="Y350" t="n">
        <v>11221.7997</v>
      </c>
      <c r="Z350" t="n">
        <v>0.00037353</v>
      </c>
      <c r="AA350" t="n">
        <v>0.5229</v>
      </c>
      <c r="AB350" t="n">
        <v>0</v>
      </c>
      <c r="AC350" t="n">
        <v>561.09</v>
      </c>
      <c r="AD350" t="n">
        <v>-51337.7485</v>
      </c>
      <c r="AE350" t="n">
        <v>163965.6452</v>
      </c>
      <c r="AF350" t="n">
        <v>0.918</v>
      </c>
      <c r="AG350" t="inlineStr">
        <is>
          <t>Low</t>
        </is>
      </c>
      <c r="AH350" t="inlineStr">
        <is>
          <t>On Track</t>
        </is>
      </c>
    </row>
    <row r="351">
      <c r="A351" t="inlineStr">
        <is>
          <t>SUP-0022</t>
        </is>
      </c>
      <c r="B351" t="inlineStr">
        <is>
          <t>Chemicals Supplier 022</t>
        </is>
      </c>
      <c r="C351" t="inlineStr">
        <is>
          <t>Chemicals</t>
        </is>
      </c>
      <c r="D351" t="n">
        <v>2024</v>
      </c>
      <c r="E351" t="n">
        <v>2015</v>
      </c>
      <c r="F351" t="n">
        <v>2035</v>
      </c>
      <c r="G351" t="inlineStr"/>
      <c r="H351" t="n">
        <v>7473.9866</v>
      </c>
      <c r="I351" t="n">
        <v>2614.5193</v>
      </c>
      <c r="J351" t="n">
        <v>17684.5289</v>
      </c>
      <c r="K351" t="n">
        <v>27410943.79</v>
      </c>
      <c r="L351" t="n">
        <v>264885835.43</v>
      </c>
      <c r="M351" t="n">
        <v>27773.0348</v>
      </c>
      <c r="N351" t="inlineStr">
        <is>
          <t>Scope 1 + Scope 2 + Scope 3</t>
        </is>
      </c>
      <c r="O351" t="b">
        <v>1</v>
      </c>
      <c r="P351" t="inlineStr">
        <is>
          <t>High</t>
        </is>
      </c>
      <c r="Q351" t="inlineStr">
        <is>
          <t>Reported_Emissions</t>
        </is>
      </c>
      <c r="R351" t="inlineStr">
        <is>
          <t>Valid</t>
        </is>
      </c>
      <c r="S351" t="n">
        <v>2038</v>
      </c>
      <c r="T351" t="inlineStr">
        <is>
          <t>Industry Haircut Pathway</t>
        </is>
      </c>
      <c r="U351" t="n">
        <v>21460.6994</v>
      </c>
      <c r="V351" t="n">
        <v>10238.8997</v>
      </c>
      <c r="W351" t="n">
        <v>10238.8997</v>
      </c>
      <c r="X351" t="n">
        <v>10238.8997</v>
      </c>
      <c r="Y351" t="n">
        <v>11221.7997</v>
      </c>
      <c r="Z351" t="n">
        <v>0.00037353</v>
      </c>
      <c r="AA351" t="n">
        <v>0.5229</v>
      </c>
      <c r="AB351" t="n">
        <v>0</v>
      </c>
      <c r="AC351" t="n">
        <v>561.09</v>
      </c>
      <c r="AD351" t="n">
        <v>-61576.6482</v>
      </c>
      <c r="AE351" t="n">
        <v>174204.5449</v>
      </c>
      <c r="AF351" t="n">
        <v>0.918</v>
      </c>
      <c r="AG351" t="inlineStr">
        <is>
          <t>Low</t>
        </is>
      </c>
      <c r="AH351" t="inlineStr">
        <is>
          <t>On Track</t>
        </is>
      </c>
    </row>
    <row r="352">
      <c r="A352" t="inlineStr">
        <is>
          <t>SUP-0022</t>
        </is>
      </c>
      <c r="B352" t="inlineStr">
        <is>
          <t>Chemicals Supplier 022</t>
        </is>
      </c>
      <c r="C352" t="inlineStr">
        <is>
          <t>Chemicals</t>
        </is>
      </c>
      <c r="D352" t="n">
        <v>2024</v>
      </c>
      <c r="E352" t="n">
        <v>2015</v>
      </c>
      <c r="F352" t="n">
        <v>2035</v>
      </c>
      <c r="G352" t="inlineStr"/>
      <c r="H352" t="n">
        <v>7473.9866</v>
      </c>
      <c r="I352" t="n">
        <v>2614.5193</v>
      </c>
      <c r="J352" t="n">
        <v>17684.5289</v>
      </c>
      <c r="K352" t="n">
        <v>27410943.79</v>
      </c>
      <c r="L352" t="n">
        <v>264885835.43</v>
      </c>
      <c r="M352" t="n">
        <v>27773.0348</v>
      </c>
      <c r="N352" t="inlineStr">
        <is>
          <t>Scope 1 + Scope 2 + Scope 3</t>
        </is>
      </c>
      <c r="O352" t="b">
        <v>1</v>
      </c>
      <c r="P352" t="inlineStr">
        <is>
          <t>High</t>
        </is>
      </c>
      <c r="Q352" t="inlineStr">
        <is>
          <t>Reported_Emissions</t>
        </is>
      </c>
      <c r="R352" t="inlineStr">
        <is>
          <t>Valid</t>
        </is>
      </c>
      <c r="S352" t="n">
        <v>2039</v>
      </c>
      <c r="T352" t="inlineStr">
        <is>
          <t>Industry Haircut Pathway</t>
        </is>
      </c>
      <c r="U352" t="n">
        <v>21460.6994</v>
      </c>
      <c r="V352" t="n">
        <v>10238.8997</v>
      </c>
      <c r="W352" t="n">
        <v>10238.8997</v>
      </c>
      <c r="X352" t="n">
        <v>10238.8997</v>
      </c>
      <c r="Y352" t="n">
        <v>11221.7997</v>
      </c>
      <c r="Z352" t="n">
        <v>0.00037353</v>
      </c>
      <c r="AA352" t="n">
        <v>0.5229</v>
      </c>
      <c r="AB352" t="n">
        <v>0</v>
      </c>
      <c r="AC352" t="n">
        <v>561.09</v>
      </c>
      <c r="AD352" t="n">
        <v>-71815.54790000001</v>
      </c>
      <c r="AE352" t="n">
        <v>184443.4446</v>
      </c>
      <c r="AF352" t="n">
        <v>0.918</v>
      </c>
      <c r="AG352" t="inlineStr">
        <is>
          <t>Low</t>
        </is>
      </c>
      <c r="AH352" t="inlineStr">
        <is>
          <t>On Track</t>
        </is>
      </c>
    </row>
    <row r="353">
      <c r="A353" t="inlineStr">
        <is>
          <t>SUP-0022</t>
        </is>
      </c>
      <c r="B353" t="inlineStr">
        <is>
          <t>Chemicals Supplier 022</t>
        </is>
      </c>
      <c r="C353" t="inlineStr">
        <is>
          <t>Chemicals</t>
        </is>
      </c>
      <c r="D353" t="n">
        <v>2024</v>
      </c>
      <c r="E353" t="n">
        <v>2015</v>
      </c>
      <c r="F353" t="n">
        <v>2035</v>
      </c>
      <c r="G353" t="inlineStr"/>
      <c r="H353" t="n">
        <v>7473.9866</v>
      </c>
      <c r="I353" t="n">
        <v>2614.5193</v>
      </c>
      <c r="J353" t="n">
        <v>17684.5289</v>
      </c>
      <c r="K353" t="n">
        <v>27410943.79</v>
      </c>
      <c r="L353" t="n">
        <v>264885835.43</v>
      </c>
      <c r="M353" t="n">
        <v>27773.0348</v>
      </c>
      <c r="N353" t="inlineStr">
        <is>
          <t>Scope 1 + Scope 2 + Scope 3</t>
        </is>
      </c>
      <c r="O353" t="b">
        <v>1</v>
      </c>
      <c r="P353" t="inlineStr">
        <is>
          <t>High</t>
        </is>
      </c>
      <c r="Q353" t="inlineStr">
        <is>
          <t>Reported_Emissions</t>
        </is>
      </c>
      <c r="R353" t="inlineStr">
        <is>
          <t>Valid</t>
        </is>
      </c>
      <c r="S353" t="n">
        <v>2040</v>
      </c>
      <c r="T353" t="inlineStr">
        <is>
          <t>Industry Haircut Pathway</t>
        </is>
      </c>
      <c r="U353" t="n">
        <v>21460.6994</v>
      </c>
      <c r="V353" t="n">
        <v>10238.8997</v>
      </c>
      <c r="W353" t="n">
        <v>10238.8997</v>
      </c>
      <c r="X353" t="n">
        <v>10238.8997</v>
      </c>
      <c r="Y353" t="n">
        <v>11221.7997</v>
      </c>
      <c r="Z353" t="n">
        <v>0.00037353</v>
      </c>
      <c r="AA353" t="n">
        <v>0.5229</v>
      </c>
      <c r="AB353" t="n">
        <v>0</v>
      </c>
      <c r="AC353" t="n">
        <v>561.09</v>
      </c>
      <c r="AD353" t="n">
        <v>-82054.4476</v>
      </c>
      <c r="AE353" t="n">
        <v>194682.3443</v>
      </c>
      <c r="AF353" t="n">
        <v>0.918</v>
      </c>
      <c r="AG353" t="inlineStr">
        <is>
          <t>Low</t>
        </is>
      </c>
      <c r="AH353" t="inlineStr">
        <is>
          <t>On Track</t>
        </is>
      </c>
    </row>
    <row r="354">
      <c r="A354" t="inlineStr">
        <is>
          <t>SUP-0023</t>
        </is>
      </c>
      <c r="B354" t="inlineStr">
        <is>
          <t>Agriculture Supplier 023</t>
        </is>
      </c>
      <c r="C354" t="inlineStr">
        <is>
          <t>Agriculture</t>
        </is>
      </c>
      <c r="D354" t="n">
        <v>2024</v>
      </c>
      <c r="E354" t="n">
        <v>2018</v>
      </c>
      <c r="F354" t="n">
        <v>2040</v>
      </c>
      <c r="G354" t="n">
        <v>11517.2867</v>
      </c>
      <c r="H354" t="n">
        <v>2459.652</v>
      </c>
      <c r="I354" t="n">
        <v>1739.9117</v>
      </c>
      <c r="J354" t="n">
        <v>7388.5997</v>
      </c>
      <c r="K354" t="n">
        <v>20252911.75</v>
      </c>
      <c r="L354" t="n">
        <v>109441448.01</v>
      </c>
      <c r="M354" t="n">
        <v>11517.2867</v>
      </c>
      <c r="N354" t="inlineStr">
        <is>
          <t>Supplier Reported Emissions</t>
        </is>
      </c>
      <c r="O354" t="b">
        <v>0</v>
      </c>
      <c r="P354" t="inlineStr">
        <is>
          <t>High</t>
        </is>
      </c>
      <c r="Q354" t="inlineStr">
        <is>
          <t>None</t>
        </is>
      </c>
      <c r="R354" t="inlineStr">
        <is>
          <t>Valid</t>
        </is>
      </c>
      <c r="S354" t="n">
        <v>2025</v>
      </c>
      <c r="T354" t="inlineStr">
        <is>
          <t>Supplier Target Pathway</t>
        </is>
      </c>
      <c r="U354" t="n">
        <v>11886.3235</v>
      </c>
      <c r="V354" t="n">
        <v>7856.8598</v>
      </c>
      <c r="W354" t="n">
        <v>10604.2214</v>
      </c>
      <c r="X354" t="n">
        <v>10604.2214</v>
      </c>
      <c r="Y354" t="n">
        <v>1282.1021</v>
      </c>
      <c r="Z354" t="n">
        <v>0.00052359</v>
      </c>
      <c r="AA354" t="n">
        <v>0.107864</v>
      </c>
      <c r="AB354" t="n">
        <v>2747.3616</v>
      </c>
      <c r="AC354" t="n">
        <v>183.1574</v>
      </c>
      <c r="AD354" t="n">
        <v>115105.5354</v>
      </c>
      <c r="AE354" t="n">
        <v>10604.2214</v>
      </c>
      <c r="AF354" t="n">
        <v>0.99</v>
      </c>
      <c r="AG354" t="inlineStr">
        <is>
          <t>High</t>
        </is>
      </c>
      <c r="AH354" t="inlineStr">
        <is>
          <t>On Track to Glide Path</t>
        </is>
      </c>
    </row>
    <row r="355">
      <c r="A355" t="inlineStr">
        <is>
          <t>SUP-0023</t>
        </is>
      </c>
      <c r="B355" t="inlineStr">
        <is>
          <t>Agriculture Supplier 023</t>
        </is>
      </c>
      <c r="C355" t="inlineStr">
        <is>
          <t>Agriculture</t>
        </is>
      </c>
      <c r="D355" t="n">
        <v>2024</v>
      </c>
      <c r="E355" t="n">
        <v>2018</v>
      </c>
      <c r="F355" t="n">
        <v>2040</v>
      </c>
      <c r="G355" t="n">
        <v>11517.2867</v>
      </c>
      <c r="H355" t="n">
        <v>2459.652</v>
      </c>
      <c r="I355" t="n">
        <v>1739.9117</v>
      </c>
      <c r="J355" t="n">
        <v>7388.5997</v>
      </c>
      <c r="K355" t="n">
        <v>20252911.75</v>
      </c>
      <c r="L355" t="n">
        <v>109441448.01</v>
      </c>
      <c r="M355" t="n">
        <v>11517.2867</v>
      </c>
      <c r="N355" t="inlineStr">
        <is>
          <t>Supplier Reported Emissions</t>
        </is>
      </c>
      <c r="O355" t="b">
        <v>0</v>
      </c>
      <c r="P355" t="inlineStr">
        <is>
          <t>High</t>
        </is>
      </c>
      <c r="Q355" t="inlineStr">
        <is>
          <t>None</t>
        </is>
      </c>
      <c r="R355" t="inlineStr">
        <is>
          <t>Valid</t>
        </is>
      </c>
      <c r="S355" t="n">
        <v>2026</v>
      </c>
      <c r="T355" t="inlineStr">
        <is>
          <t>Supplier Target Pathway</t>
        </is>
      </c>
      <c r="U355" t="n">
        <v>11886.3235</v>
      </c>
      <c r="V355" t="n">
        <v>7856.8598</v>
      </c>
      <c r="W355" t="n">
        <v>10421.064</v>
      </c>
      <c r="X355" t="n">
        <v>10421.064</v>
      </c>
      <c r="Y355" t="n">
        <v>1465.2595</v>
      </c>
      <c r="Z355" t="n">
        <v>0.00051455</v>
      </c>
      <c r="AA355" t="n">
        <v>0.123273</v>
      </c>
      <c r="AB355" t="n">
        <v>2564.2042</v>
      </c>
      <c r="AC355" t="n">
        <v>183.1574</v>
      </c>
      <c r="AD355" t="n">
        <v>104684.4714</v>
      </c>
      <c r="AE355" t="n">
        <v>21025.2854</v>
      </c>
      <c r="AF355" t="n">
        <v>0.99</v>
      </c>
      <c r="AG355" t="inlineStr">
        <is>
          <t>High</t>
        </is>
      </c>
      <c r="AH355" t="inlineStr">
        <is>
          <t>On Track to Glide Path</t>
        </is>
      </c>
    </row>
    <row r="356">
      <c r="A356" t="inlineStr">
        <is>
          <t>SUP-0023</t>
        </is>
      </c>
      <c r="B356" t="inlineStr">
        <is>
          <t>Agriculture Supplier 023</t>
        </is>
      </c>
      <c r="C356" t="inlineStr">
        <is>
          <t>Agriculture</t>
        </is>
      </c>
      <c r="D356" t="n">
        <v>2024</v>
      </c>
      <c r="E356" t="n">
        <v>2018</v>
      </c>
      <c r="F356" t="n">
        <v>2040</v>
      </c>
      <c r="G356" t="n">
        <v>11517.2867</v>
      </c>
      <c r="H356" t="n">
        <v>2459.652</v>
      </c>
      <c r="I356" t="n">
        <v>1739.9117</v>
      </c>
      <c r="J356" t="n">
        <v>7388.5997</v>
      </c>
      <c r="K356" t="n">
        <v>20252911.75</v>
      </c>
      <c r="L356" t="n">
        <v>109441448.01</v>
      </c>
      <c r="M356" t="n">
        <v>11517.2867</v>
      </c>
      <c r="N356" t="inlineStr">
        <is>
          <t>Supplier Reported Emissions</t>
        </is>
      </c>
      <c r="O356" t="b">
        <v>0</v>
      </c>
      <c r="P356" t="inlineStr">
        <is>
          <t>High</t>
        </is>
      </c>
      <c r="Q356" t="inlineStr">
        <is>
          <t>None</t>
        </is>
      </c>
      <c r="R356" t="inlineStr">
        <is>
          <t>Valid</t>
        </is>
      </c>
      <c r="S356" t="n">
        <v>2027</v>
      </c>
      <c r="T356" t="inlineStr">
        <is>
          <t>Supplier Target Pathway</t>
        </is>
      </c>
      <c r="U356" t="n">
        <v>11886.3235</v>
      </c>
      <c r="V356" t="n">
        <v>7856.8598</v>
      </c>
      <c r="W356" t="n">
        <v>10237.9065</v>
      </c>
      <c r="X356" t="n">
        <v>10237.9065</v>
      </c>
      <c r="Y356" t="n">
        <v>1648.417</v>
      </c>
      <c r="Z356" t="n">
        <v>0.0005055</v>
      </c>
      <c r="AA356" t="n">
        <v>0.138682</v>
      </c>
      <c r="AB356" t="n">
        <v>2381.0467</v>
      </c>
      <c r="AC356" t="n">
        <v>183.1574</v>
      </c>
      <c r="AD356" t="n">
        <v>94446.5649</v>
      </c>
      <c r="AE356" t="n">
        <v>31263.1919</v>
      </c>
      <c r="AF356" t="n">
        <v>0.99</v>
      </c>
      <c r="AG356" t="inlineStr">
        <is>
          <t>High</t>
        </is>
      </c>
      <c r="AH356" t="inlineStr">
        <is>
          <t>On Track to Glide Path</t>
        </is>
      </c>
    </row>
    <row r="357">
      <c r="A357" t="inlineStr">
        <is>
          <t>SUP-0023</t>
        </is>
      </c>
      <c r="B357" t="inlineStr">
        <is>
          <t>Agriculture Supplier 023</t>
        </is>
      </c>
      <c r="C357" t="inlineStr">
        <is>
          <t>Agriculture</t>
        </is>
      </c>
      <c r="D357" t="n">
        <v>2024</v>
      </c>
      <c r="E357" t="n">
        <v>2018</v>
      </c>
      <c r="F357" t="n">
        <v>2040</v>
      </c>
      <c r="G357" t="n">
        <v>11517.2867</v>
      </c>
      <c r="H357" t="n">
        <v>2459.652</v>
      </c>
      <c r="I357" t="n">
        <v>1739.9117</v>
      </c>
      <c r="J357" t="n">
        <v>7388.5997</v>
      </c>
      <c r="K357" t="n">
        <v>20252911.75</v>
      </c>
      <c r="L357" t="n">
        <v>109441448.01</v>
      </c>
      <c r="M357" t="n">
        <v>11517.2867</v>
      </c>
      <c r="N357" t="inlineStr">
        <is>
          <t>Supplier Reported Emissions</t>
        </is>
      </c>
      <c r="O357" t="b">
        <v>0</v>
      </c>
      <c r="P357" t="inlineStr">
        <is>
          <t>High</t>
        </is>
      </c>
      <c r="Q357" t="inlineStr">
        <is>
          <t>None</t>
        </is>
      </c>
      <c r="R357" t="inlineStr">
        <is>
          <t>Valid</t>
        </is>
      </c>
      <c r="S357" t="n">
        <v>2028</v>
      </c>
      <c r="T357" t="inlineStr">
        <is>
          <t>Supplier Target Pathway</t>
        </is>
      </c>
      <c r="U357" t="n">
        <v>11886.3235</v>
      </c>
      <c r="V357" t="n">
        <v>7856.8598</v>
      </c>
      <c r="W357" t="n">
        <v>10054.7491</v>
      </c>
      <c r="X357" t="n">
        <v>10054.7491</v>
      </c>
      <c r="Y357" t="n">
        <v>1831.5744</v>
      </c>
      <c r="Z357" t="n">
        <v>0.00049646</v>
      </c>
      <c r="AA357" t="n">
        <v>0.154091</v>
      </c>
      <c r="AB357" t="n">
        <v>2197.8893</v>
      </c>
      <c r="AC357" t="n">
        <v>183.1574</v>
      </c>
      <c r="AD357" t="n">
        <v>84391.8158</v>
      </c>
      <c r="AE357" t="n">
        <v>41317.941</v>
      </c>
      <c r="AF357" t="n">
        <v>0.99</v>
      </c>
      <c r="AG357" t="inlineStr">
        <is>
          <t>High</t>
        </is>
      </c>
      <c r="AH357" t="inlineStr">
        <is>
          <t>On Track to Glide Path</t>
        </is>
      </c>
    </row>
    <row r="358">
      <c r="A358" t="inlineStr">
        <is>
          <t>SUP-0023</t>
        </is>
      </c>
      <c r="B358" t="inlineStr">
        <is>
          <t>Agriculture Supplier 023</t>
        </is>
      </c>
      <c r="C358" t="inlineStr">
        <is>
          <t>Agriculture</t>
        </is>
      </c>
      <c r="D358" t="n">
        <v>2024</v>
      </c>
      <c r="E358" t="n">
        <v>2018</v>
      </c>
      <c r="F358" t="n">
        <v>2040</v>
      </c>
      <c r="G358" t="n">
        <v>11517.2867</v>
      </c>
      <c r="H358" t="n">
        <v>2459.652</v>
      </c>
      <c r="I358" t="n">
        <v>1739.9117</v>
      </c>
      <c r="J358" t="n">
        <v>7388.5997</v>
      </c>
      <c r="K358" t="n">
        <v>20252911.75</v>
      </c>
      <c r="L358" t="n">
        <v>109441448.01</v>
      </c>
      <c r="M358" t="n">
        <v>11517.2867</v>
      </c>
      <c r="N358" t="inlineStr">
        <is>
          <t>Supplier Reported Emissions</t>
        </is>
      </c>
      <c r="O358" t="b">
        <v>0</v>
      </c>
      <c r="P358" t="inlineStr">
        <is>
          <t>High</t>
        </is>
      </c>
      <c r="Q358" t="inlineStr">
        <is>
          <t>None</t>
        </is>
      </c>
      <c r="R358" t="inlineStr">
        <is>
          <t>Valid</t>
        </is>
      </c>
      <c r="S358" t="n">
        <v>2029</v>
      </c>
      <c r="T358" t="inlineStr">
        <is>
          <t>Supplier Target Pathway</t>
        </is>
      </c>
      <c r="U358" t="n">
        <v>11886.3235</v>
      </c>
      <c r="V358" t="n">
        <v>7856.8598</v>
      </c>
      <c r="W358" t="n">
        <v>9871.591700000001</v>
      </c>
      <c r="X358" t="n">
        <v>9871.591700000001</v>
      </c>
      <c r="Y358" t="n">
        <v>2014.7318</v>
      </c>
      <c r="Z358" t="n">
        <v>0.00048742</v>
      </c>
      <c r="AA358" t="n">
        <v>0.1695</v>
      </c>
      <c r="AB358" t="n">
        <v>2014.7318</v>
      </c>
      <c r="AC358" t="n">
        <v>183.1574</v>
      </c>
      <c r="AD358" t="n">
        <v>74520.22410000001</v>
      </c>
      <c r="AE358" t="n">
        <v>51189.5327</v>
      </c>
      <c r="AF358" t="n">
        <v>0.99</v>
      </c>
      <c r="AG358" t="inlineStr">
        <is>
          <t>High</t>
        </is>
      </c>
      <c r="AH358" t="inlineStr">
        <is>
          <t>On Track to Glide Path</t>
        </is>
      </c>
    </row>
    <row r="359">
      <c r="A359" t="inlineStr">
        <is>
          <t>SUP-0023</t>
        </is>
      </c>
      <c r="B359" t="inlineStr">
        <is>
          <t>Agriculture Supplier 023</t>
        </is>
      </c>
      <c r="C359" t="inlineStr">
        <is>
          <t>Agriculture</t>
        </is>
      </c>
      <c r="D359" t="n">
        <v>2024</v>
      </c>
      <c r="E359" t="n">
        <v>2018</v>
      </c>
      <c r="F359" t="n">
        <v>2040</v>
      </c>
      <c r="G359" t="n">
        <v>11517.2867</v>
      </c>
      <c r="H359" t="n">
        <v>2459.652</v>
      </c>
      <c r="I359" t="n">
        <v>1739.9117</v>
      </c>
      <c r="J359" t="n">
        <v>7388.5997</v>
      </c>
      <c r="K359" t="n">
        <v>20252911.75</v>
      </c>
      <c r="L359" t="n">
        <v>109441448.01</v>
      </c>
      <c r="M359" t="n">
        <v>11517.2867</v>
      </c>
      <c r="N359" t="inlineStr">
        <is>
          <t>Supplier Reported Emissions</t>
        </is>
      </c>
      <c r="O359" t="b">
        <v>0</v>
      </c>
      <c r="P359" t="inlineStr">
        <is>
          <t>High</t>
        </is>
      </c>
      <c r="Q359" t="inlineStr">
        <is>
          <t>None</t>
        </is>
      </c>
      <c r="R359" t="inlineStr">
        <is>
          <t>Valid</t>
        </is>
      </c>
      <c r="S359" t="n">
        <v>2030</v>
      </c>
      <c r="T359" t="inlineStr">
        <is>
          <t>Supplier Target Pathway</t>
        </is>
      </c>
      <c r="U359" t="n">
        <v>11886.3235</v>
      </c>
      <c r="V359" t="n">
        <v>7856.8598</v>
      </c>
      <c r="W359" t="n">
        <v>9688.4342</v>
      </c>
      <c r="X359" t="n">
        <v>9688.4342</v>
      </c>
      <c r="Y359" t="n">
        <v>2197.8893</v>
      </c>
      <c r="Z359" t="n">
        <v>0.00047837</v>
      </c>
      <c r="AA359" t="n">
        <v>0.184909</v>
      </c>
      <c r="AB359" t="n">
        <v>1831.5744</v>
      </c>
      <c r="AC359" t="n">
        <v>183.1574</v>
      </c>
      <c r="AD359" t="n">
        <v>64831.7899</v>
      </c>
      <c r="AE359" t="n">
        <v>60877.9669</v>
      </c>
      <c r="AF359" t="n">
        <v>0.99</v>
      </c>
      <c r="AG359" t="inlineStr">
        <is>
          <t>High</t>
        </is>
      </c>
      <c r="AH359" t="inlineStr">
        <is>
          <t>On Track to Glide Path</t>
        </is>
      </c>
    </row>
    <row r="360">
      <c r="A360" t="inlineStr">
        <is>
          <t>SUP-0023</t>
        </is>
      </c>
      <c r="B360" t="inlineStr">
        <is>
          <t>Agriculture Supplier 023</t>
        </is>
      </c>
      <c r="C360" t="inlineStr">
        <is>
          <t>Agriculture</t>
        </is>
      </c>
      <c r="D360" t="n">
        <v>2024</v>
      </c>
      <c r="E360" t="n">
        <v>2018</v>
      </c>
      <c r="F360" t="n">
        <v>2040</v>
      </c>
      <c r="G360" t="n">
        <v>11517.2867</v>
      </c>
      <c r="H360" t="n">
        <v>2459.652</v>
      </c>
      <c r="I360" t="n">
        <v>1739.9117</v>
      </c>
      <c r="J360" t="n">
        <v>7388.5997</v>
      </c>
      <c r="K360" t="n">
        <v>20252911.75</v>
      </c>
      <c r="L360" t="n">
        <v>109441448.01</v>
      </c>
      <c r="M360" t="n">
        <v>11517.2867</v>
      </c>
      <c r="N360" t="inlineStr">
        <is>
          <t>Supplier Reported Emissions</t>
        </is>
      </c>
      <c r="O360" t="b">
        <v>0</v>
      </c>
      <c r="P360" t="inlineStr">
        <is>
          <t>High</t>
        </is>
      </c>
      <c r="Q360" t="inlineStr">
        <is>
          <t>None</t>
        </is>
      </c>
      <c r="R360" t="inlineStr">
        <is>
          <t>Valid</t>
        </is>
      </c>
      <c r="S360" t="n">
        <v>2031</v>
      </c>
      <c r="T360" t="inlineStr">
        <is>
          <t>Supplier Target Pathway</t>
        </is>
      </c>
      <c r="U360" t="n">
        <v>11886.3235</v>
      </c>
      <c r="V360" t="n">
        <v>7856.8598</v>
      </c>
      <c r="W360" t="n">
        <v>9505.2768</v>
      </c>
      <c r="X360" t="n">
        <v>9505.2768</v>
      </c>
      <c r="Y360" t="n">
        <v>2381.0467</v>
      </c>
      <c r="Z360" t="n">
        <v>0.00046933</v>
      </c>
      <c r="AA360" t="n">
        <v>0.200318</v>
      </c>
      <c r="AB360" t="n">
        <v>1648.417</v>
      </c>
      <c r="AC360" t="n">
        <v>183.1574</v>
      </c>
      <c r="AD360" t="n">
        <v>55326.5131</v>
      </c>
      <c r="AE360" t="n">
        <v>70383.24370000001</v>
      </c>
      <c r="AF360" t="n">
        <v>0.99</v>
      </c>
      <c r="AG360" t="inlineStr">
        <is>
          <t>High</t>
        </is>
      </c>
      <c r="AH360" t="inlineStr">
        <is>
          <t>On Track to Glide Path</t>
        </is>
      </c>
    </row>
    <row r="361">
      <c r="A361" t="inlineStr">
        <is>
          <t>SUP-0023</t>
        </is>
      </c>
      <c r="B361" t="inlineStr">
        <is>
          <t>Agriculture Supplier 023</t>
        </is>
      </c>
      <c r="C361" t="inlineStr">
        <is>
          <t>Agriculture</t>
        </is>
      </c>
      <c r="D361" t="n">
        <v>2024</v>
      </c>
      <c r="E361" t="n">
        <v>2018</v>
      </c>
      <c r="F361" t="n">
        <v>2040</v>
      </c>
      <c r="G361" t="n">
        <v>11517.2867</v>
      </c>
      <c r="H361" t="n">
        <v>2459.652</v>
      </c>
      <c r="I361" t="n">
        <v>1739.9117</v>
      </c>
      <c r="J361" t="n">
        <v>7388.5997</v>
      </c>
      <c r="K361" t="n">
        <v>20252911.75</v>
      </c>
      <c r="L361" t="n">
        <v>109441448.01</v>
      </c>
      <c r="M361" t="n">
        <v>11517.2867</v>
      </c>
      <c r="N361" t="inlineStr">
        <is>
          <t>Supplier Reported Emissions</t>
        </is>
      </c>
      <c r="O361" t="b">
        <v>0</v>
      </c>
      <c r="P361" t="inlineStr">
        <is>
          <t>High</t>
        </is>
      </c>
      <c r="Q361" t="inlineStr">
        <is>
          <t>None</t>
        </is>
      </c>
      <c r="R361" t="inlineStr">
        <is>
          <t>Valid</t>
        </is>
      </c>
      <c r="S361" t="n">
        <v>2032</v>
      </c>
      <c r="T361" t="inlineStr">
        <is>
          <t>Supplier Target Pathway</t>
        </is>
      </c>
      <c r="U361" t="n">
        <v>11886.3235</v>
      </c>
      <c r="V361" t="n">
        <v>7856.8598</v>
      </c>
      <c r="W361" t="n">
        <v>9322.1193</v>
      </c>
      <c r="X361" t="n">
        <v>9322.1193</v>
      </c>
      <c r="Y361" t="n">
        <v>2564.2042</v>
      </c>
      <c r="Z361" t="n">
        <v>0.00046029</v>
      </c>
      <c r="AA361" t="n">
        <v>0.215727</v>
      </c>
      <c r="AB361" t="n">
        <v>1465.2595</v>
      </c>
      <c r="AC361" t="n">
        <v>183.1574</v>
      </c>
      <c r="AD361" t="n">
        <v>46004.3938</v>
      </c>
      <c r="AE361" t="n">
        <v>79705.363</v>
      </c>
      <c r="AF361" t="n">
        <v>0.99</v>
      </c>
      <c r="AG361" t="inlineStr">
        <is>
          <t>High</t>
        </is>
      </c>
      <c r="AH361" t="inlineStr">
        <is>
          <t>On Track to Glide Path</t>
        </is>
      </c>
    </row>
    <row r="362">
      <c r="A362" t="inlineStr">
        <is>
          <t>SUP-0023</t>
        </is>
      </c>
      <c r="B362" t="inlineStr">
        <is>
          <t>Agriculture Supplier 023</t>
        </is>
      </c>
      <c r="C362" t="inlineStr">
        <is>
          <t>Agriculture</t>
        </is>
      </c>
      <c r="D362" t="n">
        <v>2024</v>
      </c>
      <c r="E362" t="n">
        <v>2018</v>
      </c>
      <c r="F362" t="n">
        <v>2040</v>
      </c>
      <c r="G362" t="n">
        <v>11517.2867</v>
      </c>
      <c r="H362" t="n">
        <v>2459.652</v>
      </c>
      <c r="I362" t="n">
        <v>1739.9117</v>
      </c>
      <c r="J362" t="n">
        <v>7388.5997</v>
      </c>
      <c r="K362" t="n">
        <v>20252911.75</v>
      </c>
      <c r="L362" t="n">
        <v>109441448.01</v>
      </c>
      <c r="M362" t="n">
        <v>11517.2867</v>
      </c>
      <c r="N362" t="inlineStr">
        <is>
          <t>Supplier Reported Emissions</t>
        </is>
      </c>
      <c r="O362" t="b">
        <v>0</v>
      </c>
      <c r="P362" t="inlineStr">
        <is>
          <t>High</t>
        </is>
      </c>
      <c r="Q362" t="inlineStr">
        <is>
          <t>None</t>
        </is>
      </c>
      <c r="R362" t="inlineStr">
        <is>
          <t>Valid</t>
        </is>
      </c>
      <c r="S362" t="n">
        <v>2033</v>
      </c>
      <c r="T362" t="inlineStr">
        <is>
          <t>Supplier Target Pathway</t>
        </is>
      </c>
      <c r="U362" t="n">
        <v>11886.3235</v>
      </c>
      <c r="V362" t="n">
        <v>7856.8598</v>
      </c>
      <c r="W362" t="n">
        <v>9138.9619</v>
      </c>
      <c r="X362" t="n">
        <v>9138.9619</v>
      </c>
      <c r="Y362" t="n">
        <v>2747.3616</v>
      </c>
      <c r="Z362" t="n">
        <v>0.00045124</v>
      </c>
      <c r="AA362" t="n">
        <v>0.231136</v>
      </c>
      <c r="AB362" t="n">
        <v>1282.1021</v>
      </c>
      <c r="AC362" t="n">
        <v>183.1574</v>
      </c>
      <c r="AD362" t="n">
        <v>36865.4319</v>
      </c>
      <c r="AE362" t="n">
        <v>88844.32490000001</v>
      </c>
      <c r="AF362" t="n">
        <v>0.99</v>
      </c>
      <c r="AG362" t="inlineStr">
        <is>
          <t>High</t>
        </is>
      </c>
      <c r="AH362" t="inlineStr">
        <is>
          <t>On Track to Glide Path</t>
        </is>
      </c>
    </row>
    <row r="363">
      <c r="A363" t="inlineStr">
        <is>
          <t>SUP-0023</t>
        </is>
      </c>
      <c r="B363" t="inlineStr">
        <is>
          <t>Agriculture Supplier 023</t>
        </is>
      </c>
      <c r="C363" t="inlineStr">
        <is>
          <t>Agriculture</t>
        </is>
      </c>
      <c r="D363" t="n">
        <v>2024</v>
      </c>
      <c r="E363" t="n">
        <v>2018</v>
      </c>
      <c r="F363" t="n">
        <v>2040</v>
      </c>
      <c r="G363" t="n">
        <v>11517.2867</v>
      </c>
      <c r="H363" t="n">
        <v>2459.652</v>
      </c>
      <c r="I363" t="n">
        <v>1739.9117</v>
      </c>
      <c r="J363" t="n">
        <v>7388.5997</v>
      </c>
      <c r="K363" t="n">
        <v>20252911.75</v>
      </c>
      <c r="L363" t="n">
        <v>109441448.01</v>
      </c>
      <c r="M363" t="n">
        <v>11517.2867</v>
      </c>
      <c r="N363" t="inlineStr">
        <is>
          <t>Supplier Reported Emissions</t>
        </is>
      </c>
      <c r="O363" t="b">
        <v>0</v>
      </c>
      <c r="P363" t="inlineStr">
        <is>
          <t>High</t>
        </is>
      </c>
      <c r="Q363" t="inlineStr">
        <is>
          <t>None</t>
        </is>
      </c>
      <c r="R363" t="inlineStr">
        <is>
          <t>Valid</t>
        </is>
      </c>
      <c r="S363" t="n">
        <v>2034</v>
      </c>
      <c r="T363" t="inlineStr">
        <is>
          <t>Supplier Target Pathway</t>
        </is>
      </c>
      <c r="U363" t="n">
        <v>11886.3235</v>
      </c>
      <c r="V363" t="n">
        <v>7856.8598</v>
      </c>
      <c r="W363" t="n">
        <v>8955.8045</v>
      </c>
      <c r="X363" t="n">
        <v>8955.8045</v>
      </c>
      <c r="Y363" t="n">
        <v>2930.519</v>
      </c>
      <c r="Z363" t="n">
        <v>0.0004422</v>
      </c>
      <c r="AA363" t="n">
        <v>0.246545</v>
      </c>
      <c r="AB363" t="n">
        <v>1098.9446</v>
      </c>
      <c r="AC363" t="n">
        <v>183.1574</v>
      </c>
      <c r="AD363" t="n">
        <v>27909.6274</v>
      </c>
      <c r="AE363" t="n">
        <v>97800.12940000001</v>
      </c>
      <c r="AF363" t="n">
        <v>0.99</v>
      </c>
      <c r="AG363" t="inlineStr">
        <is>
          <t>Medium</t>
        </is>
      </c>
      <c r="AH363" t="inlineStr">
        <is>
          <t>On Track to Glide Path</t>
        </is>
      </c>
    </row>
    <row r="364">
      <c r="A364" t="inlineStr">
        <is>
          <t>SUP-0023</t>
        </is>
      </c>
      <c r="B364" t="inlineStr">
        <is>
          <t>Agriculture Supplier 023</t>
        </is>
      </c>
      <c r="C364" t="inlineStr">
        <is>
          <t>Agriculture</t>
        </is>
      </c>
      <c r="D364" t="n">
        <v>2024</v>
      </c>
      <c r="E364" t="n">
        <v>2018</v>
      </c>
      <c r="F364" t="n">
        <v>2040</v>
      </c>
      <c r="G364" t="n">
        <v>11517.2867</v>
      </c>
      <c r="H364" t="n">
        <v>2459.652</v>
      </c>
      <c r="I364" t="n">
        <v>1739.9117</v>
      </c>
      <c r="J364" t="n">
        <v>7388.5997</v>
      </c>
      <c r="K364" t="n">
        <v>20252911.75</v>
      </c>
      <c r="L364" t="n">
        <v>109441448.01</v>
      </c>
      <c r="M364" t="n">
        <v>11517.2867</v>
      </c>
      <c r="N364" t="inlineStr">
        <is>
          <t>Supplier Reported Emissions</t>
        </is>
      </c>
      <c r="O364" t="b">
        <v>0</v>
      </c>
      <c r="P364" t="inlineStr">
        <is>
          <t>High</t>
        </is>
      </c>
      <c r="Q364" t="inlineStr">
        <is>
          <t>None</t>
        </is>
      </c>
      <c r="R364" t="inlineStr">
        <is>
          <t>Valid</t>
        </is>
      </c>
      <c r="S364" t="n">
        <v>2035</v>
      </c>
      <c r="T364" t="inlineStr">
        <is>
          <t>Supplier Target Pathway</t>
        </is>
      </c>
      <c r="U364" t="n">
        <v>11886.3235</v>
      </c>
      <c r="V364" t="n">
        <v>7856.8598</v>
      </c>
      <c r="W364" t="n">
        <v>8772.647000000001</v>
      </c>
      <c r="X364" t="n">
        <v>8772.647000000001</v>
      </c>
      <c r="Y364" t="n">
        <v>3113.6765</v>
      </c>
      <c r="Z364" t="n">
        <v>0.00043315</v>
      </c>
      <c r="AA364" t="n">
        <v>0.261955</v>
      </c>
      <c r="AB364" t="n">
        <v>915.7872</v>
      </c>
      <c r="AC364" t="n">
        <v>183.1574</v>
      </c>
      <c r="AD364" t="n">
        <v>19136.9804</v>
      </c>
      <c r="AE364" t="n">
        <v>106572.7764</v>
      </c>
      <c r="AF364" t="n">
        <v>0.99</v>
      </c>
      <c r="AG364" t="inlineStr">
        <is>
          <t>Medium</t>
        </is>
      </c>
      <c r="AH364" t="inlineStr">
        <is>
          <t>On Track to Glide Path</t>
        </is>
      </c>
    </row>
    <row r="365">
      <c r="A365" t="inlineStr">
        <is>
          <t>SUP-0023</t>
        </is>
      </c>
      <c r="B365" t="inlineStr">
        <is>
          <t>Agriculture Supplier 023</t>
        </is>
      </c>
      <c r="C365" t="inlineStr">
        <is>
          <t>Agriculture</t>
        </is>
      </c>
      <c r="D365" t="n">
        <v>2024</v>
      </c>
      <c r="E365" t="n">
        <v>2018</v>
      </c>
      <c r="F365" t="n">
        <v>2040</v>
      </c>
      <c r="G365" t="n">
        <v>11517.2867</v>
      </c>
      <c r="H365" t="n">
        <v>2459.652</v>
      </c>
      <c r="I365" t="n">
        <v>1739.9117</v>
      </c>
      <c r="J365" t="n">
        <v>7388.5997</v>
      </c>
      <c r="K365" t="n">
        <v>20252911.75</v>
      </c>
      <c r="L365" t="n">
        <v>109441448.01</v>
      </c>
      <c r="M365" t="n">
        <v>11517.2867</v>
      </c>
      <c r="N365" t="inlineStr">
        <is>
          <t>Supplier Reported Emissions</t>
        </is>
      </c>
      <c r="O365" t="b">
        <v>0</v>
      </c>
      <c r="P365" t="inlineStr">
        <is>
          <t>High</t>
        </is>
      </c>
      <c r="Q365" t="inlineStr">
        <is>
          <t>None</t>
        </is>
      </c>
      <c r="R365" t="inlineStr">
        <is>
          <t>Valid</t>
        </is>
      </c>
      <c r="S365" t="n">
        <v>2036</v>
      </c>
      <c r="T365" t="inlineStr">
        <is>
          <t>Supplier Target Pathway</t>
        </is>
      </c>
      <c r="U365" t="n">
        <v>11886.3235</v>
      </c>
      <c r="V365" t="n">
        <v>7856.8598</v>
      </c>
      <c r="W365" t="n">
        <v>8589.489600000001</v>
      </c>
      <c r="X365" t="n">
        <v>8589.489600000001</v>
      </c>
      <c r="Y365" t="n">
        <v>3296.8339</v>
      </c>
      <c r="Z365" t="n">
        <v>0.00042411</v>
      </c>
      <c r="AA365" t="n">
        <v>0.277364</v>
      </c>
      <c r="AB365" t="n">
        <v>732.6298</v>
      </c>
      <c r="AC365" t="n">
        <v>183.1574</v>
      </c>
      <c r="AD365" t="n">
        <v>10547.4908</v>
      </c>
      <c r="AE365" t="n">
        <v>115162.266</v>
      </c>
      <c r="AF365" t="n">
        <v>0.99</v>
      </c>
      <c r="AG365" t="inlineStr">
        <is>
          <t>Medium</t>
        </is>
      </c>
      <c r="AH365" t="inlineStr">
        <is>
          <t>On Track to Glide Path</t>
        </is>
      </c>
    </row>
    <row r="366">
      <c r="A366" t="inlineStr">
        <is>
          <t>SUP-0023</t>
        </is>
      </c>
      <c r="B366" t="inlineStr">
        <is>
          <t>Agriculture Supplier 023</t>
        </is>
      </c>
      <c r="C366" t="inlineStr">
        <is>
          <t>Agriculture</t>
        </is>
      </c>
      <c r="D366" t="n">
        <v>2024</v>
      </c>
      <c r="E366" t="n">
        <v>2018</v>
      </c>
      <c r="F366" t="n">
        <v>2040</v>
      </c>
      <c r="G366" t="n">
        <v>11517.2867</v>
      </c>
      <c r="H366" t="n">
        <v>2459.652</v>
      </c>
      <c r="I366" t="n">
        <v>1739.9117</v>
      </c>
      <c r="J366" t="n">
        <v>7388.5997</v>
      </c>
      <c r="K366" t="n">
        <v>20252911.75</v>
      </c>
      <c r="L366" t="n">
        <v>109441448.01</v>
      </c>
      <c r="M366" t="n">
        <v>11517.2867</v>
      </c>
      <c r="N366" t="inlineStr">
        <is>
          <t>Supplier Reported Emissions</t>
        </is>
      </c>
      <c r="O366" t="b">
        <v>0</v>
      </c>
      <c r="P366" t="inlineStr">
        <is>
          <t>High</t>
        </is>
      </c>
      <c r="Q366" t="inlineStr">
        <is>
          <t>None</t>
        </is>
      </c>
      <c r="R366" t="inlineStr">
        <is>
          <t>Valid</t>
        </is>
      </c>
      <c r="S366" t="n">
        <v>2037</v>
      </c>
      <c r="T366" t="inlineStr">
        <is>
          <t>Supplier Target Pathway</t>
        </is>
      </c>
      <c r="U366" t="n">
        <v>11886.3235</v>
      </c>
      <c r="V366" t="n">
        <v>7856.8598</v>
      </c>
      <c r="W366" t="n">
        <v>8406.332200000001</v>
      </c>
      <c r="X366" t="n">
        <v>8406.332200000001</v>
      </c>
      <c r="Y366" t="n">
        <v>3479.9913</v>
      </c>
      <c r="Z366" t="n">
        <v>0.00041507</v>
      </c>
      <c r="AA366" t="n">
        <v>0.292773</v>
      </c>
      <c r="AB366" t="n">
        <v>549.4723</v>
      </c>
      <c r="AC366" t="n">
        <v>183.1574</v>
      </c>
      <c r="AD366" t="n">
        <v>2141.1586</v>
      </c>
      <c r="AE366" t="n">
        <v>123568.5982</v>
      </c>
      <c r="AF366" t="n">
        <v>0.99</v>
      </c>
      <c r="AG366" t="inlineStr">
        <is>
          <t>Medium</t>
        </is>
      </c>
      <c r="AH366" t="inlineStr">
        <is>
          <t>On Track to Glide Path</t>
        </is>
      </c>
    </row>
    <row r="367">
      <c r="A367" t="inlineStr">
        <is>
          <t>SUP-0023</t>
        </is>
      </c>
      <c r="B367" t="inlineStr">
        <is>
          <t>Agriculture Supplier 023</t>
        </is>
      </c>
      <c r="C367" t="inlineStr">
        <is>
          <t>Agriculture</t>
        </is>
      </c>
      <c r="D367" t="n">
        <v>2024</v>
      </c>
      <c r="E367" t="n">
        <v>2018</v>
      </c>
      <c r="F367" t="n">
        <v>2040</v>
      </c>
      <c r="G367" t="n">
        <v>11517.2867</v>
      </c>
      <c r="H367" t="n">
        <v>2459.652</v>
      </c>
      <c r="I367" t="n">
        <v>1739.9117</v>
      </c>
      <c r="J367" t="n">
        <v>7388.5997</v>
      </c>
      <c r="K367" t="n">
        <v>20252911.75</v>
      </c>
      <c r="L367" t="n">
        <v>109441448.01</v>
      </c>
      <c r="M367" t="n">
        <v>11517.2867</v>
      </c>
      <c r="N367" t="inlineStr">
        <is>
          <t>Supplier Reported Emissions</t>
        </is>
      </c>
      <c r="O367" t="b">
        <v>0</v>
      </c>
      <c r="P367" t="inlineStr">
        <is>
          <t>High</t>
        </is>
      </c>
      <c r="Q367" t="inlineStr">
        <is>
          <t>None</t>
        </is>
      </c>
      <c r="R367" t="inlineStr">
        <is>
          <t>Valid</t>
        </is>
      </c>
      <c r="S367" t="n">
        <v>2038</v>
      </c>
      <c r="T367" t="inlineStr">
        <is>
          <t>Supplier Target Pathway</t>
        </is>
      </c>
      <c r="U367" t="n">
        <v>11886.3235</v>
      </c>
      <c r="V367" t="n">
        <v>7856.8598</v>
      </c>
      <c r="W367" t="n">
        <v>8223.1747</v>
      </c>
      <c r="X367" t="n">
        <v>8223.1747</v>
      </c>
      <c r="Y367" t="n">
        <v>3663.1488</v>
      </c>
      <c r="Z367" t="n">
        <v>0.00040602</v>
      </c>
      <c r="AA367" t="n">
        <v>0.308182</v>
      </c>
      <c r="AB367" t="n">
        <v>366.3149</v>
      </c>
      <c r="AC367" t="n">
        <v>183.1574</v>
      </c>
      <c r="AD367" t="n">
        <v>-6082.0161</v>
      </c>
      <c r="AE367" t="n">
        <v>131791.7729</v>
      </c>
      <c r="AF367" t="n">
        <v>0.99</v>
      </c>
      <c r="AG367" t="inlineStr">
        <is>
          <t>Medium</t>
        </is>
      </c>
      <c r="AH367" t="inlineStr">
        <is>
          <t>On Track to Glide Path</t>
        </is>
      </c>
    </row>
    <row r="368">
      <c r="A368" t="inlineStr">
        <is>
          <t>SUP-0023</t>
        </is>
      </c>
      <c r="B368" t="inlineStr">
        <is>
          <t>Agriculture Supplier 023</t>
        </is>
      </c>
      <c r="C368" t="inlineStr">
        <is>
          <t>Agriculture</t>
        </is>
      </c>
      <c r="D368" t="n">
        <v>2024</v>
      </c>
      <c r="E368" t="n">
        <v>2018</v>
      </c>
      <c r="F368" t="n">
        <v>2040</v>
      </c>
      <c r="G368" t="n">
        <v>11517.2867</v>
      </c>
      <c r="H368" t="n">
        <v>2459.652</v>
      </c>
      <c r="I368" t="n">
        <v>1739.9117</v>
      </c>
      <c r="J368" t="n">
        <v>7388.5997</v>
      </c>
      <c r="K368" t="n">
        <v>20252911.75</v>
      </c>
      <c r="L368" t="n">
        <v>109441448.01</v>
      </c>
      <c r="M368" t="n">
        <v>11517.2867</v>
      </c>
      <c r="N368" t="inlineStr">
        <is>
          <t>Supplier Reported Emissions</t>
        </is>
      </c>
      <c r="O368" t="b">
        <v>0</v>
      </c>
      <c r="P368" t="inlineStr">
        <is>
          <t>High</t>
        </is>
      </c>
      <c r="Q368" t="inlineStr">
        <is>
          <t>None</t>
        </is>
      </c>
      <c r="R368" t="inlineStr">
        <is>
          <t>Valid</t>
        </is>
      </c>
      <c r="S368" t="n">
        <v>2039</v>
      </c>
      <c r="T368" t="inlineStr">
        <is>
          <t>Supplier Target Pathway</t>
        </is>
      </c>
      <c r="U368" t="n">
        <v>11886.3235</v>
      </c>
      <c r="V368" t="n">
        <v>7856.8598</v>
      </c>
      <c r="W368" t="n">
        <v>8040.0173</v>
      </c>
      <c r="X368" t="n">
        <v>8040.0173</v>
      </c>
      <c r="Y368" t="n">
        <v>3846.3062</v>
      </c>
      <c r="Z368" t="n">
        <v>0.00039698</v>
      </c>
      <c r="AA368" t="n">
        <v>0.323591</v>
      </c>
      <c r="AB368" t="n">
        <v>183.1574</v>
      </c>
      <c r="AC368" t="n">
        <v>183.1574</v>
      </c>
      <c r="AD368" t="n">
        <v>-14122.0334</v>
      </c>
      <c r="AE368" t="n">
        <v>139831.7902</v>
      </c>
      <c r="AF368" t="n">
        <v>0.99</v>
      </c>
      <c r="AG368" t="inlineStr">
        <is>
          <t>Medium</t>
        </is>
      </c>
      <c r="AH368" t="inlineStr">
        <is>
          <t>On Track to Glide Path</t>
        </is>
      </c>
    </row>
    <row r="369">
      <c r="A369" t="inlineStr">
        <is>
          <t>SUP-0023</t>
        </is>
      </c>
      <c r="B369" t="inlineStr">
        <is>
          <t>Agriculture Supplier 023</t>
        </is>
      </c>
      <c r="C369" t="inlineStr">
        <is>
          <t>Agriculture</t>
        </is>
      </c>
      <c r="D369" t="n">
        <v>2024</v>
      </c>
      <c r="E369" t="n">
        <v>2018</v>
      </c>
      <c r="F369" t="n">
        <v>2040</v>
      </c>
      <c r="G369" t="n">
        <v>11517.2867</v>
      </c>
      <c r="H369" t="n">
        <v>2459.652</v>
      </c>
      <c r="I369" t="n">
        <v>1739.9117</v>
      </c>
      <c r="J369" t="n">
        <v>7388.5997</v>
      </c>
      <c r="K369" t="n">
        <v>20252911.75</v>
      </c>
      <c r="L369" t="n">
        <v>109441448.01</v>
      </c>
      <c r="M369" t="n">
        <v>11517.2867</v>
      </c>
      <c r="N369" t="inlineStr">
        <is>
          <t>Supplier Reported Emissions</t>
        </is>
      </c>
      <c r="O369" t="b">
        <v>0</v>
      </c>
      <c r="P369" t="inlineStr">
        <is>
          <t>High</t>
        </is>
      </c>
      <c r="Q369" t="inlineStr">
        <is>
          <t>None</t>
        </is>
      </c>
      <c r="R369" t="inlineStr">
        <is>
          <t>Valid</t>
        </is>
      </c>
      <c r="S369" t="n">
        <v>2040</v>
      </c>
      <c r="T369" t="inlineStr">
        <is>
          <t>Supplier Target Pathway</t>
        </is>
      </c>
      <c r="U369" t="n">
        <v>11886.3235</v>
      </c>
      <c r="V369" t="n">
        <v>7856.8598</v>
      </c>
      <c r="W369" t="n">
        <v>7856.8598</v>
      </c>
      <c r="X369" t="n">
        <v>7856.8598</v>
      </c>
      <c r="Y369" t="n">
        <v>4029.4637</v>
      </c>
      <c r="Z369" t="n">
        <v>0.00038794</v>
      </c>
      <c r="AA369" t="n">
        <v>0.339</v>
      </c>
      <c r="AB369" t="n">
        <v>0</v>
      </c>
      <c r="AC369" t="n">
        <v>183.1574</v>
      </c>
      <c r="AD369" t="n">
        <v>-21978.8932</v>
      </c>
      <c r="AE369" t="n">
        <v>147688.65</v>
      </c>
      <c r="AF369" t="n">
        <v>0.99</v>
      </c>
      <c r="AG369" t="inlineStr">
        <is>
          <t>Low</t>
        </is>
      </c>
      <c r="AH369" t="inlineStr">
        <is>
          <t>On Track</t>
        </is>
      </c>
    </row>
    <row r="370">
      <c r="A370" t="inlineStr">
        <is>
          <t>SUP-0024</t>
        </is>
      </c>
      <c r="B370" t="inlineStr">
        <is>
          <t>Agriculture Supplier 024</t>
        </is>
      </c>
      <c r="C370" t="inlineStr">
        <is>
          <t>Agriculture</t>
        </is>
      </c>
      <c r="D370" t="n">
        <v>2024</v>
      </c>
      <c r="E370" t="n">
        <v>2015</v>
      </c>
      <c r="F370" t="n">
        <v>2040</v>
      </c>
      <c r="G370" t="n">
        <v>7216.6437</v>
      </c>
      <c r="H370" t="n">
        <v>1449.3491</v>
      </c>
      <c r="I370" t="n">
        <v>729.1111</v>
      </c>
      <c r="J370" t="inlineStr"/>
      <c r="K370" t="n">
        <v>8310024.54</v>
      </c>
      <c r="L370" t="n">
        <v>22134447.97</v>
      </c>
      <c r="M370" t="n">
        <v>7216.6437</v>
      </c>
      <c r="N370" t="inlineStr">
        <is>
          <t>Supplier Reported Emissions</t>
        </is>
      </c>
      <c r="O370" t="b">
        <v>0</v>
      </c>
      <c r="P370" t="inlineStr">
        <is>
          <t>High</t>
        </is>
      </c>
      <c r="Q370" t="inlineStr">
        <is>
          <t>Scope_Emissions</t>
        </is>
      </c>
      <c r="R370" t="inlineStr">
        <is>
          <t>Valid</t>
        </is>
      </c>
      <c r="S370" t="n">
        <v>2025</v>
      </c>
      <c r="T370" t="inlineStr">
        <is>
          <t>Historical Trend Pathway</t>
        </is>
      </c>
      <c r="U370" t="n">
        <v>4114.647</v>
      </c>
      <c r="V370" t="n">
        <v>3908.9146</v>
      </c>
      <c r="W370" t="n">
        <v>7743.9191</v>
      </c>
      <c r="X370" t="n">
        <v>4032.3541</v>
      </c>
      <c r="Y370" t="n">
        <v>-3629.2721</v>
      </c>
      <c r="Z370" t="n">
        <v>0.0009318799999999999</v>
      </c>
      <c r="AA370" t="n">
        <v>-0.882037</v>
      </c>
      <c r="AB370" t="n">
        <v>3835.0045</v>
      </c>
      <c r="AC370" t="n">
        <v>8.2293</v>
      </c>
      <c r="AD370" t="n">
        <v>54798.7145</v>
      </c>
      <c r="AE370" t="n">
        <v>7743.9191</v>
      </c>
      <c r="AF370" t="n">
        <v>0.8090000000000001</v>
      </c>
      <c r="AG370" t="inlineStr">
        <is>
          <t>Critical</t>
        </is>
      </c>
      <c r="AH370" t="inlineStr">
        <is>
          <t>Off Track</t>
        </is>
      </c>
    </row>
    <row r="371">
      <c r="A371" t="inlineStr">
        <is>
          <t>SUP-0024</t>
        </is>
      </c>
      <c r="B371" t="inlineStr">
        <is>
          <t>Agriculture Supplier 024</t>
        </is>
      </c>
      <c r="C371" t="inlineStr">
        <is>
          <t>Agriculture</t>
        </is>
      </c>
      <c r="D371" t="n">
        <v>2024</v>
      </c>
      <c r="E371" t="n">
        <v>2015</v>
      </c>
      <c r="F371" t="n">
        <v>2040</v>
      </c>
      <c r="G371" t="n">
        <v>7216.6437</v>
      </c>
      <c r="H371" t="n">
        <v>1449.3491</v>
      </c>
      <c r="I371" t="n">
        <v>729.1111</v>
      </c>
      <c r="J371" t="inlineStr"/>
      <c r="K371" t="n">
        <v>8310024.54</v>
      </c>
      <c r="L371" t="n">
        <v>22134447.97</v>
      </c>
      <c r="M371" t="n">
        <v>7216.6437</v>
      </c>
      <c r="N371" t="inlineStr">
        <is>
          <t>Supplier Reported Emissions</t>
        </is>
      </c>
      <c r="O371" t="b">
        <v>0</v>
      </c>
      <c r="P371" t="inlineStr">
        <is>
          <t>High</t>
        </is>
      </c>
      <c r="Q371" t="inlineStr">
        <is>
          <t>Scope_Emissions</t>
        </is>
      </c>
      <c r="R371" t="inlineStr">
        <is>
          <t>Valid</t>
        </is>
      </c>
      <c r="S371" t="n">
        <v>2026</v>
      </c>
      <c r="T371" t="inlineStr">
        <is>
          <t>Historical Trend Pathway</t>
        </is>
      </c>
      <c r="U371" t="n">
        <v>4114.647</v>
      </c>
      <c r="V371" t="n">
        <v>3908.9146</v>
      </c>
      <c r="W371" t="n">
        <v>8309.719300000001</v>
      </c>
      <c r="X371" t="n">
        <v>4024.1248</v>
      </c>
      <c r="Y371" t="n">
        <v>-4195.0723</v>
      </c>
      <c r="Z371" t="n">
        <v>0.00099996</v>
      </c>
      <c r="AA371" t="n">
        <v>-1.019546</v>
      </c>
      <c r="AB371" t="n">
        <v>4400.8046</v>
      </c>
      <c r="AC371" t="n">
        <v>8.2293</v>
      </c>
      <c r="AD371" t="n">
        <v>46488.9952</v>
      </c>
      <c r="AE371" t="n">
        <v>16053.6384</v>
      </c>
      <c r="AF371" t="n">
        <v>0.8090000000000001</v>
      </c>
      <c r="AG371" t="inlineStr">
        <is>
          <t>Critical</t>
        </is>
      </c>
      <c r="AH371" t="inlineStr">
        <is>
          <t>Off Track</t>
        </is>
      </c>
    </row>
    <row r="372">
      <c r="A372" t="inlineStr">
        <is>
          <t>SUP-0024</t>
        </is>
      </c>
      <c r="B372" t="inlineStr">
        <is>
          <t>Agriculture Supplier 024</t>
        </is>
      </c>
      <c r="C372" t="inlineStr">
        <is>
          <t>Agriculture</t>
        </is>
      </c>
      <c r="D372" t="n">
        <v>2024</v>
      </c>
      <c r="E372" t="n">
        <v>2015</v>
      </c>
      <c r="F372" t="n">
        <v>2040</v>
      </c>
      <c r="G372" t="n">
        <v>7216.6437</v>
      </c>
      <c r="H372" t="n">
        <v>1449.3491</v>
      </c>
      <c r="I372" t="n">
        <v>729.1111</v>
      </c>
      <c r="J372" t="inlineStr"/>
      <c r="K372" t="n">
        <v>8310024.54</v>
      </c>
      <c r="L372" t="n">
        <v>22134447.97</v>
      </c>
      <c r="M372" t="n">
        <v>7216.6437</v>
      </c>
      <c r="N372" t="inlineStr">
        <is>
          <t>Supplier Reported Emissions</t>
        </is>
      </c>
      <c r="O372" t="b">
        <v>0</v>
      </c>
      <c r="P372" t="inlineStr">
        <is>
          <t>High</t>
        </is>
      </c>
      <c r="Q372" t="inlineStr">
        <is>
          <t>Scope_Emissions</t>
        </is>
      </c>
      <c r="R372" t="inlineStr">
        <is>
          <t>Valid</t>
        </is>
      </c>
      <c r="S372" t="n">
        <v>2027</v>
      </c>
      <c r="T372" t="inlineStr">
        <is>
          <t>Historical Trend Pathway</t>
        </is>
      </c>
      <c r="U372" t="n">
        <v>4114.647</v>
      </c>
      <c r="V372" t="n">
        <v>3908.9146</v>
      </c>
      <c r="W372" t="n">
        <v>8916.858899999999</v>
      </c>
      <c r="X372" t="n">
        <v>4015.8955</v>
      </c>
      <c r="Y372" t="n">
        <v>-4802.2119</v>
      </c>
      <c r="Z372" t="n">
        <v>0.00107302</v>
      </c>
      <c r="AA372" t="n">
        <v>-1.167102</v>
      </c>
      <c r="AB372" t="n">
        <v>5007.9443</v>
      </c>
      <c r="AC372" t="n">
        <v>8.2293</v>
      </c>
      <c r="AD372" t="n">
        <v>37572.1363</v>
      </c>
      <c r="AE372" t="n">
        <v>24970.4973</v>
      </c>
      <c r="AF372" t="n">
        <v>0.8090000000000001</v>
      </c>
      <c r="AG372" t="inlineStr">
        <is>
          <t>Critical</t>
        </is>
      </c>
      <c r="AH372" t="inlineStr">
        <is>
          <t>Off Track</t>
        </is>
      </c>
    </row>
    <row r="373">
      <c r="A373" t="inlineStr">
        <is>
          <t>SUP-0024</t>
        </is>
      </c>
      <c r="B373" t="inlineStr">
        <is>
          <t>Agriculture Supplier 024</t>
        </is>
      </c>
      <c r="C373" t="inlineStr">
        <is>
          <t>Agriculture</t>
        </is>
      </c>
      <c r="D373" t="n">
        <v>2024</v>
      </c>
      <c r="E373" t="n">
        <v>2015</v>
      </c>
      <c r="F373" t="n">
        <v>2040</v>
      </c>
      <c r="G373" t="n">
        <v>7216.6437</v>
      </c>
      <c r="H373" t="n">
        <v>1449.3491</v>
      </c>
      <c r="I373" t="n">
        <v>729.1111</v>
      </c>
      <c r="J373" t="inlineStr"/>
      <c r="K373" t="n">
        <v>8310024.54</v>
      </c>
      <c r="L373" t="n">
        <v>22134447.97</v>
      </c>
      <c r="M373" t="n">
        <v>7216.6437</v>
      </c>
      <c r="N373" t="inlineStr">
        <is>
          <t>Supplier Reported Emissions</t>
        </is>
      </c>
      <c r="O373" t="b">
        <v>0</v>
      </c>
      <c r="P373" t="inlineStr">
        <is>
          <t>High</t>
        </is>
      </c>
      <c r="Q373" t="inlineStr">
        <is>
          <t>Scope_Emissions</t>
        </is>
      </c>
      <c r="R373" t="inlineStr">
        <is>
          <t>Valid</t>
        </is>
      </c>
      <c r="S373" t="n">
        <v>2028</v>
      </c>
      <c r="T373" t="inlineStr">
        <is>
          <t>Historical Trend Pathway</t>
        </is>
      </c>
      <c r="U373" t="n">
        <v>4114.647</v>
      </c>
      <c r="V373" t="n">
        <v>3908.9146</v>
      </c>
      <c r="W373" t="n">
        <v>9568.3585</v>
      </c>
      <c r="X373" t="n">
        <v>4007.6662</v>
      </c>
      <c r="Y373" t="n">
        <v>-5453.7115</v>
      </c>
      <c r="Z373" t="n">
        <v>0.00115142</v>
      </c>
      <c r="AA373" t="n">
        <v>-1.325438</v>
      </c>
      <c r="AB373" t="n">
        <v>5659.4439</v>
      </c>
      <c r="AC373" t="n">
        <v>8.2293</v>
      </c>
      <c r="AD373" t="n">
        <v>28003.7778</v>
      </c>
      <c r="AE373" t="n">
        <v>34538.8558</v>
      </c>
      <c r="AF373" t="n">
        <v>0.8090000000000001</v>
      </c>
      <c r="AG373" t="inlineStr">
        <is>
          <t>Critical</t>
        </is>
      </c>
      <c r="AH373" t="inlineStr">
        <is>
          <t>Off Track</t>
        </is>
      </c>
    </row>
    <row r="374">
      <c r="A374" t="inlineStr">
        <is>
          <t>SUP-0024</t>
        </is>
      </c>
      <c r="B374" t="inlineStr">
        <is>
          <t>Agriculture Supplier 024</t>
        </is>
      </c>
      <c r="C374" t="inlineStr">
        <is>
          <t>Agriculture</t>
        </is>
      </c>
      <c r="D374" t="n">
        <v>2024</v>
      </c>
      <c r="E374" t="n">
        <v>2015</v>
      </c>
      <c r="F374" t="n">
        <v>2040</v>
      </c>
      <c r="G374" t="n">
        <v>7216.6437</v>
      </c>
      <c r="H374" t="n">
        <v>1449.3491</v>
      </c>
      <c r="I374" t="n">
        <v>729.1111</v>
      </c>
      <c r="J374" t="inlineStr"/>
      <c r="K374" t="n">
        <v>8310024.54</v>
      </c>
      <c r="L374" t="n">
        <v>22134447.97</v>
      </c>
      <c r="M374" t="n">
        <v>7216.6437</v>
      </c>
      <c r="N374" t="inlineStr">
        <is>
          <t>Supplier Reported Emissions</t>
        </is>
      </c>
      <c r="O374" t="b">
        <v>0</v>
      </c>
      <c r="P374" t="inlineStr">
        <is>
          <t>High</t>
        </is>
      </c>
      <c r="Q374" t="inlineStr">
        <is>
          <t>Scope_Emissions</t>
        </is>
      </c>
      <c r="R374" t="inlineStr">
        <is>
          <t>Valid</t>
        </is>
      </c>
      <c r="S374" t="n">
        <v>2029</v>
      </c>
      <c r="T374" t="inlineStr">
        <is>
          <t>Historical Trend Pathway</t>
        </is>
      </c>
      <c r="U374" t="n">
        <v>4114.647</v>
      </c>
      <c r="V374" t="n">
        <v>3908.9146</v>
      </c>
      <c r="W374" t="n">
        <v>10267.4592</v>
      </c>
      <c r="X374" t="n">
        <v>3999.4369</v>
      </c>
      <c r="Y374" t="n">
        <v>-6152.8122</v>
      </c>
      <c r="Z374" t="n">
        <v>0.00123555</v>
      </c>
      <c r="AA374" t="n">
        <v>-1.495344</v>
      </c>
      <c r="AB374" t="n">
        <v>6358.5445</v>
      </c>
      <c r="AC374" t="n">
        <v>8.2293</v>
      </c>
      <c r="AD374" t="n">
        <v>17736.3186</v>
      </c>
      <c r="AE374" t="n">
        <v>44806.315</v>
      </c>
      <c r="AF374" t="n">
        <v>0.8090000000000001</v>
      </c>
      <c r="AG374" t="inlineStr">
        <is>
          <t>Critical</t>
        </is>
      </c>
      <c r="AH374" t="inlineStr">
        <is>
          <t>Off Track</t>
        </is>
      </c>
    </row>
    <row r="375">
      <c r="A375" t="inlineStr">
        <is>
          <t>SUP-0024</t>
        </is>
      </c>
      <c r="B375" t="inlineStr">
        <is>
          <t>Agriculture Supplier 024</t>
        </is>
      </c>
      <c r="C375" t="inlineStr">
        <is>
          <t>Agriculture</t>
        </is>
      </c>
      <c r="D375" t="n">
        <v>2024</v>
      </c>
      <c r="E375" t="n">
        <v>2015</v>
      </c>
      <c r="F375" t="n">
        <v>2040</v>
      </c>
      <c r="G375" t="n">
        <v>7216.6437</v>
      </c>
      <c r="H375" t="n">
        <v>1449.3491</v>
      </c>
      <c r="I375" t="n">
        <v>729.1111</v>
      </c>
      <c r="J375" t="inlineStr"/>
      <c r="K375" t="n">
        <v>8310024.54</v>
      </c>
      <c r="L375" t="n">
        <v>22134447.97</v>
      </c>
      <c r="M375" t="n">
        <v>7216.6437</v>
      </c>
      <c r="N375" t="inlineStr">
        <is>
          <t>Supplier Reported Emissions</t>
        </is>
      </c>
      <c r="O375" t="b">
        <v>0</v>
      </c>
      <c r="P375" t="inlineStr">
        <is>
          <t>High</t>
        </is>
      </c>
      <c r="Q375" t="inlineStr">
        <is>
          <t>Scope_Emissions</t>
        </is>
      </c>
      <c r="R375" t="inlineStr">
        <is>
          <t>Valid</t>
        </is>
      </c>
      <c r="S375" t="n">
        <v>2030</v>
      </c>
      <c r="T375" t="inlineStr">
        <is>
          <t>Historical Trend Pathway</t>
        </is>
      </c>
      <c r="U375" t="n">
        <v>4114.647</v>
      </c>
      <c r="V375" t="n">
        <v>3908.9146</v>
      </c>
      <c r="W375" t="n">
        <v>11017.6388</v>
      </c>
      <c r="X375" t="n">
        <v>3991.2076</v>
      </c>
      <c r="Y375" t="n">
        <v>-6902.9918</v>
      </c>
      <c r="Z375" t="n">
        <v>0.00132583</v>
      </c>
      <c r="AA375" t="n">
        <v>-1.677663</v>
      </c>
      <c r="AB375" t="n">
        <v>7108.7241</v>
      </c>
      <c r="AC375" t="n">
        <v>8.2293</v>
      </c>
      <c r="AD375" t="n">
        <v>6718.6798</v>
      </c>
      <c r="AE375" t="n">
        <v>55823.9538</v>
      </c>
      <c r="AF375" t="n">
        <v>0.8090000000000001</v>
      </c>
      <c r="AG375" t="inlineStr">
        <is>
          <t>Critical</t>
        </is>
      </c>
      <c r="AH375" t="inlineStr">
        <is>
          <t>Off Track</t>
        </is>
      </c>
    </row>
    <row r="376">
      <c r="A376" t="inlineStr">
        <is>
          <t>SUP-0024</t>
        </is>
      </c>
      <c r="B376" t="inlineStr">
        <is>
          <t>Agriculture Supplier 024</t>
        </is>
      </c>
      <c r="C376" t="inlineStr">
        <is>
          <t>Agriculture</t>
        </is>
      </c>
      <c r="D376" t="n">
        <v>2024</v>
      </c>
      <c r="E376" t="n">
        <v>2015</v>
      </c>
      <c r="F376" t="n">
        <v>2040</v>
      </c>
      <c r="G376" t="n">
        <v>7216.6437</v>
      </c>
      <c r="H376" t="n">
        <v>1449.3491</v>
      </c>
      <c r="I376" t="n">
        <v>729.1111</v>
      </c>
      <c r="J376" t="inlineStr"/>
      <c r="K376" t="n">
        <v>8310024.54</v>
      </c>
      <c r="L376" t="n">
        <v>22134447.97</v>
      </c>
      <c r="M376" t="n">
        <v>7216.6437</v>
      </c>
      <c r="N376" t="inlineStr">
        <is>
          <t>Supplier Reported Emissions</t>
        </is>
      </c>
      <c r="O376" t="b">
        <v>0</v>
      </c>
      <c r="P376" t="inlineStr">
        <is>
          <t>High</t>
        </is>
      </c>
      <c r="Q376" t="inlineStr">
        <is>
          <t>Scope_Emissions</t>
        </is>
      </c>
      <c r="R376" t="inlineStr">
        <is>
          <t>Valid</t>
        </is>
      </c>
      <c r="S376" t="n">
        <v>2031</v>
      </c>
      <c r="T376" t="inlineStr">
        <is>
          <t>Historical Trend Pathway</t>
        </is>
      </c>
      <c r="U376" t="n">
        <v>4114.647</v>
      </c>
      <c r="V376" t="n">
        <v>3908.9146</v>
      </c>
      <c r="W376" t="n">
        <v>11822.6293</v>
      </c>
      <c r="X376" t="n">
        <v>3982.9783</v>
      </c>
      <c r="Y376" t="n">
        <v>-7707.9823</v>
      </c>
      <c r="Z376" t="n">
        <v>0.00142269</v>
      </c>
      <c r="AA376" t="n">
        <v>-1.873303</v>
      </c>
      <c r="AB376" t="n">
        <v>7913.7147</v>
      </c>
      <c r="AC376" t="n">
        <v>8.2293</v>
      </c>
      <c r="AD376" t="n">
        <v>-5103.9495</v>
      </c>
      <c r="AE376" t="n">
        <v>67646.5831</v>
      </c>
      <c r="AF376" t="n">
        <v>0.8090000000000001</v>
      </c>
      <c r="AG376" t="inlineStr">
        <is>
          <t>Critical</t>
        </is>
      </c>
      <c r="AH376" t="inlineStr">
        <is>
          <t>Off Track</t>
        </is>
      </c>
    </row>
    <row r="377">
      <c r="A377" t="inlineStr">
        <is>
          <t>SUP-0024</t>
        </is>
      </c>
      <c r="B377" t="inlineStr">
        <is>
          <t>Agriculture Supplier 024</t>
        </is>
      </c>
      <c r="C377" t="inlineStr">
        <is>
          <t>Agriculture</t>
        </is>
      </c>
      <c r="D377" t="n">
        <v>2024</v>
      </c>
      <c r="E377" t="n">
        <v>2015</v>
      </c>
      <c r="F377" t="n">
        <v>2040</v>
      </c>
      <c r="G377" t="n">
        <v>7216.6437</v>
      </c>
      <c r="H377" t="n">
        <v>1449.3491</v>
      </c>
      <c r="I377" t="n">
        <v>729.1111</v>
      </c>
      <c r="J377" t="inlineStr"/>
      <c r="K377" t="n">
        <v>8310024.54</v>
      </c>
      <c r="L377" t="n">
        <v>22134447.97</v>
      </c>
      <c r="M377" t="n">
        <v>7216.6437</v>
      </c>
      <c r="N377" t="inlineStr">
        <is>
          <t>Supplier Reported Emissions</t>
        </is>
      </c>
      <c r="O377" t="b">
        <v>0</v>
      </c>
      <c r="P377" t="inlineStr">
        <is>
          <t>High</t>
        </is>
      </c>
      <c r="Q377" t="inlineStr">
        <is>
          <t>Scope_Emissions</t>
        </is>
      </c>
      <c r="R377" t="inlineStr">
        <is>
          <t>Valid</t>
        </is>
      </c>
      <c r="S377" t="n">
        <v>2032</v>
      </c>
      <c r="T377" t="inlineStr">
        <is>
          <t>Historical Trend Pathway</t>
        </is>
      </c>
      <c r="U377" t="n">
        <v>4114.647</v>
      </c>
      <c r="V377" t="n">
        <v>3908.9146</v>
      </c>
      <c r="W377" t="n">
        <v>12686.4355</v>
      </c>
      <c r="X377" t="n">
        <v>3974.749</v>
      </c>
      <c r="Y377" t="n">
        <v>-8571.788500000001</v>
      </c>
      <c r="Z377" t="n">
        <v>0.00152664</v>
      </c>
      <c r="AA377" t="n">
        <v>-2.083238</v>
      </c>
      <c r="AB377" t="n">
        <v>8777.5209</v>
      </c>
      <c r="AC377" t="n">
        <v>8.2293</v>
      </c>
      <c r="AD377" t="n">
        <v>-17790.385</v>
      </c>
      <c r="AE377" t="n">
        <v>80333.0186</v>
      </c>
      <c r="AF377" t="n">
        <v>0.8090000000000001</v>
      </c>
      <c r="AG377" t="inlineStr">
        <is>
          <t>Critical</t>
        </is>
      </c>
      <c r="AH377" t="inlineStr">
        <is>
          <t>Off Track</t>
        </is>
      </c>
    </row>
    <row r="378">
      <c r="A378" t="inlineStr">
        <is>
          <t>SUP-0024</t>
        </is>
      </c>
      <c r="B378" t="inlineStr">
        <is>
          <t>Agriculture Supplier 024</t>
        </is>
      </c>
      <c r="C378" t="inlineStr">
        <is>
          <t>Agriculture</t>
        </is>
      </c>
      <c r="D378" t="n">
        <v>2024</v>
      </c>
      <c r="E378" t="n">
        <v>2015</v>
      </c>
      <c r="F378" t="n">
        <v>2040</v>
      </c>
      <c r="G378" t="n">
        <v>7216.6437</v>
      </c>
      <c r="H378" t="n">
        <v>1449.3491</v>
      </c>
      <c r="I378" t="n">
        <v>729.1111</v>
      </c>
      <c r="J378" t="inlineStr"/>
      <c r="K378" t="n">
        <v>8310024.54</v>
      </c>
      <c r="L378" t="n">
        <v>22134447.97</v>
      </c>
      <c r="M378" t="n">
        <v>7216.6437</v>
      </c>
      <c r="N378" t="inlineStr">
        <is>
          <t>Supplier Reported Emissions</t>
        </is>
      </c>
      <c r="O378" t="b">
        <v>0</v>
      </c>
      <c r="P378" t="inlineStr">
        <is>
          <t>High</t>
        </is>
      </c>
      <c r="Q378" t="inlineStr">
        <is>
          <t>Scope_Emissions</t>
        </is>
      </c>
      <c r="R378" t="inlineStr">
        <is>
          <t>Valid</t>
        </is>
      </c>
      <c r="S378" t="n">
        <v>2033</v>
      </c>
      <c r="T378" t="inlineStr">
        <is>
          <t>Historical Trend Pathway</t>
        </is>
      </c>
      <c r="U378" t="n">
        <v>4114.647</v>
      </c>
      <c r="V378" t="n">
        <v>3908.9146</v>
      </c>
      <c r="W378" t="n">
        <v>13613.3547</v>
      </c>
      <c r="X378" t="n">
        <v>3966.5197</v>
      </c>
      <c r="Y378" t="n">
        <v>-9498.707700000001</v>
      </c>
      <c r="Z378" t="n">
        <v>0.00163818</v>
      </c>
      <c r="AA378" t="n">
        <v>-2.308511</v>
      </c>
      <c r="AB378" t="n">
        <v>9704.4401</v>
      </c>
      <c r="AC378" t="n">
        <v>8.2293</v>
      </c>
      <c r="AD378" t="n">
        <v>-31403.7397</v>
      </c>
      <c r="AE378" t="n">
        <v>93946.37330000001</v>
      </c>
      <c r="AF378" t="n">
        <v>0.8090000000000001</v>
      </c>
      <c r="AG378" t="inlineStr">
        <is>
          <t>Critical</t>
        </is>
      </c>
      <c r="AH378" t="inlineStr">
        <is>
          <t>Off Track</t>
        </is>
      </c>
    </row>
    <row r="379">
      <c r="A379" t="inlineStr">
        <is>
          <t>SUP-0024</t>
        </is>
      </c>
      <c r="B379" t="inlineStr">
        <is>
          <t>Agriculture Supplier 024</t>
        </is>
      </c>
      <c r="C379" t="inlineStr">
        <is>
          <t>Agriculture</t>
        </is>
      </c>
      <c r="D379" t="n">
        <v>2024</v>
      </c>
      <c r="E379" t="n">
        <v>2015</v>
      </c>
      <c r="F379" t="n">
        <v>2040</v>
      </c>
      <c r="G379" t="n">
        <v>7216.6437</v>
      </c>
      <c r="H379" t="n">
        <v>1449.3491</v>
      </c>
      <c r="I379" t="n">
        <v>729.1111</v>
      </c>
      <c r="J379" t="inlineStr"/>
      <c r="K379" t="n">
        <v>8310024.54</v>
      </c>
      <c r="L379" t="n">
        <v>22134447.97</v>
      </c>
      <c r="M379" t="n">
        <v>7216.6437</v>
      </c>
      <c r="N379" t="inlineStr">
        <is>
          <t>Supplier Reported Emissions</t>
        </is>
      </c>
      <c r="O379" t="b">
        <v>0</v>
      </c>
      <c r="P379" t="inlineStr">
        <is>
          <t>High</t>
        </is>
      </c>
      <c r="Q379" t="inlineStr">
        <is>
          <t>Scope_Emissions</t>
        </is>
      </c>
      <c r="R379" t="inlineStr">
        <is>
          <t>Valid</t>
        </is>
      </c>
      <c r="S379" t="n">
        <v>2034</v>
      </c>
      <c r="T379" t="inlineStr">
        <is>
          <t>Historical Trend Pathway</t>
        </is>
      </c>
      <c r="U379" t="n">
        <v>4114.647</v>
      </c>
      <c r="V379" t="n">
        <v>3908.9146</v>
      </c>
      <c r="W379" t="n">
        <v>14607.9981</v>
      </c>
      <c r="X379" t="n">
        <v>3958.2904</v>
      </c>
      <c r="Y379" t="n">
        <v>-10493.3511</v>
      </c>
      <c r="Z379" t="n">
        <v>0.00175788</v>
      </c>
      <c r="AA379" t="n">
        <v>-2.550243</v>
      </c>
      <c r="AB379" t="n">
        <v>10699.0835</v>
      </c>
      <c r="AC379" t="n">
        <v>8.2293</v>
      </c>
      <c r="AD379" t="n">
        <v>-46011.7378</v>
      </c>
      <c r="AE379" t="n">
        <v>108554.3714</v>
      </c>
      <c r="AF379" t="n">
        <v>0.8090000000000001</v>
      </c>
      <c r="AG379" t="inlineStr">
        <is>
          <t>Critical</t>
        </is>
      </c>
      <c r="AH379" t="inlineStr">
        <is>
          <t>Off Track</t>
        </is>
      </c>
    </row>
    <row r="380">
      <c r="A380" t="inlineStr">
        <is>
          <t>SUP-0024</t>
        </is>
      </c>
      <c r="B380" t="inlineStr">
        <is>
          <t>Agriculture Supplier 024</t>
        </is>
      </c>
      <c r="C380" t="inlineStr">
        <is>
          <t>Agriculture</t>
        </is>
      </c>
      <c r="D380" t="n">
        <v>2024</v>
      </c>
      <c r="E380" t="n">
        <v>2015</v>
      </c>
      <c r="F380" t="n">
        <v>2040</v>
      </c>
      <c r="G380" t="n">
        <v>7216.6437</v>
      </c>
      <c r="H380" t="n">
        <v>1449.3491</v>
      </c>
      <c r="I380" t="n">
        <v>729.1111</v>
      </c>
      <c r="J380" t="inlineStr"/>
      <c r="K380" t="n">
        <v>8310024.54</v>
      </c>
      <c r="L380" t="n">
        <v>22134447.97</v>
      </c>
      <c r="M380" t="n">
        <v>7216.6437</v>
      </c>
      <c r="N380" t="inlineStr">
        <is>
          <t>Supplier Reported Emissions</t>
        </is>
      </c>
      <c r="O380" t="b">
        <v>0</v>
      </c>
      <c r="P380" t="inlineStr">
        <is>
          <t>High</t>
        </is>
      </c>
      <c r="Q380" t="inlineStr">
        <is>
          <t>Scope_Emissions</t>
        </is>
      </c>
      <c r="R380" t="inlineStr">
        <is>
          <t>Valid</t>
        </is>
      </c>
      <c r="S380" t="n">
        <v>2035</v>
      </c>
      <c r="T380" t="inlineStr">
        <is>
          <t>Historical Trend Pathway</t>
        </is>
      </c>
      <c r="U380" t="n">
        <v>4114.647</v>
      </c>
      <c r="V380" t="n">
        <v>3908.9146</v>
      </c>
      <c r="W380" t="n">
        <v>15675.314</v>
      </c>
      <c r="X380" t="n">
        <v>3950.0611</v>
      </c>
      <c r="Y380" t="n">
        <v>-11560.667</v>
      </c>
      <c r="Z380" t="n">
        <v>0.00188631</v>
      </c>
      <c r="AA380" t="n">
        <v>-2.809638</v>
      </c>
      <c r="AB380" t="n">
        <v>11766.3993</v>
      </c>
      <c r="AC380" t="n">
        <v>8.2293</v>
      </c>
      <c r="AD380" t="n">
        <v>-61687.0518</v>
      </c>
      <c r="AE380" t="n">
        <v>124229.6854</v>
      </c>
      <c r="AF380" t="n">
        <v>0.8090000000000001</v>
      </c>
      <c r="AG380" t="inlineStr">
        <is>
          <t>Critical</t>
        </is>
      </c>
      <c r="AH380" t="inlineStr">
        <is>
          <t>Off Track</t>
        </is>
      </c>
    </row>
    <row r="381">
      <c r="A381" t="inlineStr">
        <is>
          <t>SUP-0024</t>
        </is>
      </c>
      <c r="B381" t="inlineStr">
        <is>
          <t>Agriculture Supplier 024</t>
        </is>
      </c>
      <c r="C381" t="inlineStr">
        <is>
          <t>Agriculture</t>
        </is>
      </c>
      <c r="D381" t="n">
        <v>2024</v>
      </c>
      <c r="E381" t="n">
        <v>2015</v>
      </c>
      <c r="F381" t="n">
        <v>2040</v>
      </c>
      <c r="G381" t="n">
        <v>7216.6437</v>
      </c>
      <c r="H381" t="n">
        <v>1449.3491</v>
      </c>
      <c r="I381" t="n">
        <v>729.1111</v>
      </c>
      <c r="J381" t="inlineStr"/>
      <c r="K381" t="n">
        <v>8310024.54</v>
      </c>
      <c r="L381" t="n">
        <v>22134447.97</v>
      </c>
      <c r="M381" t="n">
        <v>7216.6437</v>
      </c>
      <c r="N381" t="inlineStr">
        <is>
          <t>Supplier Reported Emissions</t>
        </is>
      </c>
      <c r="O381" t="b">
        <v>0</v>
      </c>
      <c r="P381" t="inlineStr">
        <is>
          <t>High</t>
        </is>
      </c>
      <c r="Q381" t="inlineStr">
        <is>
          <t>Scope_Emissions</t>
        </is>
      </c>
      <c r="R381" t="inlineStr">
        <is>
          <t>Valid</t>
        </is>
      </c>
      <c r="S381" t="n">
        <v>2036</v>
      </c>
      <c r="T381" t="inlineStr">
        <is>
          <t>Historical Trend Pathway</t>
        </is>
      </c>
      <c r="U381" t="n">
        <v>4114.647</v>
      </c>
      <c r="V381" t="n">
        <v>3908.9146</v>
      </c>
      <c r="W381" t="n">
        <v>16820.612</v>
      </c>
      <c r="X381" t="n">
        <v>3941.8318</v>
      </c>
      <c r="Y381" t="n">
        <v>-12705.965</v>
      </c>
      <c r="Z381" t="n">
        <v>0.00202414</v>
      </c>
      <c r="AA381" t="n">
        <v>-3.087984</v>
      </c>
      <c r="AB381" t="n">
        <v>12911.6974</v>
      </c>
      <c r="AC381" t="n">
        <v>8.2293</v>
      </c>
      <c r="AD381" t="n">
        <v>-78507.66379999999</v>
      </c>
      <c r="AE381" t="n">
        <v>141050.2974</v>
      </c>
      <c r="AF381" t="n">
        <v>0.8090000000000001</v>
      </c>
      <c r="AG381" t="inlineStr">
        <is>
          <t>Critical</t>
        </is>
      </c>
      <c r="AH381" t="inlineStr">
        <is>
          <t>Off Track</t>
        </is>
      </c>
    </row>
    <row r="382">
      <c r="A382" t="inlineStr">
        <is>
          <t>SUP-0024</t>
        </is>
      </c>
      <c r="B382" t="inlineStr">
        <is>
          <t>Agriculture Supplier 024</t>
        </is>
      </c>
      <c r="C382" t="inlineStr">
        <is>
          <t>Agriculture</t>
        </is>
      </c>
      <c r="D382" t="n">
        <v>2024</v>
      </c>
      <c r="E382" t="n">
        <v>2015</v>
      </c>
      <c r="F382" t="n">
        <v>2040</v>
      </c>
      <c r="G382" t="n">
        <v>7216.6437</v>
      </c>
      <c r="H382" t="n">
        <v>1449.3491</v>
      </c>
      <c r="I382" t="n">
        <v>729.1111</v>
      </c>
      <c r="J382" t="inlineStr"/>
      <c r="K382" t="n">
        <v>8310024.54</v>
      </c>
      <c r="L382" t="n">
        <v>22134447.97</v>
      </c>
      <c r="M382" t="n">
        <v>7216.6437</v>
      </c>
      <c r="N382" t="inlineStr">
        <is>
          <t>Supplier Reported Emissions</t>
        </is>
      </c>
      <c r="O382" t="b">
        <v>0</v>
      </c>
      <c r="P382" t="inlineStr">
        <is>
          <t>High</t>
        </is>
      </c>
      <c r="Q382" t="inlineStr">
        <is>
          <t>Scope_Emissions</t>
        </is>
      </c>
      <c r="R382" t="inlineStr">
        <is>
          <t>Valid</t>
        </is>
      </c>
      <c r="S382" t="n">
        <v>2037</v>
      </c>
      <c r="T382" t="inlineStr">
        <is>
          <t>Historical Trend Pathway</t>
        </is>
      </c>
      <c r="U382" t="n">
        <v>4114.647</v>
      </c>
      <c r="V382" t="n">
        <v>3908.9146</v>
      </c>
      <c r="W382" t="n">
        <v>18049.5898</v>
      </c>
      <c r="X382" t="n">
        <v>3933.6025</v>
      </c>
      <c r="Y382" t="n">
        <v>-13934.9428</v>
      </c>
      <c r="Z382" t="n">
        <v>0.00217203</v>
      </c>
      <c r="AA382" t="n">
        <v>-3.386668</v>
      </c>
      <c r="AB382" t="n">
        <v>14140.6752</v>
      </c>
      <c r="AC382" t="n">
        <v>8.2293</v>
      </c>
      <c r="AD382" t="n">
        <v>-96557.2536</v>
      </c>
      <c r="AE382" t="n">
        <v>159099.8872</v>
      </c>
      <c r="AF382" t="n">
        <v>0.8090000000000001</v>
      </c>
      <c r="AG382" t="inlineStr">
        <is>
          <t>Critical</t>
        </is>
      </c>
      <c r="AH382" t="inlineStr">
        <is>
          <t>Off Track</t>
        </is>
      </c>
    </row>
    <row r="383">
      <c r="A383" t="inlineStr">
        <is>
          <t>SUP-0024</t>
        </is>
      </c>
      <c r="B383" t="inlineStr">
        <is>
          <t>Agriculture Supplier 024</t>
        </is>
      </c>
      <c r="C383" t="inlineStr">
        <is>
          <t>Agriculture</t>
        </is>
      </c>
      <c r="D383" t="n">
        <v>2024</v>
      </c>
      <c r="E383" t="n">
        <v>2015</v>
      </c>
      <c r="F383" t="n">
        <v>2040</v>
      </c>
      <c r="G383" t="n">
        <v>7216.6437</v>
      </c>
      <c r="H383" t="n">
        <v>1449.3491</v>
      </c>
      <c r="I383" t="n">
        <v>729.1111</v>
      </c>
      <c r="J383" t="inlineStr"/>
      <c r="K383" t="n">
        <v>8310024.54</v>
      </c>
      <c r="L383" t="n">
        <v>22134447.97</v>
      </c>
      <c r="M383" t="n">
        <v>7216.6437</v>
      </c>
      <c r="N383" t="inlineStr">
        <is>
          <t>Supplier Reported Emissions</t>
        </is>
      </c>
      <c r="O383" t="b">
        <v>0</v>
      </c>
      <c r="P383" t="inlineStr">
        <is>
          <t>High</t>
        </is>
      </c>
      <c r="Q383" t="inlineStr">
        <is>
          <t>Scope_Emissions</t>
        </is>
      </c>
      <c r="R383" t="inlineStr">
        <is>
          <t>Valid</t>
        </is>
      </c>
      <c r="S383" t="n">
        <v>2038</v>
      </c>
      <c r="T383" t="inlineStr">
        <is>
          <t>Historical Trend Pathway</t>
        </is>
      </c>
      <c r="U383" t="n">
        <v>4114.647</v>
      </c>
      <c r="V383" t="n">
        <v>3908.9146</v>
      </c>
      <c r="W383" t="n">
        <v>19368.3615</v>
      </c>
      <c r="X383" t="n">
        <v>3925.3732</v>
      </c>
      <c r="Y383" t="n">
        <v>-15253.7145</v>
      </c>
      <c r="Z383" t="n">
        <v>0.00233072</v>
      </c>
      <c r="AA383" t="n">
        <v>-3.707175</v>
      </c>
      <c r="AB383" t="n">
        <v>15459.4468</v>
      </c>
      <c r="AC383" t="n">
        <v>8.2293</v>
      </c>
      <c r="AD383" t="n">
        <v>-115925.6151</v>
      </c>
      <c r="AE383" t="n">
        <v>178468.2487</v>
      </c>
      <c r="AF383" t="n">
        <v>0.8090000000000001</v>
      </c>
      <c r="AG383" t="inlineStr">
        <is>
          <t>Critical</t>
        </is>
      </c>
      <c r="AH383" t="inlineStr">
        <is>
          <t>Off Track</t>
        </is>
      </c>
    </row>
    <row r="384">
      <c r="A384" t="inlineStr">
        <is>
          <t>SUP-0024</t>
        </is>
      </c>
      <c r="B384" t="inlineStr">
        <is>
          <t>Agriculture Supplier 024</t>
        </is>
      </c>
      <c r="C384" t="inlineStr">
        <is>
          <t>Agriculture</t>
        </is>
      </c>
      <c r="D384" t="n">
        <v>2024</v>
      </c>
      <c r="E384" t="n">
        <v>2015</v>
      </c>
      <c r="F384" t="n">
        <v>2040</v>
      </c>
      <c r="G384" t="n">
        <v>7216.6437</v>
      </c>
      <c r="H384" t="n">
        <v>1449.3491</v>
      </c>
      <c r="I384" t="n">
        <v>729.1111</v>
      </c>
      <c r="J384" t="inlineStr"/>
      <c r="K384" t="n">
        <v>8310024.54</v>
      </c>
      <c r="L384" t="n">
        <v>22134447.97</v>
      </c>
      <c r="M384" t="n">
        <v>7216.6437</v>
      </c>
      <c r="N384" t="inlineStr">
        <is>
          <t>Supplier Reported Emissions</t>
        </is>
      </c>
      <c r="O384" t="b">
        <v>0</v>
      </c>
      <c r="P384" t="inlineStr">
        <is>
          <t>High</t>
        </is>
      </c>
      <c r="Q384" t="inlineStr">
        <is>
          <t>Scope_Emissions</t>
        </is>
      </c>
      <c r="R384" t="inlineStr">
        <is>
          <t>Valid</t>
        </is>
      </c>
      <c r="S384" t="n">
        <v>2039</v>
      </c>
      <c r="T384" t="inlineStr">
        <is>
          <t>Historical Trend Pathway</t>
        </is>
      </c>
      <c r="U384" t="n">
        <v>4114.647</v>
      </c>
      <c r="V384" t="n">
        <v>3908.9146</v>
      </c>
      <c r="W384" t="n">
        <v>20783.4875</v>
      </c>
      <c r="X384" t="n">
        <v>3917.1439</v>
      </c>
      <c r="Y384" t="n">
        <v>-16668.8405</v>
      </c>
      <c r="Z384" t="n">
        <v>0.00250101</v>
      </c>
      <c r="AA384" t="n">
        <v>-4.051099</v>
      </c>
      <c r="AB384" t="n">
        <v>16874.5729</v>
      </c>
      <c r="AC384" t="n">
        <v>8.2293</v>
      </c>
      <c r="AD384" t="n">
        <v>-136709.1026</v>
      </c>
      <c r="AE384" t="n">
        <v>199251.7362</v>
      </c>
      <c r="AF384" t="n">
        <v>0.8090000000000001</v>
      </c>
      <c r="AG384" t="inlineStr">
        <is>
          <t>Critical</t>
        </is>
      </c>
      <c r="AH384" t="inlineStr">
        <is>
          <t>Off Track</t>
        </is>
      </c>
    </row>
    <row r="385">
      <c r="A385" t="inlineStr">
        <is>
          <t>SUP-0024</t>
        </is>
      </c>
      <c r="B385" t="inlineStr">
        <is>
          <t>Agriculture Supplier 024</t>
        </is>
      </c>
      <c r="C385" t="inlineStr">
        <is>
          <t>Agriculture</t>
        </is>
      </c>
      <c r="D385" t="n">
        <v>2024</v>
      </c>
      <c r="E385" t="n">
        <v>2015</v>
      </c>
      <c r="F385" t="n">
        <v>2040</v>
      </c>
      <c r="G385" t="n">
        <v>7216.6437</v>
      </c>
      <c r="H385" t="n">
        <v>1449.3491</v>
      </c>
      <c r="I385" t="n">
        <v>729.1111</v>
      </c>
      <c r="J385" t="inlineStr"/>
      <c r="K385" t="n">
        <v>8310024.54</v>
      </c>
      <c r="L385" t="n">
        <v>22134447.97</v>
      </c>
      <c r="M385" t="n">
        <v>7216.6437</v>
      </c>
      <c r="N385" t="inlineStr">
        <is>
          <t>Supplier Reported Emissions</t>
        </is>
      </c>
      <c r="O385" t="b">
        <v>0</v>
      </c>
      <c r="P385" t="inlineStr">
        <is>
          <t>High</t>
        </is>
      </c>
      <c r="Q385" t="inlineStr">
        <is>
          <t>Scope_Emissions</t>
        </is>
      </c>
      <c r="R385" t="inlineStr">
        <is>
          <t>Valid</t>
        </is>
      </c>
      <c r="S385" t="n">
        <v>2040</v>
      </c>
      <c r="T385" t="inlineStr">
        <is>
          <t>Historical Trend Pathway</t>
        </is>
      </c>
      <c r="U385" t="n">
        <v>4114.647</v>
      </c>
      <c r="V385" t="n">
        <v>3908.9146</v>
      </c>
      <c r="W385" t="n">
        <v>22302.0081</v>
      </c>
      <c r="X385" t="n">
        <v>3908.9146</v>
      </c>
      <c r="Y385" t="n">
        <v>-18187.3611</v>
      </c>
      <c r="Z385" t="n">
        <v>0.00268375</v>
      </c>
      <c r="AA385" t="n">
        <v>-4.420151</v>
      </c>
      <c r="AB385" t="n">
        <v>18393.0935</v>
      </c>
      <c r="AC385" t="n">
        <v>8.2293</v>
      </c>
      <c r="AD385" t="n">
        <v>-159011.1107</v>
      </c>
      <c r="AE385" t="n">
        <v>221553.7443</v>
      </c>
      <c r="AF385" t="n">
        <v>0.8090000000000001</v>
      </c>
      <c r="AG385" t="inlineStr">
        <is>
          <t>Critical</t>
        </is>
      </c>
      <c r="AH385" t="inlineStr">
        <is>
          <t>Off Track</t>
        </is>
      </c>
    </row>
    <row r="386">
      <c r="A386" t="inlineStr">
        <is>
          <t>SUP-0025</t>
        </is>
      </c>
      <c r="B386" t="inlineStr">
        <is>
          <t>Metals Supplier 025</t>
        </is>
      </c>
      <c r="C386" t="inlineStr">
        <is>
          <t>Metals</t>
        </is>
      </c>
      <c r="D386" t="n">
        <v>2024</v>
      </c>
      <c r="E386" t="n">
        <v>2020</v>
      </c>
      <c r="F386" t="n">
        <v>2030</v>
      </c>
      <c r="G386" t="inlineStr"/>
      <c r="H386" t="n">
        <v>2751.899</v>
      </c>
      <c r="I386" t="n">
        <v>1764.5582</v>
      </c>
      <c r="J386" t="n">
        <v>8462.419099999999</v>
      </c>
      <c r="K386" t="n">
        <v>19690840.4</v>
      </c>
      <c r="L386" t="n">
        <v>63623341.52</v>
      </c>
      <c r="M386" t="n">
        <v>12978.8763</v>
      </c>
      <c r="N386" t="inlineStr">
        <is>
          <t>Scope 1 + Scope 2 + Scope 3</t>
        </is>
      </c>
      <c r="O386" t="b">
        <v>1</v>
      </c>
      <c r="P386" t="inlineStr">
        <is>
          <t>High</t>
        </is>
      </c>
      <c r="Q386" t="inlineStr">
        <is>
          <t>Reported_Emissions</t>
        </is>
      </c>
      <c r="R386" t="inlineStr">
        <is>
          <t>Valid</t>
        </is>
      </c>
      <c r="S386" t="n">
        <v>2025</v>
      </c>
      <c r="T386" t="inlineStr">
        <is>
          <t>Supplier Target Pathway</t>
        </is>
      </c>
      <c r="U386" t="n">
        <v>10912.0046</v>
      </c>
      <c r="V386" t="n">
        <v>6729.4332</v>
      </c>
      <c r="W386" t="n">
        <v>8820.7189</v>
      </c>
      <c r="X386" t="n">
        <v>8820.7189</v>
      </c>
      <c r="Y386" t="n">
        <v>2091.2857</v>
      </c>
      <c r="Z386" t="n">
        <v>0.00044796</v>
      </c>
      <c r="AA386" t="n">
        <v>0.19165</v>
      </c>
      <c r="AB386" t="n">
        <v>2091.2857</v>
      </c>
      <c r="AC386" t="n">
        <v>418.2571</v>
      </c>
      <c r="AD386" t="n">
        <v>31555.8803</v>
      </c>
      <c r="AE386" t="n">
        <v>8820.7189</v>
      </c>
      <c r="AF386" t="n">
        <v>0.99</v>
      </c>
      <c r="AG386" t="inlineStr">
        <is>
          <t>High</t>
        </is>
      </c>
      <c r="AH386" t="inlineStr">
        <is>
          <t>On Track to Glide Path</t>
        </is>
      </c>
    </row>
    <row r="387">
      <c r="A387" t="inlineStr">
        <is>
          <t>SUP-0025</t>
        </is>
      </c>
      <c r="B387" t="inlineStr">
        <is>
          <t>Metals Supplier 025</t>
        </is>
      </c>
      <c r="C387" t="inlineStr">
        <is>
          <t>Metals</t>
        </is>
      </c>
      <c r="D387" t="n">
        <v>2024</v>
      </c>
      <c r="E387" t="n">
        <v>2020</v>
      </c>
      <c r="F387" t="n">
        <v>2030</v>
      </c>
      <c r="G387" t="inlineStr"/>
      <c r="H387" t="n">
        <v>2751.899</v>
      </c>
      <c r="I387" t="n">
        <v>1764.5582</v>
      </c>
      <c r="J387" t="n">
        <v>8462.419099999999</v>
      </c>
      <c r="K387" t="n">
        <v>19690840.4</v>
      </c>
      <c r="L387" t="n">
        <v>63623341.52</v>
      </c>
      <c r="M387" t="n">
        <v>12978.8763</v>
      </c>
      <c r="N387" t="inlineStr">
        <is>
          <t>Scope 1 + Scope 2 + Scope 3</t>
        </is>
      </c>
      <c r="O387" t="b">
        <v>1</v>
      </c>
      <c r="P387" t="inlineStr">
        <is>
          <t>High</t>
        </is>
      </c>
      <c r="Q387" t="inlineStr">
        <is>
          <t>Reported_Emissions</t>
        </is>
      </c>
      <c r="R387" t="inlineStr">
        <is>
          <t>Valid</t>
        </is>
      </c>
      <c r="S387" t="n">
        <v>2026</v>
      </c>
      <c r="T387" t="inlineStr">
        <is>
          <t>Supplier Target Pathway</t>
        </is>
      </c>
      <c r="U387" t="n">
        <v>10912.0046</v>
      </c>
      <c r="V387" t="n">
        <v>6729.4332</v>
      </c>
      <c r="W387" t="n">
        <v>8402.461799999999</v>
      </c>
      <c r="X387" t="n">
        <v>8402.461799999999</v>
      </c>
      <c r="Y387" t="n">
        <v>2509.5428</v>
      </c>
      <c r="Z387" t="n">
        <v>0.00042672</v>
      </c>
      <c r="AA387" t="n">
        <v>0.22998</v>
      </c>
      <c r="AB387" t="n">
        <v>1673.0285</v>
      </c>
      <c r="AC387" t="n">
        <v>418.2571</v>
      </c>
      <c r="AD387" t="n">
        <v>23153.4185</v>
      </c>
      <c r="AE387" t="n">
        <v>17223.1807</v>
      </c>
      <c r="AF387" t="n">
        <v>0.99</v>
      </c>
      <c r="AG387" t="inlineStr">
        <is>
          <t>High</t>
        </is>
      </c>
      <c r="AH387" t="inlineStr">
        <is>
          <t>On Track to Glide Path</t>
        </is>
      </c>
    </row>
    <row r="388">
      <c r="A388" t="inlineStr">
        <is>
          <t>SUP-0025</t>
        </is>
      </c>
      <c r="B388" t="inlineStr">
        <is>
          <t>Metals Supplier 025</t>
        </is>
      </c>
      <c r="C388" t="inlineStr">
        <is>
          <t>Metals</t>
        </is>
      </c>
      <c r="D388" t="n">
        <v>2024</v>
      </c>
      <c r="E388" t="n">
        <v>2020</v>
      </c>
      <c r="F388" t="n">
        <v>2030</v>
      </c>
      <c r="G388" t="inlineStr"/>
      <c r="H388" t="n">
        <v>2751.899</v>
      </c>
      <c r="I388" t="n">
        <v>1764.5582</v>
      </c>
      <c r="J388" t="n">
        <v>8462.419099999999</v>
      </c>
      <c r="K388" t="n">
        <v>19690840.4</v>
      </c>
      <c r="L388" t="n">
        <v>63623341.52</v>
      </c>
      <c r="M388" t="n">
        <v>12978.8763</v>
      </c>
      <c r="N388" t="inlineStr">
        <is>
          <t>Scope 1 + Scope 2 + Scope 3</t>
        </is>
      </c>
      <c r="O388" t="b">
        <v>1</v>
      </c>
      <c r="P388" t="inlineStr">
        <is>
          <t>High</t>
        </is>
      </c>
      <c r="Q388" t="inlineStr">
        <is>
          <t>Reported_Emissions</t>
        </is>
      </c>
      <c r="R388" t="inlineStr">
        <is>
          <t>Valid</t>
        </is>
      </c>
      <c r="S388" t="n">
        <v>2027</v>
      </c>
      <c r="T388" t="inlineStr">
        <is>
          <t>Supplier Target Pathway</t>
        </is>
      </c>
      <c r="U388" t="n">
        <v>10912.0046</v>
      </c>
      <c r="V388" t="n">
        <v>6729.4332</v>
      </c>
      <c r="W388" t="n">
        <v>7984.2046</v>
      </c>
      <c r="X388" t="n">
        <v>7984.2046</v>
      </c>
      <c r="Y388" t="n">
        <v>2927.8</v>
      </c>
      <c r="Z388" t="n">
        <v>0.00040548</v>
      </c>
      <c r="AA388" t="n">
        <v>0.26831</v>
      </c>
      <c r="AB388" t="n">
        <v>1254.7714</v>
      </c>
      <c r="AC388" t="n">
        <v>418.2571</v>
      </c>
      <c r="AD388" t="n">
        <v>15169.2139</v>
      </c>
      <c r="AE388" t="n">
        <v>25207.3853</v>
      </c>
      <c r="AF388" t="n">
        <v>0.99</v>
      </c>
      <c r="AG388" t="inlineStr">
        <is>
          <t>High</t>
        </is>
      </c>
      <c r="AH388" t="inlineStr">
        <is>
          <t>On Track to Glide Path</t>
        </is>
      </c>
    </row>
    <row r="389">
      <c r="A389" t="inlineStr">
        <is>
          <t>SUP-0025</t>
        </is>
      </c>
      <c r="B389" t="inlineStr">
        <is>
          <t>Metals Supplier 025</t>
        </is>
      </c>
      <c r="C389" t="inlineStr">
        <is>
          <t>Metals</t>
        </is>
      </c>
      <c r="D389" t="n">
        <v>2024</v>
      </c>
      <c r="E389" t="n">
        <v>2020</v>
      </c>
      <c r="F389" t="n">
        <v>2030</v>
      </c>
      <c r="G389" t="inlineStr"/>
      <c r="H389" t="n">
        <v>2751.899</v>
      </c>
      <c r="I389" t="n">
        <v>1764.5582</v>
      </c>
      <c r="J389" t="n">
        <v>8462.419099999999</v>
      </c>
      <c r="K389" t="n">
        <v>19690840.4</v>
      </c>
      <c r="L389" t="n">
        <v>63623341.52</v>
      </c>
      <c r="M389" t="n">
        <v>12978.8763</v>
      </c>
      <c r="N389" t="inlineStr">
        <is>
          <t>Scope 1 + Scope 2 + Scope 3</t>
        </is>
      </c>
      <c r="O389" t="b">
        <v>1</v>
      </c>
      <c r="P389" t="inlineStr">
        <is>
          <t>High</t>
        </is>
      </c>
      <c r="Q389" t="inlineStr">
        <is>
          <t>Reported_Emissions</t>
        </is>
      </c>
      <c r="R389" t="inlineStr">
        <is>
          <t>Valid</t>
        </is>
      </c>
      <c r="S389" t="n">
        <v>2028</v>
      </c>
      <c r="T389" t="inlineStr">
        <is>
          <t>Supplier Target Pathway</t>
        </is>
      </c>
      <c r="U389" t="n">
        <v>10912.0046</v>
      </c>
      <c r="V389" t="n">
        <v>6729.4332</v>
      </c>
      <c r="W389" t="n">
        <v>7565.9475</v>
      </c>
      <c r="X389" t="n">
        <v>7565.9475</v>
      </c>
      <c r="Y389" t="n">
        <v>3346.0571</v>
      </c>
      <c r="Z389" t="n">
        <v>0.00038424</v>
      </c>
      <c r="AA389" t="n">
        <v>0.30664</v>
      </c>
      <c r="AB389" t="n">
        <v>836.5143</v>
      </c>
      <c r="AC389" t="n">
        <v>418.2571</v>
      </c>
      <c r="AD389" t="n">
        <v>7603.2664</v>
      </c>
      <c r="AE389" t="n">
        <v>32773.3328</v>
      </c>
      <c r="AF389" t="n">
        <v>0.99</v>
      </c>
      <c r="AG389" t="inlineStr">
        <is>
          <t>Medium</t>
        </is>
      </c>
      <c r="AH389" t="inlineStr">
        <is>
          <t>On Track to Glide Path</t>
        </is>
      </c>
    </row>
    <row r="390">
      <c r="A390" t="inlineStr">
        <is>
          <t>SUP-0025</t>
        </is>
      </c>
      <c r="B390" t="inlineStr">
        <is>
          <t>Metals Supplier 025</t>
        </is>
      </c>
      <c r="C390" t="inlineStr">
        <is>
          <t>Metals</t>
        </is>
      </c>
      <c r="D390" t="n">
        <v>2024</v>
      </c>
      <c r="E390" t="n">
        <v>2020</v>
      </c>
      <c r="F390" t="n">
        <v>2030</v>
      </c>
      <c r="G390" t="inlineStr"/>
      <c r="H390" t="n">
        <v>2751.899</v>
      </c>
      <c r="I390" t="n">
        <v>1764.5582</v>
      </c>
      <c r="J390" t="n">
        <v>8462.419099999999</v>
      </c>
      <c r="K390" t="n">
        <v>19690840.4</v>
      </c>
      <c r="L390" t="n">
        <v>63623341.52</v>
      </c>
      <c r="M390" t="n">
        <v>12978.8763</v>
      </c>
      <c r="N390" t="inlineStr">
        <is>
          <t>Scope 1 + Scope 2 + Scope 3</t>
        </is>
      </c>
      <c r="O390" t="b">
        <v>1</v>
      </c>
      <c r="P390" t="inlineStr">
        <is>
          <t>High</t>
        </is>
      </c>
      <c r="Q390" t="inlineStr">
        <is>
          <t>Reported_Emissions</t>
        </is>
      </c>
      <c r="R390" t="inlineStr">
        <is>
          <t>Valid</t>
        </is>
      </c>
      <c r="S390" t="n">
        <v>2029</v>
      </c>
      <c r="T390" t="inlineStr">
        <is>
          <t>Supplier Target Pathway</t>
        </is>
      </c>
      <c r="U390" t="n">
        <v>10912.0046</v>
      </c>
      <c r="V390" t="n">
        <v>6729.4332</v>
      </c>
      <c r="W390" t="n">
        <v>7147.6904</v>
      </c>
      <c r="X390" t="n">
        <v>7147.6904</v>
      </c>
      <c r="Y390" t="n">
        <v>3764.3142</v>
      </c>
      <c r="Z390" t="n">
        <v>0.000363</v>
      </c>
      <c r="AA390" t="n">
        <v>0.34497</v>
      </c>
      <c r="AB390" t="n">
        <v>418.2571</v>
      </c>
      <c r="AC390" t="n">
        <v>418.2571</v>
      </c>
      <c r="AD390" t="n">
        <v>455.576</v>
      </c>
      <c r="AE390" t="n">
        <v>39921.0232</v>
      </c>
      <c r="AF390" t="n">
        <v>0.99</v>
      </c>
      <c r="AG390" t="inlineStr">
        <is>
          <t>Medium</t>
        </is>
      </c>
      <c r="AH390" t="inlineStr">
        <is>
          <t>On Track to Glide Path</t>
        </is>
      </c>
    </row>
    <row r="391">
      <c r="A391" t="inlineStr">
        <is>
          <t>SUP-0025</t>
        </is>
      </c>
      <c r="B391" t="inlineStr">
        <is>
          <t>Metals Supplier 025</t>
        </is>
      </c>
      <c r="C391" t="inlineStr">
        <is>
          <t>Metals</t>
        </is>
      </c>
      <c r="D391" t="n">
        <v>2024</v>
      </c>
      <c r="E391" t="n">
        <v>2020</v>
      </c>
      <c r="F391" t="n">
        <v>2030</v>
      </c>
      <c r="G391" t="inlineStr"/>
      <c r="H391" t="n">
        <v>2751.899</v>
      </c>
      <c r="I391" t="n">
        <v>1764.5582</v>
      </c>
      <c r="J391" t="n">
        <v>8462.419099999999</v>
      </c>
      <c r="K391" t="n">
        <v>19690840.4</v>
      </c>
      <c r="L391" t="n">
        <v>63623341.52</v>
      </c>
      <c r="M391" t="n">
        <v>12978.8763</v>
      </c>
      <c r="N391" t="inlineStr">
        <is>
          <t>Scope 1 + Scope 2 + Scope 3</t>
        </is>
      </c>
      <c r="O391" t="b">
        <v>1</v>
      </c>
      <c r="P391" t="inlineStr">
        <is>
          <t>High</t>
        </is>
      </c>
      <c r="Q391" t="inlineStr">
        <is>
          <t>Reported_Emissions</t>
        </is>
      </c>
      <c r="R391" t="inlineStr">
        <is>
          <t>Valid</t>
        </is>
      </c>
      <c r="S391" t="n">
        <v>2030</v>
      </c>
      <c r="T391" t="inlineStr">
        <is>
          <t>Supplier Target Pathway</t>
        </is>
      </c>
      <c r="U391" t="n">
        <v>10912.0046</v>
      </c>
      <c r="V391" t="n">
        <v>6729.4332</v>
      </c>
      <c r="W391" t="n">
        <v>6729.4332</v>
      </c>
      <c r="X391" t="n">
        <v>6729.4332</v>
      </c>
      <c r="Y391" t="n">
        <v>4182.5714</v>
      </c>
      <c r="Z391" t="n">
        <v>0.00034175</v>
      </c>
      <c r="AA391" t="n">
        <v>0.3833</v>
      </c>
      <c r="AB391" t="n">
        <v>0</v>
      </c>
      <c r="AC391" t="n">
        <v>418.2571</v>
      </c>
      <c r="AD391" t="n">
        <v>-6273.8572</v>
      </c>
      <c r="AE391" t="n">
        <v>46650.4564</v>
      </c>
      <c r="AF391" t="n">
        <v>0.99</v>
      </c>
      <c r="AG391" t="inlineStr">
        <is>
          <t>Low</t>
        </is>
      </c>
      <c r="AH391" t="inlineStr">
        <is>
          <t>On Track</t>
        </is>
      </c>
    </row>
    <row r="392">
      <c r="A392" t="inlineStr">
        <is>
          <t>SUP-0025</t>
        </is>
      </c>
      <c r="B392" t="inlineStr">
        <is>
          <t>Metals Supplier 025</t>
        </is>
      </c>
      <c r="C392" t="inlineStr">
        <is>
          <t>Metals</t>
        </is>
      </c>
      <c r="D392" t="n">
        <v>2024</v>
      </c>
      <c r="E392" t="n">
        <v>2020</v>
      </c>
      <c r="F392" t="n">
        <v>2030</v>
      </c>
      <c r="G392" t="inlineStr"/>
      <c r="H392" t="n">
        <v>2751.899</v>
      </c>
      <c r="I392" t="n">
        <v>1764.5582</v>
      </c>
      <c r="J392" t="n">
        <v>8462.419099999999</v>
      </c>
      <c r="K392" t="n">
        <v>19690840.4</v>
      </c>
      <c r="L392" t="n">
        <v>63623341.52</v>
      </c>
      <c r="M392" t="n">
        <v>12978.8763</v>
      </c>
      <c r="N392" t="inlineStr">
        <is>
          <t>Scope 1 + Scope 2 + Scope 3</t>
        </is>
      </c>
      <c r="O392" t="b">
        <v>1</v>
      </c>
      <c r="P392" t="inlineStr">
        <is>
          <t>High</t>
        </is>
      </c>
      <c r="Q392" t="inlineStr">
        <is>
          <t>Reported_Emissions</t>
        </is>
      </c>
      <c r="R392" t="inlineStr">
        <is>
          <t>Valid</t>
        </is>
      </c>
      <c r="S392" t="n">
        <v>2031</v>
      </c>
      <c r="T392" t="inlineStr">
        <is>
          <t>Supplier Target Pathway</t>
        </is>
      </c>
      <c r="U392" t="n">
        <v>10912.0046</v>
      </c>
      <c r="V392" t="n">
        <v>6729.4332</v>
      </c>
      <c r="W392" t="n">
        <v>6729.4332</v>
      </c>
      <c r="X392" t="n">
        <v>6729.4332</v>
      </c>
      <c r="Y392" t="n">
        <v>4182.5714</v>
      </c>
      <c r="Z392" t="n">
        <v>0.00034175</v>
      </c>
      <c r="AA392" t="n">
        <v>0.3833</v>
      </c>
      <c r="AB392" t="n">
        <v>0</v>
      </c>
      <c r="AC392" t="n">
        <v>418.2571</v>
      </c>
      <c r="AD392" t="n">
        <v>-13003.2904</v>
      </c>
      <c r="AE392" t="n">
        <v>53379.8896</v>
      </c>
      <c r="AF392" t="n">
        <v>0.99</v>
      </c>
      <c r="AG392" t="inlineStr">
        <is>
          <t>Low</t>
        </is>
      </c>
      <c r="AH392" t="inlineStr">
        <is>
          <t>On Track</t>
        </is>
      </c>
    </row>
    <row r="393">
      <c r="A393" t="inlineStr">
        <is>
          <t>SUP-0025</t>
        </is>
      </c>
      <c r="B393" t="inlineStr">
        <is>
          <t>Metals Supplier 025</t>
        </is>
      </c>
      <c r="C393" t="inlineStr">
        <is>
          <t>Metals</t>
        </is>
      </c>
      <c r="D393" t="n">
        <v>2024</v>
      </c>
      <c r="E393" t="n">
        <v>2020</v>
      </c>
      <c r="F393" t="n">
        <v>2030</v>
      </c>
      <c r="G393" t="inlineStr"/>
      <c r="H393" t="n">
        <v>2751.899</v>
      </c>
      <c r="I393" t="n">
        <v>1764.5582</v>
      </c>
      <c r="J393" t="n">
        <v>8462.419099999999</v>
      </c>
      <c r="K393" t="n">
        <v>19690840.4</v>
      </c>
      <c r="L393" t="n">
        <v>63623341.52</v>
      </c>
      <c r="M393" t="n">
        <v>12978.8763</v>
      </c>
      <c r="N393" t="inlineStr">
        <is>
          <t>Scope 1 + Scope 2 + Scope 3</t>
        </is>
      </c>
      <c r="O393" t="b">
        <v>1</v>
      </c>
      <c r="P393" t="inlineStr">
        <is>
          <t>High</t>
        </is>
      </c>
      <c r="Q393" t="inlineStr">
        <is>
          <t>Reported_Emissions</t>
        </is>
      </c>
      <c r="R393" t="inlineStr">
        <is>
          <t>Valid</t>
        </is>
      </c>
      <c r="S393" t="n">
        <v>2032</v>
      </c>
      <c r="T393" t="inlineStr">
        <is>
          <t>Supplier Target Pathway</t>
        </is>
      </c>
      <c r="U393" t="n">
        <v>10912.0046</v>
      </c>
      <c r="V393" t="n">
        <v>6729.4332</v>
      </c>
      <c r="W393" t="n">
        <v>6729.4332</v>
      </c>
      <c r="X393" t="n">
        <v>6729.4332</v>
      </c>
      <c r="Y393" t="n">
        <v>4182.5714</v>
      </c>
      <c r="Z393" t="n">
        <v>0.00034175</v>
      </c>
      <c r="AA393" t="n">
        <v>0.3833</v>
      </c>
      <c r="AB393" t="n">
        <v>0</v>
      </c>
      <c r="AC393" t="n">
        <v>418.2571</v>
      </c>
      <c r="AD393" t="n">
        <v>-19732.7236</v>
      </c>
      <c r="AE393" t="n">
        <v>60109.3228</v>
      </c>
      <c r="AF393" t="n">
        <v>0.99</v>
      </c>
      <c r="AG393" t="inlineStr">
        <is>
          <t>Low</t>
        </is>
      </c>
      <c r="AH393" t="inlineStr">
        <is>
          <t>On Track</t>
        </is>
      </c>
    </row>
    <row r="394">
      <c r="A394" t="inlineStr">
        <is>
          <t>SUP-0025</t>
        </is>
      </c>
      <c r="B394" t="inlineStr">
        <is>
          <t>Metals Supplier 025</t>
        </is>
      </c>
      <c r="C394" t="inlineStr">
        <is>
          <t>Metals</t>
        </is>
      </c>
      <c r="D394" t="n">
        <v>2024</v>
      </c>
      <c r="E394" t="n">
        <v>2020</v>
      </c>
      <c r="F394" t="n">
        <v>2030</v>
      </c>
      <c r="G394" t="inlineStr"/>
      <c r="H394" t="n">
        <v>2751.899</v>
      </c>
      <c r="I394" t="n">
        <v>1764.5582</v>
      </c>
      <c r="J394" t="n">
        <v>8462.419099999999</v>
      </c>
      <c r="K394" t="n">
        <v>19690840.4</v>
      </c>
      <c r="L394" t="n">
        <v>63623341.52</v>
      </c>
      <c r="M394" t="n">
        <v>12978.8763</v>
      </c>
      <c r="N394" t="inlineStr">
        <is>
          <t>Scope 1 + Scope 2 + Scope 3</t>
        </is>
      </c>
      <c r="O394" t="b">
        <v>1</v>
      </c>
      <c r="P394" t="inlineStr">
        <is>
          <t>High</t>
        </is>
      </c>
      <c r="Q394" t="inlineStr">
        <is>
          <t>Reported_Emissions</t>
        </is>
      </c>
      <c r="R394" t="inlineStr">
        <is>
          <t>Valid</t>
        </is>
      </c>
      <c r="S394" t="n">
        <v>2033</v>
      </c>
      <c r="T394" t="inlineStr">
        <is>
          <t>Supplier Target Pathway</t>
        </is>
      </c>
      <c r="U394" t="n">
        <v>10912.0046</v>
      </c>
      <c r="V394" t="n">
        <v>6729.4332</v>
      </c>
      <c r="W394" t="n">
        <v>6729.4332</v>
      </c>
      <c r="X394" t="n">
        <v>6729.4332</v>
      </c>
      <c r="Y394" t="n">
        <v>4182.5714</v>
      </c>
      <c r="Z394" t="n">
        <v>0.00034175</v>
      </c>
      <c r="AA394" t="n">
        <v>0.3833</v>
      </c>
      <c r="AB394" t="n">
        <v>0</v>
      </c>
      <c r="AC394" t="n">
        <v>418.2571</v>
      </c>
      <c r="AD394" t="n">
        <v>-26462.1568</v>
      </c>
      <c r="AE394" t="n">
        <v>66838.75599999999</v>
      </c>
      <c r="AF394" t="n">
        <v>0.99</v>
      </c>
      <c r="AG394" t="inlineStr">
        <is>
          <t>Low</t>
        </is>
      </c>
      <c r="AH394" t="inlineStr">
        <is>
          <t>On Track</t>
        </is>
      </c>
    </row>
    <row r="395">
      <c r="A395" t="inlineStr">
        <is>
          <t>SUP-0025</t>
        </is>
      </c>
      <c r="B395" t="inlineStr">
        <is>
          <t>Metals Supplier 025</t>
        </is>
      </c>
      <c r="C395" t="inlineStr">
        <is>
          <t>Metals</t>
        </is>
      </c>
      <c r="D395" t="n">
        <v>2024</v>
      </c>
      <c r="E395" t="n">
        <v>2020</v>
      </c>
      <c r="F395" t="n">
        <v>2030</v>
      </c>
      <c r="G395" t="inlineStr"/>
      <c r="H395" t="n">
        <v>2751.899</v>
      </c>
      <c r="I395" t="n">
        <v>1764.5582</v>
      </c>
      <c r="J395" t="n">
        <v>8462.419099999999</v>
      </c>
      <c r="K395" t="n">
        <v>19690840.4</v>
      </c>
      <c r="L395" t="n">
        <v>63623341.52</v>
      </c>
      <c r="M395" t="n">
        <v>12978.8763</v>
      </c>
      <c r="N395" t="inlineStr">
        <is>
          <t>Scope 1 + Scope 2 + Scope 3</t>
        </is>
      </c>
      <c r="O395" t="b">
        <v>1</v>
      </c>
      <c r="P395" t="inlineStr">
        <is>
          <t>High</t>
        </is>
      </c>
      <c r="Q395" t="inlineStr">
        <is>
          <t>Reported_Emissions</t>
        </is>
      </c>
      <c r="R395" t="inlineStr">
        <is>
          <t>Valid</t>
        </is>
      </c>
      <c r="S395" t="n">
        <v>2034</v>
      </c>
      <c r="T395" t="inlineStr">
        <is>
          <t>Supplier Target Pathway</t>
        </is>
      </c>
      <c r="U395" t="n">
        <v>10912.0046</v>
      </c>
      <c r="V395" t="n">
        <v>6729.4332</v>
      </c>
      <c r="W395" t="n">
        <v>6729.4332</v>
      </c>
      <c r="X395" t="n">
        <v>6729.4332</v>
      </c>
      <c r="Y395" t="n">
        <v>4182.5714</v>
      </c>
      <c r="Z395" t="n">
        <v>0.00034175</v>
      </c>
      <c r="AA395" t="n">
        <v>0.3833</v>
      </c>
      <c r="AB395" t="n">
        <v>0</v>
      </c>
      <c r="AC395" t="n">
        <v>418.2571</v>
      </c>
      <c r="AD395" t="n">
        <v>-33191.59</v>
      </c>
      <c r="AE395" t="n">
        <v>73568.18919999999</v>
      </c>
      <c r="AF395" t="n">
        <v>0.99</v>
      </c>
      <c r="AG395" t="inlineStr">
        <is>
          <t>Low</t>
        </is>
      </c>
      <c r="AH395" t="inlineStr">
        <is>
          <t>On Track</t>
        </is>
      </c>
    </row>
    <row r="396">
      <c r="A396" t="inlineStr">
        <is>
          <t>SUP-0025</t>
        </is>
      </c>
      <c r="B396" t="inlineStr">
        <is>
          <t>Metals Supplier 025</t>
        </is>
      </c>
      <c r="C396" t="inlineStr">
        <is>
          <t>Metals</t>
        </is>
      </c>
      <c r="D396" t="n">
        <v>2024</v>
      </c>
      <c r="E396" t="n">
        <v>2020</v>
      </c>
      <c r="F396" t="n">
        <v>2030</v>
      </c>
      <c r="G396" t="inlineStr"/>
      <c r="H396" t="n">
        <v>2751.899</v>
      </c>
      <c r="I396" t="n">
        <v>1764.5582</v>
      </c>
      <c r="J396" t="n">
        <v>8462.419099999999</v>
      </c>
      <c r="K396" t="n">
        <v>19690840.4</v>
      </c>
      <c r="L396" t="n">
        <v>63623341.52</v>
      </c>
      <c r="M396" t="n">
        <v>12978.8763</v>
      </c>
      <c r="N396" t="inlineStr">
        <is>
          <t>Scope 1 + Scope 2 + Scope 3</t>
        </is>
      </c>
      <c r="O396" t="b">
        <v>1</v>
      </c>
      <c r="P396" t="inlineStr">
        <is>
          <t>High</t>
        </is>
      </c>
      <c r="Q396" t="inlineStr">
        <is>
          <t>Reported_Emissions</t>
        </is>
      </c>
      <c r="R396" t="inlineStr">
        <is>
          <t>Valid</t>
        </is>
      </c>
      <c r="S396" t="n">
        <v>2035</v>
      </c>
      <c r="T396" t="inlineStr">
        <is>
          <t>Supplier Target Pathway</t>
        </is>
      </c>
      <c r="U396" t="n">
        <v>10912.0046</v>
      </c>
      <c r="V396" t="n">
        <v>6729.4332</v>
      </c>
      <c r="W396" t="n">
        <v>6729.4332</v>
      </c>
      <c r="X396" t="n">
        <v>6729.4332</v>
      </c>
      <c r="Y396" t="n">
        <v>4182.5714</v>
      </c>
      <c r="Z396" t="n">
        <v>0.00034175</v>
      </c>
      <c r="AA396" t="n">
        <v>0.3833</v>
      </c>
      <c r="AB396" t="n">
        <v>0</v>
      </c>
      <c r="AC396" t="n">
        <v>418.2571</v>
      </c>
      <c r="AD396" t="n">
        <v>-39921.0232</v>
      </c>
      <c r="AE396" t="n">
        <v>80297.62239999999</v>
      </c>
      <c r="AF396" t="n">
        <v>0.99</v>
      </c>
      <c r="AG396" t="inlineStr">
        <is>
          <t>Low</t>
        </is>
      </c>
      <c r="AH396" t="inlineStr">
        <is>
          <t>On Track</t>
        </is>
      </c>
    </row>
    <row r="397">
      <c r="A397" t="inlineStr">
        <is>
          <t>SUP-0025</t>
        </is>
      </c>
      <c r="B397" t="inlineStr">
        <is>
          <t>Metals Supplier 025</t>
        </is>
      </c>
      <c r="C397" t="inlineStr">
        <is>
          <t>Metals</t>
        </is>
      </c>
      <c r="D397" t="n">
        <v>2024</v>
      </c>
      <c r="E397" t="n">
        <v>2020</v>
      </c>
      <c r="F397" t="n">
        <v>2030</v>
      </c>
      <c r="G397" t="inlineStr"/>
      <c r="H397" t="n">
        <v>2751.899</v>
      </c>
      <c r="I397" t="n">
        <v>1764.5582</v>
      </c>
      <c r="J397" t="n">
        <v>8462.419099999999</v>
      </c>
      <c r="K397" t="n">
        <v>19690840.4</v>
      </c>
      <c r="L397" t="n">
        <v>63623341.52</v>
      </c>
      <c r="M397" t="n">
        <v>12978.8763</v>
      </c>
      <c r="N397" t="inlineStr">
        <is>
          <t>Scope 1 + Scope 2 + Scope 3</t>
        </is>
      </c>
      <c r="O397" t="b">
        <v>1</v>
      </c>
      <c r="P397" t="inlineStr">
        <is>
          <t>High</t>
        </is>
      </c>
      <c r="Q397" t="inlineStr">
        <is>
          <t>Reported_Emissions</t>
        </is>
      </c>
      <c r="R397" t="inlineStr">
        <is>
          <t>Valid</t>
        </is>
      </c>
      <c r="S397" t="n">
        <v>2036</v>
      </c>
      <c r="T397" t="inlineStr">
        <is>
          <t>Supplier Target Pathway</t>
        </is>
      </c>
      <c r="U397" t="n">
        <v>10912.0046</v>
      </c>
      <c r="V397" t="n">
        <v>6729.4332</v>
      </c>
      <c r="W397" t="n">
        <v>6729.4332</v>
      </c>
      <c r="X397" t="n">
        <v>6729.4332</v>
      </c>
      <c r="Y397" t="n">
        <v>4182.5714</v>
      </c>
      <c r="Z397" t="n">
        <v>0.00034175</v>
      </c>
      <c r="AA397" t="n">
        <v>0.3833</v>
      </c>
      <c r="AB397" t="n">
        <v>0</v>
      </c>
      <c r="AC397" t="n">
        <v>418.2571</v>
      </c>
      <c r="AD397" t="n">
        <v>-46650.4564</v>
      </c>
      <c r="AE397" t="n">
        <v>87027.05560000001</v>
      </c>
      <c r="AF397" t="n">
        <v>0.99</v>
      </c>
      <c r="AG397" t="inlineStr">
        <is>
          <t>Low</t>
        </is>
      </c>
      <c r="AH397" t="inlineStr">
        <is>
          <t>On Track</t>
        </is>
      </c>
    </row>
    <row r="398">
      <c r="A398" t="inlineStr">
        <is>
          <t>SUP-0025</t>
        </is>
      </c>
      <c r="B398" t="inlineStr">
        <is>
          <t>Metals Supplier 025</t>
        </is>
      </c>
      <c r="C398" t="inlineStr">
        <is>
          <t>Metals</t>
        </is>
      </c>
      <c r="D398" t="n">
        <v>2024</v>
      </c>
      <c r="E398" t="n">
        <v>2020</v>
      </c>
      <c r="F398" t="n">
        <v>2030</v>
      </c>
      <c r="G398" t="inlineStr"/>
      <c r="H398" t="n">
        <v>2751.899</v>
      </c>
      <c r="I398" t="n">
        <v>1764.5582</v>
      </c>
      <c r="J398" t="n">
        <v>8462.419099999999</v>
      </c>
      <c r="K398" t="n">
        <v>19690840.4</v>
      </c>
      <c r="L398" t="n">
        <v>63623341.52</v>
      </c>
      <c r="M398" t="n">
        <v>12978.8763</v>
      </c>
      <c r="N398" t="inlineStr">
        <is>
          <t>Scope 1 + Scope 2 + Scope 3</t>
        </is>
      </c>
      <c r="O398" t="b">
        <v>1</v>
      </c>
      <c r="P398" t="inlineStr">
        <is>
          <t>High</t>
        </is>
      </c>
      <c r="Q398" t="inlineStr">
        <is>
          <t>Reported_Emissions</t>
        </is>
      </c>
      <c r="R398" t="inlineStr">
        <is>
          <t>Valid</t>
        </is>
      </c>
      <c r="S398" t="n">
        <v>2037</v>
      </c>
      <c r="T398" t="inlineStr">
        <is>
          <t>Supplier Target Pathway</t>
        </is>
      </c>
      <c r="U398" t="n">
        <v>10912.0046</v>
      </c>
      <c r="V398" t="n">
        <v>6729.4332</v>
      </c>
      <c r="W398" t="n">
        <v>6729.4332</v>
      </c>
      <c r="X398" t="n">
        <v>6729.4332</v>
      </c>
      <c r="Y398" t="n">
        <v>4182.5714</v>
      </c>
      <c r="Z398" t="n">
        <v>0.00034175</v>
      </c>
      <c r="AA398" t="n">
        <v>0.3833</v>
      </c>
      <c r="AB398" t="n">
        <v>0</v>
      </c>
      <c r="AC398" t="n">
        <v>418.2571</v>
      </c>
      <c r="AD398" t="n">
        <v>-53379.8896</v>
      </c>
      <c r="AE398" t="n">
        <v>93756.48880000001</v>
      </c>
      <c r="AF398" t="n">
        <v>0.99</v>
      </c>
      <c r="AG398" t="inlineStr">
        <is>
          <t>Low</t>
        </is>
      </c>
      <c r="AH398" t="inlineStr">
        <is>
          <t>On Track</t>
        </is>
      </c>
    </row>
    <row r="399">
      <c r="A399" t="inlineStr">
        <is>
          <t>SUP-0025</t>
        </is>
      </c>
      <c r="B399" t="inlineStr">
        <is>
          <t>Metals Supplier 025</t>
        </is>
      </c>
      <c r="C399" t="inlineStr">
        <is>
          <t>Metals</t>
        </is>
      </c>
      <c r="D399" t="n">
        <v>2024</v>
      </c>
      <c r="E399" t="n">
        <v>2020</v>
      </c>
      <c r="F399" t="n">
        <v>2030</v>
      </c>
      <c r="G399" t="inlineStr"/>
      <c r="H399" t="n">
        <v>2751.899</v>
      </c>
      <c r="I399" t="n">
        <v>1764.5582</v>
      </c>
      <c r="J399" t="n">
        <v>8462.419099999999</v>
      </c>
      <c r="K399" t="n">
        <v>19690840.4</v>
      </c>
      <c r="L399" t="n">
        <v>63623341.52</v>
      </c>
      <c r="M399" t="n">
        <v>12978.8763</v>
      </c>
      <c r="N399" t="inlineStr">
        <is>
          <t>Scope 1 + Scope 2 + Scope 3</t>
        </is>
      </c>
      <c r="O399" t="b">
        <v>1</v>
      </c>
      <c r="P399" t="inlineStr">
        <is>
          <t>High</t>
        </is>
      </c>
      <c r="Q399" t="inlineStr">
        <is>
          <t>Reported_Emissions</t>
        </is>
      </c>
      <c r="R399" t="inlineStr">
        <is>
          <t>Valid</t>
        </is>
      </c>
      <c r="S399" t="n">
        <v>2038</v>
      </c>
      <c r="T399" t="inlineStr">
        <is>
          <t>Supplier Target Pathway</t>
        </is>
      </c>
      <c r="U399" t="n">
        <v>10912.0046</v>
      </c>
      <c r="V399" t="n">
        <v>6729.4332</v>
      </c>
      <c r="W399" t="n">
        <v>6729.4332</v>
      </c>
      <c r="X399" t="n">
        <v>6729.4332</v>
      </c>
      <c r="Y399" t="n">
        <v>4182.5714</v>
      </c>
      <c r="Z399" t="n">
        <v>0.00034175</v>
      </c>
      <c r="AA399" t="n">
        <v>0.3833</v>
      </c>
      <c r="AB399" t="n">
        <v>0</v>
      </c>
      <c r="AC399" t="n">
        <v>418.2571</v>
      </c>
      <c r="AD399" t="n">
        <v>-60109.3228</v>
      </c>
      <c r="AE399" t="n">
        <v>100485.922</v>
      </c>
      <c r="AF399" t="n">
        <v>0.99</v>
      </c>
      <c r="AG399" t="inlineStr">
        <is>
          <t>Low</t>
        </is>
      </c>
      <c r="AH399" t="inlineStr">
        <is>
          <t>On Track</t>
        </is>
      </c>
    </row>
    <row r="400">
      <c r="A400" t="inlineStr">
        <is>
          <t>SUP-0025</t>
        </is>
      </c>
      <c r="B400" t="inlineStr">
        <is>
          <t>Metals Supplier 025</t>
        </is>
      </c>
      <c r="C400" t="inlineStr">
        <is>
          <t>Metals</t>
        </is>
      </c>
      <c r="D400" t="n">
        <v>2024</v>
      </c>
      <c r="E400" t="n">
        <v>2020</v>
      </c>
      <c r="F400" t="n">
        <v>2030</v>
      </c>
      <c r="G400" t="inlineStr"/>
      <c r="H400" t="n">
        <v>2751.899</v>
      </c>
      <c r="I400" t="n">
        <v>1764.5582</v>
      </c>
      <c r="J400" t="n">
        <v>8462.419099999999</v>
      </c>
      <c r="K400" t="n">
        <v>19690840.4</v>
      </c>
      <c r="L400" t="n">
        <v>63623341.52</v>
      </c>
      <c r="M400" t="n">
        <v>12978.8763</v>
      </c>
      <c r="N400" t="inlineStr">
        <is>
          <t>Scope 1 + Scope 2 + Scope 3</t>
        </is>
      </c>
      <c r="O400" t="b">
        <v>1</v>
      </c>
      <c r="P400" t="inlineStr">
        <is>
          <t>High</t>
        </is>
      </c>
      <c r="Q400" t="inlineStr">
        <is>
          <t>Reported_Emissions</t>
        </is>
      </c>
      <c r="R400" t="inlineStr">
        <is>
          <t>Valid</t>
        </is>
      </c>
      <c r="S400" t="n">
        <v>2039</v>
      </c>
      <c r="T400" t="inlineStr">
        <is>
          <t>Supplier Target Pathway</t>
        </is>
      </c>
      <c r="U400" t="n">
        <v>10912.0046</v>
      </c>
      <c r="V400" t="n">
        <v>6729.4332</v>
      </c>
      <c r="W400" t="n">
        <v>6729.4332</v>
      </c>
      <c r="X400" t="n">
        <v>6729.4332</v>
      </c>
      <c r="Y400" t="n">
        <v>4182.5714</v>
      </c>
      <c r="Z400" t="n">
        <v>0.00034175</v>
      </c>
      <c r="AA400" t="n">
        <v>0.3833</v>
      </c>
      <c r="AB400" t="n">
        <v>0</v>
      </c>
      <c r="AC400" t="n">
        <v>418.2571</v>
      </c>
      <c r="AD400" t="n">
        <v>-66838.75599999999</v>
      </c>
      <c r="AE400" t="n">
        <v>107215.3552</v>
      </c>
      <c r="AF400" t="n">
        <v>0.99</v>
      </c>
      <c r="AG400" t="inlineStr">
        <is>
          <t>Low</t>
        </is>
      </c>
      <c r="AH400" t="inlineStr">
        <is>
          <t>On Track</t>
        </is>
      </c>
    </row>
    <row r="401">
      <c r="A401" t="inlineStr">
        <is>
          <t>SUP-0025</t>
        </is>
      </c>
      <c r="B401" t="inlineStr">
        <is>
          <t>Metals Supplier 025</t>
        </is>
      </c>
      <c r="C401" t="inlineStr">
        <is>
          <t>Metals</t>
        </is>
      </c>
      <c r="D401" t="n">
        <v>2024</v>
      </c>
      <c r="E401" t="n">
        <v>2020</v>
      </c>
      <c r="F401" t="n">
        <v>2030</v>
      </c>
      <c r="G401" t="inlineStr"/>
      <c r="H401" t="n">
        <v>2751.899</v>
      </c>
      <c r="I401" t="n">
        <v>1764.5582</v>
      </c>
      <c r="J401" t="n">
        <v>8462.419099999999</v>
      </c>
      <c r="K401" t="n">
        <v>19690840.4</v>
      </c>
      <c r="L401" t="n">
        <v>63623341.52</v>
      </c>
      <c r="M401" t="n">
        <v>12978.8763</v>
      </c>
      <c r="N401" t="inlineStr">
        <is>
          <t>Scope 1 + Scope 2 + Scope 3</t>
        </is>
      </c>
      <c r="O401" t="b">
        <v>1</v>
      </c>
      <c r="P401" t="inlineStr">
        <is>
          <t>High</t>
        </is>
      </c>
      <c r="Q401" t="inlineStr">
        <is>
          <t>Reported_Emissions</t>
        </is>
      </c>
      <c r="R401" t="inlineStr">
        <is>
          <t>Valid</t>
        </is>
      </c>
      <c r="S401" t="n">
        <v>2040</v>
      </c>
      <c r="T401" t="inlineStr">
        <is>
          <t>Supplier Target Pathway</t>
        </is>
      </c>
      <c r="U401" t="n">
        <v>10912.0046</v>
      </c>
      <c r="V401" t="n">
        <v>6729.4332</v>
      </c>
      <c r="W401" t="n">
        <v>6729.4332</v>
      </c>
      <c r="X401" t="n">
        <v>6729.4332</v>
      </c>
      <c r="Y401" t="n">
        <v>4182.5714</v>
      </c>
      <c r="Z401" t="n">
        <v>0.00034175</v>
      </c>
      <c r="AA401" t="n">
        <v>0.3833</v>
      </c>
      <c r="AB401" t="n">
        <v>0</v>
      </c>
      <c r="AC401" t="n">
        <v>418.2571</v>
      </c>
      <c r="AD401" t="n">
        <v>-73568.18919999999</v>
      </c>
      <c r="AE401" t="n">
        <v>113944.7884</v>
      </c>
      <c r="AF401" t="n">
        <v>0.99</v>
      </c>
      <c r="AG401" t="inlineStr">
        <is>
          <t>Low</t>
        </is>
      </c>
      <c r="AH401" t="inlineStr">
        <is>
          <t>On Track</t>
        </is>
      </c>
    </row>
    <row r="402">
      <c r="A402" t="inlineStr">
        <is>
          <t>SUP-0026</t>
        </is>
      </c>
      <c r="B402" t="inlineStr">
        <is>
          <t>Professional Supplier 026</t>
        </is>
      </c>
      <c r="C402" t="inlineStr">
        <is>
          <t>Professional Services</t>
        </is>
      </c>
      <c r="D402" t="n">
        <v>2024</v>
      </c>
      <c r="E402" t="n">
        <v>2019</v>
      </c>
      <c r="F402" t="n">
        <v>2040</v>
      </c>
      <c r="G402" t="n">
        <v>666.9880000000001</v>
      </c>
      <c r="H402" t="n">
        <v>161.5647</v>
      </c>
      <c r="I402" t="n">
        <v>67.8168</v>
      </c>
      <c r="J402" t="inlineStr"/>
      <c r="K402" t="n">
        <v>8791587.92</v>
      </c>
      <c r="L402" t="n">
        <v>10355275.5</v>
      </c>
      <c r="M402" t="n">
        <v>666.9880000000001</v>
      </c>
      <c r="N402" t="inlineStr">
        <is>
          <t>Supplier Reported Emissions</t>
        </is>
      </c>
      <c r="O402" t="b">
        <v>0</v>
      </c>
      <c r="P402" t="inlineStr">
        <is>
          <t>High</t>
        </is>
      </c>
      <c r="Q402" t="inlineStr">
        <is>
          <t>Scope_Emissions</t>
        </is>
      </c>
      <c r="R402" t="inlineStr">
        <is>
          <t>Valid</t>
        </is>
      </c>
      <c r="S402" t="n">
        <v>2025</v>
      </c>
      <c r="T402" t="inlineStr">
        <is>
          <t>Supplier Target Pathway</t>
        </is>
      </c>
      <c r="U402" t="n">
        <v>640.9258</v>
      </c>
      <c r="V402" t="n">
        <v>324.5648</v>
      </c>
      <c r="W402" t="n">
        <v>550.537</v>
      </c>
      <c r="X402" t="n">
        <v>550.537</v>
      </c>
      <c r="Y402" t="n">
        <v>90.3888</v>
      </c>
      <c r="Z402" t="n">
        <v>6.261999999999999e-05</v>
      </c>
      <c r="AA402" t="n">
        <v>0.141029</v>
      </c>
      <c r="AB402" t="n">
        <v>225.9721</v>
      </c>
      <c r="AC402" t="n">
        <v>15.0648</v>
      </c>
      <c r="AD402" t="n">
        <v>4642.4998</v>
      </c>
      <c r="AE402" t="n">
        <v>550.537</v>
      </c>
      <c r="AF402" t="n">
        <v>0.99</v>
      </c>
      <c r="AG402" t="inlineStr">
        <is>
          <t>Critical</t>
        </is>
      </c>
      <c r="AH402" t="inlineStr">
        <is>
          <t>On Track to Glide Path</t>
        </is>
      </c>
    </row>
    <row r="403">
      <c r="A403" t="inlineStr">
        <is>
          <t>SUP-0026</t>
        </is>
      </c>
      <c r="B403" t="inlineStr">
        <is>
          <t>Professional Supplier 026</t>
        </is>
      </c>
      <c r="C403" t="inlineStr">
        <is>
          <t>Professional Services</t>
        </is>
      </c>
      <c r="D403" t="n">
        <v>2024</v>
      </c>
      <c r="E403" t="n">
        <v>2019</v>
      </c>
      <c r="F403" t="n">
        <v>2040</v>
      </c>
      <c r="G403" t="n">
        <v>666.9880000000001</v>
      </c>
      <c r="H403" t="n">
        <v>161.5647</v>
      </c>
      <c r="I403" t="n">
        <v>67.8168</v>
      </c>
      <c r="J403" t="inlineStr"/>
      <c r="K403" t="n">
        <v>8791587.92</v>
      </c>
      <c r="L403" t="n">
        <v>10355275.5</v>
      </c>
      <c r="M403" t="n">
        <v>666.9880000000001</v>
      </c>
      <c r="N403" t="inlineStr">
        <is>
          <t>Supplier Reported Emissions</t>
        </is>
      </c>
      <c r="O403" t="b">
        <v>0</v>
      </c>
      <c r="P403" t="inlineStr">
        <is>
          <t>High</t>
        </is>
      </c>
      <c r="Q403" t="inlineStr">
        <is>
          <t>Scope_Emissions</t>
        </is>
      </c>
      <c r="R403" t="inlineStr">
        <is>
          <t>Valid</t>
        </is>
      </c>
      <c r="S403" t="n">
        <v>2026</v>
      </c>
      <c r="T403" t="inlineStr">
        <is>
          <t>Supplier Target Pathway</t>
        </is>
      </c>
      <c r="U403" t="n">
        <v>640.9258</v>
      </c>
      <c r="V403" t="n">
        <v>324.5648</v>
      </c>
      <c r="W403" t="n">
        <v>535.4721</v>
      </c>
      <c r="X403" t="n">
        <v>535.4721</v>
      </c>
      <c r="Y403" t="n">
        <v>105.4537</v>
      </c>
      <c r="Z403" t="n">
        <v>6.091e-05</v>
      </c>
      <c r="AA403" t="n">
        <v>0.164533</v>
      </c>
      <c r="AB403" t="n">
        <v>210.9073</v>
      </c>
      <c r="AC403" t="n">
        <v>15.0648</v>
      </c>
      <c r="AD403" t="n">
        <v>4107.0277</v>
      </c>
      <c r="AE403" t="n">
        <v>1086.0091</v>
      </c>
      <c r="AF403" t="n">
        <v>0.99</v>
      </c>
      <c r="AG403" t="inlineStr">
        <is>
          <t>Critical</t>
        </is>
      </c>
      <c r="AH403" t="inlineStr">
        <is>
          <t>On Track to Glide Path</t>
        </is>
      </c>
    </row>
    <row r="404">
      <c r="A404" t="inlineStr">
        <is>
          <t>SUP-0026</t>
        </is>
      </c>
      <c r="B404" t="inlineStr">
        <is>
          <t>Professional Supplier 026</t>
        </is>
      </c>
      <c r="C404" t="inlineStr">
        <is>
          <t>Professional Services</t>
        </is>
      </c>
      <c r="D404" t="n">
        <v>2024</v>
      </c>
      <c r="E404" t="n">
        <v>2019</v>
      </c>
      <c r="F404" t="n">
        <v>2040</v>
      </c>
      <c r="G404" t="n">
        <v>666.9880000000001</v>
      </c>
      <c r="H404" t="n">
        <v>161.5647</v>
      </c>
      <c r="I404" t="n">
        <v>67.8168</v>
      </c>
      <c r="J404" t="inlineStr"/>
      <c r="K404" t="n">
        <v>8791587.92</v>
      </c>
      <c r="L404" t="n">
        <v>10355275.5</v>
      </c>
      <c r="M404" t="n">
        <v>666.9880000000001</v>
      </c>
      <c r="N404" t="inlineStr">
        <is>
          <t>Supplier Reported Emissions</t>
        </is>
      </c>
      <c r="O404" t="b">
        <v>0</v>
      </c>
      <c r="P404" t="inlineStr">
        <is>
          <t>High</t>
        </is>
      </c>
      <c r="Q404" t="inlineStr">
        <is>
          <t>Scope_Emissions</t>
        </is>
      </c>
      <c r="R404" t="inlineStr">
        <is>
          <t>Valid</t>
        </is>
      </c>
      <c r="S404" t="n">
        <v>2027</v>
      </c>
      <c r="T404" t="inlineStr">
        <is>
          <t>Supplier Target Pathway</t>
        </is>
      </c>
      <c r="U404" t="n">
        <v>640.9258</v>
      </c>
      <c r="V404" t="n">
        <v>324.5648</v>
      </c>
      <c r="W404" t="n">
        <v>520.4073</v>
      </c>
      <c r="X404" t="n">
        <v>520.4073</v>
      </c>
      <c r="Y404" t="n">
        <v>120.5185</v>
      </c>
      <c r="Z404" t="n">
        <v>5.919e-05</v>
      </c>
      <c r="AA404" t="n">
        <v>0.188038</v>
      </c>
      <c r="AB404" t="n">
        <v>195.8425</v>
      </c>
      <c r="AC404" t="n">
        <v>15.0648</v>
      </c>
      <c r="AD404" t="n">
        <v>3586.6204</v>
      </c>
      <c r="AE404" t="n">
        <v>1606.4164</v>
      </c>
      <c r="AF404" t="n">
        <v>0.99</v>
      </c>
      <c r="AG404" t="inlineStr">
        <is>
          <t>Critical</t>
        </is>
      </c>
      <c r="AH404" t="inlineStr">
        <is>
          <t>On Track to Glide Path</t>
        </is>
      </c>
    </row>
    <row r="405">
      <c r="A405" t="inlineStr">
        <is>
          <t>SUP-0026</t>
        </is>
      </c>
      <c r="B405" t="inlineStr">
        <is>
          <t>Professional Supplier 026</t>
        </is>
      </c>
      <c r="C405" t="inlineStr">
        <is>
          <t>Professional Services</t>
        </is>
      </c>
      <c r="D405" t="n">
        <v>2024</v>
      </c>
      <c r="E405" t="n">
        <v>2019</v>
      </c>
      <c r="F405" t="n">
        <v>2040</v>
      </c>
      <c r="G405" t="n">
        <v>666.9880000000001</v>
      </c>
      <c r="H405" t="n">
        <v>161.5647</v>
      </c>
      <c r="I405" t="n">
        <v>67.8168</v>
      </c>
      <c r="J405" t="inlineStr"/>
      <c r="K405" t="n">
        <v>8791587.92</v>
      </c>
      <c r="L405" t="n">
        <v>10355275.5</v>
      </c>
      <c r="M405" t="n">
        <v>666.9880000000001</v>
      </c>
      <c r="N405" t="inlineStr">
        <is>
          <t>Supplier Reported Emissions</t>
        </is>
      </c>
      <c r="O405" t="b">
        <v>0</v>
      </c>
      <c r="P405" t="inlineStr">
        <is>
          <t>High</t>
        </is>
      </c>
      <c r="Q405" t="inlineStr">
        <is>
          <t>Scope_Emissions</t>
        </is>
      </c>
      <c r="R405" t="inlineStr">
        <is>
          <t>Valid</t>
        </is>
      </c>
      <c r="S405" t="n">
        <v>2028</v>
      </c>
      <c r="T405" t="inlineStr">
        <is>
          <t>Supplier Target Pathway</t>
        </is>
      </c>
      <c r="U405" t="n">
        <v>640.9258</v>
      </c>
      <c r="V405" t="n">
        <v>324.5648</v>
      </c>
      <c r="W405" t="n">
        <v>505.3425</v>
      </c>
      <c r="X405" t="n">
        <v>505.3425</v>
      </c>
      <c r="Y405" t="n">
        <v>135.5833</v>
      </c>
      <c r="Z405" t="n">
        <v>5.748e-05</v>
      </c>
      <c r="AA405" t="n">
        <v>0.211543</v>
      </c>
      <c r="AB405" t="n">
        <v>180.7777</v>
      </c>
      <c r="AC405" t="n">
        <v>15.0648</v>
      </c>
      <c r="AD405" t="n">
        <v>3081.2779</v>
      </c>
      <c r="AE405" t="n">
        <v>2111.7589</v>
      </c>
      <c r="AF405" t="n">
        <v>0.99</v>
      </c>
      <c r="AG405" t="inlineStr">
        <is>
          <t>Critical</t>
        </is>
      </c>
      <c r="AH405" t="inlineStr">
        <is>
          <t>On Track to Glide Path</t>
        </is>
      </c>
    </row>
    <row r="406">
      <c r="A406" t="inlineStr">
        <is>
          <t>SUP-0026</t>
        </is>
      </c>
      <c r="B406" t="inlineStr">
        <is>
          <t>Professional Supplier 026</t>
        </is>
      </c>
      <c r="C406" t="inlineStr">
        <is>
          <t>Professional Services</t>
        </is>
      </c>
      <c r="D406" t="n">
        <v>2024</v>
      </c>
      <c r="E406" t="n">
        <v>2019</v>
      </c>
      <c r="F406" t="n">
        <v>2040</v>
      </c>
      <c r="G406" t="n">
        <v>666.9880000000001</v>
      </c>
      <c r="H406" t="n">
        <v>161.5647</v>
      </c>
      <c r="I406" t="n">
        <v>67.8168</v>
      </c>
      <c r="J406" t="inlineStr"/>
      <c r="K406" t="n">
        <v>8791587.92</v>
      </c>
      <c r="L406" t="n">
        <v>10355275.5</v>
      </c>
      <c r="M406" t="n">
        <v>666.9880000000001</v>
      </c>
      <c r="N406" t="inlineStr">
        <is>
          <t>Supplier Reported Emissions</t>
        </is>
      </c>
      <c r="O406" t="b">
        <v>0</v>
      </c>
      <c r="P406" t="inlineStr">
        <is>
          <t>High</t>
        </is>
      </c>
      <c r="Q406" t="inlineStr">
        <is>
          <t>Scope_Emissions</t>
        </is>
      </c>
      <c r="R406" t="inlineStr">
        <is>
          <t>Valid</t>
        </is>
      </c>
      <c r="S406" t="n">
        <v>2029</v>
      </c>
      <c r="T406" t="inlineStr">
        <is>
          <t>Supplier Target Pathway</t>
        </is>
      </c>
      <c r="U406" t="n">
        <v>640.9258</v>
      </c>
      <c r="V406" t="n">
        <v>324.5648</v>
      </c>
      <c r="W406" t="n">
        <v>490.2777</v>
      </c>
      <c r="X406" t="n">
        <v>490.2777</v>
      </c>
      <c r="Y406" t="n">
        <v>150.6481</v>
      </c>
      <c r="Z406" t="n">
        <v>5.577e-05</v>
      </c>
      <c r="AA406" t="n">
        <v>0.235048</v>
      </c>
      <c r="AB406" t="n">
        <v>165.7129</v>
      </c>
      <c r="AC406" t="n">
        <v>15.0648</v>
      </c>
      <c r="AD406" t="n">
        <v>2591.0002</v>
      </c>
      <c r="AE406" t="n">
        <v>2602.0366</v>
      </c>
      <c r="AF406" t="n">
        <v>0.99</v>
      </c>
      <c r="AG406" t="inlineStr">
        <is>
          <t>Critical</t>
        </is>
      </c>
      <c r="AH406" t="inlineStr">
        <is>
          <t>On Track to Glide Path</t>
        </is>
      </c>
    </row>
    <row r="407">
      <c r="A407" t="inlineStr">
        <is>
          <t>SUP-0026</t>
        </is>
      </c>
      <c r="B407" t="inlineStr">
        <is>
          <t>Professional Supplier 026</t>
        </is>
      </c>
      <c r="C407" t="inlineStr">
        <is>
          <t>Professional Services</t>
        </is>
      </c>
      <c r="D407" t="n">
        <v>2024</v>
      </c>
      <c r="E407" t="n">
        <v>2019</v>
      </c>
      <c r="F407" t="n">
        <v>2040</v>
      </c>
      <c r="G407" t="n">
        <v>666.9880000000001</v>
      </c>
      <c r="H407" t="n">
        <v>161.5647</v>
      </c>
      <c r="I407" t="n">
        <v>67.8168</v>
      </c>
      <c r="J407" t="inlineStr"/>
      <c r="K407" t="n">
        <v>8791587.92</v>
      </c>
      <c r="L407" t="n">
        <v>10355275.5</v>
      </c>
      <c r="M407" t="n">
        <v>666.9880000000001</v>
      </c>
      <c r="N407" t="inlineStr">
        <is>
          <t>Supplier Reported Emissions</t>
        </is>
      </c>
      <c r="O407" t="b">
        <v>0</v>
      </c>
      <c r="P407" t="inlineStr">
        <is>
          <t>High</t>
        </is>
      </c>
      <c r="Q407" t="inlineStr">
        <is>
          <t>Scope_Emissions</t>
        </is>
      </c>
      <c r="R407" t="inlineStr">
        <is>
          <t>Valid</t>
        </is>
      </c>
      <c r="S407" t="n">
        <v>2030</v>
      </c>
      <c r="T407" t="inlineStr">
        <is>
          <t>Supplier Target Pathway</t>
        </is>
      </c>
      <c r="U407" t="n">
        <v>640.9258</v>
      </c>
      <c r="V407" t="n">
        <v>324.5648</v>
      </c>
      <c r="W407" t="n">
        <v>475.2129</v>
      </c>
      <c r="X407" t="n">
        <v>475.2129</v>
      </c>
      <c r="Y407" t="n">
        <v>165.7129</v>
      </c>
      <c r="Z407" t="n">
        <v>5.405e-05</v>
      </c>
      <c r="AA407" t="n">
        <v>0.258552</v>
      </c>
      <c r="AB407" t="n">
        <v>150.6481</v>
      </c>
      <c r="AC407" t="n">
        <v>15.0648</v>
      </c>
      <c r="AD407" t="n">
        <v>2115.7873</v>
      </c>
      <c r="AE407" t="n">
        <v>3077.2495</v>
      </c>
      <c r="AF407" t="n">
        <v>0.99</v>
      </c>
      <c r="AG407" t="inlineStr">
        <is>
          <t>Critical</t>
        </is>
      </c>
      <c r="AH407" t="inlineStr">
        <is>
          <t>On Track to Glide Path</t>
        </is>
      </c>
    </row>
    <row r="408">
      <c r="A408" t="inlineStr">
        <is>
          <t>SUP-0026</t>
        </is>
      </c>
      <c r="B408" t="inlineStr">
        <is>
          <t>Professional Supplier 026</t>
        </is>
      </c>
      <c r="C408" t="inlineStr">
        <is>
          <t>Professional Services</t>
        </is>
      </c>
      <c r="D408" t="n">
        <v>2024</v>
      </c>
      <c r="E408" t="n">
        <v>2019</v>
      </c>
      <c r="F408" t="n">
        <v>2040</v>
      </c>
      <c r="G408" t="n">
        <v>666.9880000000001</v>
      </c>
      <c r="H408" t="n">
        <v>161.5647</v>
      </c>
      <c r="I408" t="n">
        <v>67.8168</v>
      </c>
      <c r="J408" t="inlineStr"/>
      <c r="K408" t="n">
        <v>8791587.92</v>
      </c>
      <c r="L408" t="n">
        <v>10355275.5</v>
      </c>
      <c r="M408" t="n">
        <v>666.9880000000001</v>
      </c>
      <c r="N408" t="inlineStr">
        <is>
          <t>Supplier Reported Emissions</t>
        </is>
      </c>
      <c r="O408" t="b">
        <v>0</v>
      </c>
      <c r="P408" t="inlineStr">
        <is>
          <t>High</t>
        </is>
      </c>
      <c r="Q408" t="inlineStr">
        <is>
          <t>Scope_Emissions</t>
        </is>
      </c>
      <c r="R408" t="inlineStr">
        <is>
          <t>Valid</t>
        </is>
      </c>
      <c r="S408" t="n">
        <v>2031</v>
      </c>
      <c r="T408" t="inlineStr">
        <is>
          <t>Supplier Target Pathway</t>
        </is>
      </c>
      <c r="U408" t="n">
        <v>640.9258</v>
      </c>
      <c r="V408" t="n">
        <v>324.5648</v>
      </c>
      <c r="W408" t="n">
        <v>460.1481</v>
      </c>
      <c r="X408" t="n">
        <v>460.1481</v>
      </c>
      <c r="Y408" t="n">
        <v>180.7777</v>
      </c>
      <c r="Z408" t="n">
        <v>5.234e-05</v>
      </c>
      <c r="AA408" t="n">
        <v>0.282057</v>
      </c>
      <c r="AB408" t="n">
        <v>135.5833</v>
      </c>
      <c r="AC408" t="n">
        <v>15.0648</v>
      </c>
      <c r="AD408" t="n">
        <v>1655.6392</v>
      </c>
      <c r="AE408" t="n">
        <v>3537.3976</v>
      </c>
      <c r="AF408" t="n">
        <v>0.99</v>
      </c>
      <c r="AG408" t="inlineStr">
        <is>
          <t>Critical</t>
        </is>
      </c>
      <c r="AH408" t="inlineStr">
        <is>
          <t>On Track to Glide Path</t>
        </is>
      </c>
    </row>
    <row r="409">
      <c r="A409" t="inlineStr">
        <is>
          <t>SUP-0026</t>
        </is>
      </c>
      <c r="B409" t="inlineStr">
        <is>
          <t>Professional Supplier 026</t>
        </is>
      </c>
      <c r="C409" t="inlineStr">
        <is>
          <t>Professional Services</t>
        </is>
      </c>
      <c r="D409" t="n">
        <v>2024</v>
      </c>
      <c r="E409" t="n">
        <v>2019</v>
      </c>
      <c r="F409" t="n">
        <v>2040</v>
      </c>
      <c r="G409" t="n">
        <v>666.9880000000001</v>
      </c>
      <c r="H409" t="n">
        <v>161.5647</v>
      </c>
      <c r="I409" t="n">
        <v>67.8168</v>
      </c>
      <c r="J409" t="inlineStr"/>
      <c r="K409" t="n">
        <v>8791587.92</v>
      </c>
      <c r="L409" t="n">
        <v>10355275.5</v>
      </c>
      <c r="M409" t="n">
        <v>666.9880000000001</v>
      </c>
      <c r="N409" t="inlineStr">
        <is>
          <t>Supplier Reported Emissions</t>
        </is>
      </c>
      <c r="O409" t="b">
        <v>0</v>
      </c>
      <c r="P409" t="inlineStr">
        <is>
          <t>High</t>
        </is>
      </c>
      <c r="Q409" t="inlineStr">
        <is>
          <t>Scope_Emissions</t>
        </is>
      </c>
      <c r="R409" t="inlineStr">
        <is>
          <t>Valid</t>
        </is>
      </c>
      <c r="S409" t="n">
        <v>2032</v>
      </c>
      <c r="T409" t="inlineStr">
        <is>
          <t>Supplier Target Pathway</t>
        </is>
      </c>
      <c r="U409" t="n">
        <v>640.9258</v>
      </c>
      <c r="V409" t="n">
        <v>324.5648</v>
      </c>
      <c r="W409" t="n">
        <v>445.0833</v>
      </c>
      <c r="X409" t="n">
        <v>445.0833</v>
      </c>
      <c r="Y409" t="n">
        <v>195.8425</v>
      </c>
      <c r="Z409" t="n">
        <v>5.063e-05</v>
      </c>
      <c r="AA409" t="n">
        <v>0.305562</v>
      </c>
      <c r="AB409" t="n">
        <v>120.5185</v>
      </c>
      <c r="AC409" t="n">
        <v>15.0648</v>
      </c>
      <c r="AD409" t="n">
        <v>1210.5559</v>
      </c>
      <c r="AE409" t="n">
        <v>3982.4809</v>
      </c>
      <c r="AF409" t="n">
        <v>0.99</v>
      </c>
      <c r="AG409" t="inlineStr">
        <is>
          <t>Critical</t>
        </is>
      </c>
      <c r="AH409" t="inlineStr">
        <is>
          <t>On Track to Glide Path</t>
        </is>
      </c>
    </row>
    <row r="410">
      <c r="A410" t="inlineStr">
        <is>
          <t>SUP-0026</t>
        </is>
      </c>
      <c r="B410" t="inlineStr">
        <is>
          <t>Professional Supplier 026</t>
        </is>
      </c>
      <c r="C410" t="inlineStr">
        <is>
          <t>Professional Services</t>
        </is>
      </c>
      <c r="D410" t="n">
        <v>2024</v>
      </c>
      <c r="E410" t="n">
        <v>2019</v>
      </c>
      <c r="F410" t="n">
        <v>2040</v>
      </c>
      <c r="G410" t="n">
        <v>666.9880000000001</v>
      </c>
      <c r="H410" t="n">
        <v>161.5647</v>
      </c>
      <c r="I410" t="n">
        <v>67.8168</v>
      </c>
      <c r="J410" t="inlineStr"/>
      <c r="K410" t="n">
        <v>8791587.92</v>
      </c>
      <c r="L410" t="n">
        <v>10355275.5</v>
      </c>
      <c r="M410" t="n">
        <v>666.9880000000001</v>
      </c>
      <c r="N410" t="inlineStr">
        <is>
          <t>Supplier Reported Emissions</t>
        </is>
      </c>
      <c r="O410" t="b">
        <v>0</v>
      </c>
      <c r="P410" t="inlineStr">
        <is>
          <t>High</t>
        </is>
      </c>
      <c r="Q410" t="inlineStr">
        <is>
          <t>Scope_Emissions</t>
        </is>
      </c>
      <c r="R410" t="inlineStr">
        <is>
          <t>Valid</t>
        </is>
      </c>
      <c r="S410" t="n">
        <v>2033</v>
      </c>
      <c r="T410" t="inlineStr">
        <is>
          <t>Supplier Target Pathway</t>
        </is>
      </c>
      <c r="U410" t="n">
        <v>640.9258</v>
      </c>
      <c r="V410" t="n">
        <v>324.5648</v>
      </c>
      <c r="W410" t="n">
        <v>430.0185</v>
      </c>
      <c r="X410" t="n">
        <v>430.0185</v>
      </c>
      <c r="Y410" t="n">
        <v>210.9073</v>
      </c>
      <c r="Z410" t="n">
        <v>4.891e-05</v>
      </c>
      <c r="AA410" t="n">
        <v>0.329067</v>
      </c>
      <c r="AB410" t="n">
        <v>105.4537</v>
      </c>
      <c r="AC410" t="n">
        <v>15.0648</v>
      </c>
      <c r="AD410" t="n">
        <v>780.5374</v>
      </c>
      <c r="AE410" t="n">
        <v>4412.4994</v>
      </c>
      <c r="AF410" t="n">
        <v>0.99</v>
      </c>
      <c r="AG410" t="inlineStr">
        <is>
          <t>High</t>
        </is>
      </c>
      <c r="AH410" t="inlineStr">
        <is>
          <t>On Track to Glide Path</t>
        </is>
      </c>
    </row>
    <row r="411">
      <c r="A411" t="inlineStr">
        <is>
          <t>SUP-0026</t>
        </is>
      </c>
      <c r="B411" t="inlineStr">
        <is>
          <t>Professional Supplier 026</t>
        </is>
      </c>
      <c r="C411" t="inlineStr">
        <is>
          <t>Professional Services</t>
        </is>
      </c>
      <c r="D411" t="n">
        <v>2024</v>
      </c>
      <c r="E411" t="n">
        <v>2019</v>
      </c>
      <c r="F411" t="n">
        <v>2040</v>
      </c>
      <c r="G411" t="n">
        <v>666.9880000000001</v>
      </c>
      <c r="H411" t="n">
        <v>161.5647</v>
      </c>
      <c r="I411" t="n">
        <v>67.8168</v>
      </c>
      <c r="J411" t="inlineStr"/>
      <c r="K411" t="n">
        <v>8791587.92</v>
      </c>
      <c r="L411" t="n">
        <v>10355275.5</v>
      </c>
      <c r="M411" t="n">
        <v>666.9880000000001</v>
      </c>
      <c r="N411" t="inlineStr">
        <is>
          <t>Supplier Reported Emissions</t>
        </is>
      </c>
      <c r="O411" t="b">
        <v>0</v>
      </c>
      <c r="P411" t="inlineStr">
        <is>
          <t>High</t>
        </is>
      </c>
      <c r="Q411" t="inlineStr">
        <is>
          <t>Scope_Emissions</t>
        </is>
      </c>
      <c r="R411" t="inlineStr">
        <is>
          <t>Valid</t>
        </is>
      </c>
      <c r="S411" t="n">
        <v>2034</v>
      </c>
      <c r="T411" t="inlineStr">
        <is>
          <t>Supplier Target Pathway</t>
        </is>
      </c>
      <c r="U411" t="n">
        <v>640.9258</v>
      </c>
      <c r="V411" t="n">
        <v>324.5648</v>
      </c>
      <c r="W411" t="n">
        <v>414.9537</v>
      </c>
      <c r="X411" t="n">
        <v>414.9537</v>
      </c>
      <c r="Y411" t="n">
        <v>225.9721</v>
      </c>
      <c r="Z411" t="n">
        <v>4.72e-05</v>
      </c>
      <c r="AA411" t="n">
        <v>0.352571</v>
      </c>
      <c r="AB411" t="n">
        <v>90.3888</v>
      </c>
      <c r="AC411" t="n">
        <v>15.0648</v>
      </c>
      <c r="AD411" t="n">
        <v>365.5837</v>
      </c>
      <c r="AE411" t="n">
        <v>4827.4531</v>
      </c>
      <c r="AF411" t="n">
        <v>0.99</v>
      </c>
      <c r="AG411" t="inlineStr">
        <is>
          <t>High</t>
        </is>
      </c>
      <c r="AH411" t="inlineStr">
        <is>
          <t>On Track to Glide Path</t>
        </is>
      </c>
    </row>
    <row r="412">
      <c r="A412" t="inlineStr">
        <is>
          <t>SUP-0026</t>
        </is>
      </c>
      <c r="B412" t="inlineStr">
        <is>
          <t>Professional Supplier 026</t>
        </is>
      </c>
      <c r="C412" t="inlineStr">
        <is>
          <t>Professional Services</t>
        </is>
      </c>
      <c r="D412" t="n">
        <v>2024</v>
      </c>
      <c r="E412" t="n">
        <v>2019</v>
      </c>
      <c r="F412" t="n">
        <v>2040</v>
      </c>
      <c r="G412" t="n">
        <v>666.9880000000001</v>
      </c>
      <c r="H412" t="n">
        <v>161.5647</v>
      </c>
      <c r="I412" t="n">
        <v>67.8168</v>
      </c>
      <c r="J412" t="inlineStr"/>
      <c r="K412" t="n">
        <v>8791587.92</v>
      </c>
      <c r="L412" t="n">
        <v>10355275.5</v>
      </c>
      <c r="M412" t="n">
        <v>666.9880000000001</v>
      </c>
      <c r="N412" t="inlineStr">
        <is>
          <t>Supplier Reported Emissions</t>
        </is>
      </c>
      <c r="O412" t="b">
        <v>0</v>
      </c>
      <c r="P412" t="inlineStr">
        <is>
          <t>High</t>
        </is>
      </c>
      <c r="Q412" t="inlineStr">
        <is>
          <t>Scope_Emissions</t>
        </is>
      </c>
      <c r="R412" t="inlineStr">
        <is>
          <t>Valid</t>
        </is>
      </c>
      <c r="S412" t="n">
        <v>2035</v>
      </c>
      <c r="T412" t="inlineStr">
        <is>
          <t>Supplier Target Pathway</t>
        </is>
      </c>
      <c r="U412" t="n">
        <v>640.9258</v>
      </c>
      <c r="V412" t="n">
        <v>324.5648</v>
      </c>
      <c r="W412" t="n">
        <v>399.8889</v>
      </c>
      <c r="X412" t="n">
        <v>399.8889</v>
      </c>
      <c r="Y412" t="n">
        <v>241.0369</v>
      </c>
      <c r="Z412" t="n">
        <v>4.549e-05</v>
      </c>
      <c r="AA412" t="n">
        <v>0.376076</v>
      </c>
      <c r="AB412" t="n">
        <v>75.324</v>
      </c>
      <c r="AC412" t="n">
        <v>15.0648</v>
      </c>
      <c r="AD412" t="n">
        <v>-34.3052</v>
      </c>
      <c r="AE412" t="n">
        <v>5227.342</v>
      </c>
      <c r="AF412" t="n">
        <v>0.99</v>
      </c>
      <c r="AG412" t="inlineStr">
        <is>
          <t>High</t>
        </is>
      </c>
      <c r="AH412" t="inlineStr">
        <is>
          <t>On Track to Glide Path</t>
        </is>
      </c>
    </row>
    <row r="413">
      <c r="A413" t="inlineStr">
        <is>
          <t>SUP-0026</t>
        </is>
      </c>
      <c r="B413" t="inlineStr">
        <is>
          <t>Professional Supplier 026</t>
        </is>
      </c>
      <c r="C413" t="inlineStr">
        <is>
          <t>Professional Services</t>
        </is>
      </c>
      <c r="D413" t="n">
        <v>2024</v>
      </c>
      <c r="E413" t="n">
        <v>2019</v>
      </c>
      <c r="F413" t="n">
        <v>2040</v>
      </c>
      <c r="G413" t="n">
        <v>666.9880000000001</v>
      </c>
      <c r="H413" t="n">
        <v>161.5647</v>
      </c>
      <c r="I413" t="n">
        <v>67.8168</v>
      </c>
      <c r="J413" t="inlineStr"/>
      <c r="K413" t="n">
        <v>8791587.92</v>
      </c>
      <c r="L413" t="n">
        <v>10355275.5</v>
      </c>
      <c r="M413" t="n">
        <v>666.9880000000001</v>
      </c>
      <c r="N413" t="inlineStr">
        <is>
          <t>Supplier Reported Emissions</t>
        </is>
      </c>
      <c r="O413" t="b">
        <v>0</v>
      </c>
      <c r="P413" t="inlineStr">
        <is>
          <t>High</t>
        </is>
      </c>
      <c r="Q413" t="inlineStr">
        <is>
          <t>Scope_Emissions</t>
        </is>
      </c>
      <c r="R413" t="inlineStr">
        <is>
          <t>Valid</t>
        </is>
      </c>
      <c r="S413" t="n">
        <v>2036</v>
      </c>
      <c r="T413" t="inlineStr">
        <is>
          <t>Supplier Target Pathway</t>
        </is>
      </c>
      <c r="U413" t="n">
        <v>640.9258</v>
      </c>
      <c r="V413" t="n">
        <v>324.5648</v>
      </c>
      <c r="W413" t="n">
        <v>384.8241</v>
      </c>
      <c r="X413" t="n">
        <v>384.8241</v>
      </c>
      <c r="Y413" t="n">
        <v>256.1017</v>
      </c>
      <c r="Z413" t="n">
        <v>4.377e-05</v>
      </c>
      <c r="AA413" t="n">
        <v>0.399581</v>
      </c>
      <c r="AB413" t="n">
        <v>60.2592</v>
      </c>
      <c r="AC413" t="n">
        <v>15.0648</v>
      </c>
      <c r="AD413" t="n">
        <v>-419.1293</v>
      </c>
      <c r="AE413" t="n">
        <v>5612.1661</v>
      </c>
      <c r="AF413" t="n">
        <v>0.99</v>
      </c>
      <c r="AG413" t="inlineStr">
        <is>
          <t>High</t>
        </is>
      </c>
      <c r="AH413" t="inlineStr">
        <is>
          <t>On Track to Glide Path</t>
        </is>
      </c>
    </row>
    <row r="414">
      <c r="A414" t="inlineStr">
        <is>
          <t>SUP-0026</t>
        </is>
      </c>
      <c r="B414" t="inlineStr">
        <is>
          <t>Professional Supplier 026</t>
        </is>
      </c>
      <c r="C414" t="inlineStr">
        <is>
          <t>Professional Services</t>
        </is>
      </c>
      <c r="D414" t="n">
        <v>2024</v>
      </c>
      <c r="E414" t="n">
        <v>2019</v>
      </c>
      <c r="F414" t="n">
        <v>2040</v>
      </c>
      <c r="G414" t="n">
        <v>666.9880000000001</v>
      </c>
      <c r="H414" t="n">
        <v>161.5647</v>
      </c>
      <c r="I414" t="n">
        <v>67.8168</v>
      </c>
      <c r="J414" t="inlineStr"/>
      <c r="K414" t="n">
        <v>8791587.92</v>
      </c>
      <c r="L414" t="n">
        <v>10355275.5</v>
      </c>
      <c r="M414" t="n">
        <v>666.9880000000001</v>
      </c>
      <c r="N414" t="inlineStr">
        <is>
          <t>Supplier Reported Emissions</t>
        </is>
      </c>
      <c r="O414" t="b">
        <v>0</v>
      </c>
      <c r="P414" t="inlineStr">
        <is>
          <t>High</t>
        </is>
      </c>
      <c r="Q414" t="inlineStr">
        <is>
          <t>Scope_Emissions</t>
        </is>
      </c>
      <c r="R414" t="inlineStr">
        <is>
          <t>Valid</t>
        </is>
      </c>
      <c r="S414" t="n">
        <v>2037</v>
      </c>
      <c r="T414" t="inlineStr">
        <is>
          <t>Supplier Target Pathway</t>
        </is>
      </c>
      <c r="U414" t="n">
        <v>640.9258</v>
      </c>
      <c r="V414" t="n">
        <v>324.5648</v>
      </c>
      <c r="W414" t="n">
        <v>369.7593</v>
      </c>
      <c r="X414" t="n">
        <v>369.7593</v>
      </c>
      <c r="Y414" t="n">
        <v>271.1665</v>
      </c>
      <c r="Z414" t="n">
        <v>4.206e-05</v>
      </c>
      <c r="AA414" t="n">
        <v>0.423086</v>
      </c>
      <c r="AB414" t="n">
        <v>45.1944</v>
      </c>
      <c r="AC414" t="n">
        <v>15.0648</v>
      </c>
      <c r="AD414" t="n">
        <v>-788.8886</v>
      </c>
      <c r="AE414" t="n">
        <v>5981.9254</v>
      </c>
      <c r="AF414" t="n">
        <v>0.99</v>
      </c>
      <c r="AG414" t="inlineStr">
        <is>
          <t>Medium</t>
        </is>
      </c>
      <c r="AH414" t="inlineStr">
        <is>
          <t>On Track to Glide Path</t>
        </is>
      </c>
    </row>
    <row r="415">
      <c r="A415" t="inlineStr">
        <is>
          <t>SUP-0026</t>
        </is>
      </c>
      <c r="B415" t="inlineStr">
        <is>
          <t>Professional Supplier 026</t>
        </is>
      </c>
      <c r="C415" t="inlineStr">
        <is>
          <t>Professional Services</t>
        </is>
      </c>
      <c r="D415" t="n">
        <v>2024</v>
      </c>
      <c r="E415" t="n">
        <v>2019</v>
      </c>
      <c r="F415" t="n">
        <v>2040</v>
      </c>
      <c r="G415" t="n">
        <v>666.9880000000001</v>
      </c>
      <c r="H415" t="n">
        <v>161.5647</v>
      </c>
      <c r="I415" t="n">
        <v>67.8168</v>
      </c>
      <c r="J415" t="inlineStr"/>
      <c r="K415" t="n">
        <v>8791587.92</v>
      </c>
      <c r="L415" t="n">
        <v>10355275.5</v>
      </c>
      <c r="M415" t="n">
        <v>666.9880000000001</v>
      </c>
      <c r="N415" t="inlineStr">
        <is>
          <t>Supplier Reported Emissions</t>
        </is>
      </c>
      <c r="O415" t="b">
        <v>0</v>
      </c>
      <c r="P415" t="inlineStr">
        <is>
          <t>High</t>
        </is>
      </c>
      <c r="Q415" t="inlineStr">
        <is>
          <t>Scope_Emissions</t>
        </is>
      </c>
      <c r="R415" t="inlineStr">
        <is>
          <t>Valid</t>
        </is>
      </c>
      <c r="S415" t="n">
        <v>2038</v>
      </c>
      <c r="T415" t="inlineStr">
        <is>
          <t>Supplier Target Pathway</t>
        </is>
      </c>
      <c r="U415" t="n">
        <v>640.9258</v>
      </c>
      <c r="V415" t="n">
        <v>324.5648</v>
      </c>
      <c r="W415" t="n">
        <v>354.6944</v>
      </c>
      <c r="X415" t="n">
        <v>354.6944</v>
      </c>
      <c r="Y415" t="n">
        <v>286.2314</v>
      </c>
      <c r="Z415" t="n">
        <v>4.034e-05</v>
      </c>
      <c r="AA415" t="n">
        <v>0.44659</v>
      </c>
      <c r="AB415" t="n">
        <v>30.1296</v>
      </c>
      <c r="AC415" t="n">
        <v>15.0648</v>
      </c>
      <c r="AD415" t="n">
        <v>-1143.583</v>
      </c>
      <c r="AE415" t="n">
        <v>6336.6198</v>
      </c>
      <c r="AF415" t="n">
        <v>0.99</v>
      </c>
      <c r="AG415" t="inlineStr">
        <is>
          <t>Medium</t>
        </is>
      </c>
      <c r="AH415" t="inlineStr">
        <is>
          <t>On Track to Glide Path</t>
        </is>
      </c>
    </row>
    <row r="416">
      <c r="A416" t="inlineStr">
        <is>
          <t>SUP-0026</t>
        </is>
      </c>
      <c r="B416" t="inlineStr">
        <is>
          <t>Professional Supplier 026</t>
        </is>
      </c>
      <c r="C416" t="inlineStr">
        <is>
          <t>Professional Services</t>
        </is>
      </c>
      <c r="D416" t="n">
        <v>2024</v>
      </c>
      <c r="E416" t="n">
        <v>2019</v>
      </c>
      <c r="F416" t="n">
        <v>2040</v>
      </c>
      <c r="G416" t="n">
        <v>666.9880000000001</v>
      </c>
      <c r="H416" t="n">
        <v>161.5647</v>
      </c>
      <c r="I416" t="n">
        <v>67.8168</v>
      </c>
      <c r="J416" t="inlineStr"/>
      <c r="K416" t="n">
        <v>8791587.92</v>
      </c>
      <c r="L416" t="n">
        <v>10355275.5</v>
      </c>
      <c r="M416" t="n">
        <v>666.9880000000001</v>
      </c>
      <c r="N416" t="inlineStr">
        <is>
          <t>Supplier Reported Emissions</t>
        </is>
      </c>
      <c r="O416" t="b">
        <v>0</v>
      </c>
      <c r="P416" t="inlineStr">
        <is>
          <t>High</t>
        </is>
      </c>
      <c r="Q416" t="inlineStr">
        <is>
          <t>Scope_Emissions</t>
        </is>
      </c>
      <c r="R416" t="inlineStr">
        <is>
          <t>Valid</t>
        </is>
      </c>
      <c r="S416" t="n">
        <v>2039</v>
      </c>
      <c r="T416" t="inlineStr">
        <is>
          <t>Supplier Target Pathway</t>
        </is>
      </c>
      <c r="U416" t="n">
        <v>640.9258</v>
      </c>
      <c r="V416" t="n">
        <v>324.5648</v>
      </c>
      <c r="W416" t="n">
        <v>339.6296</v>
      </c>
      <c r="X416" t="n">
        <v>339.6296</v>
      </c>
      <c r="Y416" t="n">
        <v>301.2962</v>
      </c>
      <c r="Z416" t="n">
        <v>3.863e-05</v>
      </c>
      <c r="AA416" t="n">
        <v>0.470095</v>
      </c>
      <c r="AB416" t="n">
        <v>15.0648</v>
      </c>
      <c r="AC416" t="n">
        <v>15.0648</v>
      </c>
      <c r="AD416" t="n">
        <v>-1483.2126</v>
      </c>
      <c r="AE416" t="n">
        <v>6676.2494</v>
      </c>
      <c r="AF416" t="n">
        <v>0.99</v>
      </c>
      <c r="AG416" t="inlineStr">
        <is>
          <t>Medium</t>
        </is>
      </c>
      <c r="AH416" t="inlineStr">
        <is>
          <t>On Track to Glide Path</t>
        </is>
      </c>
    </row>
    <row r="417">
      <c r="A417" t="inlineStr">
        <is>
          <t>SUP-0026</t>
        </is>
      </c>
      <c r="B417" t="inlineStr">
        <is>
          <t>Professional Supplier 026</t>
        </is>
      </c>
      <c r="C417" t="inlineStr">
        <is>
          <t>Professional Services</t>
        </is>
      </c>
      <c r="D417" t="n">
        <v>2024</v>
      </c>
      <c r="E417" t="n">
        <v>2019</v>
      </c>
      <c r="F417" t="n">
        <v>2040</v>
      </c>
      <c r="G417" t="n">
        <v>666.9880000000001</v>
      </c>
      <c r="H417" t="n">
        <v>161.5647</v>
      </c>
      <c r="I417" t="n">
        <v>67.8168</v>
      </c>
      <c r="J417" t="inlineStr"/>
      <c r="K417" t="n">
        <v>8791587.92</v>
      </c>
      <c r="L417" t="n">
        <v>10355275.5</v>
      </c>
      <c r="M417" t="n">
        <v>666.9880000000001</v>
      </c>
      <c r="N417" t="inlineStr">
        <is>
          <t>Supplier Reported Emissions</t>
        </is>
      </c>
      <c r="O417" t="b">
        <v>0</v>
      </c>
      <c r="P417" t="inlineStr">
        <is>
          <t>High</t>
        </is>
      </c>
      <c r="Q417" t="inlineStr">
        <is>
          <t>Scope_Emissions</t>
        </is>
      </c>
      <c r="R417" t="inlineStr">
        <is>
          <t>Valid</t>
        </is>
      </c>
      <c r="S417" t="n">
        <v>2040</v>
      </c>
      <c r="T417" t="inlineStr">
        <is>
          <t>Supplier Target Pathway</t>
        </is>
      </c>
      <c r="U417" t="n">
        <v>640.9258</v>
      </c>
      <c r="V417" t="n">
        <v>324.5648</v>
      </c>
      <c r="W417" t="n">
        <v>324.5648</v>
      </c>
      <c r="X417" t="n">
        <v>324.5648</v>
      </c>
      <c r="Y417" t="n">
        <v>316.361</v>
      </c>
      <c r="Z417" t="n">
        <v>3.692e-05</v>
      </c>
      <c r="AA417" t="n">
        <v>0.4936</v>
      </c>
      <c r="AB417" t="n">
        <v>0</v>
      </c>
      <c r="AC417" t="n">
        <v>15.0648</v>
      </c>
      <c r="AD417" t="n">
        <v>-1807.7774</v>
      </c>
      <c r="AE417" t="n">
        <v>7000.8142</v>
      </c>
      <c r="AF417" t="n">
        <v>0.99</v>
      </c>
      <c r="AG417" t="inlineStr">
        <is>
          <t>Low</t>
        </is>
      </c>
      <c r="AH417" t="inlineStr">
        <is>
          <t>On Track</t>
        </is>
      </c>
    </row>
    <row r="418">
      <c r="A418" t="inlineStr">
        <is>
          <t>SUP-0027</t>
        </is>
      </c>
      <c r="B418" t="inlineStr">
        <is>
          <t>Metals Supplier 027</t>
        </is>
      </c>
      <c r="C418" t="inlineStr">
        <is>
          <t>Metals</t>
        </is>
      </c>
      <c r="D418" t="n">
        <v>2024</v>
      </c>
      <c r="E418" t="n">
        <v>2019</v>
      </c>
      <c r="F418" t="n">
        <v>2030</v>
      </c>
      <c r="G418" t="inlineStr"/>
      <c r="H418" t="n">
        <v>105.1004</v>
      </c>
      <c r="I418" t="n">
        <v>99.26179999999999</v>
      </c>
      <c r="J418" t="n">
        <v>557.8825000000001</v>
      </c>
      <c r="K418" t="n">
        <v>807454.96</v>
      </c>
      <c r="L418" t="n">
        <v>4098288.76</v>
      </c>
      <c r="M418" t="n">
        <v>762.2447</v>
      </c>
      <c r="N418" t="inlineStr">
        <is>
          <t>Scope 1 + Scope 2 + Scope 3</t>
        </is>
      </c>
      <c r="O418" t="b">
        <v>1</v>
      </c>
      <c r="P418" t="inlineStr">
        <is>
          <t>High</t>
        </is>
      </c>
      <c r="Q418" t="inlineStr">
        <is>
          <t>Reported_Emissions</t>
        </is>
      </c>
      <c r="R418" t="inlineStr">
        <is>
          <t>Valid</t>
        </is>
      </c>
      <c r="S418" t="n">
        <v>2025</v>
      </c>
      <c r="T418" t="inlineStr">
        <is>
          <t>Supplier Target Pathway</t>
        </is>
      </c>
      <c r="U418" t="n">
        <v>1093.7815</v>
      </c>
      <c r="V418" t="n">
        <v>794.1947</v>
      </c>
      <c r="W418" t="n">
        <v>930.3705</v>
      </c>
      <c r="X418" t="n">
        <v>930.3705</v>
      </c>
      <c r="Y418" t="n">
        <v>163.411</v>
      </c>
      <c r="Z418" t="n">
        <v>0.00115223</v>
      </c>
      <c r="AA418" t="n">
        <v>0.1494</v>
      </c>
      <c r="AB418" t="n">
        <v>136.1758</v>
      </c>
      <c r="AC418" t="n">
        <v>27.2352</v>
      </c>
      <c r="AD418" t="n">
        <v>3834.7977</v>
      </c>
      <c r="AE418" t="n">
        <v>930.3705</v>
      </c>
      <c r="AF418" t="n">
        <v>0.99</v>
      </c>
      <c r="AG418" t="inlineStr">
        <is>
          <t>High</t>
        </is>
      </c>
      <c r="AH418" t="inlineStr">
        <is>
          <t>On Track to Glide Path</t>
        </is>
      </c>
    </row>
    <row r="419">
      <c r="A419" t="inlineStr">
        <is>
          <t>SUP-0027</t>
        </is>
      </c>
      <c r="B419" t="inlineStr">
        <is>
          <t>Metals Supplier 027</t>
        </is>
      </c>
      <c r="C419" t="inlineStr">
        <is>
          <t>Metals</t>
        </is>
      </c>
      <c r="D419" t="n">
        <v>2024</v>
      </c>
      <c r="E419" t="n">
        <v>2019</v>
      </c>
      <c r="F419" t="n">
        <v>2030</v>
      </c>
      <c r="G419" t="inlineStr"/>
      <c r="H419" t="n">
        <v>105.1004</v>
      </c>
      <c r="I419" t="n">
        <v>99.26179999999999</v>
      </c>
      <c r="J419" t="n">
        <v>557.8825000000001</v>
      </c>
      <c r="K419" t="n">
        <v>807454.96</v>
      </c>
      <c r="L419" t="n">
        <v>4098288.76</v>
      </c>
      <c r="M419" t="n">
        <v>762.2447</v>
      </c>
      <c r="N419" t="inlineStr">
        <is>
          <t>Scope 1 + Scope 2 + Scope 3</t>
        </is>
      </c>
      <c r="O419" t="b">
        <v>1</v>
      </c>
      <c r="P419" t="inlineStr">
        <is>
          <t>High</t>
        </is>
      </c>
      <c r="Q419" t="inlineStr">
        <is>
          <t>Reported_Emissions</t>
        </is>
      </c>
      <c r="R419" t="inlineStr">
        <is>
          <t>Valid</t>
        </is>
      </c>
      <c r="S419" t="n">
        <v>2026</v>
      </c>
      <c r="T419" t="inlineStr">
        <is>
          <t>Supplier Target Pathway</t>
        </is>
      </c>
      <c r="U419" t="n">
        <v>1093.7815</v>
      </c>
      <c r="V419" t="n">
        <v>794.1947</v>
      </c>
      <c r="W419" t="n">
        <v>903.1354</v>
      </c>
      <c r="X419" t="n">
        <v>903.1354</v>
      </c>
      <c r="Y419" t="n">
        <v>190.6461</v>
      </c>
      <c r="Z419" t="n">
        <v>0.0011185</v>
      </c>
      <c r="AA419" t="n">
        <v>0.1743</v>
      </c>
      <c r="AB419" t="n">
        <v>108.9406</v>
      </c>
      <c r="AC419" t="n">
        <v>27.2352</v>
      </c>
      <c r="AD419" t="n">
        <v>2931.6623</v>
      </c>
      <c r="AE419" t="n">
        <v>1833.5059</v>
      </c>
      <c r="AF419" t="n">
        <v>0.99</v>
      </c>
      <c r="AG419" t="inlineStr">
        <is>
          <t>Medium</t>
        </is>
      </c>
      <c r="AH419" t="inlineStr">
        <is>
          <t>On Track to Glide Path</t>
        </is>
      </c>
    </row>
    <row r="420">
      <c r="A420" t="inlineStr">
        <is>
          <t>SUP-0027</t>
        </is>
      </c>
      <c r="B420" t="inlineStr">
        <is>
          <t>Metals Supplier 027</t>
        </is>
      </c>
      <c r="C420" t="inlineStr">
        <is>
          <t>Metals</t>
        </is>
      </c>
      <c r="D420" t="n">
        <v>2024</v>
      </c>
      <c r="E420" t="n">
        <v>2019</v>
      </c>
      <c r="F420" t="n">
        <v>2030</v>
      </c>
      <c r="G420" t="inlineStr"/>
      <c r="H420" t="n">
        <v>105.1004</v>
      </c>
      <c r="I420" t="n">
        <v>99.26179999999999</v>
      </c>
      <c r="J420" t="n">
        <v>557.8825000000001</v>
      </c>
      <c r="K420" t="n">
        <v>807454.96</v>
      </c>
      <c r="L420" t="n">
        <v>4098288.76</v>
      </c>
      <c r="M420" t="n">
        <v>762.2447</v>
      </c>
      <c r="N420" t="inlineStr">
        <is>
          <t>Scope 1 + Scope 2 + Scope 3</t>
        </is>
      </c>
      <c r="O420" t="b">
        <v>1</v>
      </c>
      <c r="P420" t="inlineStr">
        <is>
          <t>High</t>
        </is>
      </c>
      <c r="Q420" t="inlineStr">
        <is>
          <t>Reported_Emissions</t>
        </is>
      </c>
      <c r="R420" t="inlineStr">
        <is>
          <t>Valid</t>
        </is>
      </c>
      <c r="S420" t="n">
        <v>2027</v>
      </c>
      <c r="T420" t="inlineStr">
        <is>
          <t>Supplier Target Pathway</t>
        </is>
      </c>
      <c r="U420" t="n">
        <v>1093.7815</v>
      </c>
      <c r="V420" t="n">
        <v>794.1947</v>
      </c>
      <c r="W420" t="n">
        <v>875.9002</v>
      </c>
      <c r="X420" t="n">
        <v>875.9002</v>
      </c>
      <c r="Y420" t="n">
        <v>217.8813</v>
      </c>
      <c r="Z420" t="n">
        <v>0.00108477</v>
      </c>
      <c r="AA420" t="n">
        <v>0.1992</v>
      </c>
      <c r="AB420" t="n">
        <v>81.7055</v>
      </c>
      <c r="AC420" t="n">
        <v>27.2352</v>
      </c>
      <c r="AD420" t="n">
        <v>2055.7621</v>
      </c>
      <c r="AE420" t="n">
        <v>2709.4061</v>
      </c>
      <c r="AF420" t="n">
        <v>0.99</v>
      </c>
      <c r="AG420" t="inlineStr">
        <is>
          <t>Medium</t>
        </is>
      </c>
      <c r="AH420" t="inlineStr">
        <is>
          <t>On Track to Glide Path</t>
        </is>
      </c>
    </row>
    <row r="421">
      <c r="A421" t="inlineStr">
        <is>
          <t>SUP-0027</t>
        </is>
      </c>
      <c r="B421" t="inlineStr">
        <is>
          <t>Metals Supplier 027</t>
        </is>
      </c>
      <c r="C421" t="inlineStr">
        <is>
          <t>Metals</t>
        </is>
      </c>
      <c r="D421" t="n">
        <v>2024</v>
      </c>
      <c r="E421" t="n">
        <v>2019</v>
      </c>
      <c r="F421" t="n">
        <v>2030</v>
      </c>
      <c r="G421" t="inlineStr"/>
      <c r="H421" t="n">
        <v>105.1004</v>
      </c>
      <c r="I421" t="n">
        <v>99.26179999999999</v>
      </c>
      <c r="J421" t="n">
        <v>557.8825000000001</v>
      </c>
      <c r="K421" t="n">
        <v>807454.96</v>
      </c>
      <c r="L421" t="n">
        <v>4098288.76</v>
      </c>
      <c r="M421" t="n">
        <v>762.2447</v>
      </c>
      <c r="N421" t="inlineStr">
        <is>
          <t>Scope 1 + Scope 2 + Scope 3</t>
        </is>
      </c>
      <c r="O421" t="b">
        <v>1</v>
      </c>
      <c r="P421" t="inlineStr">
        <is>
          <t>High</t>
        </is>
      </c>
      <c r="Q421" t="inlineStr">
        <is>
          <t>Reported_Emissions</t>
        </is>
      </c>
      <c r="R421" t="inlineStr">
        <is>
          <t>Valid</t>
        </is>
      </c>
      <c r="S421" t="n">
        <v>2028</v>
      </c>
      <c r="T421" t="inlineStr">
        <is>
          <t>Supplier Target Pathway</t>
        </is>
      </c>
      <c r="U421" t="n">
        <v>1093.7815</v>
      </c>
      <c r="V421" t="n">
        <v>794.1947</v>
      </c>
      <c r="W421" t="n">
        <v>848.6651000000001</v>
      </c>
      <c r="X421" t="n">
        <v>848.6651000000001</v>
      </c>
      <c r="Y421" t="n">
        <v>245.1164</v>
      </c>
      <c r="Z421" t="n">
        <v>0.00105104</v>
      </c>
      <c r="AA421" t="n">
        <v>0.2241</v>
      </c>
      <c r="AB421" t="n">
        <v>54.4703</v>
      </c>
      <c r="AC421" t="n">
        <v>27.2352</v>
      </c>
      <c r="AD421" t="n">
        <v>1207.097</v>
      </c>
      <c r="AE421" t="n">
        <v>3558.0712</v>
      </c>
      <c r="AF421" t="n">
        <v>0.99</v>
      </c>
      <c r="AG421" t="inlineStr">
        <is>
          <t>Medium</t>
        </is>
      </c>
      <c r="AH421" t="inlineStr">
        <is>
          <t>On Track to Glide Path</t>
        </is>
      </c>
    </row>
    <row r="422">
      <c r="A422" t="inlineStr">
        <is>
          <t>SUP-0027</t>
        </is>
      </c>
      <c r="B422" t="inlineStr">
        <is>
          <t>Metals Supplier 027</t>
        </is>
      </c>
      <c r="C422" t="inlineStr">
        <is>
          <t>Metals</t>
        </is>
      </c>
      <c r="D422" t="n">
        <v>2024</v>
      </c>
      <c r="E422" t="n">
        <v>2019</v>
      </c>
      <c r="F422" t="n">
        <v>2030</v>
      </c>
      <c r="G422" t="inlineStr"/>
      <c r="H422" t="n">
        <v>105.1004</v>
      </c>
      <c r="I422" t="n">
        <v>99.26179999999999</v>
      </c>
      <c r="J422" t="n">
        <v>557.8825000000001</v>
      </c>
      <c r="K422" t="n">
        <v>807454.96</v>
      </c>
      <c r="L422" t="n">
        <v>4098288.76</v>
      </c>
      <c r="M422" t="n">
        <v>762.2447</v>
      </c>
      <c r="N422" t="inlineStr">
        <is>
          <t>Scope 1 + Scope 2 + Scope 3</t>
        </is>
      </c>
      <c r="O422" t="b">
        <v>1</v>
      </c>
      <c r="P422" t="inlineStr">
        <is>
          <t>High</t>
        </is>
      </c>
      <c r="Q422" t="inlineStr">
        <is>
          <t>Reported_Emissions</t>
        </is>
      </c>
      <c r="R422" t="inlineStr">
        <is>
          <t>Valid</t>
        </is>
      </c>
      <c r="S422" t="n">
        <v>2029</v>
      </c>
      <c r="T422" t="inlineStr">
        <is>
          <t>Supplier Target Pathway</t>
        </is>
      </c>
      <c r="U422" t="n">
        <v>1093.7815</v>
      </c>
      <c r="V422" t="n">
        <v>794.1947</v>
      </c>
      <c r="W422" t="n">
        <v>821.4299</v>
      </c>
      <c r="X422" t="n">
        <v>821.4299</v>
      </c>
      <c r="Y422" t="n">
        <v>272.3516</v>
      </c>
      <c r="Z422" t="n">
        <v>0.00101731</v>
      </c>
      <c r="AA422" t="n">
        <v>0.249</v>
      </c>
      <c r="AB422" t="n">
        <v>27.2352</v>
      </c>
      <c r="AC422" t="n">
        <v>27.2352</v>
      </c>
      <c r="AD422" t="n">
        <v>385.6671</v>
      </c>
      <c r="AE422" t="n">
        <v>4379.5011</v>
      </c>
      <c r="AF422" t="n">
        <v>0.99</v>
      </c>
      <c r="AG422" t="inlineStr">
        <is>
          <t>Medium</t>
        </is>
      </c>
      <c r="AH422" t="inlineStr">
        <is>
          <t>On Track to Glide Path</t>
        </is>
      </c>
    </row>
    <row r="423">
      <c r="A423" t="inlineStr">
        <is>
          <t>SUP-0027</t>
        </is>
      </c>
      <c r="B423" t="inlineStr">
        <is>
          <t>Metals Supplier 027</t>
        </is>
      </c>
      <c r="C423" t="inlineStr">
        <is>
          <t>Metals</t>
        </is>
      </c>
      <c r="D423" t="n">
        <v>2024</v>
      </c>
      <c r="E423" t="n">
        <v>2019</v>
      </c>
      <c r="F423" t="n">
        <v>2030</v>
      </c>
      <c r="G423" t="inlineStr"/>
      <c r="H423" t="n">
        <v>105.1004</v>
      </c>
      <c r="I423" t="n">
        <v>99.26179999999999</v>
      </c>
      <c r="J423" t="n">
        <v>557.8825000000001</v>
      </c>
      <c r="K423" t="n">
        <v>807454.96</v>
      </c>
      <c r="L423" t="n">
        <v>4098288.76</v>
      </c>
      <c r="M423" t="n">
        <v>762.2447</v>
      </c>
      <c r="N423" t="inlineStr">
        <is>
          <t>Scope 1 + Scope 2 + Scope 3</t>
        </is>
      </c>
      <c r="O423" t="b">
        <v>1</v>
      </c>
      <c r="P423" t="inlineStr">
        <is>
          <t>High</t>
        </is>
      </c>
      <c r="Q423" t="inlineStr">
        <is>
          <t>Reported_Emissions</t>
        </is>
      </c>
      <c r="R423" t="inlineStr">
        <is>
          <t>Valid</t>
        </is>
      </c>
      <c r="S423" t="n">
        <v>2030</v>
      </c>
      <c r="T423" t="inlineStr">
        <is>
          <t>Supplier Target Pathway</t>
        </is>
      </c>
      <c r="U423" t="n">
        <v>1093.7815</v>
      </c>
      <c r="V423" t="n">
        <v>794.1947</v>
      </c>
      <c r="W423" t="n">
        <v>794.1947</v>
      </c>
      <c r="X423" t="n">
        <v>794.1947</v>
      </c>
      <c r="Y423" t="n">
        <v>299.5868</v>
      </c>
      <c r="Z423" t="n">
        <v>0.00098358</v>
      </c>
      <c r="AA423" t="n">
        <v>0.2739</v>
      </c>
      <c r="AB423" t="n">
        <v>0</v>
      </c>
      <c r="AC423" t="n">
        <v>27.2352</v>
      </c>
      <c r="AD423" t="n">
        <v>-408.5276</v>
      </c>
      <c r="AE423" t="n">
        <v>5173.6958</v>
      </c>
      <c r="AF423" t="n">
        <v>0.99</v>
      </c>
      <c r="AG423" t="inlineStr">
        <is>
          <t>Low</t>
        </is>
      </c>
      <c r="AH423" t="inlineStr">
        <is>
          <t>On Track</t>
        </is>
      </c>
    </row>
    <row r="424">
      <c r="A424" t="inlineStr">
        <is>
          <t>SUP-0027</t>
        </is>
      </c>
      <c r="B424" t="inlineStr">
        <is>
          <t>Metals Supplier 027</t>
        </is>
      </c>
      <c r="C424" t="inlineStr">
        <is>
          <t>Metals</t>
        </is>
      </c>
      <c r="D424" t="n">
        <v>2024</v>
      </c>
      <c r="E424" t="n">
        <v>2019</v>
      </c>
      <c r="F424" t="n">
        <v>2030</v>
      </c>
      <c r="G424" t="inlineStr"/>
      <c r="H424" t="n">
        <v>105.1004</v>
      </c>
      <c r="I424" t="n">
        <v>99.26179999999999</v>
      </c>
      <c r="J424" t="n">
        <v>557.8825000000001</v>
      </c>
      <c r="K424" t="n">
        <v>807454.96</v>
      </c>
      <c r="L424" t="n">
        <v>4098288.76</v>
      </c>
      <c r="M424" t="n">
        <v>762.2447</v>
      </c>
      <c r="N424" t="inlineStr">
        <is>
          <t>Scope 1 + Scope 2 + Scope 3</t>
        </is>
      </c>
      <c r="O424" t="b">
        <v>1</v>
      </c>
      <c r="P424" t="inlineStr">
        <is>
          <t>High</t>
        </is>
      </c>
      <c r="Q424" t="inlineStr">
        <is>
          <t>Reported_Emissions</t>
        </is>
      </c>
      <c r="R424" t="inlineStr">
        <is>
          <t>Valid</t>
        </is>
      </c>
      <c r="S424" t="n">
        <v>2031</v>
      </c>
      <c r="T424" t="inlineStr">
        <is>
          <t>Supplier Target Pathway</t>
        </is>
      </c>
      <c r="U424" t="n">
        <v>1093.7815</v>
      </c>
      <c r="V424" t="n">
        <v>794.1947</v>
      </c>
      <c r="W424" t="n">
        <v>794.1947</v>
      </c>
      <c r="X424" t="n">
        <v>794.1947</v>
      </c>
      <c r="Y424" t="n">
        <v>299.5868</v>
      </c>
      <c r="Z424" t="n">
        <v>0.00098358</v>
      </c>
      <c r="AA424" t="n">
        <v>0.2739</v>
      </c>
      <c r="AB424" t="n">
        <v>0</v>
      </c>
      <c r="AC424" t="n">
        <v>27.2352</v>
      </c>
      <c r="AD424" t="n">
        <v>-1202.7223</v>
      </c>
      <c r="AE424" t="n">
        <v>5967.8905</v>
      </c>
      <c r="AF424" t="n">
        <v>0.99</v>
      </c>
      <c r="AG424" t="inlineStr">
        <is>
          <t>Low</t>
        </is>
      </c>
      <c r="AH424" t="inlineStr">
        <is>
          <t>On Track</t>
        </is>
      </c>
    </row>
    <row r="425">
      <c r="A425" t="inlineStr">
        <is>
          <t>SUP-0027</t>
        </is>
      </c>
      <c r="B425" t="inlineStr">
        <is>
          <t>Metals Supplier 027</t>
        </is>
      </c>
      <c r="C425" t="inlineStr">
        <is>
          <t>Metals</t>
        </is>
      </c>
      <c r="D425" t="n">
        <v>2024</v>
      </c>
      <c r="E425" t="n">
        <v>2019</v>
      </c>
      <c r="F425" t="n">
        <v>2030</v>
      </c>
      <c r="G425" t="inlineStr"/>
      <c r="H425" t="n">
        <v>105.1004</v>
      </c>
      <c r="I425" t="n">
        <v>99.26179999999999</v>
      </c>
      <c r="J425" t="n">
        <v>557.8825000000001</v>
      </c>
      <c r="K425" t="n">
        <v>807454.96</v>
      </c>
      <c r="L425" t="n">
        <v>4098288.76</v>
      </c>
      <c r="M425" t="n">
        <v>762.2447</v>
      </c>
      <c r="N425" t="inlineStr">
        <is>
          <t>Scope 1 + Scope 2 + Scope 3</t>
        </is>
      </c>
      <c r="O425" t="b">
        <v>1</v>
      </c>
      <c r="P425" t="inlineStr">
        <is>
          <t>High</t>
        </is>
      </c>
      <c r="Q425" t="inlineStr">
        <is>
          <t>Reported_Emissions</t>
        </is>
      </c>
      <c r="R425" t="inlineStr">
        <is>
          <t>Valid</t>
        </is>
      </c>
      <c r="S425" t="n">
        <v>2032</v>
      </c>
      <c r="T425" t="inlineStr">
        <is>
          <t>Supplier Target Pathway</t>
        </is>
      </c>
      <c r="U425" t="n">
        <v>1093.7815</v>
      </c>
      <c r="V425" t="n">
        <v>794.1947</v>
      </c>
      <c r="W425" t="n">
        <v>794.1947</v>
      </c>
      <c r="X425" t="n">
        <v>794.1947</v>
      </c>
      <c r="Y425" t="n">
        <v>299.5868</v>
      </c>
      <c r="Z425" t="n">
        <v>0.00098358</v>
      </c>
      <c r="AA425" t="n">
        <v>0.2739</v>
      </c>
      <c r="AB425" t="n">
        <v>0</v>
      </c>
      <c r="AC425" t="n">
        <v>27.2352</v>
      </c>
      <c r="AD425" t="n">
        <v>-1996.917</v>
      </c>
      <c r="AE425" t="n">
        <v>6762.0852</v>
      </c>
      <c r="AF425" t="n">
        <v>0.99</v>
      </c>
      <c r="AG425" t="inlineStr">
        <is>
          <t>Low</t>
        </is>
      </c>
      <c r="AH425" t="inlineStr">
        <is>
          <t>On Track</t>
        </is>
      </c>
    </row>
    <row r="426">
      <c r="A426" t="inlineStr">
        <is>
          <t>SUP-0027</t>
        </is>
      </c>
      <c r="B426" t="inlineStr">
        <is>
          <t>Metals Supplier 027</t>
        </is>
      </c>
      <c r="C426" t="inlineStr">
        <is>
          <t>Metals</t>
        </is>
      </c>
      <c r="D426" t="n">
        <v>2024</v>
      </c>
      <c r="E426" t="n">
        <v>2019</v>
      </c>
      <c r="F426" t="n">
        <v>2030</v>
      </c>
      <c r="G426" t="inlineStr"/>
      <c r="H426" t="n">
        <v>105.1004</v>
      </c>
      <c r="I426" t="n">
        <v>99.26179999999999</v>
      </c>
      <c r="J426" t="n">
        <v>557.8825000000001</v>
      </c>
      <c r="K426" t="n">
        <v>807454.96</v>
      </c>
      <c r="L426" t="n">
        <v>4098288.76</v>
      </c>
      <c r="M426" t="n">
        <v>762.2447</v>
      </c>
      <c r="N426" t="inlineStr">
        <is>
          <t>Scope 1 + Scope 2 + Scope 3</t>
        </is>
      </c>
      <c r="O426" t="b">
        <v>1</v>
      </c>
      <c r="P426" t="inlineStr">
        <is>
          <t>High</t>
        </is>
      </c>
      <c r="Q426" t="inlineStr">
        <is>
          <t>Reported_Emissions</t>
        </is>
      </c>
      <c r="R426" t="inlineStr">
        <is>
          <t>Valid</t>
        </is>
      </c>
      <c r="S426" t="n">
        <v>2033</v>
      </c>
      <c r="T426" t="inlineStr">
        <is>
          <t>Supplier Target Pathway</t>
        </is>
      </c>
      <c r="U426" t="n">
        <v>1093.7815</v>
      </c>
      <c r="V426" t="n">
        <v>794.1947</v>
      </c>
      <c r="W426" t="n">
        <v>794.1947</v>
      </c>
      <c r="X426" t="n">
        <v>794.1947</v>
      </c>
      <c r="Y426" t="n">
        <v>299.5868</v>
      </c>
      <c r="Z426" t="n">
        <v>0.00098358</v>
      </c>
      <c r="AA426" t="n">
        <v>0.2739</v>
      </c>
      <c r="AB426" t="n">
        <v>0</v>
      </c>
      <c r="AC426" t="n">
        <v>27.2352</v>
      </c>
      <c r="AD426" t="n">
        <v>-2791.1117</v>
      </c>
      <c r="AE426" t="n">
        <v>7556.2799</v>
      </c>
      <c r="AF426" t="n">
        <v>0.99</v>
      </c>
      <c r="AG426" t="inlineStr">
        <is>
          <t>Low</t>
        </is>
      </c>
      <c r="AH426" t="inlineStr">
        <is>
          <t>On Track</t>
        </is>
      </c>
    </row>
    <row r="427">
      <c r="A427" t="inlineStr">
        <is>
          <t>SUP-0027</t>
        </is>
      </c>
      <c r="B427" t="inlineStr">
        <is>
          <t>Metals Supplier 027</t>
        </is>
      </c>
      <c r="C427" t="inlineStr">
        <is>
          <t>Metals</t>
        </is>
      </c>
      <c r="D427" t="n">
        <v>2024</v>
      </c>
      <c r="E427" t="n">
        <v>2019</v>
      </c>
      <c r="F427" t="n">
        <v>2030</v>
      </c>
      <c r="G427" t="inlineStr"/>
      <c r="H427" t="n">
        <v>105.1004</v>
      </c>
      <c r="I427" t="n">
        <v>99.26179999999999</v>
      </c>
      <c r="J427" t="n">
        <v>557.8825000000001</v>
      </c>
      <c r="K427" t="n">
        <v>807454.96</v>
      </c>
      <c r="L427" t="n">
        <v>4098288.76</v>
      </c>
      <c r="M427" t="n">
        <v>762.2447</v>
      </c>
      <c r="N427" t="inlineStr">
        <is>
          <t>Scope 1 + Scope 2 + Scope 3</t>
        </is>
      </c>
      <c r="O427" t="b">
        <v>1</v>
      </c>
      <c r="P427" t="inlineStr">
        <is>
          <t>High</t>
        </is>
      </c>
      <c r="Q427" t="inlineStr">
        <is>
          <t>Reported_Emissions</t>
        </is>
      </c>
      <c r="R427" t="inlineStr">
        <is>
          <t>Valid</t>
        </is>
      </c>
      <c r="S427" t="n">
        <v>2034</v>
      </c>
      <c r="T427" t="inlineStr">
        <is>
          <t>Supplier Target Pathway</t>
        </is>
      </c>
      <c r="U427" t="n">
        <v>1093.7815</v>
      </c>
      <c r="V427" t="n">
        <v>794.1947</v>
      </c>
      <c r="W427" t="n">
        <v>794.1947</v>
      </c>
      <c r="X427" t="n">
        <v>794.1947</v>
      </c>
      <c r="Y427" t="n">
        <v>299.5868</v>
      </c>
      <c r="Z427" t="n">
        <v>0.00098358</v>
      </c>
      <c r="AA427" t="n">
        <v>0.2739</v>
      </c>
      <c r="AB427" t="n">
        <v>0</v>
      </c>
      <c r="AC427" t="n">
        <v>27.2352</v>
      </c>
      <c r="AD427" t="n">
        <v>-3585.3064</v>
      </c>
      <c r="AE427" t="n">
        <v>8350.4746</v>
      </c>
      <c r="AF427" t="n">
        <v>0.99</v>
      </c>
      <c r="AG427" t="inlineStr">
        <is>
          <t>Low</t>
        </is>
      </c>
      <c r="AH427" t="inlineStr">
        <is>
          <t>On Track</t>
        </is>
      </c>
    </row>
    <row r="428">
      <c r="A428" t="inlineStr">
        <is>
          <t>SUP-0027</t>
        </is>
      </c>
      <c r="B428" t="inlineStr">
        <is>
          <t>Metals Supplier 027</t>
        </is>
      </c>
      <c r="C428" t="inlineStr">
        <is>
          <t>Metals</t>
        </is>
      </c>
      <c r="D428" t="n">
        <v>2024</v>
      </c>
      <c r="E428" t="n">
        <v>2019</v>
      </c>
      <c r="F428" t="n">
        <v>2030</v>
      </c>
      <c r="G428" t="inlineStr"/>
      <c r="H428" t="n">
        <v>105.1004</v>
      </c>
      <c r="I428" t="n">
        <v>99.26179999999999</v>
      </c>
      <c r="J428" t="n">
        <v>557.8825000000001</v>
      </c>
      <c r="K428" t="n">
        <v>807454.96</v>
      </c>
      <c r="L428" t="n">
        <v>4098288.76</v>
      </c>
      <c r="M428" t="n">
        <v>762.2447</v>
      </c>
      <c r="N428" t="inlineStr">
        <is>
          <t>Scope 1 + Scope 2 + Scope 3</t>
        </is>
      </c>
      <c r="O428" t="b">
        <v>1</v>
      </c>
      <c r="P428" t="inlineStr">
        <is>
          <t>High</t>
        </is>
      </c>
      <c r="Q428" t="inlineStr">
        <is>
          <t>Reported_Emissions</t>
        </is>
      </c>
      <c r="R428" t="inlineStr">
        <is>
          <t>Valid</t>
        </is>
      </c>
      <c r="S428" t="n">
        <v>2035</v>
      </c>
      <c r="T428" t="inlineStr">
        <is>
          <t>Supplier Target Pathway</t>
        </is>
      </c>
      <c r="U428" t="n">
        <v>1093.7815</v>
      </c>
      <c r="V428" t="n">
        <v>794.1947</v>
      </c>
      <c r="W428" t="n">
        <v>794.1947</v>
      </c>
      <c r="X428" t="n">
        <v>794.1947</v>
      </c>
      <c r="Y428" t="n">
        <v>299.5868</v>
      </c>
      <c r="Z428" t="n">
        <v>0.00098358</v>
      </c>
      <c r="AA428" t="n">
        <v>0.2739</v>
      </c>
      <c r="AB428" t="n">
        <v>0</v>
      </c>
      <c r="AC428" t="n">
        <v>27.2352</v>
      </c>
      <c r="AD428" t="n">
        <v>-4379.5011</v>
      </c>
      <c r="AE428" t="n">
        <v>9144.6693</v>
      </c>
      <c r="AF428" t="n">
        <v>0.99</v>
      </c>
      <c r="AG428" t="inlineStr">
        <is>
          <t>Low</t>
        </is>
      </c>
      <c r="AH428" t="inlineStr">
        <is>
          <t>On Track</t>
        </is>
      </c>
    </row>
    <row r="429">
      <c r="A429" t="inlineStr">
        <is>
          <t>SUP-0027</t>
        </is>
      </c>
      <c r="B429" t="inlineStr">
        <is>
          <t>Metals Supplier 027</t>
        </is>
      </c>
      <c r="C429" t="inlineStr">
        <is>
          <t>Metals</t>
        </is>
      </c>
      <c r="D429" t="n">
        <v>2024</v>
      </c>
      <c r="E429" t="n">
        <v>2019</v>
      </c>
      <c r="F429" t="n">
        <v>2030</v>
      </c>
      <c r="G429" t="inlineStr"/>
      <c r="H429" t="n">
        <v>105.1004</v>
      </c>
      <c r="I429" t="n">
        <v>99.26179999999999</v>
      </c>
      <c r="J429" t="n">
        <v>557.8825000000001</v>
      </c>
      <c r="K429" t="n">
        <v>807454.96</v>
      </c>
      <c r="L429" t="n">
        <v>4098288.76</v>
      </c>
      <c r="M429" t="n">
        <v>762.2447</v>
      </c>
      <c r="N429" t="inlineStr">
        <is>
          <t>Scope 1 + Scope 2 + Scope 3</t>
        </is>
      </c>
      <c r="O429" t="b">
        <v>1</v>
      </c>
      <c r="P429" t="inlineStr">
        <is>
          <t>High</t>
        </is>
      </c>
      <c r="Q429" t="inlineStr">
        <is>
          <t>Reported_Emissions</t>
        </is>
      </c>
      <c r="R429" t="inlineStr">
        <is>
          <t>Valid</t>
        </is>
      </c>
      <c r="S429" t="n">
        <v>2036</v>
      </c>
      <c r="T429" t="inlineStr">
        <is>
          <t>Supplier Target Pathway</t>
        </is>
      </c>
      <c r="U429" t="n">
        <v>1093.7815</v>
      </c>
      <c r="V429" t="n">
        <v>794.1947</v>
      </c>
      <c r="W429" t="n">
        <v>794.1947</v>
      </c>
      <c r="X429" t="n">
        <v>794.1947</v>
      </c>
      <c r="Y429" t="n">
        <v>299.5868</v>
      </c>
      <c r="Z429" t="n">
        <v>0.00098358</v>
      </c>
      <c r="AA429" t="n">
        <v>0.2739</v>
      </c>
      <c r="AB429" t="n">
        <v>0</v>
      </c>
      <c r="AC429" t="n">
        <v>27.2352</v>
      </c>
      <c r="AD429" t="n">
        <v>-5173.6958</v>
      </c>
      <c r="AE429" t="n">
        <v>9938.864</v>
      </c>
      <c r="AF429" t="n">
        <v>0.99</v>
      </c>
      <c r="AG429" t="inlineStr">
        <is>
          <t>Low</t>
        </is>
      </c>
      <c r="AH429" t="inlineStr">
        <is>
          <t>On Track</t>
        </is>
      </c>
    </row>
    <row r="430">
      <c r="A430" t="inlineStr">
        <is>
          <t>SUP-0027</t>
        </is>
      </c>
      <c r="B430" t="inlineStr">
        <is>
          <t>Metals Supplier 027</t>
        </is>
      </c>
      <c r="C430" t="inlineStr">
        <is>
          <t>Metals</t>
        </is>
      </c>
      <c r="D430" t="n">
        <v>2024</v>
      </c>
      <c r="E430" t="n">
        <v>2019</v>
      </c>
      <c r="F430" t="n">
        <v>2030</v>
      </c>
      <c r="G430" t="inlineStr"/>
      <c r="H430" t="n">
        <v>105.1004</v>
      </c>
      <c r="I430" t="n">
        <v>99.26179999999999</v>
      </c>
      <c r="J430" t="n">
        <v>557.8825000000001</v>
      </c>
      <c r="K430" t="n">
        <v>807454.96</v>
      </c>
      <c r="L430" t="n">
        <v>4098288.76</v>
      </c>
      <c r="M430" t="n">
        <v>762.2447</v>
      </c>
      <c r="N430" t="inlineStr">
        <is>
          <t>Scope 1 + Scope 2 + Scope 3</t>
        </is>
      </c>
      <c r="O430" t="b">
        <v>1</v>
      </c>
      <c r="P430" t="inlineStr">
        <is>
          <t>High</t>
        </is>
      </c>
      <c r="Q430" t="inlineStr">
        <is>
          <t>Reported_Emissions</t>
        </is>
      </c>
      <c r="R430" t="inlineStr">
        <is>
          <t>Valid</t>
        </is>
      </c>
      <c r="S430" t="n">
        <v>2037</v>
      </c>
      <c r="T430" t="inlineStr">
        <is>
          <t>Supplier Target Pathway</t>
        </is>
      </c>
      <c r="U430" t="n">
        <v>1093.7815</v>
      </c>
      <c r="V430" t="n">
        <v>794.1947</v>
      </c>
      <c r="W430" t="n">
        <v>794.1947</v>
      </c>
      <c r="X430" t="n">
        <v>794.1947</v>
      </c>
      <c r="Y430" t="n">
        <v>299.5868</v>
      </c>
      <c r="Z430" t="n">
        <v>0.00098358</v>
      </c>
      <c r="AA430" t="n">
        <v>0.2739</v>
      </c>
      <c r="AB430" t="n">
        <v>0</v>
      </c>
      <c r="AC430" t="n">
        <v>27.2352</v>
      </c>
      <c r="AD430" t="n">
        <v>-5967.8905</v>
      </c>
      <c r="AE430" t="n">
        <v>10733.0587</v>
      </c>
      <c r="AF430" t="n">
        <v>0.99</v>
      </c>
      <c r="AG430" t="inlineStr">
        <is>
          <t>Low</t>
        </is>
      </c>
      <c r="AH430" t="inlineStr">
        <is>
          <t>On Track</t>
        </is>
      </c>
    </row>
    <row r="431">
      <c r="A431" t="inlineStr">
        <is>
          <t>SUP-0027</t>
        </is>
      </c>
      <c r="B431" t="inlineStr">
        <is>
          <t>Metals Supplier 027</t>
        </is>
      </c>
      <c r="C431" t="inlineStr">
        <is>
          <t>Metals</t>
        </is>
      </c>
      <c r="D431" t="n">
        <v>2024</v>
      </c>
      <c r="E431" t="n">
        <v>2019</v>
      </c>
      <c r="F431" t="n">
        <v>2030</v>
      </c>
      <c r="G431" t="inlineStr"/>
      <c r="H431" t="n">
        <v>105.1004</v>
      </c>
      <c r="I431" t="n">
        <v>99.26179999999999</v>
      </c>
      <c r="J431" t="n">
        <v>557.8825000000001</v>
      </c>
      <c r="K431" t="n">
        <v>807454.96</v>
      </c>
      <c r="L431" t="n">
        <v>4098288.76</v>
      </c>
      <c r="M431" t="n">
        <v>762.2447</v>
      </c>
      <c r="N431" t="inlineStr">
        <is>
          <t>Scope 1 + Scope 2 + Scope 3</t>
        </is>
      </c>
      <c r="O431" t="b">
        <v>1</v>
      </c>
      <c r="P431" t="inlineStr">
        <is>
          <t>High</t>
        </is>
      </c>
      <c r="Q431" t="inlineStr">
        <is>
          <t>Reported_Emissions</t>
        </is>
      </c>
      <c r="R431" t="inlineStr">
        <is>
          <t>Valid</t>
        </is>
      </c>
      <c r="S431" t="n">
        <v>2038</v>
      </c>
      <c r="T431" t="inlineStr">
        <is>
          <t>Supplier Target Pathway</t>
        </is>
      </c>
      <c r="U431" t="n">
        <v>1093.7815</v>
      </c>
      <c r="V431" t="n">
        <v>794.1947</v>
      </c>
      <c r="W431" t="n">
        <v>794.1947</v>
      </c>
      <c r="X431" t="n">
        <v>794.1947</v>
      </c>
      <c r="Y431" t="n">
        <v>299.5868</v>
      </c>
      <c r="Z431" t="n">
        <v>0.00098358</v>
      </c>
      <c r="AA431" t="n">
        <v>0.2739</v>
      </c>
      <c r="AB431" t="n">
        <v>0</v>
      </c>
      <c r="AC431" t="n">
        <v>27.2352</v>
      </c>
      <c r="AD431" t="n">
        <v>-6762.0852</v>
      </c>
      <c r="AE431" t="n">
        <v>11527.2534</v>
      </c>
      <c r="AF431" t="n">
        <v>0.99</v>
      </c>
      <c r="AG431" t="inlineStr">
        <is>
          <t>Low</t>
        </is>
      </c>
      <c r="AH431" t="inlineStr">
        <is>
          <t>On Track</t>
        </is>
      </c>
    </row>
    <row r="432">
      <c r="A432" t="inlineStr">
        <is>
          <t>SUP-0027</t>
        </is>
      </c>
      <c r="B432" t="inlineStr">
        <is>
          <t>Metals Supplier 027</t>
        </is>
      </c>
      <c r="C432" t="inlineStr">
        <is>
          <t>Metals</t>
        </is>
      </c>
      <c r="D432" t="n">
        <v>2024</v>
      </c>
      <c r="E432" t="n">
        <v>2019</v>
      </c>
      <c r="F432" t="n">
        <v>2030</v>
      </c>
      <c r="G432" t="inlineStr"/>
      <c r="H432" t="n">
        <v>105.1004</v>
      </c>
      <c r="I432" t="n">
        <v>99.26179999999999</v>
      </c>
      <c r="J432" t="n">
        <v>557.8825000000001</v>
      </c>
      <c r="K432" t="n">
        <v>807454.96</v>
      </c>
      <c r="L432" t="n">
        <v>4098288.76</v>
      </c>
      <c r="M432" t="n">
        <v>762.2447</v>
      </c>
      <c r="N432" t="inlineStr">
        <is>
          <t>Scope 1 + Scope 2 + Scope 3</t>
        </is>
      </c>
      <c r="O432" t="b">
        <v>1</v>
      </c>
      <c r="P432" t="inlineStr">
        <is>
          <t>High</t>
        </is>
      </c>
      <c r="Q432" t="inlineStr">
        <is>
          <t>Reported_Emissions</t>
        </is>
      </c>
      <c r="R432" t="inlineStr">
        <is>
          <t>Valid</t>
        </is>
      </c>
      <c r="S432" t="n">
        <v>2039</v>
      </c>
      <c r="T432" t="inlineStr">
        <is>
          <t>Supplier Target Pathway</t>
        </is>
      </c>
      <c r="U432" t="n">
        <v>1093.7815</v>
      </c>
      <c r="V432" t="n">
        <v>794.1947</v>
      </c>
      <c r="W432" t="n">
        <v>794.1947</v>
      </c>
      <c r="X432" t="n">
        <v>794.1947</v>
      </c>
      <c r="Y432" t="n">
        <v>299.5868</v>
      </c>
      <c r="Z432" t="n">
        <v>0.00098358</v>
      </c>
      <c r="AA432" t="n">
        <v>0.2739</v>
      </c>
      <c r="AB432" t="n">
        <v>0</v>
      </c>
      <c r="AC432" t="n">
        <v>27.2352</v>
      </c>
      <c r="AD432" t="n">
        <v>-7556.2799</v>
      </c>
      <c r="AE432" t="n">
        <v>12321.4481</v>
      </c>
      <c r="AF432" t="n">
        <v>0.99</v>
      </c>
      <c r="AG432" t="inlineStr">
        <is>
          <t>Low</t>
        </is>
      </c>
      <c r="AH432" t="inlineStr">
        <is>
          <t>On Track</t>
        </is>
      </c>
    </row>
    <row r="433">
      <c r="A433" t="inlineStr">
        <is>
          <t>SUP-0027</t>
        </is>
      </c>
      <c r="B433" t="inlineStr">
        <is>
          <t>Metals Supplier 027</t>
        </is>
      </c>
      <c r="C433" t="inlineStr">
        <is>
          <t>Metals</t>
        </is>
      </c>
      <c r="D433" t="n">
        <v>2024</v>
      </c>
      <c r="E433" t="n">
        <v>2019</v>
      </c>
      <c r="F433" t="n">
        <v>2030</v>
      </c>
      <c r="G433" t="inlineStr"/>
      <c r="H433" t="n">
        <v>105.1004</v>
      </c>
      <c r="I433" t="n">
        <v>99.26179999999999</v>
      </c>
      <c r="J433" t="n">
        <v>557.8825000000001</v>
      </c>
      <c r="K433" t="n">
        <v>807454.96</v>
      </c>
      <c r="L433" t="n">
        <v>4098288.76</v>
      </c>
      <c r="M433" t="n">
        <v>762.2447</v>
      </c>
      <c r="N433" t="inlineStr">
        <is>
          <t>Scope 1 + Scope 2 + Scope 3</t>
        </is>
      </c>
      <c r="O433" t="b">
        <v>1</v>
      </c>
      <c r="P433" t="inlineStr">
        <is>
          <t>High</t>
        </is>
      </c>
      <c r="Q433" t="inlineStr">
        <is>
          <t>Reported_Emissions</t>
        </is>
      </c>
      <c r="R433" t="inlineStr">
        <is>
          <t>Valid</t>
        </is>
      </c>
      <c r="S433" t="n">
        <v>2040</v>
      </c>
      <c r="T433" t="inlineStr">
        <is>
          <t>Supplier Target Pathway</t>
        </is>
      </c>
      <c r="U433" t="n">
        <v>1093.7815</v>
      </c>
      <c r="V433" t="n">
        <v>794.1947</v>
      </c>
      <c r="W433" t="n">
        <v>794.1947</v>
      </c>
      <c r="X433" t="n">
        <v>794.1947</v>
      </c>
      <c r="Y433" t="n">
        <v>299.5868</v>
      </c>
      <c r="Z433" t="n">
        <v>0.00098358</v>
      </c>
      <c r="AA433" t="n">
        <v>0.2739</v>
      </c>
      <c r="AB433" t="n">
        <v>0</v>
      </c>
      <c r="AC433" t="n">
        <v>27.2352</v>
      </c>
      <c r="AD433" t="n">
        <v>-8350.4746</v>
      </c>
      <c r="AE433" t="n">
        <v>13115.6428</v>
      </c>
      <c r="AF433" t="n">
        <v>0.99</v>
      </c>
      <c r="AG433" t="inlineStr">
        <is>
          <t>Low</t>
        </is>
      </c>
      <c r="AH433" t="inlineStr">
        <is>
          <t>On Track</t>
        </is>
      </c>
    </row>
    <row r="434">
      <c r="A434" t="inlineStr">
        <is>
          <t>SUP-0028</t>
        </is>
      </c>
      <c r="B434" t="inlineStr">
        <is>
          <t>Professional Supplier 028</t>
        </is>
      </c>
      <c r="C434" t="inlineStr">
        <is>
          <t>Professional Services</t>
        </is>
      </c>
      <c r="D434" t="n">
        <v>2024</v>
      </c>
      <c r="E434" t="n">
        <v>2020</v>
      </c>
      <c r="F434" t="n">
        <v>2035</v>
      </c>
      <c r="G434" t="n">
        <v>1741.4047</v>
      </c>
      <c r="H434" t="n">
        <v>388.2657</v>
      </c>
      <c r="I434" t="n">
        <v>234.8407</v>
      </c>
      <c r="J434" t="n">
        <v>993.9453</v>
      </c>
      <c r="K434" t="n">
        <v>9677584.16</v>
      </c>
      <c r="L434" t="n">
        <v>43385189.05</v>
      </c>
      <c r="M434" t="n">
        <v>1741.4047</v>
      </c>
      <c r="N434" t="inlineStr">
        <is>
          <t>Supplier Reported Emissions</t>
        </is>
      </c>
      <c r="O434" t="b">
        <v>0</v>
      </c>
      <c r="P434" t="inlineStr">
        <is>
          <t>High</t>
        </is>
      </c>
      <c r="Q434" t="inlineStr">
        <is>
          <t>None</t>
        </is>
      </c>
      <c r="R434" t="inlineStr">
        <is>
          <t>Valid</t>
        </is>
      </c>
      <c r="S434" t="n">
        <v>2025</v>
      </c>
      <c r="T434" t="inlineStr">
        <is>
          <t>Supplier Target Pathway</t>
        </is>
      </c>
      <c r="U434" t="n">
        <v>1451.4961</v>
      </c>
      <c r="V434" t="n">
        <v>631.6911</v>
      </c>
      <c r="W434" t="n">
        <v>1178.2278</v>
      </c>
      <c r="X434" t="n">
        <v>1178.2278</v>
      </c>
      <c r="Y434" t="n">
        <v>273.2683</v>
      </c>
      <c r="Z434" t="n">
        <v>0.00012175</v>
      </c>
      <c r="AA434" t="n">
        <v>0.188267</v>
      </c>
      <c r="AB434" t="n">
        <v>546.5367</v>
      </c>
      <c r="AC434" t="n">
        <v>54.6537</v>
      </c>
      <c r="AD434" t="n">
        <v>5770.3743</v>
      </c>
      <c r="AE434" t="n">
        <v>1178.2278</v>
      </c>
      <c r="AF434" t="n">
        <v>0.99</v>
      </c>
      <c r="AG434" t="inlineStr">
        <is>
          <t>Critical</t>
        </is>
      </c>
      <c r="AH434" t="inlineStr">
        <is>
          <t>On Track to Glide Path</t>
        </is>
      </c>
    </row>
    <row r="435">
      <c r="A435" t="inlineStr">
        <is>
          <t>SUP-0028</t>
        </is>
      </c>
      <c r="B435" t="inlineStr">
        <is>
          <t>Professional Supplier 028</t>
        </is>
      </c>
      <c r="C435" t="inlineStr">
        <is>
          <t>Professional Services</t>
        </is>
      </c>
      <c r="D435" t="n">
        <v>2024</v>
      </c>
      <c r="E435" t="n">
        <v>2020</v>
      </c>
      <c r="F435" t="n">
        <v>2035</v>
      </c>
      <c r="G435" t="n">
        <v>1741.4047</v>
      </c>
      <c r="H435" t="n">
        <v>388.2657</v>
      </c>
      <c r="I435" t="n">
        <v>234.8407</v>
      </c>
      <c r="J435" t="n">
        <v>993.9453</v>
      </c>
      <c r="K435" t="n">
        <v>9677584.16</v>
      </c>
      <c r="L435" t="n">
        <v>43385189.05</v>
      </c>
      <c r="M435" t="n">
        <v>1741.4047</v>
      </c>
      <c r="N435" t="inlineStr">
        <is>
          <t>Supplier Reported Emissions</t>
        </is>
      </c>
      <c r="O435" t="b">
        <v>0</v>
      </c>
      <c r="P435" t="inlineStr">
        <is>
          <t>High</t>
        </is>
      </c>
      <c r="Q435" t="inlineStr">
        <is>
          <t>None</t>
        </is>
      </c>
      <c r="R435" t="inlineStr">
        <is>
          <t>Valid</t>
        </is>
      </c>
      <c r="S435" t="n">
        <v>2026</v>
      </c>
      <c r="T435" t="inlineStr">
        <is>
          <t>Supplier Target Pathway</t>
        </is>
      </c>
      <c r="U435" t="n">
        <v>1451.4961</v>
      </c>
      <c r="V435" t="n">
        <v>631.6911</v>
      </c>
      <c r="W435" t="n">
        <v>1123.5741</v>
      </c>
      <c r="X435" t="n">
        <v>1123.5741</v>
      </c>
      <c r="Y435" t="n">
        <v>327.922</v>
      </c>
      <c r="Z435" t="n">
        <v>0.0001161</v>
      </c>
      <c r="AA435" t="n">
        <v>0.22592</v>
      </c>
      <c r="AB435" t="n">
        <v>491.883</v>
      </c>
      <c r="AC435" t="n">
        <v>54.6537</v>
      </c>
      <c r="AD435" t="n">
        <v>4646.8002</v>
      </c>
      <c r="AE435" t="n">
        <v>2301.8019</v>
      </c>
      <c r="AF435" t="n">
        <v>0.99</v>
      </c>
      <c r="AG435" t="inlineStr">
        <is>
          <t>Critical</t>
        </is>
      </c>
      <c r="AH435" t="inlineStr">
        <is>
          <t>On Track to Glide Path</t>
        </is>
      </c>
    </row>
    <row r="436">
      <c r="A436" t="inlineStr">
        <is>
          <t>SUP-0028</t>
        </is>
      </c>
      <c r="B436" t="inlineStr">
        <is>
          <t>Professional Supplier 028</t>
        </is>
      </c>
      <c r="C436" t="inlineStr">
        <is>
          <t>Professional Services</t>
        </is>
      </c>
      <c r="D436" t="n">
        <v>2024</v>
      </c>
      <c r="E436" t="n">
        <v>2020</v>
      </c>
      <c r="F436" t="n">
        <v>2035</v>
      </c>
      <c r="G436" t="n">
        <v>1741.4047</v>
      </c>
      <c r="H436" t="n">
        <v>388.2657</v>
      </c>
      <c r="I436" t="n">
        <v>234.8407</v>
      </c>
      <c r="J436" t="n">
        <v>993.9453</v>
      </c>
      <c r="K436" t="n">
        <v>9677584.16</v>
      </c>
      <c r="L436" t="n">
        <v>43385189.05</v>
      </c>
      <c r="M436" t="n">
        <v>1741.4047</v>
      </c>
      <c r="N436" t="inlineStr">
        <is>
          <t>Supplier Reported Emissions</t>
        </is>
      </c>
      <c r="O436" t="b">
        <v>0</v>
      </c>
      <c r="P436" t="inlineStr">
        <is>
          <t>High</t>
        </is>
      </c>
      <c r="Q436" t="inlineStr">
        <is>
          <t>None</t>
        </is>
      </c>
      <c r="R436" t="inlineStr">
        <is>
          <t>Valid</t>
        </is>
      </c>
      <c r="S436" t="n">
        <v>2027</v>
      </c>
      <c r="T436" t="inlineStr">
        <is>
          <t>Supplier Target Pathway</t>
        </is>
      </c>
      <c r="U436" t="n">
        <v>1451.4961</v>
      </c>
      <c r="V436" t="n">
        <v>631.6911</v>
      </c>
      <c r="W436" t="n">
        <v>1068.9204</v>
      </c>
      <c r="X436" t="n">
        <v>1068.9204</v>
      </c>
      <c r="Y436" t="n">
        <v>382.5757</v>
      </c>
      <c r="Z436" t="n">
        <v>0.00011045</v>
      </c>
      <c r="AA436" t="n">
        <v>0.263573</v>
      </c>
      <c r="AB436" t="n">
        <v>437.2293</v>
      </c>
      <c r="AC436" t="n">
        <v>54.6537</v>
      </c>
      <c r="AD436" t="n">
        <v>3577.8798</v>
      </c>
      <c r="AE436" t="n">
        <v>3370.7223</v>
      </c>
      <c r="AF436" t="n">
        <v>0.99</v>
      </c>
      <c r="AG436" t="inlineStr">
        <is>
          <t>Critical</t>
        </is>
      </c>
      <c r="AH436" t="inlineStr">
        <is>
          <t>On Track to Glide Path</t>
        </is>
      </c>
    </row>
    <row r="437">
      <c r="A437" t="inlineStr">
        <is>
          <t>SUP-0028</t>
        </is>
      </c>
      <c r="B437" t="inlineStr">
        <is>
          <t>Professional Supplier 028</t>
        </is>
      </c>
      <c r="C437" t="inlineStr">
        <is>
          <t>Professional Services</t>
        </is>
      </c>
      <c r="D437" t="n">
        <v>2024</v>
      </c>
      <c r="E437" t="n">
        <v>2020</v>
      </c>
      <c r="F437" t="n">
        <v>2035</v>
      </c>
      <c r="G437" t="n">
        <v>1741.4047</v>
      </c>
      <c r="H437" t="n">
        <v>388.2657</v>
      </c>
      <c r="I437" t="n">
        <v>234.8407</v>
      </c>
      <c r="J437" t="n">
        <v>993.9453</v>
      </c>
      <c r="K437" t="n">
        <v>9677584.16</v>
      </c>
      <c r="L437" t="n">
        <v>43385189.05</v>
      </c>
      <c r="M437" t="n">
        <v>1741.4047</v>
      </c>
      <c r="N437" t="inlineStr">
        <is>
          <t>Supplier Reported Emissions</t>
        </is>
      </c>
      <c r="O437" t="b">
        <v>0</v>
      </c>
      <c r="P437" t="inlineStr">
        <is>
          <t>High</t>
        </is>
      </c>
      <c r="Q437" t="inlineStr">
        <is>
          <t>None</t>
        </is>
      </c>
      <c r="R437" t="inlineStr">
        <is>
          <t>Valid</t>
        </is>
      </c>
      <c r="S437" t="n">
        <v>2028</v>
      </c>
      <c r="T437" t="inlineStr">
        <is>
          <t>Supplier Target Pathway</t>
        </is>
      </c>
      <c r="U437" t="n">
        <v>1451.4961</v>
      </c>
      <c r="V437" t="n">
        <v>631.6911</v>
      </c>
      <c r="W437" t="n">
        <v>1014.2668</v>
      </c>
      <c r="X437" t="n">
        <v>1014.2668</v>
      </c>
      <c r="Y437" t="n">
        <v>437.2293</v>
      </c>
      <c r="Z437" t="n">
        <v>0.00010481</v>
      </c>
      <c r="AA437" t="n">
        <v>0.301227</v>
      </c>
      <c r="AB437" t="n">
        <v>382.5757</v>
      </c>
      <c r="AC437" t="n">
        <v>54.6537</v>
      </c>
      <c r="AD437" t="n">
        <v>2563.613</v>
      </c>
      <c r="AE437" t="n">
        <v>4384.9891</v>
      </c>
      <c r="AF437" t="n">
        <v>0.99</v>
      </c>
      <c r="AG437" t="inlineStr">
        <is>
          <t>Critical</t>
        </is>
      </c>
      <c r="AH437" t="inlineStr">
        <is>
          <t>On Track to Glide Path</t>
        </is>
      </c>
    </row>
    <row r="438">
      <c r="A438" t="inlineStr">
        <is>
          <t>SUP-0028</t>
        </is>
      </c>
      <c r="B438" t="inlineStr">
        <is>
          <t>Professional Supplier 028</t>
        </is>
      </c>
      <c r="C438" t="inlineStr">
        <is>
          <t>Professional Services</t>
        </is>
      </c>
      <c r="D438" t="n">
        <v>2024</v>
      </c>
      <c r="E438" t="n">
        <v>2020</v>
      </c>
      <c r="F438" t="n">
        <v>2035</v>
      </c>
      <c r="G438" t="n">
        <v>1741.4047</v>
      </c>
      <c r="H438" t="n">
        <v>388.2657</v>
      </c>
      <c r="I438" t="n">
        <v>234.8407</v>
      </c>
      <c r="J438" t="n">
        <v>993.9453</v>
      </c>
      <c r="K438" t="n">
        <v>9677584.16</v>
      </c>
      <c r="L438" t="n">
        <v>43385189.05</v>
      </c>
      <c r="M438" t="n">
        <v>1741.4047</v>
      </c>
      <c r="N438" t="inlineStr">
        <is>
          <t>Supplier Reported Emissions</t>
        </is>
      </c>
      <c r="O438" t="b">
        <v>0</v>
      </c>
      <c r="P438" t="inlineStr">
        <is>
          <t>High</t>
        </is>
      </c>
      <c r="Q438" t="inlineStr">
        <is>
          <t>None</t>
        </is>
      </c>
      <c r="R438" t="inlineStr">
        <is>
          <t>Valid</t>
        </is>
      </c>
      <c r="S438" t="n">
        <v>2029</v>
      </c>
      <c r="T438" t="inlineStr">
        <is>
          <t>Supplier Target Pathway</t>
        </is>
      </c>
      <c r="U438" t="n">
        <v>1451.4961</v>
      </c>
      <c r="V438" t="n">
        <v>631.6911</v>
      </c>
      <c r="W438" t="n">
        <v>959.6131</v>
      </c>
      <c r="X438" t="n">
        <v>959.6131</v>
      </c>
      <c r="Y438" t="n">
        <v>491.883</v>
      </c>
      <c r="Z438" t="n">
        <v>9.916000000000001e-05</v>
      </c>
      <c r="AA438" t="n">
        <v>0.33888</v>
      </c>
      <c r="AB438" t="n">
        <v>327.922</v>
      </c>
      <c r="AC438" t="n">
        <v>54.6537</v>
      </c>
      <c r="AD438" t="n">
        <v>1603.9999</v>
      </c>
      <c r="AE438" t="n">
        <v>5344.6022</v>
      </c>
      <c r="AF438" t="n">
        <v>0.99</v>
      </c>
      <c r="AG438" t="inlineStr">
        <is>
          <t>Critical</t>
        </is>
      </c>
      <c r="AH438" t="inlineStr">
        <is>
          <t>On Track to Glide Path</t>
        </is>
      </c>
    </row>
    <row r="439">
      <c r="A439" t="inlineStr">
        <is>
          <t>SUP-0028</t>
        </is>
      </c>
      <c r="B439" t="inlineStr">
        <is>
          <t>Professional Supplier 028</t>
        </is>
      </c>
      <c r="C439" t="inlineStr">
        <is>
          <t>Professional Services</t>
        </is>
      </c>
      <c r="D439" t="n">
        <v>2024</v>
      </c>
      <c r="E439" t="n">
        <v>2020</v>
      </c>
      <c r="F439" t="n">
        <v>2035</v>
      </c>
      <c r="G439" t="n">
        <v>1741.4047</v>
      </c>
      <c r="H439" t="n">
        <v>388.2657</v>
      </c>
      <c r="I439" t="n">
        <v>234.8407</v>
      </c>
      <c r="J439" t="n">
        <v>993.9453</v>
      </c>
      <c r="K439" t="n">
        <v>9677584.16</v>
      </c>
      <c r="L439" t="n">
        <v>43385189.05</v>
      </c>
      <c r="M439" t="n">
        <v>1741.4047</v>
      </c>
      <c r="N439" t="inlineStr">
        <is>
          <t>Supplier Reported Emissions</t>
        </is>
      </c>
      <c r="O439" t="b">
        <v>0</v>
      </c>
      <c r="P439" t="inlineStr">
        <is>
          <t>High</t>
        </is>
      </c>
      <c r="Q439" t="inlineStr">
        <is>
          <t>None</t>
        </is>
      </c>
      <c r="R439" t="inlineStr">
        <is>
          <t>Valid</t>
        </is>
      </c>
      <c r="S439" t="n">
        <v>2030</v>
      </c>
      <c r="T439" t="inlineStr">
        <is>
          <t>Supplier Target Pathway</t>
        </is>
      </c>
      <c r="U439" t="n">
        <v>1451.4961</v>
      </c>
      <c r="V439" t="n">
        <v>631.6911</v>
      </c>
      <c r="W439" t="n">
        <v>904.9594</v>
      </c>
      <c r="X439" t="n">
        <v>904.9594</v>
      </c>
      <c r="Y439" t="n">
        <v>546.5367</v>
      </c>
      <c r="Z439" t="n">
        <v>9.351e-05</v>
      </c>
      <c r="AA439" t="n">
        <v>0.376533</v>
      </c>
      <c r="AB439" t="n">
        <v>273.2683</v>
      </c>
      <c r="AC439" t="n">
        <v>54.6537</v>
      </c>
      <c r="AD439" t="n">
        <v>699.0405</v>
      </c>
      <c r="AE439" t="n">
        <v>6249.5616</v>
      </c>
      <c r="AF439" t="n">
        <v>0.99</v>
      </c>
      <c r="AG439" t="inlineStr">
        <is>
          <t>Critical</t>
        </is>
      </c>
      <c r="AH439" t="inlineStr">
        <is>
          <t>On Track to Glide Path</t>
        </is>
      </c>
    </row>
    <row r="440">
      <c r="A440" t="inlineStr">
        <is>
          <t>SUP-0028</t>
        </is>
      </c>
      <c r="B440" t="inlineStr">
        <is>
          <t>Professional Supplier 028</t>
        </is>
      </c>
      <c r="C440" t="inlineStr">
        <is>
          <t>Professional Services</t>
        </is>
      </c>
      <c r="D440" t="n">
        <v>2024</v>
      </c>
      <c r="E440" t="n">
        <v>2020</v>
      </c>
      <c r="F440" t="n">
        <v>2035</v>
      </c>
      <c r="G440" t="n">
        <v>1741.4047</v>
      </c>
      <c r="H440" t="n">
        <v>388.2657</v>
      </c>
      <c r="I440" t="n">
        <v>234.8407</v>
      </c>
      <c r="J440" t="n">
        <v>993.9453</v>
      </c>
      <c r="K440" t="n">
        <v>9677584.16</v>
      </c>
      <c r="L440" t="n">
        <v>43385189.05</v>
      </c>
      <c r="M440" t="n">
        <v>1741.4047</v>
      </c>
      <c r="N440" t="inlineStr">
        <is>
          <t>Supplier Reported Emissions</t>
        </is>
      </c>
      <c r="O440" t="b">
        <v>0</v>
      </c>
      <c r="P440" t="inlineStr">
        <is>
          <t>High</t>
        </is>
      </c>
      <c r="Q440" t="inlineStr">
        <is>
          <t>None</t>
        </is>
      </c>
      <c r="R440" t="inlineStr">
        <is>
          <t>Valid</t>
        </is>
      </c>
      <c r="S440" t="n">
        <v>2031</v>
      </c>
      <c r="T440" t="inlineStr">
        <is>
          <t>Supplier Target Pathway</t>
        </is>
      </c>
      <c r="U440" t="n">
        <v>1451.4961</v>
      </c>
      <c r="V440" t="n">
        <v>631.6911</v>
      </c>
      <c r="W440" t="n">
        <v>850.3058</v>
      </c>
      <c r="X440" t="n">
        <v>850.3058</v>
      </c>
      <c r="Y440" t="n">
        <v>601.1903</v>
      </c>
      <c r="Z440" t="n">
        <v>8.786e-05</v>
      </c>
      <c r="AA440" t="n">
        <v>0.414187</v>
      </c>
      <c r="AB440" t="n">
        <v>218.6147</v>
      </c>
      <c r="AC440" t="n">
        <v>54.6537</v>
      </c>
      <c r="AD440" t="n">
        <v>-151.2653</v>
      </c>
      <c r="AE440" t="n">
        <v>7099.8674</v>
      </c>
      <c r="AF440" t="n">
        <v>0.99</v>
      </c>
      <c r="AG440" t="inlineStr">
        <is>
          <t>High</t>
        </is>
      </c>
      <c r="AH440" t="inlineStr">
        <is>
          <t>On Track to Glide Path</t>
        </is>
      </c>
    </row>
    <row r="441">
      <c r="A441" t="inlineStr">
        <is>
          <t>SUP-0028</t>
        </is>
      </c>
      <c r="B441" t="inlineStr">
        <is>
          <t>Professional Supplier 028</t>
        </is>
      </c>
      <c r="C441" t="inlineStr">
        <is>
          <t>Professional Services</t>
        </is>
      </c>
      <c r="D441" t="n">
        <v>2024</v>
      </c>
      <c r="E441" t="n">
        <v>2020</v>
      </c>
      <c r="F441" t="n">
        <v>2035</v>
      </c>
      <c r="G441" t="n">
        <v>1741.4047</v>
      </c>
      <c r="H441" t="n">
        <v>388.2657</v>
      </c>
      <c r="I441" t="n">
        <v>234.8407</v>
      </c>
      <c r="J441" t="n">
        <v>993.9453</v>
      </c>
      <c r="K441" t="n">
        <v>9677584.16</v>
      </c>
      <c r="L441" t="n">
        <v>43385189.05</v>
      </c>
      <c r="M441" t="n">
        <v>1741.4047</v>
      </c>
      <c r="N441" t="inlineStr">
        <is>
          <t>Supplier Reported Emissions</t>
        </is>
      </c>
      <c r="O441" t="b">
        <v>0</v>
      </c>
      <c r="P441" t="inlineStr">
        <is>
          <t>High</t>
        </is>
      </c>
      <c r="Q441" t="inlineStr">
        <is>
          <t>None</t>
        </is>
      </c>
      <c r="R441" t="inlineStr">
        <is>
          <t>Valid</t>
        </is>
      </c>
      <c r="S441" t="n">
        <v>2032</v>
      </c>
      <c r="T441" t="inlineStr">
        <is>
          <t>Supplier Target Pathway</t>
        </is>
      </c>
      <c r="U441" t="n">
        <v>1451.4961</v>
      </c>
      <c r="V441" t="n">
        <v>631.6911</v>
      </c>
      <c r="W441" t="n">
        <v>795.6521</v>
      </c>
      <c r="X441" t="n">
        <v>795.6521</v>
      </c>
      <c r="Y441" t="n">
        <v>655.8440000000001</v>
      </c>
      <c r="Z441" t="n">
        <v>8.222e-05</v>
      </c>
      <c r="AA441" t="n">
        <v>0.45184</v>
      </c>
      <c r="AB441" t="n">
        <v>163.961</v>
      </c>
      <c r="AC441" t="n">
        <v>54.6537</v>
      </c>
      <c r="AD441" t="n">
        <v>-946.9174</v>
      </c>
      <c r="AE441" t="n">
        <v>7895.5195</v>
      </c>
      <c r="AF441" t="n">
        <v>0.99</v>
      </c>
      <c r="AG441" t="inlineStr">
        <is>
          <t>High</t>
        </is>
      </c>
      <c r="AH441" t="inlineStr">
        <is>
          <t>On Track to Glide Path</t>
        </is>
      </c>
    </row>
    <row r="442">
      <c r="A442" t="inlineStr">
        <is>
          <t>SUP-0028</t>
        </is>
      </c>
      <c r="B442" t="inlineStr">
        <is>
          <t>Professional Supplier 028</t>
        </is>
      </c>
      <c r="C442" t="inlineStr">
        <is>
          <t>Professional Services</t>
        </is>
      </c>
      <c r="D442" t="n">
        <v>2024</v>
      </c>
      <c r="E442" t="n">
        <v>2020</v>
      </c>
      <c r="F442" t="n">
        <v>2035</v>
      </c>
      <c r="G442" t="n">
        <v>1741.4047</v>
      </c>
      <c r="H442" t="n">
        <v>388.2657</v>
      </c>
      <c r="I442" t="n">
        <v>234.8407</v>
      </c>
      <c r="J442" t="n">
        <v>993.9453</v>
      </c>
      <c r="K442" t="n">
        <v>9677584.16</v>
      </c>
      <c r="L442" t="n">
        <v>43385189.05</v>
      </c>
      <c r="M442" t="n">
        <v>1741.4047</v>
      </c>
      <c r="N442" t="inlineStr">
        <is>
          <t>Supplier Reported Emissions</t>
        </is>
      </c>
      <c r="O442" t="b">
        <v>0</v>
      </c>
      <c r="P442" t="inlineStr">
        <is>
          <t>High</t>
        </is>
      </c>
      <c r="Q442" t="inlineStr">
        <is>
          <t>None</t>
        </is>
      </c>
      <c r="R442" t="inlineStr">
        <is>
          <t>Valid</t>
        </is>
      </c>
      <c r="S442" t="n">
        <v>2033</v>
      </c>
      <c r="T442" t="inlineStr">
        <is>
          <t>Supplier Target Pathway</t>
        </is>
      </c>
      <c r="U442" t="n">
        <v>1451.4961</v>
      </c>
      <c r="V442" t="n">
        <v>631.6911</v>
      </c>
      <c r="W442" t="n">
        <v>740.9983999999999</v>
      </c>
      <c r="X442" t="n">
        <v>740.9983999999999</v>
      </c>
      <c r="Y442" t="n">
        <v>710.4977</v>
      </c>
      <c r="Z442" t="n">
        <v>7.656999999999999e-05</v>
      </c>
      <c r="AA442" t="n">
        <v>0.489493</v>
      </c>
      <c r="AB442" t="n">
        <v>109.3073</v>
      </c>
      <c r="AC442" t="n">
        <v>54.6537</v>
      </c>
      <c r="AD442" t="n">
        <v>-1687.9158</v>
      </c>
      <c r="AE442" t="n">
        <v>8636.517900000001</v>
      </c>
      <c r="AF442" t="n">
        <v>0.99</v>
      </c>
      <c r="AG442" t="inlineStr">
        <is>
          <t>High</t>
        </is>
      </c>
      <c r="AH442" t="inlineStr">
        <is>
          <t>On Track to Glide Path</t>
        </is>
      </c>
    </row>
    <row r="443">
      <c r="A443" t="inlineStr">
        <is>
          <t>SUP-0028</t>
        </is>
      </c>
      <c r="B443" t="inlineStr">
        <is>
          <t>Professional Supplier 028</t>
        </is>
      </c>
      <c r="C443" t="inlineStr">
        <is>
          <t>Professional Services</t>
        </is>
      </c>
      <c r="D443" t="n">
        <v>2024</v>
      </c>
      <c r="E443" t="n">
        <v>2020</v>
      </c>
      <c r="F443" t="n">
        <v>2035</v>
      </c>
      <c r="G443" t="n">
        <v>1741.4047</v>
      </c>
      <c r="H443" t="n">
        <v>388.2657</v>
      </c>
      <c r="I443" t="n">
        <v>234.8407</v>
      </c>
      <c r="J443" t="n">
        <v>993.9453</v>
      </c>
      <c r="K443" t="n">
        <v>9677584.16</v>
      </c>
      <c r="L443" t="n">
        <v>43385189.05</v>
      </c>
      <c r="M443" t="n">
        <v>1741.4047</v>
      </c>
      <c r="N443" t="inlineStr">
        <is>
          <t>Supplier Reported Emissions</t>
        </is>
      </c>
      <c r="O443" t="b">
        <v>0</v>
      </c>
      <c r="P443" t="inlineStr">
        <is>
          <t>High</t>
        </is>
      </c>
      <c r="Q443" t="inlineStr">
        <is>
          <t>None</t>
        </is>
      </c>
      <c r="R443" t="inlineStr">
        <is>
          <t>Valid</t>
        </is>
      </c>
      <c r="S443" t="n">
        <v>2034</v>
      </c>
      <c r="T443" t="inlineStr">
        <is>
          <t>Supplier Target Pathway</t>
        </is>
      </c>
      <c r="U443" t="n">
        <v>1451.4961</v>
      </c>
      <c r="V443" t="n">
        <v>631.6911</v>
      </c>
      <c r="W443" t="n">
        <v>686.3448</v>
      </c>
      <c r="X443" t="n">
        <v>686.3448</v>
      </c>
      <c r="Y443" t="n">
        <v>765.1513</v>
      </c>
      <c r="Z443" t="n">
        <v>7.092000000000001e-05</v>
      </c>
      <c r="AA443" t="n">
        <v>0.527147</v>
      </c>
      <c r="AB443" t="n">
        <v>54.6537</v>
      </c>
      <c r="AC443" t="n">
        <v>54.6537</v>
      </c>
      <c r="AD443" t="n">
        <v>-2374.2606</v>
      </c>
      <c r="AE443" t="n">
        <v>9322.8627</v>
      </c>
      <c r="AF443" t="n">
        <v>0.99</v>
      </c>
      <c r="AG443" t="inlineStr">
        <is>
          <t>Medium</t>
        </is>
      </c>
      <c r="AH443" t="inlineStr">
        <is>
          <t>On Track to Glide Path</t>
        </is>
      </c>
    </row>
    <row r="444">
      <c r="A444" t="inlineStr">
        <is>
          <t>SUP-0028</t>
        </is>
      </c>
      <c r="B444" t="inlineStr">
        <is>
          <t>Professional Supplier 028</t>
        </is>
      </c>
      <c r="C444" t="inlineStr">
        <is>
          <t>Professional Services</t>
        </is>
      </c>
      <c r="D444" t="n">
        <v>2024</v>
      </c>
      <c r="E444" t="n">
        <v>2020</v>
      </c>
      <c r="F444" t="n">
        <v>2035</v>
      </c>
      <c r="G444" t="n">
        <v>1741.4047</v>
      </c>
      <c r="H444" t="n">
        <v>388.2657</v>
      </c>
      <c r="I444" t="n">
        <v>234.8407</v>
      </c>
      <c r="J444" t="n">
        <v>993.9453</v>
      </c>
      <c r="K444" t="n">
        <v>9677584.16</v>
      </c>
      <c r="L444" t="n">
        <v>43385189.05</v>
      </c>
      <c r="M444" t="n">
        <v>1741.4047</v>
      </c>
      <c r="N444" t="inlineStr">
        <is>
          <t>Supplier Reported Emissions</t>
        </is>
      </c>
      <c r="O444" t="b">
        <v>0</v>
      </c>
      <c r="P444" t="inlineStr">
        <is>
          <t>High</t>
        </is>
      </c>
      <c r="Q444" t="inlineStr">
        <is>
          <t>None</t>
        </is>
      </c>
      <c r="R444" t="inlineStr">
        <is>
          <t>Valid</t>
        </is>
      </c>
      <c r="S444" t="n">
        <v>2035</v>
      </c>
      <c r="T444" t="inlineStr">
        <is>
          <t>Supplier Target Pathway</t>
        </is>
      </c>
      <c r="U444" t="n">
        <v>1451.4961</v>
      </c>
      <c r="V444" t="n">
        <v>631.6911</v>
      </c>
      <c r="W444" t="n">
        <v>631.6911</v>
      </c>
      <c r="X444" t="n">
        <v>631.6911</v>
      </c>
      <c r="Y444" t="n">
        <v>819.8049999999999</v>
      </c>
      <c r="Z444" t="n">
        <v>6.527e-05</v>
      </c>
      <c r="AA444" t="n">
        <v>0.5648</v>
      </c>
      <c r="AB444" t="n">
        <v>0</v>
      </c>
      <c r="AC444" t="n">
        <v>54.6537</v>
      </c>
      <c r="AD444" t="n">
        <v>-3005.9517</v>
      </c>
      <c r="AE444" t="n">
        <v>9954.5538</v>
      </c>
      <c r="AF444" t="n">
        <v>0.99</v>
      </c>
      <c r="AG444" t="inlineStr">
        <is>
          <t>Low</t>
        </is>
      </c>
      <c r="AH444" t="inlineStr">
        <is>
          <t>On Track</t>
        </is>
      </c>
    </row>
    <row r="445">
      <c r="A445" t="inlineStr">
        <is>
          <t>SUP-0028</t>
        </is>
      </c>
      <c r="B445" t="inlineStr">
        <is>
          <t>Professional Supplier 028</t>
        </is>
      </c>
      <c r="C445" t="inlineStr">
        <is>
          <t>Professional Services</t>
        </is>
      </c>
      <c r="D445" t="n">
        <v>2024</v>
      </c>
      <c r="E445" t="n">
        <v>2020</v>
      </c>
      <c r="F445" t="n">
        <v>2035</v>
      </c>
      <c r="G445" t="n">
        <v>1741.4047</v>
      </c>
      <c r="H445" t="n">
        <v>388.2657</v>
      </c>
      <c r="I445" t="n">
        <v>234.8407</v>
      </c>
      <c r="J445" t="n">
        <v>993.9453</v>
      </c>
      <c r="K445" t="n">
        <v>9677584.16</v>
      </c>
      <c r="L445" t="n">
        <v>43385189.05</v>
      </c>
      <c r="M445" t="n">
        <v>1741.4047</v>
      </c>
      <c r="N445" t="inlineStr">
        <is>
          <t>Supplier Reported Emissions</t>
        </is>
      </c>
      <c r="O445" t="b">
        <v>0</v>
      </c>
      <c r="P445" t="inlineStr">
        <is>
          <t>High</t>
        </is>
      </c>
      <c r="Q445" t="inlineStr">
        <is>
          <t>None</t>
        </is>
      </c>
      <c r="R445" t="inlineStr">
        <is>
          <t>Valid</t>
        </is>
      </c>
      <c r="S445" t="n">
        <v>2036</v>
      </c>
      <c r="T445" t="inlineStr">
        <is>
          <t>Supplier Target Pathway</t>
        </is>
      </c>
      <c r="U445" t="n">
        <v>1451.4961</v>
      </c>
      <c r="V445" t="n">
        <v>631.6911</v>
      </c>
      <c r="W445" t="n">
        <v>631.6911</v>
      </c>
      <c r="X445" t="n">
        <v>631.6911</v>
      </c>
      <c r="Y445" t="n">
        <v>819.8049999999999</v>
      </c>
      <c r="Z445" t="n">
        <v>6.527e-05</v>
      </c>
      <c r="AA445" t="n">
        <v>0.5648</v>
      </c>
      <c r="AB445" t="n">
        <v>0</v>
      </c>
      <c r="AC445" t="n">
        <v>54.6537</v>
      </c>
      <c r="AD445" t="n">
        <v>-3637.6428</v>
      </c>
      <c r="AE445" t="n">
        <v>10586.2449</v>
      </c>
      <c r="AF445" t="n">
        <v>0.99</v>
      </c>
      <c r="AG445" t="inlineStr">
        <is>
          <t>Low</t>
        </is>
      </c>
      <c r="AH445" t="inlineStr">
        <is>
          <t>On Track</t>
        </is>
      </c>
    </row>
    <row r="446">
      <c r="A446" t="inlineStr">
        <is>
          <t>SUP-0028</t>
        </is>
      </c>
      <c r="B446" t="inlineStr">
        <is>
          <t>Professional Supplier 028</t>
        </is>
      </c>
      <c r="C446" t="inlineStr">
        <is>
          <t>Professional Services</t>
        </is>
      </c>
      <c r="D446" t="n">
        <v>2024</v>
      </c>
      <c r="E446" t="n">
        <v>2020</v>
      </c>
      <c r="F446" t="n">
        <v>2035</v>
      </c>
      <c r="G446" t="n">
        <v>1741.4047</v>
      </c>
      <c r="H446" t="n">
        <v>388.2657</v>
      </c>
      <c r="I446" t="n">
        <v>234.8407</v>
      </c>
      <c r="J446" t="n">
        <v>993.9453</v>
      </c>
      <c r="K446" t="n">
        <v>9677584.16</v>
      </c>
      <c r="L446" t="n">
        <v>43385189.05</v>
      </c>
      <c r="M446" t="n">
        <v>1741.4047</v>
      </c>
      <c r="N446" t="inlineStr">
        <is>
          <t>Supplier Reported Emissions</t>
        </is>
      </c>
      <c r="O446" t="b">
        <v>0</v>
      </c>
      <c r="P446" t="inlineStr">
        <is>
          <t>High</t>
        </is>
      </c>
      <c r="Q446" t="inlineStr">
        <is>
          <t>None</t>
        </is>
      </c>
      <c r="R446" t="inlineStr">
        <is>
          <t>Valid</t>
        </is>
      </c>
      <c r="S446" t="n">
        <v>2037</v>
      </c>
      <c r="T446" t="inlineStr">
        <is>
          <t>Supplier Target Pathway</t>
        </is>
      </c>
      <c r="U446" t="n">
        <v>1451.4961</v>
      </c>
      <c r="V446" t="n">
        <v>631.6911</v>
      </c>
      <c r="W446" t="n">
        <v>631.6911</v>
      </c>
      <c r="X446" t="n">
        <v>631.6911</v>
      </c>
      <c r="Y446" t="n">
        <v>819.8049999999999</v>
      </c>
      <c r="Z446" t="n">
        <v>6.527e-05</v>
      </c>
      <c r="AA446" t="n">
        <v>0.5648</v>
      </c>
      <c r="AB446" t="n">
        <v>0</v>
      </c>
      <c r="AC446" t="n">
        <v>54.6537</v>
      </c>
      <c r="AD446" t="n">
        <v>-4269.3339</v>
      </c>
      <c r="AE446" t="n">
        <v>11217.936</v>
      </c>
      <c r="AF446" t="n">
        <v>0.99</v>
      </c>
      <c r="AG446" t="inlineStr">
        <is>
          <t>Low</t>
        </is>
      </c>
      <c r="AH446" t="inlineStr">
        <is>
          <t>On Track</t>
        </is>
      </c>
    </row>
    <row r="447">
      <c r="A447" t="inlineStr">
        <is>
          <t>SUP-0028</t>
        </is>
      </c>
      <c r="B447" t="inlineStr">
        <is>
          <t>Professional Supplier 028</t>
        </is>
      </c>
      <c r="C447" t="inlineStr">
        <is>
          <t>Professional Services</t>
        </is>
      </c>
      <c r="D447" t="n">
        <v>2024</v>
      </c>
      <c r="E447" t="n">
        <v>2020</v>
      </c>
      <c r="F447" t="n">
        <v>2035</v>
      </c>
      <c r="G447" t="n">
        <v>1741.4047</v>
      </c>
      <c r="H447" t="n">
        <v>388.2657</v>
      </c>
      <c r="I447" t="n">
        <v>234.8407</v>
      </c>
      <c r="J447" t="n">
        <v>993.9453</v>
      </c>
      <c r="K447" t="n">
        <v>9677584.16</v>
      </c>
      <c r="L447" t="n">
        <v>43385189.05</v>
      </c>
      <c r="M447" t="n">
        <v>1741.4047</v>
      </c>
      <c r="N447" t="inlineStr">
        <is>
          <t>Supplier Reported Emissions</t>
        </is>
      </c>
      <c r="O447" t="b">
        <v>0</v>
      </c>
      <c r="P447" t="inlineStr">
        <is>
          <t>High</t>
        </is>
      </c>
      <c r="Q447" t="inlineStr">
        <is>
          <t>None</t>
        </is>
      </c>
      <c r="R447" t="inlineStr">
        <is>
          <t>Valid</t>
        </is>
      </c>
      <c r="S447" t="n">
        <v>2038</v>
      </c>
      <c r="T447" t="inlineStr">
        <is>
          <t>Supplier Target Pathway</t>
        </is>
      </c>
      <c r="U447" t="n">
        <v>1451.4961</v>
      </c>
      <c r="V447" t="n">
        <v>631.6911</v>
      </c>
      <c r="W447" t="n">
        <v>631.6911</v>
      </c>
      <c r="X447" t="n">
        <v>631.6911</v>
      </c>
      <c r="Y447" t="n">
        <v>819.8049999999999</v>
      </c>
      <c r="Z447" t="n">
        <v>6.527e-05</v>
      </c>
      <c r="AA447" t="n">
        <v>0.5648</v>
      </c>
      <c r="AB447" t="n">
        <v>0</v>
      </c>
      <c r="AC447" t="n">
        <v>54.6537</v>
      </c>
      <c r="AD447" t="n">
        <v>-4901.025</v>
      </c>
      <c r="AE447" t="n">
        <v>11849.6271</v>
      </c>
      <c r="AF447" t="n">
        <v>0.99</v>
      </c>
      <c r="AG447" t="inlineStr">
        <is>
          <t>Low</t>
        </is>
      </c>
      <c r="AH447" t="inlineStr">
        <is>
          <t>On Track</t>
        </is>
      </c>
    </row>
    <row r="448">
      <c r="A448" t="inlineStr">
        <is>
          <t>SUP-0028</t>
        </is>
      </c>
      <c r="B448" t="inlineStr">
        <is>
          <t>Professional Supplier 028</t>
        </is>
      </c>
      <c r="C448" t="inlineStr">
        <is>
          <t>Professional Services</t>
        </is>
      </c>
      <c r="D448" t="n">
        <v>2024</v>
      </c>
      <c r="E448" t="n">
        <v>2020</v>
      </c>
      <c r="F448" t="n">
        <v>2035</v>
      </c>
      <c r="G448" t="n">
        <v>1741.4047</v>
      </c>
      <c r="H448" t="n">
        <v>388.2657</v>
      </c>
      <c r="I448" t="n">
        <v>234.8407</v>
      </c>
      <c r="J448" t="n">
        <v>993.9453</v>
      </c>
      <c r="K448" t="n">
        <v>9677584.16</v>
      </c>
      <c r="L448" t="n">
        <v>43385189.05</v>
      </c>
      <c r="M448" t="n">
        <v>1741.4047</v>
      </c>
      <c r="N448" t="inlineStr">
        <is>
          <t>Supplier Reported Emissions</t>
        </is>
      </c>
      <c r="O448" t="b">
        <v>0</v>
      </c>
      <c r="P448" t="inlineStr">
        <is>
          <t>High</t>
        </is>
      </c>
      <c r="Q448" t="inlineStr">
        <is>
          <t>None</t>
        </is>
      </c>
      <c r="R448" t="inlineStr">
        <is>
          <t>Valid</t>
        </is>
      </c>
      <c r="S448" t="n">
        <v>2039</v>
      </c>
      <c r="T448" t="inlineStr">
        <is>
          <t>Supplier Target Pathway</t>
        </is>
      </c>
      <c r="U448" t="n">
        <v>1451.4961</v>
      </c>
      <c r="V448" t="n">
        <v>631.6911</v>
      </c>
      <c r="W448" t="n">
        <v>631.6911</v>
      </c>
      <c r="X448" t="n">
        <v>631.6911</v>
      </c>
      <c r="Y448" t="n">
        <v>819.8049999999999</v>
      </c>
      <c r="Z448" t="n">
        <v>6.527e-05</v>
      </c>
      <c r="AA448" t="n">
        <v>0.5648</v>
      </c>
      <c r="AB448" t="n">
        <v>0</v>
      </c>
      <c r="AC448" t="n">
        <v>54.6537</v>
      </c>
      <c r="AD448" t="n">
        <v>-5532.7161</v>
      </c>
      <c r="AE448" t="n">
        <v>12481.3182</v>
      </c>
      <c r="AF448" t="n">
        <v>0.99</v>
      </c>
      <c r="AG448" t="inlineStr">
        <is>
          <t>Low</t>
        </is>
      </c>
      <c r="AH448" t="inlineStr">
        <is>
          <t>On Track</t>
        </is>
      </c>
    </row>
    <row r="449">
      <c r="A449" t="inlineStr">
        <is>
          <t>SUP-0028</t>
        </is>
      </c>
      <c r="B449" t="inlineStr">
        <is>
          <t>Professional Supplier 028</t>
        </is>
      </c>
      <c r="C449" t="inlineStr">
        <is>
          <t>Professional Services</t>
        </is>
      </c>
      <c r="D449" t="n">
        <v>2024</v>
      </c>
      <c r="E449" t="n">
        <v>2020</v>
      </c>
      <c r="F449" t="n">
        <v>2035</v>
      </c>
      <c r="G449" t="n">
        <v>1741.4047</v>
      </c>
      <c r="H449" t="n">
        <v>388.2657</v>
      </c>
      <c r="I449" t="n">
        <v>234.8407</v>
      </c>
      <c r="J449" t="n">
        <v>993.9453</v>
      </c>
      <c r="K449" t="n">
        <v>9677584.16</v>
      </c>
      <c r="L449" t="n">
        <v>43385189.05</v>
      </c>
      <c r="M449" t="n">
        <v>1741.4047</v>
      </c>
      <c r="N449" t="inlineStr">
        <is>
          <t>Supplier Reported Emissions</t>
        </is>
      </c>
      <c r="O449" t="b">
        <v>0</v>
      </c>
      <c r="P449" t="inlineStr">
        <is>
          <t>High</t>
        </is>
      </c>
      <c r="Q449" t="inlineStr">
        <is>
          <t>None</t>
        </is>
      </c>
      <c r="R449" t="inlineStr">
        <is>
          <t>Valid</t>
        </is>
      </c>
      <c r="S449" t="n">
        <v>2040</v>
      </c>
      <c r="T449" t="inlineStr">
        <is>
          <t>Supplier Target Pathway</t>
        </is>
      </c>
      <c r="U449" t="n">
        <v>1451.4961</v>
      </c>
      <c r="V449" t="n">
        <v>631.6911</v>
      </c>
      <c r="W449" t="n">
        <v>631.6911</v>
      </c>
      <c r="X449" t="n">
        <v>631.6911</v>
      </c>
      <c r="Y449" t="n">
        <v>819.8049999999999</v>
      </c>
      <c r="Z449" t="n">
        <v>6.527e-05</v>
      </c>
      <c r="AA449" t="n">
        <v>0.5648</v>
      </c>
      <c r="AB449" t="n">
        <v>0</v>
      </c>
      <c r="AC449" t="n">
        <v>54.6537</v>
      </c>
      <c r="AD449" t="n">
        <v>-6164.4072</v>
      </c>
      <c r="AE449" t="n">
        <v>13113.0093</v>
      </c>
      <c r="AF449" t="n">
        <v>0.99</v>
      </c>
      <c r="AG449" t="inlineStr">
        <is>
          <t>Low</t>
        </is>
      </c>
      <c r="AH449" t="inlineStr">
        <is>
          <t>On Track</t>
        </is>
      </c>
    </row>
    <row r="450">
      <c r="A450" t="inlineStr">
        <is>
          <t>SUP-0029</t>
        </is>
      </c>
      <c r="B450" t="inlineStr">
        <is>
          <t>Electronics Supplier 029</t>
        </is>
      </c>
      <c r="C450" t="inlineStr">
        <is>
          <t>Electronics</t>
        </is>
      </c>
      <c r="D450" t="n">
        <v>2024</v>
      </c>
      <c r="E450" t="n">
        <v>2015</v>
      </c>
      <c r="F450" t="n">
        <v>2040</v>
      </c>
      <c r="G450" t="n">
        <v>7133.4316</v>
      </c>
      <c r="H450" t="inlineStr"/>
      <c r="I450" t="inlineStr"/>
      <c r="J450" t="n">
        <v>3970.456</v>
      </c>
      <c r="K450" t="inlineStr"/>
      <c r="L450" t="n">
        <v>22555584.41</v>
      </c>
      <c r="M450" t="n">
        <v>7133.4316</v>
      </c>
      <c r="N450" t="inlineStr">
        <is>
          <t>Supplier Reported Emissions</t>
        </is>
      </c>
      <c r="O450" t="b">
        <v>0</v>
      </c>
      <c r="P450" t="inlineStr">
        <is>
          <t>High</t>
        </is>
      </c>
      <c r="Q450" t="inlineStr">
        <is>
          <t>Gross_Spend; Scope_Emissions</t>
        </is>
      </c>
      <c r="R450" t="inlineStr">
        <is>
          <t>Valid</t>
        </is>
      </c>
      <c r="S450" t="n">
        <v>2025</v>
      </c>
      <c r="T450" t="inlineStr">
        <is>
          <t>Industry Haircut Pathway</t>
        </is>
      </c>
      <c r="U450" t="n">
        <v>8124.5053</v>
      </c>
      <c r="V450" t="n">
        <v>5342.6747</v>
      </c>
      <c r="W450" t="n">
        <v>7011.7731</v>
      </c>
      <c r="X450" t="n">
        <v>7011.7731</v>
      </c>
      <c r="Y450" t="n">
        <v>1112.7322</v>
      </c>
      <c r="Z450" t="inlineStr"/>
      <c r="AA450" t="inlineStr"/>
      <c r="AB450" t="n">
        <v>1669.0984</v>
      </c>
      <c r="AC450" t="n">
        <v>111.2732</v>
      </c>
      <c r="AD450" t="n">
        <v>78471.0221</v>
      </c>
      <c r="AE450" t="n">
        <v>7011.7731</v>
      </c>
      <c r="AF450" t="n">
        <v>0.925</v>
      </c>
      <c r="AG450" t="inlineStr">
        <is>
          <t>High</t>
        </is>
      </c>
      <c r="AH450" t="inlineStr">
        <is>
          <t>On Track to Glide Path</t>
        </is>
      </c>
    </row>
    <row r="451">
      <c r="A451" t="inlineStr">
        <is>
          <t>SUP-0029</t>
        </is>
      </c>
      <c r="B451" t="inlineStr">
        <is>
          <t>Electronics Supplier 029</t>
        </is>
      </c>
      <c r="C451" t="inlineStr">
        <is>
          <t>Electronics</t>
        </is>
      </c>
      <c r="D451" t="n">
        <v>2024</v>
      </c>
      <c r="E451" t="n">
        <v>2015</v>
      </c>
      <c r="F451" t="n">
        <v>2040</v>
      </c>
      <c r="G451" t="n">
        <v>7133.4316</v>
      </c>
      <c r="H451" t="inlineStr"/>
      <c r="I451" t="inlineStr"/>
      <c r="J451" t="n">
        <v>3970.456</v>
      </c>
      <c r="K451" t="inlineStr"/>
      <c r="L451" t="n">
        <v>22555584.41</v>
      </c>
      <c r="M451" t="n">
        <v>7133.4316</v>
      </c>
      <c r="N451" t="inlineStr">
        <is>
          <t>Supplier Reported Emissions</t>
        </is>
      </c>
      <c r="O451" t="b">
        <v>0</v>
      </c>
      <c r="P451" t="inlineStr">
        <is>
          <t>High</t>
        </is>
      </c>
      <c r="Q451" t="inlineStr">
        <is>
          <t>Gross_Spend; Scope_Emissions</t>
        </is>
      </c>
      <c r="R451" t="inlineStr">
        <is>
          <t>Valid</t>
        </is>
      </c>
      <c r="S451" t="n">
        <v>2026</v>
      </c>
      <c r="T451" t="inlineStr">
        <is>
          <t>Industry Haircut Pathway</t>
        </is>
      </c>
      <c r="U451" t="n">
        <v>8124.5053</v>
      </c>
      <c r="V451" t="n">
        <v>5342.6747</v>
      </c>
      <c r="W451" t="n">
        <v>6900.4998</v>
      </c>
      <c r="X451" t="n">
        <v>6900.4998</v>
      </c>
      <c r="Y451" t="n">
        <v>1224.0055</v>
      </c>
      <c r="Z451" t="inlineStr"/>
      <c r="AA451" t="inlineStr"/>
      <c r="AB451" t="n">
        <v>1557.8251</v>
      </c>
      <c r="AC451" t="n">
        <v>111.2732</v>
      </c>
      <c r="AD451" t="n">
        <v>71570.5223</v>
      </c>
      <c r="AE451" t="n">
        <v>13912.2729</v>
      </c>
      <c r="AF451" t="n">
        <v>0.925</v>
      </c>
      <c r="AG451" t="inlineStr">
        <is>
          <t>High</t>
        </is>
      </c>
      <c r="AH451" t="inlineStr">
        <is>
          <t>On Track to Glide Path</t>
        </is>
      </c>
    </row>
    <row r="452">
      <c r="A452" t="inlineStr">
        <is>
          <t>SUP-0029</t>
        </is>
      </c>
      <c r="B452" t="inlineStr">
        <is>
          <t>Electronics Supplier 029</t>
        </is>
      </c>
      <c r="C452" t="inlineStr">
        <is>
          <t>Electronics</t>
        </is>
      </c>
      <c r="D452" t="n">
        <v>2024</v>
      </c>
      <c r="E452" t="n">
        <v>2015</v>
      </c>
      <c r="F452" t="n">
        <v>2040</v>
      </c>
      <c r="G452" t="n">
        <v>7133.4316</v>
      </c>
      <c r="H452" t="inlineStr"/>
      <c r="I452" t="inlineStr"/>
      <c r="J452" t="n">
        <v>3970.456</v>
      </c>
      <c r="K452" t="inlineStr"/>
      <c r="L452" t="n">
        <v>22555584.41</v>
      </c>
      <c r="M452" t="n">
        <v>7133.4316</v>
      </c>
      <c r="N452" t="inlineStr">
        <is>
          <t>Supplier Reported Emissions</t>
        </is>
      </c>
      <c r="O452" t="b">
        <v>0</v>
      </c>
      <c r="P452" t="inlineStr">
        <is>
          <t>High</t>
        </is>
      </c>
      <c r="Q452" t="inlineStr">
        <is>
          <t>Gross_Spend; Scope_Emissions</t>
        </is>
      </c>
      <c r="R452" t="inlineStr">
        <is>
          <t>Valid</t>
        </is>
      </c>
      <c r="S452" t="n">
        <v>2027</v>
      </c>
      <c r="T452" t="inlineStr">
        <is>
          <t>Industry Haircut Pathway</t>
        </is>
      </c>
      <c r="U452" t="n">
        <v>8124.5053</v>
      </c>
      <c r="V452" t="n">
        <v>5342.6747</v>
      </c>
      <c r="W452" t="n">
        <v>6789.2266</v>
      </c>
      <c r="X452" t="n">
        <v>6789.2266</v>
      </c>
      <c r="Y452" t="n">
        <v>1335.2787</v>
      </c>
      <c r="Z452" t="inlineStr"/>
      <c r="AA452" t="inlineStr"/>
      <c r="AB452" t="n">
        <v>1446.5519</v>
      </c>
      <c r="AC452" t="n">
        <v>111.2732</v>
      </c>
      <c r="AD452" t="n">
        <v>64781.2957</v>
      </c>
      <c r="AE452" t="n">
        <v>20701.4995</v>
      </c>
      <c r="AF452" t="n">
        <v>0.925</v>
      </c>
      <c r="AG452" t="inlineStr">
        <is>
          <t>High</t>
        </is>
      </c>
      <c r="AH452" t="inlineStr">
        <is>
          <t>On Track to Glide Path</t>
        </is>
      </c>
    </row>
    <row r="453">
      <c r="A453" t="inlineStr">
        <is>
          <t>SUP-0029</t>
        </is>
      </c>
      <c r="B453" t="inlineStr">
        <is>
          <t>Electronics Supplier 029</t>
        </is>
      </c>
      <c r="C453" t="inlineStr">
        <is>
          <t>Electronics</t>
        </is>
      </c>
      <c r="D453" t="n">
        <v>2024</v>
      </c>
      <c r="E453" t="n">
        <v>2015</v>
      </c>
      <c r="F453" t="n">
        <v>2040</v>
      </c>
      <c r="G453" t="n">
        <v>7133.4316</v>
      </c>
      <c r="H453" t="inlineStr"/>
      <c r="I453" t="inlineStr"/>
      <c r="J453" t="n">
        <v>3970.456</v>
      </c>
      <c r="K453" t="inlineStr"/>
      <c r="L453" t="n">
        <v>22555584.41</v>
      </c>
      <c r="M453" t="n">
        <v>7133.4316</v>
      </c>
      <c r="N453" t="inlineStr">
        <is>
          <t>Supplier Reported Emissions</t>
        </is>
      </c>
      <c r="O453" t="b">
        <v>0</v>
      </c>
      <c r="P453" t="inlineStr">
        <is>
          <t>High</t>
        </is>
      </c>
      <c r="Q453" t="inlineStr">
        <is>
          <t>Gross_Spend; Scope_Emissions</t>
        </is>
      </c>
      <c r="R453" t="inlineStr">
        <is>
          <t>Valid</t>
        </is>
      </c>
      <c r="S453" t="n">
        <v>2028</v>
      </c>
      <c r="T453" t="inlineStr">
        <is>
          <t>Industry Haircut Pathway</t>
        </is>
      </c>
      <c r="U453" t="n">
        <v>8124.5053</v>
      </c>
      <c r="V453" t="n">
        <v>5342.6747</v>
      </c>
      <c r="W453" t="n">
        <v>6677.9534</v>
      </c>
      <c r="X453" t="n">
        <v>6677.9534</v>
      </c>
      <c r="Y453" t="n">
        <v>1446.5519</v>
      </c>
      <c r="Z453" t="inlineStr"/>
      <c r="AA453" t="inlineStr"/>
      <c r="AB453" t="n">
        <v>1335.2787</v>
      </c>
      <c r="AC453" t="n">
        <v>111.2732</v>
      </c>
      <c r="AD453" t="n">
        <v>58103.3423</v>
      </c>
      <c r="AE453" t="n">
        <v>27379.4529</v>
      </c>
      <c r="AF453" t="n">
        <v>0.925</v>
      </c>
      <c r="AG453" t="inlineStr">
        <is>
          <t>High</t>
        </is>
      </c>
      <c r="AH453" t="inlineStr">
        <is>
          <t>On Track to Glide Path</t>
        </is>
      </c>
    </row>
    <row r="454">
      <c r="A454" t="inlineStr">
        <is>
          <t>SUP-0029</t>
        </is>
      </c>
      <c r="B454" t="inlineStr">
        <is>
          <t>Electronics Supplier 029</t>
        </is>
      </c>
      <c r="C454" t="inlineStr">
        <is>
          <t>Electronics</t>
        </is>
      </c>
      <c r="D454" t="n">
        <v>2024</v>
      </c>
      <c r="E454" t="n">
        <v>2015</v>
      </c>
      <c r="F454" t="n">
        <v>2040</v>
      </c>
      <c r="G454" t="n">
        <v>7133.4316</v>
      </c>
      <c r="H454" t="inlineStr"/>
      <c r="I454" t="inlineStr"/>
      <c r="J454" t="n">
        <v>3970.456</v>
      </c>
      <c r="K454" t="inlineStr"/>
      <c r="L454" t="n">
        <v>22555584.41</v>
      </c>
      <c r="M454" t="n">
        <v>7133.4316</v>
      </c>
      <c r="N454" t="inlineStr">
        <is>
          <t>Supplier Reported Emissions</t>
        </is>
      </c>
      <c r="O454" t="b">
        <v>0</v>
      </c>
      <c r="P454" t="inlineStr">
        <is>
          <t>High</t>
        </is>
      </c>
      <c r="Q454" t="inlineStr">
        <is>
          <t>Gross_Spend; Scope_Emissions</t>
        </is>
      </c>
      <c r="R454" t="inlineStr">
        <is>
          <t>Valid</t>
        </is>
      </c>
      <c r="S454" t="n">
        <v>2029</v>
      </c>
      <c r="T454" t="inlineStr">
        <is>
          <t>Industry Haircut Pathway</t>
        </is>
      </c>
      <c r="U454" t="n">
        <v>8124.5053</v>
      </c>
      <c r="V454" t="n">
        <v>5342.6747</v>
      </c>
      <c r="W454" t="n">
        <v>6566.6802</v>
      </c>
      <c r="X454" t="n">
        <v>6566.6802</v>
      </c>
      <c r="Y454" t="n">
        <v>1557.8251</v>
      </c>
      <c r="Z454" t="inlineStr"/>
      <c r="AA454" t="inlineStr"/>
      <c r="AB454" t="n">
        <v>1224.0055</v>
      </c>
      <c r="AC454" t="n">
        <v>111.2732</v>
      </c>
      <c r="AD454" t="n">
        <v>51536.6621</v>
      </c>
      <c r="AE454" t="n">
        <v>33946.1331</v>
      </c>
      <c r="AF454" t="n">
        <v>0.925</v>
      </c>
      <c r="AG454" t="inlineStr">
        <is>
          <t>High</t>
        </is>
      </c>
      <c r="AH454" t="inlineStr">
        <is>
          <t>On Track to Glide Path</t>
        </is>
      </c>
    </row>
    <row r="455">
      <c r="A455" t="inlineStr">
        <is>
          <t>SUP-0029</t>
        </is>
      </c>
      <c r="B455" t="inlineStr">
        <is>
          <t>Electronics Supplier 029</t>
        </is>
      </c>
      <c r="C455" t="inlineStr">
        <is>
          <t>Electronics</t>
        </is>
      </c>
      <c r="D455" t="n">
        <v>2024</v>
      </c>
      <c r="E455" t="n">
        <v>2015</v>
      </c>
      <c r="F455" t="n">
        <v>2040</v>
      </c>
      <c r="G455" t="n">
        <v>7133.4316</v>
      </c>
      <c r="H455" t="inlineStr"/>
      <c r="I455" t="inlineStr"/>
      <c r="J455" t="n">
        <v>3970.456</v>
      </c>
      <c r="K455" t="inlineStr"/>
      <c r="L455" t="n">
        <v>22555584.41</v>
      </c>
      <c r="M455" t="n">
        <v>7133.4316</v>
      </c>
      <c r="N455" t="inlineStr">
        <is>
          <t>Supplier Reported Emissions</t>
        </is>
      </c>
      <c r="O455" t="b">
        <v>0</v>
      </c>
      <c r="P455" t="inlineStr">
        <is>
          <t>High</t>
        </is>
      </c>
      <c r="Q455" t="inlineStr">
        <is>
          <t>Gross_Spend; Scope_Emissions</t>
        </is>
      </c>
      <c r="R455" t="inlineStr">
        <is>
          <t>Valid</t>
        </is>
      </c>
      <c r="S455" t="n">
        <v>2030</v>
      </c>
      <c r="T455" t="inlineStr">
        <is>
          <t>Industry Haircut Pathway</t>
        </is>
      </c>
      <c r="U455" t="n">
        <v>8124.5053</v>
      </c>
      <c r="V455" t="n">
        <v>5342.6747</v>
      </c>
      <c r="W455" t="n">
        <v>6455.4069</v>
      </c>
      <c r="X455" t="n">
        <v>6455.4069</v>
      </c>
      <c r="Y455" t="n">
        <v>1669.0984</v>
      </c>
      <c r="Z455" t="inlineStr"/>
      <c r="AA455" t="inlineStr"/>
      <c r="AB455" t="n">
        <v>1112.7322</v>
      </c>
      <c r="AC455" t="n">
        <v>111.2732</v>
      </c>
      <c r="AD455" t="n">
        <v>45081.2552</v>
      </c>
      <c r="AE455" t="n">
        <v>40401.54</v>
      </c>
      <c r="AF455" t="n">
        <v>0.925</v>
      </c>
      <c r="AG455" t="inlineStr">
        <is>
          <t>High</t>
        </is>
      </c>
      <c r="AH455" t="inlineStr">
        <is>
          <t>On Track to Glide Path</t>
        </is>
      </c>
    </row>
    <row r="456">
      <c r="A456" t="inlineStr">
        <is>
          <t>SUP-0029</t>
        </is>
      </c>
      <c r="B456" t="inlineStr">
        <is>
          <t>Electronics Supplier 029</t>
        </is>
      </c>
      <c r="C456" t="inlineStr">
        <is>
          <t>Electronics</t>
        </is>
      </c>
      <c r="D456" t="n">
        <v>2024</v>
      </c>
      <c r="E456" t="n">
        <v>2015</v>
      </c>
      <c r="F456" t="n">
        <v>2040</v>
      </c>
      <c r="G456" t="n">
        <v>7133.4316</v>
      </c>
      <c r="H456" t="inlineStr"/>
      <c r="I456" t="inlineStr"/>
      <c r="J456" t="n">
        <v>3970.456</v>
      </c>
      <c r="K456" t="inlineStr"/>
      <c r="L456" t="n">
        <v>22555584.41</v>
      </c>
      <c r="M456" t="n">
        <v>7133.4316</v>
      </c>
      <c r="N456" t="inlineStr">
        <is>
          <t>Supplier Reported Emissions</t>
        </is>
      </c>
      <c r="O456" t="b">
        <v>0</v>
      </c>
      <c r="P456" t="inlineStr">
        <is>
          <t>High</t>
        </is>
      </c>
      <c r="Q456" t="inlineStr">
        <is>
          <t>Gross_Spend; Scope_Emissions</t>
        </is>
      </c>
      <c r="R456" t="inlineStr">
        <is>
          <t>Valid</t>
        </is>
      </c>
      <c r="S456" t="n">
        <v>2031</v>
      </c>
      <c r="T456" t="inlineStr">
        <is>
          <t>Industry Haircut Pathway</t>
        </is>
      </c>
      <c r="U456" t="n">
        <v>8124.5053</v>
      </c>
      <c r="V456" t="n">
        <v>5342.6747</v>
      </c>
      <c r="W456" t="n">
        <v>6344.1337</v>
      </c>
      <c r="X456" t="n">
        <v>6344.1337</v>
      </c>
      <c r="Y456" t="n">
        <v>1780.3716</v>
      </c>
      <c r="Z456" t="inlineStr"/>
      <c r="AA456" t="inlineStr"/>
      <c r="AB456" t="n">
        <v>1001.459</v>
      </c>
      <c r="AC456" t="n">
        <v>111.2732</v>
      </c>
      <c r="AD456" t="n">
        <v>38737.1215</v>
      </c>
      <c r="AE456" t="n">
        <v>46745.6737</v>
      </c>
      <c r="AF456" t="n">
        <v>0.925</v>
      </c>
      <c r="AG456" t="inlineStr">
        <is>
          <t>High</t>
        </is>
      </c>
      <c r="AH456" t="inlineStr">
        <is>
          <t>On Track to Glide Path</t>
        </is>
      </c>
    </row>
    <row r="457">
      <c r="A457" t="inlineStr">
        <is>
          <t>SUP-0029</t>
        </is>
      </c>
      <c r="B457" t="inlineStr">
        <is>
          <t>Electronics Supplier 029</t>
        </is>
      </c>
      <c r="C457" t="inlineStr">
        <is>
          <t>Electronics</t>
        </is>
      </c>
      <c r="D457" t="n">
        <v>2024</v>
      </c>
      <c r="E457" t="n">
        <v>2015</v>
      </c>
      <c r="F457" t="n">
        <v>2040</v>
      </c>
      <c r="G457" t="n">
        <v>7133.4316</v>
      </c>
      <c r="H457" t="inlineStr"/>
      <c r="I457" t="inlineStr"/>
      <c r="J457" t="n">
        <v>3970.456</v>
      </c>
      <c r="K457" t="inlineStr"/>
      <c r="L457" t="n">
        <v>22555584.41</v>
      </c>
      <c r="M457" t="n">
        <v>7133.4316</v>
      </c>
      <c r="N457" t="inlineStr">
        <is>
          <t>Supplier Reported Emissions</t>
        </is>
      </c>
      <c r="O457" t="b">
        <v>0</v>
      </c>
      <c r="P457" t="inlineStr">
        <is>
          <t>High</t>
        </is>
      </c>
      <c r="Q457" t="inlineStr">
        <is>
          <t>Gross_Spend; Scope_Emissions</t>
        </is>
      </c>
      <c r="R457" t="inlineStr">
        <is>
          <t>Valid</t>
        </is>
      </c>
      <c r="S457" t="n">
        <v>2032</v>
      </c>
      <c r="T457" t="inlineStr">
        <is>
          <t>Industry Haircut Pathway</t>
        </is>
      </c>
      <c r="U457" t="n">
        <v>8124.5053</v>
      </c>
      <c r="V457" t="n">
        <v>5342.6747</v>
      </c>
      <c r="W457" t="n">
        <v>6232.8605</v>
      </c>
      <c r="X457" t="n">
        <v>6232.8605</v>
      </c>
      <c r="Y457" t="n">
        <v>1891.6448</v>
      </c>
      <c r="Z457" t="inlineStr"/>
      <c r="AA457" t="inlineStr"/>
      <c r="AB457" t="n">
        <v>890.1858</v>
      </c>
      <c r="AC457" t="n">
        <v>111.2732</v>
      </c>
      <c r="AD457" t="n">
        <v>32504.261</v>
      </c>
      <c r="AE457" t="n">
        <v>52978.5342</v>
      </c>
      <c r="AF457" t="n">
        <v>0.925</v>
      </c>
      <c r="AG457" t="inlineStr">
        <is>
          <t>High</t>
        </is>
      </c>
      <c r="AH457" t="inlineStr">
        <is>
          <t>On Track to Glide Path</t>
        </is>
      </c>
    </row>
    <row r="458">
      <c r="A458" t="inlineStr">
        <is>
          <t>SUP-0029</t>
        </is>
      </c>
      <c r="B458" t="inlineStr">
        <is>
          <t>Electronics Supplier 029</t>
        </is>
      </c>
      <c r="C458" t="inlineStr">
        <is>
          <t>Electronics</t>
        </is>
      </c>
      <c r="D458" t="n">
        <v>2024</v>
      </c>
      <c r="E458" t="n">
        <v>2015</v>
      </c>
      <c r="F458" t="n">
        <v>2040</v>
      </c>
      <c r="G458" t="n">
        <v>7133.4316</v>
      </c>
      <c r="H458" t="inlineStr"/>
      <c r="I458" t="inlineStr"/>
      <c r="J458" t="n">
        <v>3970.456</v>
      </c>
      <c r="K458" t="inlineStr"/>
      <c r="L458" t="n">
        <v>22555584.41</v>
      </c>
      <c r="M458" t="n">
        <v>7133.4316</v>
      </c>
      <c r="N458" t="inlineStr">
        <is>
          <t>Supplier Reported Emissions</t>
        </is>
      </c>
      <c r="O458" t="b">
        <v>0</v>
      </c>
      <c r="P458" t="inlineStr">
        <is>
          <t>High</t>
        </is>
      </c>
      <c r="Q458" t="inlineStr">
        <is>
          <t>Gross_Spend; Scope_Emissions</t>
        </is>
      </c>
      <c r="R458" t="inlineStr">
        <is>
          <t>Valid</t>
        </is>
      </c>
      <c r="S458" t="n">
        <v>2033</v>
      </c>
      <c r="T458" t="inlineStr">
        <is>
          <t>Industry Haircut Pathway</t>
        </is>
      </c>
      <c r="U458" t="n">
        <v>8124.5053</v>
      </c>
      <c r="V458" t="n">
        <v>5342.6747</v>
      </c>
      <c r="W458" t="n">
        <v>6121.5873</v>
      </c>
      <c r="X458" t="n">
        <v>6121.5873</v>
      </c>
      <c r="Y458" t="n">
        <v>2002.918</v>
      </c>
      <c r="Z458" t="inlineStr"/>
      <c r="AA458" t="inlineStr"/>
      <c r="AB458" t="n">
        <v>778.9126</v>
      </c>
      <c r="AC458" t="n">
        <v>111.2732</v>
      </c>
      <c r="AD458" t="n">
        <v>26382.6737</v>
      </c>
      <c r="AE458" t="n">
        <v>59100.1215</v>
      </c>
      <c r="AF458" t="n">
        <v>0.925</v>
      </c>
      <c r="AG458" t="inlineStr">
        <is>
          <t>Medium</t>
        </is>
      </c>
      <c r="AH458" t="inlineStr">
        <is>
          <t>On Track to Glide Path</t>
        </is>
      </c>
    </row>
    <row r="459">
      <c r="A459" t="inlineStr">
        <is>
          <t>SUP-0029</t>
        </is>
      </c>
      <c r="B459" t="inlineStr">
        <is>
          <t>Electronics Supplier 029</t>
        </is>
      </c>
      <c r="C459" t="inlineStr">
        <is>
          <t>Electronics</t>
        </is>
      </c>
      <c r="D459" t="n">
        <v>2024</v>
      </c>
      <c r="E459" t="n">
        <v>2015</v>
      </c>
      <c r="F459" t="n">
        <v>2040</v>
      </c>
      <c r="G459" t="n">
        <v>7133.4316</v>
      </c>
      <c r="H459" t="inlineStr"/>
      <c r="I459" t="inlineStr"/>
      <c r="J459" t="n">
        <v>3970.456</v>
      </c>
      <c r="K459" t="inlineStr"/>
      <c r="L459" t="n">
        <v>22555584.41</v>
      </c>
      <c r="M459" t="n">
        <v>7133.4316</v>
      </c>
      <c r="N459" t="inlineStr">
        <is>
          <t>Supplier Reported Emissions</t>
        </is>
      </c>
      <c r="O459" t="b">
        <v>0</v>
      </c>
      <c r="P459" t="inlineStr">
        <is>
          <t>High</t>
        </is>
      </c>
      <c r="Q459" t="inlineStr">
        <is>
          <t>Gross_Spend; Scope_Emissions</t>
        </is>
      </c>
      <c r="R459" t="inlineStr">
        <is>
          <t>Valid</t>
        </is>
      </c>
      <c r="S459" t="n">
        <v>2034</v>
      </c>
      <c r="T459" t="inlineStr">
        <is>
          <t>Industry Haircut Pathway</t>
        </is>
      </c>
      <c r="U459" t="n">
        <v>8124.5053</v>
      </c>
      <c r="V459" t="n">
        <v>5342.6747</v>
      </c>
      <c r="W459" t="n">
        <v>6010.314</v>
      </c>
      <c r="X459" t="n">
        <v>6010.314</v>
      </c>
      <c r="Y459" t="n">
        <v>2114.1913</v>
      </c>
      <c r="Z459" t="inlineStr"/>
      <c r="AA459" t="inlineStr"/>
      <c r="AB459" t="n">
        <v>667.6393</v>
      </c>
      <c r="AC459" t="n">
        <v>111.2732</v>
      </c>
      <c r="AD459" t="n">
        <v>20372.3597</v>
      </c>
      <c r="AE459" t="n">
        <v>65110.4355</v>
      </c>
      <c r="AF459" t="n">
        <v>0.925</v>
      </c>
      <c r="AG459" t="inlineStr">
        <is>
          <t>Medium</t>
        </is>
      </c>
      <c r="AH459" t="inlineStr">
        <is>
          <t>On Track to Glide Path</t>
        </is>
      </c>
    </row>
    <row r="460">
      <c r="A460" t="inlineStr">
        <is>
          <t>SUP-0029</t>
        </is>
      </c>
      <c r="B460" t="inlineStr">
        <is>
          <t>Electronics Supplier 029</t>
        </is>
      </c>
      <c r="C460" t="inlineStr">
        <is>
          <t>Electronics</t>
        </is>
      </c>
      <c r="D460" t="n">
        <v>2024</v>
      </c>
      <c r="E460" t="n">
        <v>2015</v>
      </c>
      <c r="F460" t="n">
        <v>2040</v>
      </c>
      <c r="G460" t="n">
        <v>7133.4316</v>
      </c>
      <c r="H460" t="inlineStr"/>
      <c r="I460" t="inlineStr"/>
      <c r="J460" t="n">
        <v>3970.456</v>
      </c>
      <c r="K460" t="inlineStr"/>
      <c r="L460" t="n">
        <v>22555584.41</v>
      </c>
      <c r="M460" t="n">
        <v>7133.4316</v>
      </c>
      <c r="N460" t="inlineStr">
        <is>
          <t>Supplier Reported Emissions</t>
        </is>
      </c>
      <c r="O460" t="b">
        <v>0</v>
      </c>
      <c r="P460" t="inlineStr">
        <is>
          <t>High</t>
        </is>
      </c>
      <c r="Q460" t="inlineStr">
        <is>
          <t>Gross_Spend; Scope_Emissions</t>
        </is>
      </c>
      <c r="R460" t="inlineStr">
        <is>
          <t>Valid</t>
        </is>
      </c>
      <c r="S460" t="n">
        <v>2035</v>
      </c>
      <c r="T460" t="inlineStr">
        <is>
          <t>Industry Haircut Pathway</t>
        </is>
      </c>
      <c r="U460" t="n">
        <v>8124.5053</v>
      </c>
      <c r="V460" t="n">
        <v>5342.6747</v>
      </c>
      <c r="W460" t="n">
        <v>5899.0408</v>
      </c>
      <c r="X460" t="n">
        <v>5899.0408</v>
      </c>
      <c r="Y460" t="n">
        <v>2225.4645</v>
      </c>
      <c r="Z460" t="inlineStr"/>
      <c r="AA460" t="inlineStr"/>
      <c r="AB460" t="n">
        <v>556.3661</v>
      </c>
      <c r="AC460" t="n">
        <v>111.2732</v>
      </c>
      <c r="AD460" t="n">
        <v>14473.3189</v>
      </c>
      <c r="AE460" t="n">
        <v>71009.47629999999</v>
      </c>
      <c r="AF460" t="n">
        <v>0.925</v>
      </c>
      <c r="AG460" t="inlineStr">
        <is>
          <t>Medium</t>
        </is>
      </c>
      <c r="AH460" t="inlineStr">
        <is>
          <t>On Track to Glide Path</t>
        </is>
      </c>
    </row>
    <row r="461">
      <c r="A461" t="inlineStr">
        <is>
          <t>SUP-0029</t>
        </is>
      </c>
      <c r="B461" t="inlineStr">
        <is>
          <t>Electronics Supplier 029</t>
        </is>
      </c>
      <c r="C461" t="inlineStr">
        <is>
          <t>Electronics</t>
        </is>
      </c>
      <c r="D461" t="n">
        <v>2024</v>
      </c>
      <c r="E461" t="n">
        <v>2015</v>
      </c>
      <c r="F461" t="n">
        <v>2040</v>
      </c>
      <c r="G461" t="n">
        <v>7133.4316</v>
      </c>
      <c r="H461" t="inlineStr"/>
      <c r="I461" t="inlineStr"/>
      <c r="J461" t="n">
        <v>3970.456</v>
      </c>
      <c r="K461" t="inlineStr"/>
      <c r="L461" t="n">
        <v>22555584.41</v>
      </c>
      <c r="M461" t="n">
        <v>7133.4316</v>
      </c>
      <c r="N461" t="inlineStr">
        <is>
          <t>Supplier Reported Emissions</t>
        </is>
      </c>
      <c r="O461" t="b">
        <v>0</v>
      </c>
      <c r="P461" t="inlineStr">
        <is>
          <t>High</t>
        </is>
      </c>
      <c r="Q461" t="inlineStr">
        <is>
          <t>Gross_Spend; Scope_Emissions</t>
        </is>
      </c>
      <c r="R461" t="inlineStr">
        <is>
          <t>Valid</t>
        </is>
      </c>
      <c r="S461" t="n">
        <v>2036</v>
      </c>
      <c r="T461" t="inlineStr">
        <is>
          <t>Industry Haircut Pathway</t>
        </is>
      </c>
      <c r="U461" t="n">
        <v>8124.5053</v>
      </c>
      <c r="V461" t="n">
        <v>5342.6747</v>
      </c>
      <c r="W461" t="n">
        <v>5787.7676</v>
      </c>
      <c r="X461" t="n">
        <v>5787.7676</v>
      </c>
      <c r="Y461" t="n">
        <v>2336.7377</v>
      </c>
      <c r="Z461" t="inlineStr"/>
      <c r="AA461" t="inlineStr"/>
      <c r="AB461" t="n">
        <v>445.0929</v>
      </c>
      <c r="AC461" t="n">
        <v>111.2732</v>
      </c>
      <c r="AD461" t="n">
        <v>8685.551299999999</v>
      </c>
      <c r="AE461" t="n">
        <v>76797.2439</v>
      </c>
      <c r="AF461" t="n">
        <v>0.925</v>
      </c>
      <c r="AG461" t="inlineStr">
        <is>
          <t>Medium</t>
        </is>
      </c>
      <c r="AH461" t="inlineStr">
        <is>
          <t>On Track to Glide Path</t>
        </is>
      </c>
    </row>
    <row r="462">
      <c r="A462" t="inlineStr">
        <is>
          <t>SUP-0029</t>
        </is>
      </c>
      <c r="B462" t="inlineStr">
        <is>
          <t>Electronics Supplier 029</t>
        </is>
      </c>
      <c r="C462" t="inlineStr">
        <is>
          <t>Electronics</t>
        </is>
      </c>
      <c r="D462" t="n">
        <v>2024</v>
      </c>
      <c r="E462" t="n">
        <v>2015</v>
      </c>
      <c r="F462" t="n">
        <v>2040</v>
      </c>
      <c r="G462" t="n">
        <v>7133.4316</v>
      </c>
      <c r="H462" t="inlineStr"/>
      <c r="I462" t="inlineStr"/>
      <c r="J462" t="n">
        <v>3970.456</v>
      </c>
      <c r="K462" t="inlineStr"/>
      <c r="L462" t="n">
        <v>22555584.41</v>
      </c>
      <c r="M462" t="n">
        <v>7133.4316</v>
      </c>
      <c r="N462" t="inlineStr">
        <is>
          <t>Supplier Reported Emissions</t>
        </is>
      </c>
      <c r="O462" t="b">
        <v>0</v>
      </c>
      <c r="P462" t="inlineStr">
        <is>
          <t>High</t>
        </is>
      </c>
      <c r="Q462" t="inlineStr">
        <is>
          <t>Gross_Spend; Scope_Emissions</t>
        </is>
      </c>
      <c r="R462" t="inlineStr">
        <is>
          <t>Valid</t>
        </is>
      </c>
      <c r="S462" t="n">
        <v>2037</v>
      </c>
      <c r="T462" t="inlineStr">
        <is>
          <t>Industry Haircut Pathway</t>
        </is>
      </c>
      <c r="U462" t="n">
        <v>8124.5053</v>
      </c>
      <c r="V462" t="n">
        <v>5342.6747</v>
      </c>
      <c r="W462" t="n">
        <v>5676.4944</v>
      </c>
      <c r="X462" t="n">
        <v>5676.4944</v>
      </c>
      <c r="Y462" t="n">
        <v>2448.0109</v>
      </c>
      <c r="Z462" t="inlineStr"/>
      <c r="AA462" t="inlineStr"/>
      <c r="AB462" t="n">
        <v>333.8197</v>
      </c>
      <c r="AC462" t="n">
        <v>111.2732</v>
      </c>
      <c r="AD462" t="n">
        <v>3009.0569</v>
      </c>
      <c r="AE462" t="n">
        <v>82473.7383</v>
      </c>
      <c r="AF462" t="n">
        <v>0.925</v>
      </c>
      <c r="AG462" t="inlineStr">
        <is>
          <t>Medium</t>
        </is>
      </c>
      <c r="AH462" t="inlineStr">
        <is>
          <t>On Track to Glide Path</t>
        </is>
      </c>
    </row>
    <row r="463">
      <c r="A463" t="inlineStr">
        <is>
          <t>SUP-0029</t>
        </is>
      </c>
      <c r="B463" t="inlineStr">
        <is>
          <t>Electronics Supplier 029</t>
        </is>
      </c>
      <c r="C463" t="inlineStr">
        <is>
          <t>Electronics</t>
        </is>
      </c>
      <c r="D463" t="n">
        <v>2024</v>
      </c>
      <c r="E463" t="n">
        <v>2015</v>
      </c>
      <c r="F463" t="n">
        <v>2040</v>
      </c>
      <c r="G463" t="n">
        <v>7133.4316</v>
      </c>
      <c r="H463" t="inlineStr"/>
      <c r="I463" t="inlineStr"/>
      <c r="J463" t="n">
        <v>3970.456</v>
      </c>
      <c r="K463" t="inlineStr"/>
      <c r="L463" t="n">
        <v>22555584.41</v>
      </c>
      <c r="M463" t="n">
        <v>7133.4316</v>
      </c>
      <c r="N463" t="inlineStr">
        <is>
          <t>Supplier Reported Emissions</t>
        </is>
      </c>
      <c r="O463" t="b">
        <v>0</v>
      </c>
      <c r="P463" t="inlineStr">
        <is>
          <t>High</t>
        </is>
      </c>
      <c r="Q463" t="inlineStr">
        <is>
          <t>Gross_Spend; Scope_Emissions</t>
        </is>
      </c>
      <c r="R463" t="inlineStr">
        <is>
          <t>Valid</t>
        </is>
      </c>
      <c r="S463" t="n">
        <v>2038</v>
      </c>
      <c r="T463" t="inlineStr">
        <is>
          <t>Industry Haircut Pathway</t>
        </is>
      </c>
      <c r="U463" t="n">
        <v>8124.5053</v>
      </c>
      <c r="V463" t="n">
        <v>5342.6747</v>
      </c>
      <c r="W463" t="n">
        <v>5565.2211</v>
      </c>
      <c r="X463" t="n">
        <v>5565.2211</v>
      </c>
      <c r="Y463" t="n">
        <v>2559.2842</v>
      </c>
      <c r="Z463" t="inlineStr"/>
      <c r="AA463" t="inlineStr"/>
      <c r="AB463" t="n">
        <v>222.5464</v>
      </c>
      <c r="AC463" t="n">
        <v>111.2732</v>
      </c>
      <c r="AD463" t="n">
        <v>-2556.1642</v>
      </c>
      <c r="AE463" t="n">
        <v>88038.95940000001</v>
      </c>
      <c r="AF463" t="n">
        <v>0.925</v>
      </c>
      <c r="AG463" t="inlineStr">
        <is>
          <t>Medium</t>
        </is>
      </c>
      <c r="AH463" t="inlineStr">
        <is>
          <t>On Track to Glide Path</t>
        </is>
      </c>
    </row>
    <row r="464">
      <c r="A464" t="inlineStr">
        <is>
          <t>SUP-0029</t>
        </is>
      </c>
      <c r="B464" t="inlineStr">
        <is>
          <t>Electronics Supplier 029</t>
        </is>
      </c>
      <c r="C464" t="inlineStr">
        <is>
          <t>Electronics</t>
        </is>
      </c>
      <c r="D464" t="n">
        <v>2024</v>
      </c>
      <c r="E464" t="n">
        <v>2015</v>
      </c>
      <c r="F464" t="n">
        <v>2040</v>
      </c>
      <c r="G464" t="n">
        <v>7133.4316</v>
      </c>
      <c r="H464" t="inlineStr"/>
      <c r="I464" t="inlineStr"/>
      <c r="J464" t="n">
        <v>3970.456</v>
      </c>
      <c r="K464" t="inlineStr"/>
      <c r="L464" t="n">
        <v>22555584.41</v>
      </c>
      <c r="M464" t="n">
        <v>7133.4316</v>
      </c>
      <c r="N464" t="inlineStr">
        <is>
          <t>Supplier Reported Emissions</t>
        </is>
      </c>
      <c r="O464" t="b">
        <v>0</v>
      </c>
      <c r="P464" t="inlineStr">
        <is>
          <t>High</t>
        </is>
      </c>
      <c r="Q464" t="inlineStr">
        <is>
          <t>Gross_Spend; Scope_Emissions</t>
        </is>
      </c>
      <c r="R464" t="inlineStr">
        <is>
          <t>Valid</t>
        </is>
      </c>
      <c r="S464" t="n">
        <v>2039</v>
      </c>
      <c r="T464" t="inlineStr">
        <is>
          <t>Industry Haircut Pathway</t>
        </is>
      </c>
      <c r="U464" t="n">
        <v>8124.5053</v>
      </c>
      <c r="V464" t="n">
        <v>5342.6747</v>
      </c>
      <c r="W464" t="n">
        <v>5453.9479</v>
      </c>
      <c r="X464" t="n">
        <v>5453.9479</v>
      </c>
      <c r="Y464" t="n">
        <v>2670.5574</v>
      </c>
      <c r="Z464" t="inlineStr"/>
      <c r="AA464" t="inlineStr"/>
      <c r="AB464" t="n">
        <v>111.2732</v>
      </c>
      <c r="AC464" t="n">
        <v>111.2732</v>
      </c>
      <c r="AD464" t="n">
        <v>-8010.1121</v>
      </c>
      <c r="AE464" t="n">
        <v>93492.90730000001</v>
      </c>
      <c r="AF464" t="n">
        <v>0.925</v>
      </c>
      <c r="AG464" t="inlineStr">
        <is>
          <t>Medium</t>
        </is>
      </c>
      <c r="AH464" t="inlineStr">
        <is>
          <t>On Track to Glide Path</t>
        </is>
      </c>
    </row>
    <row r="465">
      <c r="A465" t="inlineStr">
        <is>
          <t>SUP-0029</t>
        </is>
      </c>
      <c r="B465" t="inlineStr">
        <is>
          <t>Electronics Supplier 029</t>
        </is>
      </c>
      <c r="C465" t="inlineStr">
        <is>
          <t>Electronics</t>
        </is>
      </c>
      <c r="D465" t="n">
        <v>2024</v>
      </c>
      <c r="E465" t="n">
        <v>2015</v>
      </c>
      <c r="F465" t="n">
        <v>2040</v>
      </c>
      <c r="G465" t="n">
        <v>7133.4316</v>
      </c>
      <c r="H465" t="inlineStr"/>
      <c r="I465" t="inlineStr"/>
      <c r="J465" t="n">
        <v>3970.456</v>
      </c>
      <c r="K465" t="inlineStr"/>
      <c r="L465" t="n">
        <v>22555584.41</v>
      </c>
      <c r="M465" t="n">
        <v>7133.4316</v>
      </c>
      <c r="N465" t="inlineStr">
        <is>
          <t>Supplier Reported Emissions</t>
        </is>
      </c>
      <c r="O465" t="b">
        <v>0</v>
      </c>
      <c r="P465" t="inlineStr">
        <is>
          <t>High</t>
        </is>
      </c>
      <c r="Q465" t="inlineStr">
        <is>
          <t>Gross_Spend; Scope_Emissions</t>
        </is>
      </c>
      <c r="R465" t="inlineStr">
        <is>
          <t>Valid</t>
        </is>
      </c>
      <c r="S465" t="n">
        <v>2040</v>
      </c>
      <c r="T465" t="inlineStr">
        <is>
          <t>Industry Haircut Pathway</t>
        </is>
      </c>
      <c r="U465" t="n">
        <v>8124.5053</v>
      </c>
      <c r="V465" t="n">
        <v>5342.6747</v>
      </c>
      <c r="W465" t="n">
        <v>5342.6747</v>
      </c>
      <c r="X465" t="n">
        <v>5342.6747</v>
      </c>
      <c r="Y465" t="n">
        <v>2781.8306</v>
      </c>
      <c r="Z465" t="inlineStr"/>
      <c r="AA465" t="inlineStr"/>
      <c r="AB465" t="n">
        <v>0</v>
      </c>
      <c r="AC465" t="n">
        <v>111.2732</v>
      </c>
      <c r="AD465" t="n">
        <v>-13352.7868</v>
      </c>
      <c r="AE465" t="n">
        <v>98835.58199999999</v>
      </c>
      <c r="AF465" t="n">
        <v>0.925</v>
      </c>
      <c r="AG465" t="inlineStr">
        <is>
          <t>Low</t>
        </is>
      </c>
      <c r="AH465" t="inlineStr">
        <is>
          <t>On Track</t>
        </is>
      </c>
    </row>
    <row r="466">
      <c r="A466" t="inlineStr">
        <is>
          <t>SUP-0030</t>
        </is>
      </c>
      <c r="B466" t="inlineStr">
        <is>
          <t>Agriculture Supplier 030</t>
        </is>
      </c>
      <c r="C466" t="inlineStr">
        <is>
          <t>Agriculture</t>
        </is>
      </c>
      <c r="D466" t="n">
        <v>2024</v>
      </c>
      <c r="E466" t="n">
        <v>2015</v>
      </c>
      <c r="F466" t="n">
        <v>2040</v>
      </c>
      <c r="G466" t="inlineStr"/>
      <c r="H466" t="n">
        <v>2203.8091</v>
      </c>
      <c r="I466" t="n">
        <v>1657.8494</v>
      </c>
      <c r="J466" t="inlineStr"/>
      <c r="K466" t="n">
        <v>15915540.15</v>
      </c>
      <c r="L466" t="inlineStr"/>
      <c r="M466" t="n">
        <v>14548.8727</v>
      </c>
      <c r="N466" t="inlineStr">
        <is>
          <t>Spend-Based Estimate</t>
        </is>
      </c>
      <c r="O466" t="b">
        <v>1</v>
      </c>
      <c r="P466" t="inlineStr">
        <is>
          <t>Medium</t>
        </is>
      </c>
      <c r="Q466" t="inlineStr">
        <is>
          <t>Reported_Emissions; Revenue; Scope_Emissions</t>
        </is>
      </c>
      <c r="R466" t="inlineStr">
        <is>
          <t>Valid</t>
        </is>
      </c>
      <c r="S466" t="n">
        <v>2025</v>
      </c>
      <c r="T466" t="inlineStr">
        <is>
          <t>Historical Trend Pathway</t>
        </is>
      </c>
      <c r="U466" t="n">
        <v>18618.9736</v>
      </c>
      <c r="V466" t="n">
        <v>13585.3341</v>
      </c>
      <c r="W466" t="n">
        <v>14222.7394</v>
      </c>
      <c r="X466" t="n">
        <v>16605.5178</v>
      </c>
      <c r="Y466" t="n">
        <v>4396.2342</v>
      </c>
      <c r="Z466" t="n">
        <v>0.00089364</v>
      </c>
      <c r="AA466" t="n">
        <v>0.236116</v>
      </c>
      <c r="AB466" t="n">
        <v>637.4053</v>
      </c>
      <c r="AC466" t="n">
        <v>201.3456</v>
      </c>
      <c r="AD466" t="n">
        <v>203142.6062</v>
      </c>
      <c r="AE466" t="n">
        <v>14222.7394</v>
      </c>
      <c r="AF466" t="n">
        <v>0.805</v>
      </c>
      <c r="AG466" t="inlineStr">
        <is>
          <t>Medium</t>
        </is>
      </c>
      <c r="AH466" t="inlineStr">
        <is>
          <t>On Track to Glide Path</t>
        </is>
      </c>
    </row>
    <row r="467">
      <c r="A467" t="inlineStr">
        <is>
          <t>SUP-0030</t>
        </is>
      </c>
      <c r="B467" t="inlineStr">
        <is>
          <t>Agriculture Supplier 030</t>
        </is>
      </c>
      <c r="C467" t="inlineStr">
        <is>
          <t>Agriculture</t>
        </is>
      </c>
      <c r="D467" t="n">
        <v>2024</v>
      </c>
      <c r="E467" t="n">
        <v>2015</v>
      </c>
      <c r="F467" t="n">
        <v>2040</v>
      </c>
      <c r="G467" t="inlineStr"/>
      <c r="H467" t="n">
        <v>2203.8091</v>
      </c>
      <c r="I467" t="n">
        <v>1657.8494</v>
      </c>
      <c r="J467" t="inlineStr"/>
      <c r="K467" t="n">
        <v>15915540.15</v>
      </c>
      <c r="L467" t="inlineStr"/>
      <c r="M467" t="n">
        <v>14548.8727</v>
      </c>
      <c r="N467" t="inlineStr">
        <is>
          <t>Spend-Based Estimate</t>
        </is>
      </c>
      <c r="O467" t="b">
        <v>1</v>
      </c>
      <c r="P467" t="inlineStr">
        <is>
          <t>Medium</t>
        </is>
      </c>
      <c r="Q467" t="inlineStr">
        <is>
          <t>Reported_Emissions; Revenue; Scope_Emissions</t>
        </is>
      </c>
      <c r="R467" t="inlineStr">
        <is>
          <t>Valid</t>
        </is>
      </c>
      <c r="S467" t="n">
        <v>2026</v>
      </c>
      <c r="T467" t="inlineStr">
        <is>
          <t>Historical Trend Pathway</t>
        </is>
      </c>
      <c r="U467" t="n">
        <v>18618.9736</v>
      </c>
      <c r="V467" t="n">
        <v>13585.3341</v>
      </c>
      <c r="W467" t="n">
        <v>13903.9167</v>
      </c>
      <c r="X467" t="n">
        <v>16404.1722</v>
      </c>
      <c r="Y467" t="n">
        <v>4715.0569</v>
      </c>
      <c r="Z467" t="n">
        <v>0.00087361</v>
      </c>
      <c r="AA467" t="n">
        <v>0.253239</v>
      </c>
      <c r="AB467" t="n">
        <v>318.5826</v>
      </c>
      <c r="AC467" t="n">
        <v>201.3456</v>
      </c>
      <c r="AD467" t="n">
        <v>189238.6895</v>
      </c>
      <c r="AE467" t="n">
        <v>28126.6561</v>
      </c>
      <c r="AF467" t="n">
        <v>0.805</v>
      </c>
      <c r="AG467" t="inlineStr">
        <is>
          <t>Medium</t>
        </is>
      </c>
      <c r="AH467" t="inlineStr">
        <is>
          <t>On Track to Glide Path</t>
        </is>
      </c>
    </row>
    <row r="468">
      <c r="A468" t="inlineStr">
        <is>
          <t>SUP-0030</t>
        </is>
      </c>
      <c r="B468" t="inlineStr">
        <is>
          <t>Agriculture Supplier 030</t>
        </is>
      </c>
      <c r="C468" t="inlineStr">
        <is>
          <t>Agriculture</t>
        </is>
      </c>
      <c r="D468" t="n">
        <v>2024</v>
      </c>
      <c r="E468" t="n">
        <v>2015</v>
      </c>
      <c r="F468" t="n">
        <v>2040</v>
      </c>
      <c r="G468" t="inlineStr"/>
      <c r="H468" t="n">
        <v>2203.8091</v>
      </c>
      <c r="I468" t="n">
        <v>1657.8494</v>
      </c>
      <c r="J468" t="inlineStr"/>
      <c r="K468" t="n">
        <v>15915540.15</v>
      </c>
      <c r="L468" t="inlineStr"/>
      <c r="M468" t="n">
        <v>14548.8727</v>
      </c>
      <c r="N468" t="inlineStr">
        <is>
          <t>Spend-Based Estimate</t>
        </is>
      </c>
      <c r="O468" t="b">
        <v>1</v>
      </c>
      <c r="P468" t="inlineStr">
        <is>
          <t>Medium</t>
        </is>
      </c>
      <c r="Q468" t="inlineStr">
        <is>
          <t>Reported_Emissions; Revenue; Scope_Emissions</t>
        </is>
      </c>
      <c r="R468" t="inlineStr">
        <is>
          <t>Valid</t>
        </is>
      </c>
      <c r="S468" t="n">
        <v>2027</v>
      </c>
      <c r="T468" t="inlineStr">
        <is>
          <t>Historical Trend Pathway</t>
        </is>
      </c>
      <c r="U468" t="n">
        <v>18618.9736</v>
      </c>
      <c r="V468" t="n">
        <v>13585.3341</v>
      </c>
      <c r="W468" t="n">
        <v>13592.241</v>
      </c>
      <c r="X468" t="n">
        <v>16202.8266</v>
      </c>
      <c r="Y468" t="n">
        <v>5026.7326</v>
      </c>
      <c r="Z468" t="n">
        <v>0.00085402</v>
      </c>
      <c r="AA468" t="n">
        <v>0.269979</v>
      </c>
      <c r="AB468" t="n">
        <v>6.9069</v>
      </c>
      <c r="AC468" t="n">
        <v>201.3456</v>
      </c>
      <c r="AD468" t="n">
        <v>175646.4485</v>
      </c>
      <c r="AE468" t="n">
        <v>41718.8971</v>
      </c>
      <c r="AF468" t="n">
        <v>0.805</v>
      </c>
      <c r="AG468" t="inlineStr">
        <is>
          <t>Medium</t>
        </is>
      </c>
      <c r="AH468" t="inlineStr">
        <is>
          <t>On Track to Glide Path</t>
        </is>
      </c>
    </row>
    <row r="469">
      <c r="A469" t="inlineStr">
        <is>
          <t>SUP-0030</t>
        </is>
      </c>
      <c r="B469" t="inlineStr">
        <is>
          <t>Agriculture Supplier 030</t>
        </is>
      </c>
      <c r="C469" t="inlineStr">
        <is>
          <t>Agriculture</t>
        </is>
      </c>
      <c r="D469" t="n">
        <v>2024</v>
      </c>
      <c r="E469" t="n">
        <v>2015</v>
      </c>
      <c r="F469" t="n">
        <v>2040</v>
      </c>
      <c r="G469" t="inlineStr"/>
      <c r="H469" t="n">
        <v>2203.8091</v>
      </c>
      <c r="I469" t="n">
        <v>1657.8494</v>
      </c>
      <c r="J469" t="inlineStr"/>
      <c r="K469" t="n">
        <v>15915540.15</v>
      </c>
      <c r="L469" t="inlineStr"/>
      <c r="M469" t="n">
        <v>14548.8727</v>
      </c>
      <c r="N469" t="inlineStr">
        <is>
          <t>Spend-Based Estimate</t>
        </is>
      </c>
      <c r="O469" t="b">
        <v>1</v>
      </c>
      <c r="P469" t="inlineStr">
        <is>
          <t>Medium</t>
        </is>
      </c>
      <c r="Q469" t="inlineStr">
        <is>
          <t>Reported_Emissions; Revenue; Scope_Emissions</t>
        </is>
      </c>
      <c r="R469" t="inlineStr">
        <is>
          <t>Valid</t>
        </is>
      </c>
      <c r="S469" t="n">
        <v>2028</v>
      </c>
      <c r="T469" t="inlineStr">
        <is>
          <t>Historical Trend Pathway</t>
        </is>
      </c>
      <c r="U469" t="n">
        <v>18618.9736</v>
      </c>
      <c r="V469" t="n">
        <v>13585.3341</v>
      </c>
      <c r="W469" t="n">
        <v>13287.5519</v>
      </c>
      <c r="X469" t="n">
        <v>16001.4811</v>
      </c>
      <c r="Y469" t="n">
        <v>5331.4217</v>
      </c>
      <c r="Z469" t="n">
        <v>0.00083488</v>
      </c>
      <c r="AA469" t="n">
        <v>0.286343</v>
      </c>
      <c r="AB469" t="n">
        <v>-297.7822</v>
      </c>
      <c r="AC469" t="n">
        <v>201.3456</v>
      </c>
      <c r="AD469" t="n">
        <v>162358.8966</v>
      </c>
      <c r="AE469" t="n">
        <v>55006.449</v>
      </c>
      <c r="AF469" t="n">
        <v>0.805</v>
      </c>
      <c r="AG469" t="inlineStr">
        <is>
          <t>Low</t>
        </is>
      </c>
      <c r="AH469" t="inlineStr">
        <is>
          <t>On Track to Glide Path</t>
        </is>
      </c>
    </row>
    <row r="470">
      <c r="A470" t="inlineStr">
        <is>
          <t>SUP-0030</t>
        </is>
      </c>
      <c r="B470" t="inlineStr">
        <is>
          <t>Agriculture Supplier 030</t>
        </is>
      </c>
      <c r="C470" t="inlineStr">
        <is>
          <t>Agriculture</t>
        </is>
      </c>
      <c r="D470" t="n">
        <v>2024</v>
      </c>
      <c r="E470" t="n">
        <v>2015</v>
      </c>
      <c r="F470" t="n">
        <v>2040</v>
      </c>
      <c r="G470" t="inlineStr"/>
      <c r="H470" t="n">
        <v>2203.8091</v>
      </c>
      <c r="I470" t="n">
        <v>1657.8494</v>
      </c>
      <c r="J470" t="inlineStr"/>
      <c r="K470" t="n">
        <v>15915540.15</v>
      </c>
      <c r="L470" t="inlineStr"/>
      <c r="M470" t="n">
        <v>14548.8727</v>
      </c>
      <c r="N470" t="inlineStr">
        <is>
          <t>Spend-Based Estimate</t>
        </is>
      </c>
      <c r="O470" t="b">
        <v>1</v>
      </c>
      <c r="P470" t="inlineStr">
        <is>
          <t>Medium</t>
        </is>
      </c>
      <c r="Q470" t="inlineStr">
        <is>
          <t>Reported_Emissions; Revenue; Scope_Emissions</t>
        </is>
      </c>
      <c r="R470" t="inlineStr">
        <is>
          <t>Valid</t>
        </is>
      </c>
      <c r="S470" t="n">
        <v>2029</v>
      </c>
      <c r="T470" t="inlineStr">
        <is>
          <t>Historical Trend Pathway</t>
        </is>
      </c>
      <c r="U470" t="n">
        <v>18618.9736</v>
      </c>
      <c r="V470" t="n">
        <v>13585.3341</v>
      </c>
      <c r="W470" t="n">
        <v>12989.6928</v>
      </c>
      <c r="X470" t="n">
        <v>15800.1355</v>
      </c>
      <c r="Y470" t="n">
        <v>5629.2808</v>
      </c>
      <c r="Z470" t="n">
        <v>0.00081616</v>
      </c>
      <c r="AA470" t="n">
        <v>0.302341</v>
      </c>
      <c r="AB470" t="n">
        <v>-595.6413</v>
      </c>
      <c r="AC470" t="n">
        <v>201.3456</v>
      </c>
      <c r="AD470" t="n">
        <v>149369.2038</v>
      </c>
      <c r="AE470" t="n">
        <v>67996.1418</v>
      </c>
      <c r="AF470" t="n">
        <v>0.805</v>
      </c>
      <c r="AG470" t="inlineStr">
        <is>
          <t>Low</t>
        </is>
      </c>
      <c r="AH470" t="inlineStr">
        <is>
          <t>On Track to Glide Path</t>
        </is>
      </c>
    </row>
    <row r="471">
      <c r="A471" t="inlineStr">
        <is>
          <t>SUP-0030</t>
        </is>
      </c>
      <c r="B471" t="inlineStr">
        <is>
          <t>Agriculture Supplier 030</t>
        </is>
      </c>
      <c r="C471" t="inlineStr">
        <is>
          <t>Agriculture</t>
        </is>
      </c>
      <c r="D471" t="n">
        <v>2024</v>
      </c>
      <c r="E471" t="n">
        <v>2015</v>
      </c>
      <c r="F471" t="n">
        <v>2040</v>
      </c>
      <c r="G471" t="inlineStr"/>
      <c r="H471" t="n">
        <v>2203.8091</v>
      </c>
      <c r="I471" t="n">
        <v>1657.8494</v>
      </c>
      <c r="J471" t="inlineStr"/>
      <c r="K471" t="n">
        <v>15915540.15</v>
      </c>
      <c r="L471" t="inlineStr"/>
      <c r="M471" t="n">
        <v>14548.8727</v>
      </c>
      <c r="N471" t="inlineStr">
        <is>
          <t>Spend-Based Estimate</t>
        </is>
      </c>
      <c r="O471" t="b">
        <v>1</v>
      </c>
      <c r="P471" t="inlineStr">
        <is>
          <t>Medium</t>
        </is>
      </c>
      <c r="Q471" t="inlineStr">
        <is>
          <t>Reported_Emissions; Revenue; Scope_Emissions</t>
        </is>
      </c>
      <c r="R471" t="inlineStr">
        <is>
          <t>Valid</t>
        </is>
      </c>
      <c r="S471" t="n">
        <v>2030</v>
      </c>
      <c r="T471" t="inlineStr">
        <is>
          <t>Historical Trend Pathway</t>
        </is>
      </c>
      <c r="U471" t="n">
        <v>18618.9736</v>
      </c>
      <c r="V471" t="n">
        <v>13585.3341</v>
      </c>
      <c r="W471" t="n">
        <v>12698.5106</v>
      </c>
      <c r="X471" t="n">
        <v>15598.7899</v>
      </c>
      <c r="Y471" t="n">
        <v>5920.463</v>
      </c>
      <c r="Z471" t="n">
        <v>0.00079787</v>
      </c>
      <c r="AA471" t="n">
        <v>0.31798</v>
      </c>
      <c r="AB471" t="n">
        <v>-886.8234</v>
      </c>
      <c r="AC471" t="n">
        <v>201.3456</v>
      </c>
      <c r="AD471" t="n">
        <v>136670.6932</v>
      </c>
      <c r="AE471" t="n">
        <v>80694.65240000001</v>
      </c>
      <c r="AF471" t="n">
        <v>0.805</v>
      </c>
      <c r="AG471" t="inlineStr">
        <is>
          <t>Low</t>
        </is>
      </c>
      <c r="AH471" t="inlineStr">
        <is>
          <t>On Track to Glide Path</t>
        </is>
      </c>
    </row>
    <row r="472">
      <c r="A472" t="inlineStr">
        <is>
          <t>SUP-0030</t>
        </is>
      </c>
      <c r="B472" t="inlineStr">
        <is>
          <t>Agriculture Supplier 030</t>
        </is>
      </c>
      <c r="C472" t="inlineStr">
        <is>
          <t>Agriculture</t>
        </is>
      </c>
      <c r="D472" t="n">
        <v>2024</v>
      </c>
      <c r="E472" t="n">
        <v>2015</v>
      </c>
      <c r="F472" t="n">
        <v>2040</v>
      </c>
      <c r="G472" t="inlineStr"/>
      <c r="H472" t="n">
        <v>2203.8091</v>
      </c>
      <c r="I472" t="n">
        <v>1657.8494</v>
      </c>
      <c r="J472" t="inlineStr"/>
      <c r="K472" t="n">
        <v>15915540.15</v>
      </c>
      <c r="L472" t="inlineStr"/>
      <c r="M472" t="n">
        <v>14548.8727</v>
      </c>
      <c r="N472" t="inlineStr">
        <is>
          <t>Spend-Based Estimate</t>
        </is>
      </c>
      <c r="O472" t="b">
        <v>1</v>
      </c>
      <c r="P472" t="inlineStr">
        <is>
          <t>Medium</t>
        </is>
      </c>
      <c r="Q472" t="inlineStr">
        <is>
          <t>Reported_Emissions; Revenue; Scope_Emissions</t>
        </is>
      </c>
      <c r="R472" t="inlineStr">
        <is>
          <t>Valid</t>
        </is>
      </c>
      <c r="S472" t="n">
        <v>2031</v>
      </c>
      <c r="T472" t="inlineStr">
        <is>
          <t>Historical Trend Pathway</t>
        </is>
      </c>
      <c r="U472" t="n">
        <v>18618.9736</v>
      </c>
      <c r="V472" t="n">
        <v>13585.3341</v>
      </c>
      <c r="W472" t="n">
        <v>12413.8557</v>
      </c>
      <c r="X472" t="n">
        <v>15397.4443</v>
      </c>
      <c r="Y472" t="n">
        <v>6205.1179</v>
      </c>
      <c r="Z472" t="n">
        <v>0.00077998</v>
      </c>
      <c r="AA472" t="n">
        <v>0.333269</v>
      </c>
      <c r="AB472" t="n">
        <v>-1171.4783</v>
      </c>
      <c r="AC472" t="n">
        <v>201.3456</v>
      </c>
      <c r="AD472" t="n">
        <v>124256.8375</v>
      </c>
      <c r="AE472" t="n">
        <v>93108.50810000001</v>
      </c>
      <c r="AF472" t="n">
        <v>0.805</v>
      </c>
      <c r="AG472" t="inlineStr">
        <is>
          <t>Low</t>
        </is>
      </c>
      <c r="AH472" t="inlineStr">
        <is>
          <t>On Track to Glide Path</t>
        </is>
      </c>
    </row>
    <row r="473">
      <c r="A473" t="inlineStr">
        <is>
          <t>SUP-0030</t>
        </is>
      </c>
      <c r="B473" t="inlineStr">
        <is>
          <t>Agriculture Supplier 030</t>
        </is>
      </c>
      <c r="C473" t="inlineStr">
        <is>
          <t>Agriculture</t>
        </is>
      </c>
      <c r="D473" t="n">
        <v>2024</v>
      </c>
      <c r="E473" t="n">
        <v>2015</v>
      </c>
      <c r="F473" t="n">
        <v>2040</v>
      </c>
      <c r="G473" t="inlineStr"/>
      <c r="H473" t="n">
        <v>2203.8091</v>
      </c>
      <c r="I473" t="n">
        <v>1657.8494</v>
      </c>
      <c r="J473" t="inlineStr"/>
      <c r="K473" t="n">
        <v>15915540.15</v>
      </c>
      <c r="L473" t="inlineStr"/>
      <c r="M473" t="n">
        <v>14548.8727</v>
      </c>
      <c r="N473" t="inlineStr">
        <is>
          <t>Spend-Based Estimate</t>
        </is>
      </c>
      <c r="O473" t="b">
        <v>1</v>
      </c>
      <c r="P473" t="inlineStr">
        <is>
          <t>Medium</t>
        </is>
      </c>
      <c r="Q473" t="inlineStr">
        <is>
          <t>Reported_Emissions; Revenue; Scope_Emissions</t>
        </is>
      </c>
      <c r="R473" t="inlineStr">
        <is>
          <t>Valid</t>
        </is>
      </c>
      <c r="S473" t="n">
        <v>2032</v>
      </c>
      <c r="T473" t="inlineStr">
        <is>
          <t>Historical Trend Pathway</t>
        </is>
      </c>
      <c r="U473" t="n">
        <v>18618.9736</v>
      </c>
      <c r="V473" t="n">
        <v>13585.3341</v>
      </c>
      <c r="W473" t="n">
        <v>12135.5818</v>
      </c>
      <c r="X473" t="n">
        <v>15196.0987</v>
      </c>
      <c r="Y473" t="n">
        <v>6483.3918</v>
      </c>
      <c r="Z473" t="n">
        <v>0.0007625</v>
      </c>
      <c r="AA473" t="n">
        <v>0.348214</v>
      </c>
      <c r="AB473" t="n">
        <v>-1449.7523</v>
      </c>
      <c r="AC473" t="n">
        <v>201.3456</v>
      </c>
      <c r="AD473" t="n">
        <v>112121.2557</v>
      </c>
      <c r="AE473" t="n">
        <v>105244.0899</v>
      </c>
      <c r="AF473" t="n">
        <v>0.805</v>
      </c>
      <c r="AG473" t="inlineStr">
        <is>
          <t>Low</t>
        </is>
      </c>
      <c r="AH473" t="inlineStr">
        <is>
          <t>On Track to Glide Path</t>
        </is>
      </c>
    </row>
    <row r="474">
      <c r="A474" t="inlineStr">
        <is>
          <t>SUP-0030</t>
        </is>
      </c>
      <c r="B474" t="inlineStr">
        <is>
          <t>Agriculture Supplier 030</t>
        </is>
      </c>
      <c r="C474" t="inlineStr">
        <is>
          <t>Agriculture</t>
        </is>
      </c>
      <c r="D474" t="n">
        <v>2024</v>
      </c>
      <c r="E474" t="n">
        <v>2015</v>
      </c>
      <c r="F474" t="n">
        <v>2040</v>
      </c>
      <c r="G474" t="inlineStr"/>
      <c r="H474" t="n">
        <v>2203.8091</v>
      </c>
      <c r="I474" t="n">
        <v>1657.8494</v>
      </c>
      <c r="J474" t="inlineStr"/>
      <c r="K474" t="n">
        <v>15915540.15</v>
      </c>
      <c r="L474" t="inlineStr"/>
      <c r="M474" t="n">
        <v>14548.8727</v>
      </c>
      <c r="N474" t="inlineStr">
        <is>
          <t>Spend-Based Estimate</t>
        </is>
      </c>
      <c r="O474" t="b">
        <v>1</v>
      </c>
      <c r="P474" t="inlineStr">
        <is>
          <t>Medium</t>
        </is>
      </c>
      <c r="Q474" t="inlineStr">
        <is>
          <t>Reported_Emissions; Revenue; Scope_Emissions</t>
        </is>
      </c>
      <c r="R474" t="inlineStr">
        <is>
          <t>Valid</t>
        </is>
      </c>
      <c r="S474" t="n">
        <v>2033</v>
      </c>
      <c r="T474" t="inlineStr">
        <is>
          <t>Historical Trend Pathway</t>
        </is>
      </c>
      <c r="U474" t="n">
        <v>18618.9736</v>
      </c>
      <c r="V474" t="n">
        <v>13585.3341</v>
      </c>
      <c r="W474" t="n">
        <v>11863.5457</v>
      </c>
      <c r="X474" t="n">
        <v>14994.7532</v>
      </c>
      <c r="Y474" t="n">
        <v>6755.4279</v>
      </c>
      <c r="Z474" t="n">
        <v>0.00074541</v>
      </c>
      <c r="AA474" t="n">
        <v>0.362825</v>
      </c>
      <c r="AB474" t="n">
        <v>-1721.7884</v>
      </c>
      <c r="AC474" t="n">
        <v>201.3456</v>
      </c>
      <c r="AD474" t="n">
        <v>100257.71</v>
      </c>
      <c r="AE474" t="n">
        <v>117107.6356</v>
      </c>
      <c r="AF474" t="n">
        <v>0.805</v>
      </c>
      <c r="AG474" t="inlineStr">
        <is>
          <t>Low</t>
        </is>
      </c>
      <c r="AH474" t="inlineStr">
        <is>
          <t>On Track to Glide Path</t>
        </is>
      </c>
    </row>
    <row r="475">
      <c r="A475" t="inlineStr">
        <is>
          <t>SUP-0030</t>
        </is>
      </c>
      <c r="B475" t="inlineStr">
        <is>
          <t>Agriculture Supplier 030</t>
        </is>
      </c>
      <c r="C475" t="inlineStr">
        <is>
          <t>Agriculture</t>
        </is>
      </c>
      <c r="D475" t="n">
        <v>2024</v>
      </c>
      <c r="E475" t="n">
        <v>2015</v>
      </c>
      <c r="F475" t="n">
        <v>2040</v>
      </c>
      <c r="G475" t="inlineStr"/>
      <c r="H475" t="n">
        <v>2203.8091</v>
      </c>
      <c r="I475" t="n">
        <v>1657.8494</v>
      </c>
      <c r="J475" t="inlineStr"/>
      <c r="K475" t="n">
        <v>15915540.15</v>
      </c>
      <c r="L475" t="inlineStr"/>
      <c r="M475" t="n">
        <v>14548.8727</v>
      </c>
      <c r="N475" t="inlineStr">
        <is>
          <t>Spend-Based Estimate</t>
        </is>
      </c>
      <c r="O475" t="b">
        <v>1</v>
      </c>
      <c r="P475" t="inlineStr">
        <is>
          <t>Medium</t>
        </is>
      </c>
      <c r="Q475" t="inlineStr">
        <is>
          <t>Reported_Emissions; Revenue; Scope_Emissions</t>
        </is>
      </c>
      <c r="R475" t="inlineStr">
        <is>
          <t>Valid</t>
        </is>
      </c>
      <c r="S475" t="n">
        <v>2034</v>
      </c>
      <c r="T475" t="inlineStr">
        <is>
          <t>Historical Trend Pathway</t>
        </is>
      </c>
      <c r="U475" t="n">
        <v>18618.9736</v>
      </c>
      <c r="V475" t="n">
        <v>13585.3341</v>
      </c>
      <c r="W475" t="n">
        <v>11597.6077</v>
      </c>
      <c r="X475" t="n">
        <v>14793.4076</v>
      </c>
      <c r="Y475" t="n">
        <v>7021.3659</v>
      </c>
      <c r="Z475" t="n">
        <v>0.0007287</v>
      </c>
      <c r="AA475" t="n">
        <v>0.377108</v>
      </c>
      <c r="AB475" t="n">
        <v>-1987.7263</v>
      </c>
      <c r="AC475" t="n">
        <v>201.3456</v>
      </c>
      <c r="AD475" t="n">
        <v>88660.1023</v>
      </c>
      <c r="AE475" t="n">
        <v>128705.2433</v>
      </c>
      <c r="AF475" t="n">
        <v>0.805</v>
      </c>
      <c r="AG475" t="inlineStr">
        <is>
          <t>Low</t>
        </is>
      </c>
      <c r="AH475" t="inlineStr">
        <is>
          <t>On Track to Glide Path</t>
        </is>
      </c>
    </row>
    <row r="476">
      <c r="A476" t="inlineStr">
        <is>
          <t>SUP-0030</t>
        </is>
      </c>
      <c r="B476" t="inlineStr">
        <is>
          <t>Agriculture Supplier 030</t>
        </is>
      </c>
      <c r="C476" t="inlineStr">
        <is>
          <t>Agriculture</t>
        </is>
      </c>
      <c r="D476" t="n">
        <v>2024</v>
      </c>
      <c r="E476" t="n">
        <v>2015</v>
      </c>
      <c r="F476" t="n">
        <v>2040</v>
      </c>
      <c r="G476" t="inlineStr"/>
      <c r="H476" t="n">
        <v>2203.8091</v>
      </c>
      <c r="I476" t="n">
        <v>1657.8494</v>
      </c>
      <c r="J476" t="inlineStr"/>
      <c r="K476" t="n">
        <v>15915540.15</v>
      </c>
      <c r="L476" t="inlineStr"/>
      <c r="M476" t="n">
        <v>14548.8727</v>
      </c>
      <c r="N476" t="inlineStr">
        <is>
          <t>Spend-Based Estimate</t>
        </is>
      </c>
      <c r="O476" t="b">
        <v>1</v>
      </c>
      <c r="P476" t="inlineStr">
        <is>
          <t>Medium</t>
        </is>
      </c>
      <c r="Q476" t="inlineStr">
        <is>
          <t>Reported_Emissions; Revenue; Scope_Emissions</t>
        </is>
      </c>
      <c r="R476" t="inlineStr">
        <is>
          <t>Valid</t>
        </is>
      </c>
      <c r="S476" t="n">
        <v>2035</v>
      </c>
      <c r="T476" t="inlineStr">
        <is>
          <t>Historical Trend Pathway</t>
        </is>
      </c>
      <c r="U476" t="n">
        <v>18618.9736</v>
      </c>
      <c r="V476" t="n">
        <v>13585.3341</v>
      </c>
      <c r="W476" t="n">
        <v>11337.6311</v>
      </c>
      <c r="X476" t="n">
        <v>14592.062</v>
      </c>
      <c r="Y476" t="n">
        <v>7281.3425</v>
      </c>
      <c r="Z476" t="n">
        <v>0.00071236</v>
      </c>
      <c r="AA476" t="n">
        <v>0.391071</v>
      </c>
      <c r="AB476" t="n">
        <v>-2247.703</v>
      </c>
      <c r="AC476" t="n">
        <v>201.3456</v>
      </c>
      <c r="AD476" t="n">
        <v>77322.4712</v>
      </c>
      <c r="AE476" t="n">
        <v>140042.8744</v>
      </c>
      <c r="AF476" t="n">
        <v>0.805</v>
      </c>
      <c r="AG476" t="inlineStr">
        <is>
          <t>Low</t>
        </is>
      </c>
      <c r="AH476" t="inlineStr">
        <is>
          <t>On Track to Glide Path</t>
        </is>
      </c>
    </row>
    <row r="477">
      <c r="A477" t="inlineStr">
        <is>
          <t>SUP-0030</t>
        </is>
      </c>
      <c r="B477" t="inlineStr">
        <is>
          <t>Agriculture Supplier 030</t>
        </is>
      </c>
      <c r="C477" t="inlineStr">
        <is>
          <t>Agriculture</t>
        </is>
      </c>
      <c r="D477" t="n">
        <v>2024</v>
      </c>
      <c r="E477" t="n">
        <v>2015</v>
      </c>
      <c r="F477" t="n">
        <v>2040</v>
      </c>
      <c r="G477" t="inlineStr"/>
      <c r="H477" t="n">
        <v>2203.8091</v>
      </c>
      <c r="I477" t="n">
        <v>1657.8494</v>
      </c>
      <c r="J477" t="inlineStr"/>
      <c r="K477" t="n">
        <v>15915540.15</v>
      </c>
      <c r="L477" t="inlineStr"/>
      <c r="M477" t="n">
        <v>14548.8727</v>
      </c>
      <c r="N477" t="inlineStr">
        <is>
          <t>Spend-Based Estimate</t>
        </is>
      </c>
      <c r="O477" t="b">
        <v>1</v>
      </c>
      <c r="P477" t="inlineStr">
        <is>
          <t>Medium</t>
        </is>
      </c>
      <c r="Q477" t="inlineStr">
        <is>
          <t>Reported_Emissions; Revenue; Scope_Emissions</t>
        </is>
      </c>
      <c r="R477" t="inlineStr">
        <is>
          <t>Valid</t>
        </is>
      </c>
      <c r="S477" t="n">
        <v>2036</v>
      </c>
      <c r="T477" t="inlineStr">
        <is>
          <t>Historical Trend Pathway</t>
        </is>
      </c>
      <c r="U477" t="n">
        <v>18618.9736</v>
      </c>
      <c r="V477" t="n">
        <v>13585.3341</v>
      </c>
      <c r="W477" t="n">
        <v>11083.4823</v>
      </c>
      <c r="X477" t="n">
        <v>14390.7164</v>
      </c>
      <c r="Y477" t="n">
        <v>7535.4913</v>
      </c>
      <c r="Z477" t="n">
        <v>0.00069639</v>
      </c>
      <c r="AA477" t="n">
        <v>0.404721</v>
      </c>
      <c r="AB477" t="n">
        <v>-2501.8518</v>
      </c>
      <c r="AC477" t="n">
        <v>201.3456</v>
      </c>
      <c r="AD477" t="n">
        <v>66238.9889</v>
      </c>
      <c r="AE477" t="n">
        <v>151126.3567</v>
      </c>
      <c r="AF477" t="n">
        <v>0.805</v>
      </c>
      <c r="AG477" t="inlineStr">
        <is>
          <t>Low</t>
        </is>
      </c>
      <c r="AH477" t="inlineStr">
        <is>
          <t>On Track to Glide Path</t>
        </is>
      </c>
    </row>
    <row r="478">
      <c r="A478" t="inlineStr">
        <is>
          <t>SUP-0030</t>
        </is>
      </c>
      <c r="B478" t="inlineStr">
        <is>
          <t>Agriculture Supplier 030</t>
        </is>
      </c>
      <c r="C478" t="inlineStr">
        <is>
          <t>Agriculture</t>
        </is>
      </c>
      <c r="D478" t="n">
        <v>2024</v>
      </c>
      <c r="E478" t="n">
        <v>2015</v>
      </c>
      <c r="F478" t="n">
        <v>2040</v>
      </c>
      <c r="G478" t="inlineStr"/>
      <c r="H478" t="n">
        <v>2203.8091</v>
      </c>
      <c r="I478" t="n">
        <v>1657.8494</v>
      </c>
      <c r="J478" t="inlineStr"/>
      <c r="K478" t="n">
        <v>15915540.15</v>
      </c>
      <c r="L478" t="inlineStr"/>
      <c r="M478" t="n">
        <v>14548.8727</v>
      </c>
      <c r="N478" t="inlineStr">
        <is>
          <t>Spend-Based Estimate</t>
        </is>
      </c>
      <c r="O478" t="b">
        <v>1</v>
      </c>
      <c r="P478" t="inlineStr">
        <is>
          <t>Medium</t>
        </is>
      </c>
      <c r="Q478" t="inlineStr">
        <is>
          <t>Reported_Emissions; Revenue; Scope_Emissions</t>
        </is>
      </c>
      <c r="R478" t="inlineStr">
        <is>
          <t>Valid</t>
        </is>
      </c>
      <c r="S478" t="n">
        <v>2037</v>
      </c>
      <c r="T478" t="inlineStr">
        <is>
          <t>Historical Trend Pathway</t>
        </is>
      </c>
      <c r="U478" t="n">
        <v>18618.9736</v>
      </c>
      <c r="V478" t="n">
        <v>13585.3341</v>
      </c>
      <c r="W478" t="n">
        <v>10835.0305</v>
      </c>
      <c r="X478" t="n">
        <v>14189.3708</v>
      </c>
      <c r="Y478" t="n">
        <v>7783.9431</v>
      </c>
      <c r="Z478" t="n">
        <v>0.00068078</v>
      </c>
      <c r="AA478" t="n">
        <v>0.418065</v>
      </c>
      <c r="AB478" t="n">
        <v>-2750.3036</v>
      </c>
      <c r="AC478" t="n">
        <v>201.3456</v>
      </c>
      <c r="AD478" t="n">
        <v>55403.9584</v>
      </c>
      <c r="AE478" t="n">
        <v>161961.3872</v>
      </c>
      <c r="AF478" t="n">
        <v>0.805</v>
      </c>
      <c r="AG478" t="inlineStr">
        <is>
          <t>Low</t>
        </is>
      </c>
      <c r="AH478" t="inlineStr">
        <is>
          <t>On Track to Glide Path</t>
        </is>
      </c>
    </row>
    <row r="479">
      <c r="A479" t="inlineStr">
        <is>
          <t>SUP-0030</t>
        </is>
      </c>
      <c r="B479" t="inlineStr">
        <is>
          <t>Agriculture Supplier 030</t>
        </is>
      </c>
      <c r="C479" t="inlineStr">
        <is>
          <t>Agriculture</t>
        </is>
      </c>
      <c r="D479" t="n">
        <v>2024</v>
      </c>
      <c r="E479" t="n">
        <v>2015</v>
      </c>
      <c r="F479" t="n">
        <v>2040</v>
      </c>
      <c r="G479" t="inlineStr"/>
      <c r="H479" t="n">
        <v>2203.8091</v>
      </c>
      <c r="I479" t="n">
        <v>1657.8494</v>
      </c>
      <c r="J479" t="inlineStr"/>
      <c r="K479" t="n">
        <v>15915540.15</v>
      </c>
      <c r="L479" t="inlineStr"/>
      <c r="M479" t="n">
        <v>14548.8727</v>
      </c>
      <c r="N479" t="inlineStr">
        <is>
          <t>Spend-Based Estimate</t>
        </is>
      </c>
      <c r="O479" t="b">
        <v>1</v>
      </c>
      <c r="P479" t="inlineStr">
        <is>
          <t>Medium</t>
        </is>
      </c>
      <c r="Q479" t="inlineStr">
        <is>
          <t>Reported_Emissions; Revenue; Scope_Emissions</t>
        </is>
      </c>
      <c r="R479" t="inlineStr">
        <is>
          <t>Valid</t>
        </is>
      </c>
      <c r="S479" t="n">
        <v>2038</v>
      </c>
      <c r="T479" t="inlineStr">
        <is>
          <t>Historical Trend Pathway</t>
        </is>
      </c>
      <c r="U479" t="n">
        <v>18618.9736</v>
      </c>
      <c r="V479" t="n">
        <v>13585.3341</v>
      </c>
      <c r="W479" t="n">
        <v>10592.1481</v>
      </c>
      <c r="X479" t="n">
        <v>13988.0252</v>
      </c>
      <c r="Y479" t="n">
        <v>8026.8255</v>
      </c>
      <c r="Z479" t="n">
        <v>0.00066552</v>
      </c>
      <c r="AA479" t="n">
        <v>0.43111</v>
      </c>
      <c r="AB479" t="n">
        <v>-2993.186</v>
      </c>
      <c r="AC479" t="n">
        <v>201.3456</v>
      </c>
      <c r="AD479" t="n">
        <v>44811.8103</v>
      </c>
      <c r="AE479" t="n">
        <v>172553.5353</v>
      </c>
      <c r="AF479" t="n">
        <v>0.805</v>
      </c>
      <c r="AG479" t="inlineStr">
        <is>
          <t>Low</t>
        </is>
      </c>
      <c r="AH479" t="inlineStr">
        <is>
          <t>On Track to Glide Path</t>
        </is>
      </c>
    </row>
    <row r="480">
      <c r="A480" t="inlineStr">
        <is>
          <t>SUP-0030</t>
        </is>
      </c>
      <c r="B480" t="inlineStr">
        <is>
          <t>Agriculture Supplier 030</t>
        </is>
      </c>
      <c r="C480" t="inlineStr">
        <is>
          <t>Agriculture</t>
        </is>
      </c>
      <c r="D480" t="n">
        <v>2024</v>
      </c>
      <c r="E480" t="n">
        <v>2015</v>
      </c>
      <c r="F480" t="n">
        <v>2040</v>
      </c>
      <c r="G480" t="inlineStr"/>
      <c r="H480" t="n">
        <v>2203.8091</v>
      </c>
      <c r="I480" t="n">
        <v>1657.8494</v>
      </c>
      <c r="J480" t="inlineStr"/>
      <c r="K480" t="n">
        <v>15915540.15</v>
      </c>
      <c r="L480" t="inlineStr"/>
      <c r="M480" t="n">
        <v>14548.8727</v>
      </c>
      <c r="N480" t="inlineStr">
        <is>
          <t>Spend-Based Estimate</t>
        </is>
      </c>
      <c r="O480" t="b">
        <v>1</v>
      </c>
      <c r="P480" t="inlineStr">
        <is>
          <t>Medium</t>
        </is>
      </c>
      <c r="Q480" t="inlineStr">
        <is>
          <t>Reported_Emissions; Revenue; Scope_Emissions</t>
        </is>
      </c>
      <c r="R480" t="inlineStr">
        <is>
          <t>Valid</t>
        </is>
      </c>
      <c r="S480" t="n">
        <v>2039</v>
      </c>
      <c r="T480" t="inlineStr">
        <is>
          <t>Historical Trend Pathway</t>
        </is>
      </c>
      <c r="U480" t="n">
        <v>18618.9736</v>
      </c>
      <c r="V480" t="n">
        <v>13585.3341</v>
      </c>
      <c r="W480" t="n">
        <v>10354.7103</v>
      </c>
      <c r="X480" t="n">
        <v>13786.6797</v>
      </c>
      <c r="Y480" t="n">
        <v>8264.263300000001</v>
      </c>
      <c r="Z480" t="n">
        <v>0.0006506</v>
      </c>
      <c r="AA480" t="n">
        <v>0.443862</v>
      </c>
      <c r="AB480" t="n">
        <v>-3230.6238</v>
      </c>
      <c r="AC480" t="n">
        <v>201.3456</v>
      </c>
      <c r="AD480" t="n">
        <v>34457.1</v>
      </c>
      <c r="AE480" t="n">
        <v>182908.2456</v>
      </c>
      <c r="AF480" t="n">
        <v>0.805</v>
      </c>
      <c r="AG480" t="inlineStr">
        <is>
          <t>Low</t>
        </is>
      </c>
      <c r="AH480" t="inlineStr">
        <is>
          <t>On Track to Glide Path</t>
        </is>
      </c>
    </row>
    <row r="481">
      <c r="A481" t="inlineStr">
        <is>
          <t>SUP-0030</t>
        </is>
      </c>
      <c r="B481" t="inlineStr">
        <is>
          <t>Agriculture Supplier 030</t>
        </is>
      </c>
      <c r="C481" t="inlineStr">
        <is>
          <t>Agriculture</t>
        </is>
      </c>
      <c r="D481" t="n">
        <v>2024</v>
      </c>
      <c r="E481" t="n">
        <v>2015</v>
      </c>
      <c r="F481" t="n">
        <v>2040</v>
      </c>
      <c r="G481" t="inlineStr"/>
      <c r="H481" t="n">
        <v>2203.8091</v>
      </c>
      <c r="I481" t="n">
        <v>1657.8494</v>
      </c>
      <c r="J481" t="inlineStr"/>
      <c r="K481" t="n">
        <v>15915540.15</v>
      </c>
      <c r="L481" t="inlineStr"/>
      <c r="M481" t="n">
        <v>14548.8727</v>
      </c>
      <c r="N481" t="inlineStr">
        <is>
          <t>Spend-Based Estimate</t>
        </is>
      </c>
      <c r="O481" t="b">
        <v>1</v>
      </c>
      <c r="P481" t="inlineStr">
        <is>
          <t>Medium</t>
        </is>
      </c>
      <c r="Q481" t="inlineStr">
        <is>
          <t>Reported_Emissions; Revenue; Scope_Emissions</t>
        </is>
      </c>
      <c r="R481" t="inlineStr">
        <is>
          <t>Valid</t>
        </is>
      </c>
      <c r="S481" t="n">
        <v>2040</v>
      </c>
      <c r="T481" t="inlineStr">
        <is>
          <t>Historical Trend Pathway</t>
        </is>
      </c>
      <c r="U481" t="n">
        <v>18618.9736</v>
      </c>
      <c r="V481" t="n">
        <v>13585.3341</v>
      </c>
      <c r="W481" t="n">
        <v>10122.595</v>
      </c>
      <c r="X481" t="n">
        <v>13585.3341</v>
      </c>
      <c r="Y481" t="n">
        <v>8496.3786</v>
      </c>
      <c r="Z481" t="n">
        <v>0.0006360200000000001</v>
      </c>
      <c r="AA481" t="n">
        <v>0.456329</v>
      </c>
      <c r="AB481" t="n">
        <v>-3462.7391</v>
      </c>
      <c r="AC481" t="n">
        <v>201.3456</v>
      </c>
      <c r="AD481" t="n">
        <v>24334.505</v>
      </c>
      <c r="AE481" t="n">
        <v>193030.8406</v>
      </c>
      <c r="AF481" t="n">
        <v>0.805</v>
      </c>
      <c r="AG481" t="inlineStr">
        <is>
          <t>Low</t>
        </is>
      </c>
      <c r="AH481" t="inlineStr">
        <is>
          <t>On Track</t>
        </is>
      </c>
    </row>
    <row r="482">
      <c r="A482" t="inlineStr">
        <is>
          <t>SUP-0031</t>
        </is>
      </c>
      <c r="B482" t="inlineStr">
        <is>
          <t>Professional Supplier 031</t>
        </is>
      </c>
      <c r="C482" t="inlineStr">
        <is>
          <t>Professional Services</t>
        </is>
      </c>
      <c r="D482" t="n">
        <v>2024</v>
      </c>
      <c r="E482" t="n">
        <v>2020</v>
      </c>
      <c r="F482" t="n">
        <v>2040</v>
      </c>
      <c r="G482" t="n">
        <v>478.731</v>
      </c>
      <c r="H482" t="n">
        <v>128.1063</v>
      </c>
      <c r="I482" t="n">
        <v>68.4752</v>
      </c>
      <c r="J482" t="n">
        <v>322.0936</v>
      </c>
      <c r="K482" t="n">
        <v>4199829.89</v>
      </c>
      <c r="L482" t="n">
        <v>25452946.39</v>
      </c>
      <c r="M482" t="n">
        <v>478.731</v>
      </c>
      <c r="N482" t="inlineStr">
        <is>
          <t>Supplier Reported Emissions</t>
        </is>
      </c>
      <c r="O482" t="b">
        <v>0</v>
      </c>
      <c r="P482" t="inlineStr">
        <is>
          <t>High</t>
        </is>
      </c>
      <c r="Q482" t="inlineStr">
        <is>
          <t>None</t>
        </is>
      </c>
      <c r="R482" t="inlineStr">
        <is>
          <t>Valid</t>
        </is>
      </c>
      <c r="S482" t="n">
        <v>2025</v>
      </c>
      <c r="T482" t="inlineStr">
        <is>
          <t>Supplier Target Pathway</t>
        </is>
      </c>
      <c r="U482" t="n">
        <v>421.5757</v>
      </c>
      <c r="V482" t="n">
        <v>150.4182</v>
      </c>
      <c r="W482" t="n">
        <v>353.7863</v>
      </c>
      <c r="X482" t="n">
        <v>353.7863</v>
      </c>
      <c r="Y482" t="n">
        <v>67.7894</v>
      </c>
      <c r="Z482" t="n">
        <v>8.424000000000001e-05</v>
      </c>
      <c r="AA482" t="n">
        <v>0.1608</v>
      </c>
      <c r="AB482" t="n">
        <v>203.3681</v>
      </c>
      <c r="AC482" t="n">
        <v>13.5579</v>
      </c>
      <c r="AD482" t="n">
        <v>2052.9049</v>
      </c>
      <c r="AE482" t="n">
        <v>353.7863</v>
      </c>
      <c r="AF482" t="n">
        <v>0.99</v>
      </c>
      <c r="AG482" t="inlineStr">
        <is>
          <t>Critical</t>
        </is>
      </c>
      <c r="AH482" t="inlineStr">
        <is>
          <t>On Track to Glide Path</t>
        </is>
      </c>
    </row>
    <row r="483">
      <c r="A483" t="inlineStr">
        <is>
          <t>SUP-0031</t>
        </is>
      </c>
      <c r="B483" t="inlineStr">
        <is>
          <t>Professional Supplier 031</t>
        </is>
      </c>
      <c r="C483" t="inlineStr">
        <is>
          <t>Professional Services</t>
        </is>
      </c>
      <c r="D483" t="n">
        <v>2024</v>
      </c>
      <c r="E483" t="n">
        <v>2020</v>
      </c>
      <c r="F483" t="n">
        <v>2040</v>
      </c>
      <c r="G483" t="n">
        <v>478.731</v>
      </c>
      <c r="H483" t="n">
        <v>128.1063</v>
      </c>
      <c r="I483" t="n">
        <v>68.4752</v>
      </c>
      <c r="J483" t="n">
        <v>322.0936</v>
      </c>
      <c r="K483" t="n">
        <v>4199829.89</v>
      </c>
      <c r="L483" t="n">
        <v>25452946.39</v>
      </c>
      <c r="M483" t="n">
        <v>478.731</v>
      </c>
      <c r="N483" t="inlineStr">
        <is>
          <t>Supplier Reported Emissions</t>
        </is>
      </c>
      <c r="O483" t="b">
        <v>0</v>
      </c>
      <c r="P483" t="inlineStr">
        <is>
          <t>High</t>
        </is>
      </c>
      <c r="Q483" t="inlineStr">
        <is>
          <t>None</t>
        </is>
      </c>
      <c r="R483" t="inlineStr">
        <is>
          <t>Valid</t>
        </is>
      </c>
      <c r="S483" t="n">
        <v>2026</v>
      </c>
      <c r="T483" t="inlineStr">
        <is>
          <t>Supplier Target Pathway</t>
        </is>
      </c>
      <c r="U483" t="n">
        <v>421.5757</v>
      </c>
      <c r="V483" t="n">
        <v>150.4182</v>
      </c>
      <c r="W483" t="n">
        <v>340.2285</v>
      </c>
      <c r="X483" t="n">
        <v>340.2285</v>
      </c>
      <c r="Y483" t="n">
        <v>81.3472</v>
      </c>
      <c r="Z483" t="n">
        <v>8.101e-05</v>
      </c>
      <c r="AA483" t="n">
        <v>0.19296</v>
      </c>
      <c r="AB483" t="n">
        <v>189.8102</v>
      </c>
      <c r="AC483" t="n">
        <v>13.5579</v>
      </c>
      <c r="AD483" t="n">
        <v>1712.6764</v>
      </c>
      <c r="AE483" t="n">
        <v>694.0148</v>
      </c>
      <c r="AF483" t="n">
        <v>0.99</v>
      </c>
      <c r="AG483" t="inlineStr">
        <is>
          <t>Critical</t>
        </is>
      </c>
      <c r="AH483" t="inlineStr">
        <is>
          <t>On Track to Glide Path</t>
        </is>
      </c>
    </row>
    <row r="484">
      <c r="A484" t="inlineStr">
        <is>
          <t>SUP-0031</t>
        </is>
      </c>
      <c r="B484" t="inlineStr">
        <is>
          <t>Professional Supplier 031</t>
        </is>
      </c>
      <c r="C484" t="inlineStr">
        <is>
          <t>Professional Services</t>
        </is>
      </c>
      <c r="D484" t="n">
        <v>2024</v>
      </c>
      <c r="E484" t="n">
        <v>2020</v>
      </c>
      <c r="F484" t="n">
        <v>2040</v>
      </c>
      <c r="G484" t="n">
        <v>478.731</v>
      </c>
      <c r="H484" t="n">
        <v>128.1063</v>
      </c>
      <c r="I484" t="n">
        <v>68.4752</v>
      </c>
      <c r="J484" t="n">
        <v>322.0936</v>
      </c>
      <c r="K484" t="n">
        <v>4199829.89</v>
      </c>
      <c r="L484" t="n">
        <v>25452946.39</v>
      </c>
      <c r="M484" t="n">
        <v>478.731</v>
      </c>
      <c r="N484" t="inlineStr">
        <is>
          <t>Supplier Reported Emissions</t>
        </is>
      </c>
      <c r="O484" t="b">
        <v>0</v>
      </c>
      <c r="P484" t="inlineStr">
        <is>
          <t>High</t>
        </is>
      </c>
      <c r="Q484" t="inlineStr">
        <is>
          <t>None</t>
        </is>
      </c>
      <c r="R484" t="inlineStr">
        <is>
          <t>Valid</t>
        </is>
      </c>
      <c r="S484" t="n">
        <v>2027</v>
      </c>
      <c r="T484" t="inlineStr">
        <is>
          <t>Supplier Target Pathway</t>
        </is>
      </c>
      <c r="U484" t="n">
        <v>421.5757</v>
      </c>
      <c r="V484" t="n">
        <v>150.4182</v>
      </c>
      <c r="W484" t="n">
        <v>326.6706</v>
      </c>
      <c r="X484" t="n">
        <v>326.6706</v>
      </c>
      <c r="Y484" t="n">
        <v>94.9051</v>
      </c>
      <c r="Z484" t="n">
        <v>7.778e-05</v>
      </c>
      <c r="AA484" t="n">
        <v>0.22512</v>
      </c>
      <c r="AB484" t="n">
        <v>176.2524</v>
      </c>
      <c r="AC484" t="n">
        <v>13.5579</v>
      </c>
      <c r="AD484" t="n">
        <v>1386.0058</v>
      </c>
      <c r="AE484" t="n">
        <v>1020.6854</v>
      </c>
      <c r="AF484" t="n">
        <v>0.99</v>
      </c>
      <c r="AG484" t="inlineStr">
        <is>
          <t>Critical</t>
        </is>
      </c>
      <c r="AH484" t="inlineStr">
        <is>
          <t>On Track to Glide Path</t>
        </is>
      </c>
    </row>
    <row r="485">
      <c r="A485" t="inlineStr">
        <is>
          <t>SUP-0031</t>
        </is>
      </c>
      <c r="B485" t="inlineStr">
        <is>
          <t>Professional Supplier 031</t>
        </is>
      </c>
      <c r="C485" t="inlineStr">
        <is>
          <t>Professional Services</t>
        </is>
      </c>
      <c r="D485" t="n">
        <v>2024</v>
      </c>
      <c r="E485" t="n">
        <v>2020</v>
      </c>
      <c r="F485" t="n">
        <v>2040</v>
      </c>
      <c r="G485" t="n">
        <v>478.731</v>
      </c>
      <c r="H485" t="n">
        <v>128.1063</v>
      </c>
      <c r="I485" t="n">
        <v>68.4752</v>
      </c>
      <c r="J485" t="n">
        <v>322.0936</v>
      </c>
      <c r="K485" t="n">
        <v>4199829.89</v>
      </c>
      <c r="L485" t="n">
        <v>25452946.39</v>
      </c>
      <c r="M485" t="n">
        <v>478.731</v>
      </c>
      <c r="N485" t="inlineStr">
        <is>
          <t>Supplier Reported Emissions</t>
        </is>
      </c>
      <c r="O485" t="b">
        <v>0</v>
      </c>
      <c r="P485" t="inlineStr">
        <is>
          <t>High</t>
        </is>
      </c>
      <c r="Q485" t="inlineStr">
        <is>
          <t>None</t>
        </is>
      </c>
      <c r="R485" t="inlineStr">
        <is>
          <t>Valid</t>
        </is>
      </c>
      <c r="S485" t="n">
        <v>2028</v>
      </c>
      <c r="T485" t="inlineStr">
        <is>
          <t>Supplier Target Pathway</t>
        </is>
      </c>
      <c r="U485" t="n">
        <v>421.5757</v>
      </c>
      <c r="V485" t="n">
        <v>150.4182</v>
      </c>
      <c r="W485" t="n">
        <v>313.1127</v>
      </c>
      <c r="X485" t="n">
        <v>313.1127</v>
      </c>
      <c r="Y485" t="n">
        <v>108.463</v>
      </c>
      <c r="Z485" t="n">
        <v>7.455e-05</v>
      </c>
      <c r="AA485" t="n">
        <v>0.25728</v>
      </c>
      <c r="AB485" t="n">
        <v>162.6945</v>
      </c>
      <c r="AC485" t="n">
        <v>13.5579</v>
      </c>
      <c r="AD485" t="n">
        <v>1072.8931</v>
      </c>
      <c r="AE485" t="n">
        <v>1333.7981</v>
      </c>
      <c r="AF485" t="n">
        <v>0.99</v>
      </c>
      <c r="AG485" t="inlineStr">
        <is>
          <t>Critical</t>
        </is>
      </c>
      <c r="AH485" t="inlineStr">
        <is>
          <t>On Track to Glide Path</t>
        </is>
      </c>
    </row>
    <row r="486">
      <c r="A486" t="inlineStr">
        <is>
          <t>SUP-0031</t>
        </is>
      </c>
      <c r="B486" t="inlineStr">
        <is>
          <t>Professional Supplier 031</t>
        </is>
      </c>
      <c r="C486" t="inlineStr">
        <is>
          <t>Professional Services</t>
        </is>
      </c>
      <c r="D486" t="n">
        <v>2024</v>
      </c>
      <c r="E486" t="n">
        <v>2020</v>
      </c>
      <c r="F486" t="n">
        <v>2040</v>
      </c>
      <c r="G486" t="n">
        <v>478.731</v>
      </c>
      <c r="H486" t="n">
        <v>128.1063</v>
      </c>
      <c r="I486" t="n">
        <v>68.4752</v>
      </c>
      <c r="J486" t="n">
        <v>322.0936</v>
      </c>
      <c r="K486" t="n">
        <v>4199829.89</v>
      </c>
      <c r="L486" t="n">
        <v>25452946.39</v>
      </c>
      <c r="M486" t="n">
        <v>478.731</v>
      </c>
      <c r="N486" t="inlineStr">
        <is>
          <t>Supplier Reported Emissions</t>
        </is>
      </c>
      <c r="O486" t="b">
        <v>0</v>
      </c>
      <c r="P486" t="inlineStr">
        <is>
          <t>High</t>
        </is>
      </c>
      <c r="Q486" t="inlineStr">
        <is>
          <t>None</t>
        </is>
      </c>
      <c r="R486" t="inlineStr">
        <is>
          <t>Valid</t>
        </is>
      </c>
      <c r="S486" t="n">
        <v>2029</v>
      </c>
      <c r="T486" t="inlineStr">
        <is>
          <t>Supplier Target Pathway</t>
        </is>
      </c>
      <c r="U486" t="n">
        <v>421.5757</v>
      </c>
      <c r="V486" t="n">
        <v>150.4182</v>
      </c>
      <c r="W486" t="n">
        <v>299.5548</v>
      </c>
      <c r="X486" t="n">
        <v>299.5548</v>
      </c>
      <c r="Y486" t="n">
        <v>122.0209</v>
      </c>
      <c r="Z486" t="n">
        <v>7.133e-05</v>
      </c>
      <c r="AA486" t="n">
        <v>0.28944</v>
      </c>
      <c r="AB486" t="n">
        <v>149.1366</v>
      </c>
      <c r="AC486" t="n">
        <v>13.5579</v>
      </c>
      <c r="AD486" t="n">
        <v>773.3383</v>
      </c>
      <c r="AE486" t="n">
        <v>1633.3529</v>
      </c>
      <c r="AF486" t="n">
        <v>0.99</v>
      </c>
      <c r="AG486" t="inlineStr">
        <is>
          <t>Critical</t>
        </is>
      </c>
      <c r="AH486" t="inlineStr">
        <is>
          <t>On Track to Glide Path</t>
        </is>
      </c>
    </row>
    <row r="487">
      <c r="A487" t="inlineStr">
        <is>
          <t>SUP-0031</t>
        </is>
      </c>
      <c r="B487" t="inlineStr">
        <is>
          <t>Professional Supplier 031</t>
        </is>
      </c>
      <c r="C487" t="inlineStr">
        <is>
          <t>Professional Services</t>
        </is>
      </c>
      <c r="D487" t="n">
        <v>2024</v>
      </c>
      <c r="E487" t="n">
        <v>2020</v>
      </c>
      <c r="F487" t="n">
        <v>2040</v>
      </c>
      <c r="G487" t="n">
        <v>478.731</v>
      </c>
      <c r="H487" t="n">
        <v>128.1063</v>
      </c>
      <c r="I487" t="n">
        <v>68.4752</v>
      </c>
      <c r="J487" t="n">
        <v>322.0936</v>
      </c>
      <c r="K487" t="n">
        <v>4199829.89</v>
      </c>
      <c r="L487" t="n">
        <v>25452946.39</v>
      </c>
      <c r="M487" t="n">
        <v>478.731</v>
      </c>
      <c r="N487" t="inlineStr">
        <is>
          <t>Supplier Reported Emissions</t>
        </is>
      </c>
      <c r="O487" t="b">
        <v>0</v>
      </c>
      <c r="P487" t="inlineStr">
        <is>
          <t>High</t>
        </is>
      </c>
      <c r="Q487" t="inlineStr">
        <is>
          <t>None</t>
        </is>
      </c>
      <c r="R487" t="inlineStr">
        <is>
          <t>Valid</t>
        </is>
      </c>
      <c r="S487" t="n">
        <v>2030</v>
      </c>
      <c r="T487" t="inlineStr">
        <is>
          <t>Supplier Target Pathway</t>
        </is>
      </c>
      <c r="U487" t="n">
        <v>421.5757</v>
      </c>
      <c r="V487" t="n">
        <v>150.4182</v>
      </c>
      <c r="W487" t="n">
        <v>285.997</v>
      </c>
      <c r="X487" t="n">
        <v>285.997</v>
      </c>
      <c r="Y487" t="n">
        <v>135.5787</v>
      </c>
      <c r="Z487" t="n">
        <v>6.81e-05</v>
      </c>
      <c r="AA487" t="n">
        <v>0.3216</v>
      </c>
      <c r="AB487" t="n">
        <v>135.5787</v>
      </c>
      <c r="AC487" t="n">
        <v>13.5579</v>
      </c>
      <c r="AD487" t="n">
        <v>487.3413</v>
      </c>
      <c r="AE487" t="n">
        <v>1919.3499</v>
      </c>
      <c r="AF487" t="n">
        <v>0.99</v>
      </c>
      <c r="AG487" t="inlineStr">
        <is>
          <t>Critical</t>
        </is>
      </c>
      <c r="AH487" t="inlineStr">
        <is>
          <t>On Track to Glide Path</t>
        </is>
      </c>
    </row>
    <row r="488">
      <c r="A488" t="inlineStr">
        <is>
          <t>SUP-0031</t>
        </is>
      </c>
      <c r="B488" t="inlineStr">
        <is>
          <t>Professional Supplier 031</t>
        </is>
      </c>
      <c r="C488" t="inlineStr">
        <is>
          <t>Professional Services</t>
        </is>
      </c>
      <c r="D488" t="n">
        <v>2024</v>
      </c>
      <c r="E488" t="n">
        <v>2020</v>
      </c>
      <c r="F488" t="n">
        <v>2040</v>
      </c>
      <c r="G488" t="n">
        <v>478.731</v>
      </c>
      <c r="H488" t="n">
        <v>128.1063</v>
      </c>
      <c r="I488" t="n">
        <v>68.4752</v>
      </c>
      <c r="J488" t="n">
        <v>322.0936</v>
      </c>
      <c r="K488" t="n">
        <v>4199829.89</v>
      </c>
      <c r="L488" t="n">
        <v>25452946.39</v>
      </c>
      <c r="M488" t="n">
        <v>478.731</v>
      </c>
      <c r="N488" t="inlineStr">
        <is>
          <t>Supplier Reported Emissions</t>
        </is>
      </c>
      <c r="O488" t="b">
        <v>0</v>
      </c>
      <c r="P488" t="inlineStr">
        <is>
          <t>High</t>
        </is>
      </c>
      <c r="Q488" t="inlineStr">
        <is>
          <t>None</t>
        </is>
      </c>
      <c r="R488" t="inlineStr">
        <is>
          <t>Valid</t>
        </is>
      </c>
      <c r="S488" t="n">
        <v>2031</v>
      </c>
      <c r="T488" t="inlineStr">
        <is>
          <t>Supplier Target Pathway</t>
        </is>
      </c>
      <c r="U488" t="n">
        <v>421.5757</v>
      </c>
      <c r="V488" t="n">
        <v>150.4182</v>
      </c>
      <c r="W488" t="n">
        <v>272.4391</v>
      </c>
      <c r="X488" t="n">
        <v>272.4391</v>
      </c>
      <c r="Y488" t="n">
        <v>149.1366</v>
      </c>
      <c r="Z488" t="n">
        <v>6.486999999999999e-05</v>
      </c>
      <c r="AA488" t="n">
        <v>0.35376</v>
      </c>
      <c r="AB488" t="n">
        <v>122.0209</v>
      </c>
      <c r="AC488" t="n">
        <v>13.5579</v>
      </c>
      <c r="AD488" t="n">
        <v>214.9022</v>
      </c>
      <c r="AE488" t="n">
        <v>2191.789</v>
      </c>
      <c r="AF488" t="n">
        <v>0.99</v>
      </c>
      <c r="AG488" t="inlineStr">
        <is>
          <t>Critical</t>
        </is>
      </c>
      <c r="AH488" t="inlineStr">
        <is>
          <t>On Track to Glide Path</t>
        </is>
      </c>
    </row>
    <row r="489">
      <c r="A489" t="inlineStr">
        <is>
          <t>SUP-0031</t>
        </is>
      </c>
      <c r="B489" t="inlineStr">
        <is>
          <t>Professional Supplier 031</t>
        </is>
      </c>
      <c r="C489" t="inlineStr">
        <is>
          <t>Professional Services</t>
        </is>
      </c>
      <c r="D489" t="n">
        <v>2024</v>
      </c>
      <c r="E489" t="n">
        <v>2020</v>
      </c>
      <c r="F489" t="n">
        <v>2040</v>
      </c>
      <c r="G489" t="n">
        <v>478.731</v>
      </c>
      <c r="H489" t="n">
        <v>128.1063</v>
      </c>
      <c r="I489" t="n">
        <v>68.4752</v>
      </c>
      <c r="J489" t="n">
        <v>322.0936</v>
      </c>
      <c r="K489" t="n">
        <v>4199829.89</v>
      </c>
      <c r="L489" t="n">
        <v>25452946.39</v>
      </c>
      <c r="M489" t="n">
        <v>478.731</v>
      </c>
      <c r="N489" t="inlineStr">
        <is>
          <t>Supplier Reported Emissions</t>
        </is>
      </c>
      <c r="O489" t="b">
        <v>0</v>
      </c>
      <c r="P489" t="inlineStr">
        <is>
          <t>High</t>
        </is>
      </c>
      <c r="Q489" t="inlineStr">
        <is>
          <t>None</t>
        </is>
      </c>
      <c r="R489" t="inlineStr">
        <is>
          <t>Valid</t>
        </is>
      </c>
      <c r="S489" t="n">
        <v>2032</v>
      </c>
      <c r="T489" t="inlineStr">
        <is>
          <t>Supplier Target Pathway</t>
        </is>
      </c>
      <c r="U489" t="n">
        <v>421.5757</v>
      </c>
      <c r="V489" t="n">
        <v>150.4182</v>
      </c>
      <c r="W489" t="n">
        <v>258.8812</v>
      </c>
      <c r="X489" t="n">
        <v>258.8812</v>
      </c>
      <c r="Y489" t="n">
        <v>162.6945</v>
      </c>
      <c r="Z489" t="n">
        <v>6.164e-05</v>
      </c>
      <c r="AA489" t="n">
        <v>0.38592</v>
      </c>
      <c r="AB489" t="n">
        <v>108.463</v>
      </c>
      <c r="AC489" t="n">
        <v>13.5579</v>
      </c>
      <c r="AD489" t="n">
        <v>-43.979</v>
      </c>
      <c r="AE489" t="n">
        <v>2450.6702</v>
      </c>
      <c r="AF489" t="n">
        <v>0.99</v>
      </c>
      <c r="AG489" t="inlineStr">
        <is>
          <t>Critical</t>
        </is>
      </c>
      <c r="AH489" t="inlineStr">
        <is>
          <t>On Track to Glide Path</t>
        </is>
      </c>
    </row>
    <row r="490">
      <c r="A490" t="inlineStr">
        <is>
          <t>SUP-0031</t>
        </is>
      </c>
      <c r="B490" t="inlineStr">
        <is>
          <t>Professional Supplier 031</t>
        </is>
      </c>
      <c r="C490" t="inlineStr">
        <is>
          <t>Professional Services</t>
        </is>
      </c>
      <c r="D490" t="n">
        <v>2024</v>
      </c>
      <c r="E490" t="n">
        <v>2020</v>
      </c>
      <c r="F490" t="n">
        <v>2040</v>
      </c>
      <c r="G490" t="n">
        <v>478.731</v>
      </c>
      <c r="H490" t="n">
        <v>128.1063</v>
      </c>
      <c r="I490" t="n">
        <v>68.4752</v>
      </c>
      <c r="J490" t="n">
        <v>322.0936</v>
      </c>
      <c r="K490" t="n">
        <v>4199829.89</v>
      </c>
      <c r="L490" t="n">
        <v>25452946.39</v>
      </c>
      <c r="M490" t="n">
        <v>478.731</v>
      </c>
      <c r="N490" t="inlineStr">
        <is>
          <t>Supplier Reported Emissions</t>
        </is>
      </c>
      <c r="O490" t="b">
        <v>0</v>
      </c>
      <c r="P490" t="inlineStr">
        <is>
          <t>High</t>
        </is>
      </c>
      <c r="Q490" t="inlineStr">
        <is>
          <t>None</t>
        </is>
      </c>
      <c r="R490" t="inlineStr">
        <is>
          <t>Valid</t>
        </is>
      </c>
      <c r="S490" t="n">
        <v>2033</v>
      </c>
      <c r="T490" t="inlineStr">
        <is>
          <t>Supplier Target Pathway</t>
        </is>
      </c>
      <c r="U490" t="n">
        <v>421.5757</v>
      </c>
      <c r="V490" t="n">
        <v>150.4182</v>
      </c>
      <c r="W490" t="n">
        <v>245.3233</v>
      </c>
      <c r="X490" t="n">
        <v>245.3233</v>
      </c>
      <c r="Y490" t="n">
        <v>176.2524</v>
      </c>
      <c r="Z490" t="n">
        <v>5.841e-05</v>
      </c>
      <c r="AA490" t="n">
        <v>0.41808</v>
      </c>
      <c r="AB490" t="n">
        <v>94.9051</v>
      </c>
      <c r="AC490" t="n">
        <v>13.5579</v>
      </c>
      <c r="AD490" t="n">
        <v>-289.3023</v>
      </c>
      <c r="AE490" t="n">
        <v>2695.9935</v>
      </c>
      <c r="AF490" t="n">
        <v>0.99</v>
      </c>
      <c r="AG490" t="inlineStr">
        <is>
          <t>Critical</t>
        </is>
      </c>
      <c r="AH490" t="inlineStr">
        <is>
          <t>On Track to Glide Path</t>
        </is>
      </c>
    </row>
    <row r="491">
      <c r="A491" t="inlineStr">
        <is>
          <t>SUP-0031</t>
        </is>
      </c>
      <c r="B491" t="inlineStr">
        <is>
          <t>Professional Supplier 031</t>
        </is>
      </c>
      <c r="C491" t="inlineStr">
        <is>
          <t>Professional Services</t>
        </is>
      </c>
      <c r="D491" t="n">
        <v>2024</v>
      </c>
      <c r="E491" t="n">
        <v>2020</v>
      </c>
      <c r="F491" t="n">
        <v>2040</v>
      </c>
      <c r="G491" t="n">
        <v>478.731</v>
      </c>
      <c r="H491" t="n">
        <v>128.1063</v>
      </c>
      <c r="I491" t="n">
        <v>68.4752</v>
      </c>
      <c r="J491" t="n">
        <v>322.0936</v>
      </c>
      <c r="K491" t="n">
        <v>4199829.89</v>
      </c>
      <c r="L491" t="n">
        <v>25452946.39</v>
      </c>
      <c r="M491" t="n">
        <v>478.731</v>
      </c>
      <c r="N491" t="inlineStr">
        <is>
          <t>Supplier Reported Emissions</t>
        </is>
      </c>
      <c r="O491" t="b">
        <v>0</v>
      </c>
      <c r="P491" t="inlineStr">
        <is>
          <t>High</t>
        </is>
      </c>
      <c r="Q491" t="inlineStr">
        <is>
          <t>None</t>
        </is>
      </c>
      <c r="R491" t="inlineStr">
        <is>
          <t>Valid</t>
        </is>
      </c>
      <c r="S491" t="n">
        <v>2034</v>
      </c>
      <c r="T491" t="inlineStr">
        <is>
          <t>Supplier Target Pathway</t>
        </is>
      </c>
      <c r="U491" t="n">
        <v>421.5757</v>
      </c>
      <c r="V491" t="n">
        <v>150.4182</v>
      </c>
      <c r="W491" t="n">
        <v>231.7655</v>
      </c>
      <c r="X491" t="n">
        <v>231.7655</v>
      </c>
      <c r="Y491" t="n">
        <v>189.8102</v>
      </c>
      <c r="Z491" t="n">
        <v>5.518e-05</v>
      </c>
      <c r="AA491" t="n">
        <v>0.45024</v>
      </c>
      <c r="AB491" t="n">
        <v>81.3472</v>
      </c>
      <c r="AC491" t="n">
        <v>13.5579</v>
      </c>
      <c r="AD491" t="n">
        <v>-521.0678</v>
      </c>
      <c r="AE491" t="n">
        <v>2927.759</v>
      </c>
      <c r="AF491" t="n">
        <v>0.99</v>
      </c>
      <c r="AG491" t="inlineStr">
        <is>
          <t>Critical</t>
        </is>
      </c>
      <c r="AH491" t="inlineStr">
        <is>
          <t>On Track to Glide Path</t>
        </is>
      </c>
    </row>
    <row r="492">
      <c r="A492" t="inlineStr">
        <is>
          <t>SUP-0031</t>
        </is>
      </c>
      <c r="B492" t="inlineStr">
        <is>
          <t>Professional Supplier 031</t>
        </is>
      </c>
      <c r="C492" t="inlineStr">
        <is>
          <t>Professional Services</t>
        </is>
      </c>
      <c r="D492" t="n">
        <v>2024</v>
      </c>
      <c r="E492" t="n">
        <v>2020</v>
      </c>
      <c r="F492" t="n">
        <v>2040</v>
      </c>
      <c r="G492" t="n">
        <v>478.731</v>
      </c>
      <c r="H492" t="n">
        <v>128.1063</v>
      </c>
      <c r="I492" t="n">
        <v>68.4752</v>
      </c>
      <c r="J492" t="n">
        <v>322.0936</v>
      </c>
      <c r="K492" t="n">
        <v>4199829.89</v>
      </c>
      <c r="L492" t="n">
        <v>25452946.39</v>
      </c>
      <c r="M492" t="n">
        <v>478.731</v>
      </c>
      <c r="N492" t="inlineStr">
        <is>
          <t>Supplier Reported Emissions</t>
        </is>
      </c>
      <c r="O492" t="b">
        <v>0</v>
      </c>
      <c r="P492" t="inlineStr">
        <is>
          <t>High</t>
        </is>
      </c>
      <c r="Q492" t="inlineStr">
        <is>
          <t>None</t>
        </is>
      </c>
      <c r="R492" t="inlineStr">
        <is>
          <t>Valid</t>
        </is>
      </c>
      <c r="S492" t="n">
        <v>2035</v>
      </c>
      <c r="T492" t="inlineStr">
        <is>
          <t>Supplier Target Pathway</t>
        </is>
      </c>
      <c r="U492" t="n">
        <v>421.5757</v>
      </c>
      <c r="V492" t="n">
        <v>150.4182</v>
      </c>
      <c r="W492" t="n">
        <v>218.2076</v>
      </c>
      <c r="X492" t="n">
        <v>218.2076</v>
      </c>
      <c r="Y492" t="n">
        <v>203.3681</v>
      </c>
      <c r="Z492" t="n">
        <v>5.196e-05</v>
      </c>
      <c r="AA492" t="n">
        <v>0.4824</v>
      </c>
      <c r="AB492" t="n">
        <v>67.7894</v>
      </c>
      <c r="AC492" t="n">
        <v>13.5579</v>
      </c>
      <c r="AD492" t="n">
        <v>-739.2754</v>
      </c>
      <c r="AE492" t="n">
        <v>3145.9666</v>
      </c>
      <c r="AF492" t="n">
        <v>0.99</v>
      </c>
      <c r="AG492" t="inlineStr">
        <is>
          <t>Critical</t>
        </is>
      </c>
      <c r="AH492" t="inlineStr">
        <is>
          <t>On Track to Glide Path</t>
        </is>
      </c>
    </row>
    <row r="493">
      <c r="A493" t="inlineStr">
        <is>
          <t>SUP-0031</t>
        </is>
      </c>
      <c r="B493" t="inlineStr">
        <is>
          <t>Professional Supplier 031</t>
        </is>
      </c>
      <c r="C493" t="inlineStr">
        <is>
          <t>Professional Services</t>
        </is>
      </c>
      <c r="D493" t="n">
        <v>2024</v>
      </c>
      <c r="E493" t="n">
        <v>2020</v>
      </c>
      <c r="F493" t="n">
        <v>2040</v>
      </c>
      <c r="G493" t="n">
        <v>478.731</v>
      </c>
      <c r="H493" t="n">
        <v>128.1063</v>
      </c>
      <c r="I493" t="n">
        <v>68.4752</v>
      </c>
      <c r="J493" t="n">
        <v>322.0936</v>
      </c>
      <c r="K493" t="n">
        <v>4199829.89</v>
      </c>
      <c r="L493" t="n">
        <v>25452946.39</v>
      </c>
      <c r="M493" t="n">
        <v>478.731</v>
      </c>
      <c r="N493" t="inlineStr">
        <is>
          <t>Supplier Reported Emissions</t>
        </is>
      </c>
      <c r="O493" t="b">
        <v>0</v>
      </c>
      <c r="P493" t="inlineStr">
        <is>
          <t>High</t>
        </is>
      </c>
      <c r="Q493" t="inlineStr">
        <is>
          <t>None</t>
        </is>
      </c>
      <c r="R493" t="inlineStr">
        <is>
          <t>Valid</t>
        </is>
      </c>
      <c r="S493" t="n">
        <v>2036</v>
      </c>
      <c r="T493" t="inlineStr">
        <is>
          <t>Supplier Target Pathway</t>
        </is>
      </c>
      <c r="U493" t="n">
        <v>421.5757</v>
      </c>
      <c r="V493" t="n">
        <v>150.4182</v>
      </c>
      <c r="W493" t="n">
        <v>204.6497</v>
      </c>
      <c r="X493" t="n">
        <v>204.6497</v>
      </c>
      <c r="Y493" t="n">
        <v>216.926</v>
      </c>
      <c r="Z493" t="n">
        <v>4.873e-05</v>
      </c>
      <c r="AA493" t="n">
        <v>0.51456</v>
      </c>
      <c r="AB493" t="n">
        <v>54.2315</v>
      </c>
      <c r="AC493" t="n">
        <v>13.5579</v>
      </c>
      <c r="AD493" t="n">
        <v>-943.9251</v>
      </c>
      <c r="AE493" t="n">
        <v>3350.6163</v>
      </c>
      <c r="AF493" t="n">
        <v>0.99</v>
      </c>
      <c r="AG493" t="inlineStr">
        <is>
          <t>Critical</t>
        </is>
      </c>
      <c r="AH493" t="inlineStr">
        <is>
          <t>On Track to Glide Path</t>
        </is>
      </c>
    </row>
    <row r="494">
      <c r="A494" t="inlineStr">
        <is>
          <t>SUP-0031</t>
        </is>
      </c>
      <c r="B494" t="inlineStr">
        <is>
          <t>Professional Supplier 031</t>
        </is>
      </c>
      <c r="C494" t="inlineStr">
        <is>
          <t>Professional Services</t>
        </is>
      </c>
      <c r="D494" t="n">
        <v>2024</v>
      </c>
      <c r="E494" t="n">
        <v>2020</v>
      </c>
      <c r="F494" t="n">
        <v>2040</v>
      </c>
      <c r="G494" t="n">
        <v>478.731</v>
      </c>
      <c r="H494" t="n">
        <v>128.1063</v>
      </c>
      <c r="I494" t="n">
        <v>68.4752</v>
      </c>
      <c r="J494" t="n">
        <v>322.0936</v>
      </c>
      <c r="K494" t="n">
        <v>4199829.89</v>
      </c>
      <c r="L494" t="n">
        <v>25452946.39</v>
      </c>
      <c r="M494" t="n">
        <v>478.731</v>
      </c>
      <c r="N494" t="inlineStr">
        <is>
          <t>Supplier Reported Emissions</t>
        </is>
      </c>
      <c r="O494" t="b">
        <v>0</v>
      </c>
      <c r="P494" t="inlineStr">
        <is>
          <t>High</t>
        </is>
      </c>
      <c r="Q494" t="inlineStr">
        <is>
          <t>None</t>
        </is>
      </c>
      <c r="R494" t="inlineStr">
        <is>
          <t>Valid</t>
        </is>
      </c>
      <c r="S494" t="n">
        <v>2037</v>
      </c>
      <c r="T494" t="inlineStr">
        <is>
          <t>Supplier Target Pathway</t>
        </is>
      </c>
      <c r="U494" t="n">
        <v>421.5757</v>
      </c>
      <c r="V494" t="n">
        <v>150.4182</v>
      </c>
      <c r="W494" t="n">
        <v>191.0918</v>
      </c>
      <c r="X494" t="n">
        <v>191.0918</v>
      </c>
      <c r="Y494" t="n">
        <v>230.4839</v>
      </c>
      <c r="Z494" t="n">
        <v>4.55e-05</v>
      </c>
      <c r="AA494" t="n">
        <v>0.54672</v>
      </c>
      <c r="AB494" t="n">
        <v>40.6736</v>
      </c>
      <c r="AC494" t="n">
        <v>13.5579</v>
      </c>
      <c r="AD494" t="n">
        <v>-1135.0169</v>
      </c>
      <c r="AE494" t="n">
        <v>3541.7081</v>
      </c>
      <c r="AF494" t="n">
        <v>0.99</v>
      </c>
      <c r="AG494" t="inlineStr">
        <is>
          <t>High</t>
        </is>
      </c>
      <c r="AH494" t="inlineStr">
        <is>
          <t>On Track to Glide Path</t>
        </is>
      </c>
    </row>
    <row r="495">
      <c r="A495" t="inlineStr">
        <is>
          <t>SUP-0031</t>
        </is>
      </c>
      <c r="B495" t="inlineStr">
        <is>
          <t>Professional Supplier 031</t>
        </is>
      </c>
      <c r="C495" t="inlineStr">
        <is>
          <t>Professional Services</t>
        </is>
      </c>
      <c r="D495" t="n">
        <v>2024</v>
      </c>
      <c r="E495" t="n">
        <v>2020</v>
      </c>
      <c r="F495" t="n">
        <v>2040</v>
      </c>
      <c r="G495" t="n">
        <v>478.731</v>
      </c>
      <c r="H495" t="n">
        <v>128.1063</v>
      </c>
      <c r="I495" t="n">
        <v>68.4752</v>
      </c>
      <c r="J495" t="n">
        <v>322.0936</v>
      </c>
      <c r="K495" t="n">
        <v>4199829.89</v>
      </c>
      <c r="L495" t="n">
        <v>25452946.39</v>
      </c>
      <c r="M495" t="n">
        <v>478.731</v>
      </c>
      <c r="N495" t="inlineStr">
        <is>
          <t>Supplier Reported Emissions</t>
        </is>
      </c>
      <c r="O495" t="b">
        <v>0</v>
      </c>
      <c r="P495" t="inlineStr">
        <is>
          <t>High</t>
        </is>
      </c>
      <c r="Q495" t="inlineStr">
        <is>
          <t>None</t>
        </is>
      </c>
      <c r="R495" t="inlineStr">
        <is>
          <t>Valid</t>
        </is>
      </c>
      <c r="S495" t="n">
        <v>2038</v>
      </c>
      <c r="T495" t="inlineStr">
        <is>
          <t>Supplier Target Pathway</t>
        </is>
      </c>
      <c r="U495" t="n">
        <v>421.5757</v>
      </c>
      <c r="V495" t="n">
        <v>150.4182</v>
      </c>
      <c r="W495" t="n">
        <v>177.534</v>
      </c>
      <c r="X495" t="n">
        <v>177.534</v>
      </c>
      <c r="Y495" t="n">
        <v>244.0417</v>
      </c>
      <c r="Z495" t="n">
        <v>4.227e-05</v>
      </c>
      <c r="AA495" t="n">
        <v>0.57888</v>
      </c>
      <c r="AB495" t="n">
        <v>27.1157</v>
      </c>
      <c r="AC495" t="n">
        <v>13.5579</v>
      </c>
      <c r="AD495" t="n">
        <v>-1312.5509</v>
      </c>
      <c r="AE495" t="n">
        <v>3719.2421</v>
      </c>
      <c r="AF495" t="n">
        <v>0.99</v>
      </c>
      <c r="AG495" t="inlineStr">
        <is>
          <t>High</t>
        </is>
      </c>
      <c r="AH495" t="inlineStr">
        <is>
          <t>On Track to Glide Path</t>
        </is>
      </c>
    </row>
    <row r="496">
      <c r="A496" t="inlineStr">
        <is>
          <t>SUP-0031</t>
        </is>
      </c>
      <c r="B496" t="inlineStr">
        <is>
          <t>Professional Supplier 031</t>
        </is>
      </c>
      <c r="C496" t="inlineStr">
        <is>
          <t>Professional Services</t>
        </is>
      </c>
      <c r="D496" t="n">
        <v>2024</v>
      </c>
      <c r="E496" t="n">
        <v>2020</v>
      </c>
      <c r="F496" t="n">
        <v>2040</v>
      </c>
      <c r="G496" t="n">
        <v>478.731</v>
      </c>
      <c r="H496" t="n">
        <v>128.1063</v>
      </c>
      <c r="I496" t="n">
        <v>68.4752</v>
      </c>
      <c r="J496" t="n">
        <v>322.0936</v>
      </c>
      <c r="K496" t="n">
        <v>4199829.89</v>
      </c>
      <c r="L496" t="n">
        <v>25452946.39</v>
      </c>
      <c r="M496" t="n">
        <v>478.731</v>
      </c>
      <c r="N496" t="inlineStr">
        <is>
          <t>Supplier Reported Emissions</t>
        </is>
      </c>
      <c r="O496" t="b">
        <v>0</v>
      </c>
      <c r="P496" t="inlineStr">
        <is>
          <t>High</t>
        </is>
      </c>
      <c r="Q496" t="inlineStr">
        <is>
          <t>None</t>
        </is>
      </c>
      <c r="R496" t="inlineStr">
        <is>
          <t>Valid</t>
        </is>
      </c>
      <c r="S496" t="n">
        <v>2039</v>
      </c>
      <c r="T496" t="inlineStr">
        <is>
          <t>Supplier Target Pathway</t>
        </is>
      </c>
      <c r="U496" t="n">
        <v>421.5757</v>
      </c>
      <c r="V496" t="n">
        <v>150.4182</v>
      </c>
      <c r="W496" t="n">
        <v>163.9761</v>
      </c>
      <c r="X496" t="n">
        <v>163.9761</v>
      </c>
      <c r="Y496" t="n">
        <v>257.5996</v>
      </c>
      <c r="Z496" t="n">
        <v>3.904e-05</v>
      </c>
      <c r="AA496" t="n">
        <v>0.61104</v>
      </c>
      <c r="AB496" t="n">
        <v>13.5579</v>
      </c>
      <c r="AC496" t="n">
        <v>13.5579</v>
      </c>
      <c r="AD496" t="n">
        <v>-1476.527</v>
      </c>
      <c r="AE496" t="n">
        <v>3883.2182</v>
      </c>
      <c r="AF496" t="n">
        <v>0.99</v>
      </c>
      <c r="AG496" t="inlineStr">
        <is>
          <t>Medium</t>
        </is>
      </c>
      <c r="AH496" t="inlineStr">
        <is>
          <t>On Track to Glide Path</t>
        </is>
      </c>
    </row>
    <row r="497">
      <c r="A497" t="inlineStr">
        <is>
          <t>SUP-0031</t>
        </is>
      </c>
      <c r="B497" t="inlineStr">
        <is>
          <t>Professional Supplier 031</t>
        </is>
      </c>
      <c r="C497" t="inlineStr">
        <is>
          <t>Professional Services</t>
        </is>
      </c>
      <c r="D497" t="n">
        <v>2024</v>
      </c>
      <c r="E497" t="n">
        <v>2020</v>
      </c>
      <c r="F497" t="n">
        <v>2040</v>
      </c>
      <c r="G497" t="n">
        <v>478.731</v>
      </c>
      <c r="H497" t="n">
        <v>128.1063</v>
      </c>
      <c r="I497" t="n">
        <v>68.4752</v>
      </c>
      <c r="J497" t="n">
        <v>322.0936</v>
      </c>
      <c r="K497" t="n">
        <v>4199829.89</v>
      </c>
      <c r="L497" t="n">
        <v>25452946.39</v>
      </c>
      <c r="M497" t="n">
        <v>478.731</v>
      </c>
      <c r="N497" t="inlineStr">
        <is>
          <t>Supplier Reported Emissions</t>
        </is>
      </c>
      <c r="O497" t="b">
        <v>0</v>
      </c>
      <c r="P497" t="inlineStr">
        <is>
          <t>High</t>
        </is>
      </c>
      <c r="Q497" t="inlineStr">
        <is>
          <t>None</t>
        </is>
      </c>
      <c r="R497" t="inlineStr">
        <is>
          <t>Valid</t>
        </is>
      </c>
      <c r="S497" t="n">
        <v>2040</v>
      </c>
      <c r="T497" t="inlineStr">
        <is>
          <t>Supplier Target Pathway</t>
        </is>
      </c>
      <c r="U497" t="n">
        <v>421.5757</v>
      </c>
      <c r="V497" t="n">
        <v>150.4182</v>
      </c>
      <c r="W497" t="n">
        <v>150.4182</v>
      </c>
      <c r="X497" t="n">
        <v>150.4182</v>
      </c>
      <c r="Y497" t="n">
        <v>271.1575</v>
      </c>
      <c r="Z497" t="n">
        <v>3.582e-05</v>
      </c>
      <c r="AA497" t="n">
        <v>0.6432</v>
      </c>
      <c r="AB497" t="n">
        <v>0</v>
      </c>
      <c r="AC497" t="n">
        <v>13.5579</v>
      </c>
      <c r="AD497" t="n">
        <v>-1626.9452</v>
      </c>
      <c r="AE497" t="n">
        <v>4033.6364</v>
      </c>
      <c r="AF497" t="n">
        <v>0.99</v>
      </c>
      <c r="AG497" t="inlineStr">
        <is>
          <t>Low</t>
        </is>
      </c>
      <c r="AH497" t="inlineStr">
        <is>
          <t>On Track</t>
        </is>
      </c>
    </row>
    <row r="498">
      <c r="A498" t="inlineStr">
        <is>
          <t>SUP-0032</t>
        </is>
      </c>
      <c r="B498" t="inlineStr">
        <is>
          <t>Agriculture Supplier 032</t>
        </is>
      </c>
      <c r="C498" t="inlineStr">
        <is>
          <t>Agriculture</t>
        </is>
      </c>
      <c r="D498" t="n">
        <v>2024</v>
      </c>
      <c r="E498" t="n">
        <v>2018</v>
      </c>
      <c r="F498" t="n">
        <v>2035</v>
      </c>
      <c r="G498" t="inlineStr"/>
      <c r="H498" t="inlineStr"/>
      <c r="I498" t="n">
        <v>2269.1156</v>
      </c>
      <c r="J498" t="n">
        <v>9169.444799999999</v>
      </c>
      <c r="K498" t="n">
        <v>15593002.96</v>
      </c>
      <c r="L498" t="n">
        <v>95127801.88</v>
      </c>
      <c r="M498" t="n">
        <v>14254.0318</v>
      </c>
      <c r="N498" t="inlineStr">
        <is>
          <t>Spend-Based Estimate</t>
        </is>
      </c>
      <c r="O498" t="b">
        <v>1</v>
      </c>
      <c r="P498" t="inlineStr">
        <is>
          <t>Medium</t>
        </is>
      </c>
      <c r="Q498" t="inlineStr">
        <is>
          <t>Reported_Emissions; Scope_Emissions</t>
        </is>
      </c>
      <c r="R498" t="inlineStr">
        <is>
          <t>Valid</t>
        </is>
      </c>
      <c r="S498" t="n">
        <v>2025</v>
      </c>
      <c r="T498" t="inlineStr">
        <is>
          <t>Supplier Target Pathway</t>
        </is>
      </c>
      <c r="U498" t="n">
        <v>12826.0723</v>
      </c>
      <c r="V498" t="n">
        <v>7386.535</v>
      </c>
      <c r="W498" t="n">
        <v>10586.2628</v>
      </c>
      <c r="X498" t="n">
        <v>10586.2628</v>
      </c>
      <c r="Y498" t="n">
        <v>2239.8095</v>
      </c>
      <c r="Z498" t="n">
        <v>0.00067891</v>
      </c>
      <c r="AA498" t="n">
        <v>0.174629</v>
      </c>
      <c r="AB498" t="n">
        <v>3199.7278</v>
      </c>
      <c r="AC498" t="n">
        <v>319.9728</v>
      </c>
      <c r="AD498" t="n">
        <v>70665.6222</v>
      </c>
      <c r="AE498" t="n">
        <v>10586.2628</v>
      </c>
      <c r="AF498" t="n">
        <v>0.968</v>
      </c>
      <c r="AG498" t="inlineStr">
        <is>
          <t>Critical</t>
        </is>
      </c>
      <c r="AH498" t="inlineStr">
        <is>
          <t>On Track to Glide Path</t>
        </is>
      </c>
    </row>
    <row r="499">
      <c r="A499" t="inlineStr">
        <is>
          <t>SUP-0032</t>
        </is>
      </c>
      <c r="B499" t="inlineStr">
        <is>
          <t>Agriculture Supplier 032</t>
        </is>
      </c>
      <c r="C499" t="inlineStr">
        <is>
          <t>Agriculture</t>
        </is>
      </c>
      <c r="D499" t="n">
        <v>2024</v>
      </c>
      <c r="E499" t="n">
        <v>2018</v>
      </c>
      <c r="F499" t="n">
        <v>2035</v>
      </c>
      <c r="G499" t="inlineStr"/>
      <c r="H499" t="inlineStr"/>
      <c r="I499" t="n">
        <v>2269.1156</v>
      </c>
      <c r="J499" t="n">
        <v>9169.444799999999</v>
      </c>
      <c r="K499" t="n">
        <v>15593002.96</v>
      </c>
      <c r="L499" t="n">
        <v>95127801.88</v>
      </c>
      <c r="M499" t="n">
        <v>14254.0318</v>
      </c>
      <c r="N499" t="inlineStr">
        <is>
          <t>Spend-Based Estimate</t>
        </is>
      </c>
      <c r="O499" t="b">
        <v>1</v>
      </c>
      <c r="P499" t="inlineStr">
        <is>
          <t>Medium</t>
        </is>
      </c>
      <c r="Q499" t="inlineStr">
        <is>
          <t>Reported_Emissions; Scope_Emissions</t>
        </is>
      </c>
      <c r="R499" t="inlineStr">
        <is>
          <t>Valid</t>
        </is>
      </c>
      <c r="S499" t="n">
        <v>2026</v>
      </c>
      <c r="T499" t="inlineStr">
        <is>
          <t>Supplier Target Pathway</t>
        </is>
      </c>
      <c r="U499" t="n">
        <v>12826.0723</v>
      </c>
      <c r="V499" t="n">
        <v>7386.535</v>
      </c>
      <c r="W499" t="n">
        <v>10266.2901</v>
      </c>
      <c r="X499" t="n">
        <v>10266.2901</v>
      </c>
      <c r="Y499" t="n">
        <v>2559.7822</v>
      </c>
      <c r="Z499" t="n">
        <v>0.00065839</v>
      </c>
      <c r="AA499" t="n">
        <v>0.199576</v>
      </c>
      <c r="AB499" t="n">
        <v>2879.755</v>
      </c>
      <c r="AC499" t="n">
        <v>319.9728</v>
      </c>
      <c r="AD499" t="n">
        <v>60399.3321</v>
      </c>
      <c r="AE499" t="n">
        <v>20852.5529</v>
      </c>
      <c r="AF499" t="n">
        <v>0.968</v>
      </c>
      <c r="AG499" t="inlineStr">
        <is>
          <t>Critical</t>
        </is>
      </c>
      <c r="AH499" t="inlineStr">
        <is>
          <t>On Track to Glide Path</t>
        </is>
      </c>
    </row>
    <row r="500">
      <c r="A500" t="inlineStr">
        <is>
          <t>SUP-0032</t>
        </is>
      </c>
      <c r="B500" t="inlineStr">
        <is>
          <t>Agriculture Supplier 032</t>
        </is>
      </c>
      <c r="C500" t="inlineStr">
        <is>
          <t>Agriculture</t>
        </is>
      </c>
      <c r="D500" t="n">
        <v>2024</v>
      </c>
      <c r="E500" t="n">
        <v>2018</v>
      </c>
      <c r="F500" t="n">
        <v>2035</v>
      </c>
      <c r="G500" t="inlineStr"/>
      <c r="H500" t="inlineStr"/>
      <c r="I500" t="n">
        <v>2269.1156</v>
      </c>
      <c r="J500" t="n">
        <v>9169.444799999999</v>
      </c>
      <c r="K500" t="n">
        <v>15593002.96</v>
      </c>
      <c r="L500" t="n">
        <v>95127801.88</v>
      </c>
      <c r="M500" t="n">
        <v>14254.0318</v>
      </c>
      <c r="N500" t="inlineStr">
        <is>
          <t>Spend-Based Estimate</t>
        </is>
      </c>
      <c r="O500" t="b">
        <v>1</v>
      </c>
      <c r="P500" t="inlineStr">
        <is>
          <t>Medium</t>
        </is>
      </c>
      <c r="Q500" t="inlineStr">
        <is>
          <t>Reported_Emissions; Scope_Emissions</t>
        </is>
      </c>
      <c r="R500" t="inlineStr">
        <is>
          <t>Valid</t>
        </is>
      </c>
      <c r="S500" t="n">
        <v>2027</v>
      </c>
      <c r="T500" t="inlineStr">
        <is>
          <t>Supplier Target Pathway</t>
        </is>
      </c>
      <c r="U500" t="n">
        <v>12826.0723</v>
      </c>
      <c r="V500" t="n">
        <v>7386.535</v>
      </c>
      <c r="W500" t="n">
        <v>9946.317300000001</v>
      </c>
      <c r="X500" t="n">
        <v>9946.317300000001</v>
      </c>
      <c r="Y500" t="n">
        <v>2879.755</v>
      </c>
      <c r="Z500" t="n">
        <v>0.00063787</v>
      </c>
      <c r="AA500" t="n">
        <v>0.224524</v>
      </c>
      <c r="AB500" t="n">
        <v>2559.7822</v>
      </c>
      <c r="AC500" t="n">
        <v>319.9728</v>
      </c>
      <c r="AD500" t="n">
        <v>50453.0148</v>
      </c>
      <c r="AE500" t="n">
        <v>30798.8702</v>
      </c>
      <c r="AF500" t="n">
        <v>0.968</v>
      </c>
      <c r="AG500" t="inlineStr">
        <is>
          <t>High</t>
        </is>
      </c>
      <c r="AH500" t="inlineStr">
        <is>
          <t>On Track to Glide Path</t>
        </is>
      </c>
    </row>
    <row r="501">
      <c r="A501" t="inlineStr">
        <is>
          <t>SUP-0032</t>
        </is>
      </c>
      <c r="B501" t="inlineStr">
        <is>
          <t>Agriculture Supplier 032</t>
        </is>
      </c>
      <c r="C501" t="inlineStr">
        <is>
          <t>Agriculture</t>
        </is>
      </c>
      <c r="D501" t="n">
        <v>2024</v>
      </c>
      <c r="E501" t="n">
        <v>2018</v>
      </c>
      <c r="F501" t="n">
        <v>2035</v>
      </c>
      <c r="G501" t="inlineStr"/>
      <c r="H501" t="inlineStr"/>
      <c r="I501" t="n">
        <v>2269.1156</v>
      </c>
      <c r="J501" t="n">
        <v>9169.444799999999</v>
      </c>
      <c r="K501" t="n">
        <v>15593002.96</v>
      </c>
      <c r="L501" t="n">
        <v>95127801.88</v>
      </c>
      <c r="M501" t="n">
        <v>14254.0318</v>
      </c>
      <c r="N501" t="inlineStr">
        <is>
          <t>Spend-Based Estimate</t>
        </is>
      </c>
      <c r="O501" t="b">
        <v>1</v>
      </c>
      <c r="P501" t="inlineStr">
        <is>
          <t>Medium</t>
        </is>
      </c>
      <c r="Q501" t="inlineStr">
        <is>
          <t>Reported_Emissions; Scope_Emissions</t>
        </is>
      </c>
      <c r="R501" t="inlineStr">
        <is>
          <t>Valid</t>
        </is>
      </c>
      <c r="S501" t="n">
        <v>2028</v>
      </c>
      <c r="T501" t="inlineStr">
        <is>
          <t>Supplier Target Pathway</t>
        </is>
      </c>
      <c r="U501" t="n">
        <v>12826.0723</v>
      </c>
      <c r="V501" t="n">
        <v>7386.535</v>
      </c>
      <c r="W501" t="n">
        <v>9626.344499999999</v>
      </c>
      <c r="X501" t="n">
        <v>9626.344499999999</v>
      </c>
      <c r="Y501" t="n">
        <v>3199.7278</v>
      </c>
      <c r="Z501" t="n">
        <v>0.00061735</v>
      </c>
      <c r="AA501" t="n">
        <v>0.249471</v>
      </c>
      <c r="AB501" t="n">
        <v>2239.8095</v>
      </c>
      <c r="AC501" t="n">
        <v>319.9728</v>
      </c>
      <c r="AD501" t="n">
        <v>40826.6703</v>
      </c>
      <c r="AE501" t="n">
        <v>40425.2147</v>
      </c>
      <c r="AF501" t="n">
        <v>0.968</v>
      </c>
      <c r="AG501" t="inlineStr">
        <is>
          <t>High</t>
        </is>
      </c>
      <c r="AH501" t="inlineStr">
        <is>
          <t>On Track to Glide Path</t>
        </is>
      </c>
    </row>
    <row r="502">
      <c r="A502" t="inlineStr">
        <is>
          <t>SUP-0032</t>
        </is>
      </c>
      <c r="B502" t="inlineStr">
        <is>
          <t>Agriculture Supplier 032</t>
        </is>
      </c>
      <c r="C502" t="inlineStr">
        <is>
          <t>Agriculture</t>
        </is>
      </c>
      <c r="D502" t="n">
        <v>2024</v>
      </c>
      <c r="E502" t="n">
        <v>2018</v>
      </c>
      <c r="F502" t="n">
        <v>2035</v>
      </c>
      <c r="G502" t="inlineStr"/>
      <c r="H502" t="inlineStr"/>
      <c r="I502" t="n">
        <v>2269.1156</v>
      </c>
      <c r="J502" t="n">
        <v>9169.444799999999</v>
      </c>
      <c r="K502" t="n">
        <v>15593002.96</v>
      </c>
      <c r="L502" t="n">
        <v>95127801.88</v>
      </c>
      <c r="M502" t="n">
        <v>14254.0318</v>
      </c>
      <c r="N502" t="inlineStr">
        <is>
          <t>Spend-Based Estimate</t>
        </is>
      </c>
      <c r="O502" t="b">
        <v>1</v>
      </c>
      <c r="P502" t="inlineStr">
        <is>
          <t>Medium</t>
        </is>
      </c>
      <c r="Q502" t="inlineStr">
        <is>
          <t>Reported_Emissions; Scope_Emissions</t>
        </is>
      </c>
      <c r="R502" t="inlineStr">
        <is>
          <t>Valid</t>
        </is>
      </c>
      <c r="S502" t="n">
        <v>2029</v>
      </c>
      <c r="T502" t="inlineStr">
        <is>
          <t>Supplier Target Pathway</t>
        </is>
      </c>
      <c r="U502" t="n">
        <v>12826.0723</v>
      </c>
      <c r="V502" t="n">
        <v>7386.535</v>
      </c>
      <c r="W502" t="n">
        <v>9306.3717</v>
      </c>
      <c r="X502" t="n">
        <v>9306.3717</v>
      </c>
      <c r="Y502" t="n">
        <v>3519.7006</v>
      </c>
      <c r="Z502" t="n">
        <v>0.00059683</v>
      </c>
      <c r="AA502" t="n">
        <v>0.274418</v>
      </c>
      <c r="AB502" t="n">
        <v>1919.8367</v>
      </c>
      <c r="AC502" t="n">
        <v>319.9728</v>
      </c>
      <c r="AD502" t="n">
        <v>31520.2986</v>
      </c>
      <c r="AE502" t="n">
        <v>49731.5864</v>
      </c>
      <c r="AF502" t="n">
        <v>0.968</v>
      </c>
      <c r="AG502" t="inlineStr">
        <is>
          <t>High</t>
        </is>
      </c>
      <c r="AH502" t="inlineStr">
        <is>
          <t>On Track to Glide Path</t>
        </is>
      </c>
    </row>
    <row r="503">
      <c r="A503" t="inlineStr">
        <is>
          <t>SUP-0032</t>
        </is>
      </c>
      <c r="B503" t="inlineStr">
        <is>
          <t>Agriculture Supplier 032</t>
        </is>
      </c>
      <c r="C503" t="inlineStr">
        <is>
          <t>Agriculture</t>
        </is>
      </c>
      <c r="D503" t="n">
        <v>2024</v>
      </c>
      <c r="E503" t="n">
        <v>2018</v>
      </c>
      <c r="F503" t="n">
        <v>2035</v>
      </c>
      <c r="G503" t="inlineStr"/>
      <c r="H503" t="inlineStr"/>
      <c r="I503" t="n">
        <v>2269.1156</v>
      </c>
      <c r="J503" t="n">
        <v>9169.444799999999</v>
      </c>
      <c r="K503" t="n">
        <v>15593002.96</v>
      </c>
      <c r="L503" t="n">
        <v>95127801.88</v>
      </c>
      <c r="M503" t="n">
        <v>14254.0318</v>
      </c>
      <c r="N503" t="inlineStr">
        <is>
          <t>Spend-Based Estimate</t>
        </is>
      </c>
      <c r="O503" t="b">
        <v>1</v>
      </c>
      <c r="P503" t="inlineStr">
        <is>
          <t>Medium</t>
        </is>
      </c>
      <c r="Q503" t="inlineStr">
        <is>
          <t>Reported_Emissions; Scope_Emissions</t>
        </is>
      </c>
      <c r="R503" t="inlineStr">
        <is>
          <t>Valid</t>
        </is>
      </c>
      <c r="S503" t="n">
        <v>2030</v>
      </c>
      <c r="T503" t="inlineStr">
        <is>
          <t>Supplier Target Pathway</t>
        </is>
      </c>
      <c r="U503" t="n">
        <v>12826.0723</v>
      </c>
      <c r="V503" t="n">
        <v>7386.535</v>
      </c>
      <c r="W503" t="n">
        <v>8986.3989</v>
      </c>
      <c r="X503" t="n">
        <v>8986.3989</v>
      </c>
      <c r="Y503" t="n">
        <v>3839.6734</v>
      </c>
      <c r="Z503" t="n">
        <v>0.00057631</v>
      </c>
      <c r="AA503" t="n">
        <v>0.299365</v>
      </c>
      <c r="AB503" t="n">
        <v>1599.8639</v>
      </c>
      <c r="AC503" t="n">
        <v>319.9728</v>
      </c>
      <c r="AD503" t="n">
        <v>22533.8997</v>
      </c>
      <c r="AE503" t="n">
        <v>58717.9853</v>
      </c>
      <c r="AF503" t="n">
        <v>0.968</v>
      </c>
      <c r="AG503" t="inlineStr">
        <is>
          <t>High</t>
        </is>
      </c>
      <c r="AH503" t="inlineStr">
        <is>
          <t>On Track to Glide Path</t>
        </is>
      </c>
    </row>
    <row r="504">
      <c r="A504" t="inlineStr">
        <is>
          <t>SUP-0032</t>
        </is>
      </c>
      <c r="B504" t="inlineStr">
        <is>
          <t>Agriculture Supplier 032</t>
        </is>
      </c>
      <c r="C504" t="inlineStr">
        <is>
          <t>Agriculture</t>
        </is>
      </c>
      <c r="D504" t="n">
        <v>2024</v>
      </c>
      <c r="E504" t="n">
        <v>2018</v>
      </c>
      <c r="F504" t="n">
        <v>2035</v>
      </c>
      <c r="G504" t="inlineStr"/>
      <c r="H504" t="inlineStr"/>
      <c r="I504" t="n">
        <v>2269.1156</v>
      </c>
      <c r="J504" t="n">
        <v>9169.444799999999</v>
      </c>
      <c r="K504" t="n">
        <v>15593002.96</v>
      </c>
      <c r="L504" t="n">
        <v>95127801.88</v>
      </c>
      <c r="M504" t="n">
        <v>14254.0318</v>
      </c>
      <c r="N504" t="inlineStr">
        <is>
          <t>Spend-Based Estimate</t>
        </is>
      </c>
      <c r="O504" t="b">
        <v>1</v>
      </c>
      <c r="P504" t="inlineStr">
        <is>
          <t>Medium</t>
        </is>
      </c>
      <c r="Q504" t="inlineStr">
        <is>
          <t>Reported_Emissions; Scope_Emissions</t>
        </is>
      </c>
      <c r="R504" t="inlineStr">
        <is>
          <t>Valid</t>
        </is>
      </c>
      <c r="S504" t="n">
        <v>2031</v>
      </c>
      <c r="T504" t="inlineStr">
        <is>
          <t>Supplier Target Pathway</t>
        </is>
      </c>
      <c r="U504" t="n">
        <v>12826.0723</v>
      </c>
      <c r="V504" t="n">
        <v>7386.535</v>
      </c>
      <c r="W504" t="n">
        <v>8666.4262</v>
      </c>
      <c r="X504" t="n">
        <v>8666.4262</v>
      </c>
      <c r="Y504" t="n">
        <v>4159.6461</v>
      </c>
      <c r="Z504" t="n">
        <v>0.00055579</v>
      </c>
      <c r="AA504" t="n">
        <v>0.324312</v>
      </c>
      <c r="AB504" t="n">
        <v>1279.8911</v>
      </c>
      <c r="AC504" t="n">
        <v>319.9728</v>
      </c>
      <c r="AD504" t="n">
        <v>13867.4735</v>
      </c>
      <c r="AE504" t="n">
        <v>67384.4115</v>
      </c>
      <c r="AF504" t="n">
        <v>0.968</v>
      </c>
      <c r="AG504" t="inlineStr">
        <is>
          <t>High</t>
        </is>
      </c>
      <c r="AH504" t="inlineStr">
        <is>
          <t>On Track to Glide Path</t>
        </is>
      </c>
    </row>
    <row r="505">
      <c r="A505" t="inlineStr">
        <is>
          <t>SUP-0032</t>
        </is>
      </c>
      <c r="B505" t="inlineStr">
        <is>
          <t>Agriculture Supplier 032</t>
        </is>
      </c>
      <c r="C505" t="inlineStr">
        <is>
          <t>Agriculture</t>
        </is>
      </c>
      <c r="D505" t="n">
        <v>2024</v>
      </c>
      <c r="E505" t="n">
        <v>2018</v>
      </c>
      <c r="F505" t="n">
        <v>2035</v>
      </c>
      <c r="G505" t="inlineStr"/>
      <c r="H505" t="inlineStr"/>
      <c r="I505" t="n">
        <v>2269.1156</v>
      </c>
      <c r="J505" t="n">
        <v>9169.444799999999</v>
      </c>
      <c r="K505" t="n">
        <v>15593002.96</v>
      </c>
      <c r="L505" t="n">
        <v>95127801.88</v>
      </c>
      <c r="M505" t="n">
        <v>14254.0318</v>
      </c>
      <c r="N505" t="inlineStr">
        <is>
          <t>Spend-Based Estimate</t>
        </is>
      </c>
      <c r="O505" t="b">
        <v>1</v>
      </c>
      <c r="P505" t="inlineStr">
        <is>
          <t>Medium</t>
        </is>
      </c>
      <c r="Q505" t="inlineStr">
        <is>
          <t>Reported_Emissions; Scope_Emissions</t>
        </is>
      </c>
      <c r="R505" t="inlineStr">
        <is>
          <t>Valid</t>
        </is>
      </c>
      <c r="S505" t="n">
        <v>2032</v>
      </c>
      <c r="T505" t="inlineStr">
        <is>
          <t>Supplier Target Pathway</t>
        </is>
      </c>
      <c r="U505" t="n">
        <v>12826.0723</v>
      </c>
      <c r="V505" t="n">
        <v>7386.535</v>
      </c>
      <c r="W505" t="n">
        <v>8346.4534</v>
      </c>
      <c r="X505" t="n">
        <v>8346.4534</v>
      </c>
      <c r="Y505" t="n">
        <v>4479.6189</v>
      </c>
      <c r="Z505" t="n">
        <v>0.00053527</v>
      </c>
      <c r="AA505" t="n">
        <v>0.349259</v>
      </c>
      <c r="AB505" t="n">
        <v>959.9183</v>
      </c>
      <c r="AC505" t="n">
        <v>319.9728</v>
      </c>
      <c r="AD505" t="n">
        <v>5521.0201</v>
      </c>
      <c r="AE505" t="n">
        <v>75730.8649</v>
      </c>
      <c r="AF505" t="n">
        <v>0.968</v>
      </c>
      <c r="AG505" t="inlineStr">
        <is>
          <t>Medium</t>
        </is>
      </c>
      <c r="AH505" t="inlineStr">
        <is>
          <t>On Track to Glide Path</t>
        </is>
      </c>
    </row>
    <row r="506">
      <c r="A506" t="inlineStr">
        <is>
          <t>SUP-0032</t>
        </is>
      </c>
      <c r="B506" t="inlineStr">
        <is>
          <t>Agriculture Supplier 032</t>
        </is>
      </c>
      <c r="C506" t="inlineStr">
        <is>
          <t>Agriculture</t>
        </is>
      </c>
      <c r="D506" t="n">
        <v>2024</v>
      </c>
      <c r="E506" t="n">
        <v>2018</v>
      </c>
      <c r="F506" t="n">
        <v>2035</v>
      </c>
      <c r="G506" t="inlineStr"/>
      <c r="H506" t="inlineStr"/>
      <c r="I506" t="n">
        <v>2269.1156</v>
      </c>
      <c r="J506" t="n">
        <v>9169.444799999999</v>
      </c>
      <c r="K506" t="n">
        <v>15593002.96</v>
      </c>
      <c r="L506" t="n">
        <v>95127801.88</v>
      </c>
      <c r="M506" t="n">
        <v>14254.0318</v>
      </c>
      <c r="N506" t="inlineStr">
        <is>
          <t>Spend-Based Estimate</t>
        </is>
      </c>
      <c r="O506" t="b">
        <v>1</v>
      </c>
      <c r="P506" t="inlineStr">
        <is>
          <t>Medium</t>
        </is>
      </c>
      <c r="Q506" t="inlineStr">
        <is>
          <t>Reported_Emissions; Scope_Emissions</t>
        </is>
      </c>
      <c r="R506" t="inlineStr">
        <is>
          <t>Valid</t>
        </is>
      </c>
      <c r="S506" t="n">
        <v>2033</v>
      </c>
      <c r="T506" t="inlineStr">
        <is>
          <t>Supplier Target Pathway</t>
        </is>
      </c>
      <c r="U506" t="n">
        <v>12826.0723</v>
      </c>
      <c r="V506" t="n">
        <v>7386.535</v>
      </c>
      <c r="W506" t="n">
        <v>8026.4806</v>
      </c>
      <c r="X506" t="n">
        <v>8026.4806</v>
      </c>
      <c r="Y506" t="n">
        <v>4799.5917</v>
      </c>
      <c r="Z506" t="n">
        <v>0.00051475</v>
      </c>
      <c r="AA506" t="n">
        <v>0.374206</v>
      </c>
      <c r="AB506" t="n">
        <v>639.9456</v>
      </c>
      <c r="AC506" t="n">
        <v>319.9728</v>
      </c>
      <c r="AD506" t="n">
        <v>-2505.4605</v>
      </c>
      <c r="AE506" t="n">
        <v>83757.3455</v>
      </c>
      <c r="AF506" t="n">
        <v>0.968</v>
      </c>
      <c r="AG506" t="inlineStr">
        <is>
          <t>Medium</t>
        </is>
      </c>
      <c r="AH506" t="inlineStr">
        <is>
          <t>On Track to Glide Path</t>
        </is>
      </c>
    </row>
    <row r="507">
      <c r="A507" t="inlineStr">
        <is>
          <t>SUP-0032</t>
        </is>
      </c>
      <c r="B507" t="inlineStr">
        <is>
          <t>Agriculture Supplier 032</t>
        </is>
      </c>
      <c r="C507" t="inlineStr">
        <is>
          <t>Agriculture</t>
        </is>
      </c>
      <c r="D507" t="n">
        <v>2024</v>
      </c>
      <c r="E507" t="n">
        <v>2018</v>
      </c>
      <c r="F507" t="n">
        <v>2035</v>
      </c>
      <c r="G507" t="inlineStr"/>
      <c r="H507" t="inlineStr"/>
      <c r="I507" t="n">
        <v>2269.1156</v>
      </c>
      <c r="J507" t="n">
        <v>9169.444799999999</v>
      </c>
      <c r="K507" t="n">
        <v>15593002.96</v>
      </c>
      <c r="L507" t="n">
        <v>95127801.88</v>
      </c>
      <c r="M507" t="n">
        <v>14254.0318</v>
      </c>
      <c r="N507" t="inlineStr">
        <is>
          <t>Spend-Based Estimate</t>
        </is>
      </c>
      <c r="O507" t="b">
        <v>1</v>
      </c>
      <c r="P507" t="inlineStr">
        <is>
          <t>Medium</t>
        </is>
      </c>
      <c r="Q507" t="inlineStr">
        <is>
          <t>Reported_Emissions; Scope_Emissions</t>
        </is>
      </c>
      <c r="R507" t="inlineStr">
        <is>
          <t>Valid</t>
        </is>
      </c>
      <c r="S507" t="n">
        <v>2034</v>
      </c>
      <c r="T507" t="inlineStr">
        <is>
          <t>Supplier Target Pathway</t>
        </is>
      </c>
      <c r="U507" t="n">
        <v>12826.0723</v>
      </c>
      <c r="V507" t="n">
        <v>7386.535</v>
      </c>
      <c r="W507" t="n">
        <v>7706.5078</v>
      </c>
      <c r="X507" t="n">
        <v>7706.5078</v>
      </c>
      <c r="Y507" t="n">
        <v>5119.5645</v>
      </c>
      <c r="Z507" t="n">
        <v>0.00049423</v>
      </c>
      <c r="AA507" t="n">
        <v>0.399153</v>
      </c>
      <c r="AB507" t="n">
        <v>319.9728</v>
      </c>
      <c r="AC507" t="n">
        <v>319.9728</v>
      </c>
      <c r="AD507" t="n">
        <v>-10211.9683</v>
      </c>
      <c r="AE507" t="n">
        <v>91463.8533</v>
      </c>
      <c r="AF507" t="n">
        <v>0.968</v>
      </c>
      <c r="AG507" t="inlineStr">
        <is>
          <t>Medium</t>
        </is>
      </c>
      <c r="AH507" t="inlineStr">
        <is>
          <t>On Track to Glide Path</t>
        </is>
      </c>
    </row>
    <row r="508">
      <c r="A508" t="inlineStr">
        <is>
          <t>SUP-0032</t>
        </is>
      </c>
      <c r="B508" t="inlineStr">
        <is>
          <t>Agriculture Supplier 032</t>
        </is>
      </c>
      <c r="C508" t="inlineStr">
        <is>
          <t>Agriculture</t>
        </is>
      </c>
      <c r="D508" t="n">
        <v>2024</v>
      </c>
      <c r="E508" t="n">
        <v>2018</v>
      </c>
      <c r="F508" t="n">
        <v>2035</v>
      </c>
      <c r="G508" t="inlineStr"/>
      <c r="H508" t="inlineStr"/>
      <c r="I508" t="n">
        <v>2269.1156</v>
      </c>
      <c r="J508" t="n">
        <v>9169.444799999999</v>
      </c>
      <c r="K508" t="n">
        <v>15593002.96</v>
      </c>
      <c r="L508" t="n">
        <v>95127801.88</v>
      </c>
      <c r="M508" t="n">
        <v>14254.0318</v>
      </c>
      <c r="N508" t="inlineStr">
        <is>
          <t>Spend-Based Estimate</t>
        </is>
      </c>
      <c r="O508" t="b">
        <v>1</v>
      </c>
      <c r="P508" t="inlineStr">
        <is>
          <t>Medium</t>
        </is>
      </c>
      <c r="Q508" t="inlineStr">
        <is>
          <t>Reported_Emissions; Scope_Emissions</t>
        </is>
      </c>
      <c r="R508" t="inlineStr">
        <is>
          <t>Valid</t>
        </is>
      </c>
      <c r="S508" t="n">
        <v>2035</v>
      </c>
      <c r="T508" t="inlineStr">
        <is>
          <t>Supplier Target Pathway</t>
        </is>
      </c>
      <c r="U508" t="n">
        <v>12826.0723</v>
      </c>
      <c r="V508" t="n">
        <v>7386.535</v>
      </c>
      <c r="W508" t="n">
        <v>7386.535</v>
      </c>
      <c r="X508" t="n">
        <v>7386.535</v>
      </c>
      <c r="Y508" t="n">
        <v>5439.5373</v>
      </c>
      <c r="Z508" t="n">
        <v>0.00047371</v>
      </c>
      <c r="AA508" t="n">
        <v>0.4241</v>
      </c>
      <c r="AB508" t="n">
        <v>0</v>
      </c>
      <c r="AC508" t="n">
        <v>319.9728</v>
      </c>
      <c r="AD508" t="n">
        <v>-17598.5033</v>
      </c>
      <c r="AE508" t="n">
        <v>98850.38830000001</v>
      </c>
      <c r="AF508" t="n">
        <v>0.968</v>
      </c>
      <c r="AG508" t="inlineStr">
        <is>
          <t>Low</t>
        </is>
      </c>
      <c r="AH508" t="inlineStr">
        <is>
          <t>On Track</t>
        </is>
      </c>
    </row>
    <row r="509">
      <c r="A509" t="inlineStr">
        <is>
          <t>SUP-0032</t>
        </is>
      </c>
      <c r="B509" t="inlineStr">
        <is>
          <t>Agriculture Supplier 032</t>
        </is>
      </c>
      <c r="C509" t="inlineStr">
        <is>
          <t>Agriculture</t>
        </is>
      </c>
      <c r="D509" t="n">
        <v>2024</v>
      </c>
      <c r="E509" t="n">
        <v>2018</v>
      </c>
      <c r="F509" t="n">
        <v>2035</v>
      </c>
      <c r="G509" t="inlineStr"/>
      <c r="H509" t="inlineStr"/>
      <c r="I509" t="n">
        <v>2269.1156</v>
      </c>
      <c r="J509" t="n">
        <v>9169.444799999999</v>
      </c>
      <c r="K509" t="n">
        <v>15593002.96</v>
      </c>
      <c r="L509" t="n">
        <v>95127801.88</v>
      </c>
      <c r="M509" t="n">
        <v>14254.0318</v>
      </c>
      <c r="N509" t="inlineStr">
        <is>
          <t>Spend-Based Estimate</t>
        </is>
      </c>
      <c r="O509" t="b">
        <v>1</v>
      </c>
      <c r="P509" t="inlineStr">
        <is>
          <t>Medium</t>
        </is>
      </c>
      <c r="Q509" t="inlineStr">
        <is>
          <t>Reported_Emissions; Scope_Emissions</t>
        </is>
      </c>
      <c r="R509" t="inlineStr">
        <is>
          <t>Valid</t>
        </is>
      </c>
      <c r="S509" t="n">
        <v>2036</v>
      </c>
      <c r="T509" t="inlineStr">
        <is>
          <t>Supplier Target Pathway</t>
        </is>
      </c>
      <c r="U509" t="n">
        <v>12826.0723</v>
      </c>
      <c r="V509" t="n">
        <v>7386.535</v>
      </c>
      <c r="W509" t="n">
        <v>7386.535</v>
      </c>
      <c r="X509" t="n">
        <v>7386.535</v>
      </c>
      <c r="Y509" t="n">
        <v>5439.5373</v>
      </c>
      <c r="Z509" t="n">
        <v>0.00047371</v>
      </c>
      <c r="AA509" t="n">
        <v>0.4241</v>
      </c>
      <c r="AB509" t="n">
        <v>0</v>
      </c>
      <c r="AC509" t="n">
        <v>319.9728</v>
      </c>
      <c r="AD509" t="n">
        <v>-24985.0383</v>
      </c>
      <c r="AE509" t="n">
        <v>106236.9233</v>
      </c>
      <c r="AF509" t="n">
        <v>0.968</v>
      </c>
      <c r="AG509" t="inlineStr">
        <is>
          <t>Low</t>
        </is>
      </c>
      <c r="AH509" t="inlineStr">
        <is>
          <t>On Track</t>
        </is>
      </c>
    </row>
    <row r="510">
      <c r="A510" t="inlineStr">
        <is>
          <t>SUP-0032</t>
        </is>
      </c>
      <c r="B510" t="inlineStr">
        <is>
          <t>Agriculture Supplier 032</t>
        </is>
      </c>
      <c r="C510" t="inlineStr">
        <is>
          <t>Agriculture</t>
        </is>
      </c>
      <c r="D510" t="n">
        <v>2024</v>
      </c>
      <c r="E510" t="n">
        <v>2018</v>
      </c>
      <c r="F510" t="n">
        <v>2035</v>
      </c>
      <c r="G510" t="inlineStr"/>
      <c r="H510" t="inlineStr"/>
      <c r="I510" t="n">
        <v>2269.1156</v>
      </c>
      <c r="J510" t="n">
        <v>9169.444799999999</v>
      </c>
      <c r="K510" t="n">
        <v>15593002.96</v>
      </c>
      <c r="L510" t="n">
        <v>95127801.88</v>
      </c>
      <c r="M510" t="n">
        <v>14254.0318</v>
      </c>
      <c r="N510" t="inlineStr">
        <is>
          <t>Spend-Based Estimate</t>
        </is>
      </c>
      <c r="O510" t="b">
        <v>1</v>
      </c>
      <c r="P510" t="inlineStr">
        <is>
          <t>Medium</t>
        </is>
      </c>
      <c r="Q510" t="inlineStr">
        <is>
          <t>Reported_Emissions; Scope_Emissions</t>
        </is>
      </c>
      <c r="R510" t="inlineStr">
        <is>
          <t>Valid</t>
        </is>
      </c>
      <c r="S510" t="n">
        <v>2037</v>
      </c>
      <c r="T510" t="inlineStr">
        <is>
          <t>Supplier Target Pathway</t>
        </is>
      </c>
      <c r="U510" t="n">
        <v>12826.0723</v>
      </c>
      <c r="V510" t="n">
        <v>7386.535</v>
      </c>
      <c r="W510" t="n">
        <v>7386.535</v>
      </c>
      <c r="X510" t="n">
        <v>7386.535</v>
      </c>
      <c r="Y510" t="n">
        <v>5439.5373</v>
      </c>
      <c r="Z510" t="n">
        <v>0.00047371</v>
      </c>
      <c r="AA510" t="n">
        <v>0.4241</v>
      </c>
      <c r="AB510" t="n">
        <v>0</v>
      </c>
      <c r="AC510" t="n">
        <v>319.9728</v>
      </c>
      <c r="AD510" t="n">
        <v>-32371.5733</v>
      </c>
      <c r="AE510" t="n">
        <v>113623.4583</v>
      </c>
      <c r="AF510" t="n">
        <v>0.968</v>
      </c>
      <c r="AG510" t="inlineStr">
        <is>
          <t>Low</t>
        </is>
      </c>
      <c r="AH510" t="inlineStr">
        <is>
          <t>On Track</t>
        </is>
      </c>
    </row>
    <row r="511">
      <c r="A511" t="inlineStr">
        <is>
          <t>SUP-0032</t>
        </is>
      </c>
      <c r="B511" t="inlineStr">
        <is>
          <t>Agriculture Supplier 032</t>
        </is>
      </c>
      <c r="C511" t="inlineStr">
        <is>
          <t>Agriculture</t>
        </is>
      </c>
      <c r="D511" t="n">
        <v>2024</v>
      </c>
      <c r="E511" t="n">
        <v>2018</v>
      </c>
      <c r="F511" t="n">
        <v>2035</v>
      </c>
      <c r="G511" t="inlineStr"/>
      <c r="H511" t="inlineStr"/>
      <c r="I511" t="n">
        <v>2269.1156</v>
      </c>
      <c r="J511" t="n">
        <v>9169.444799999999</v>
      </c>
      <c r="K511" t="n">
        <v>15593002.96</v>
      </c>
      <c r="L511" t="n">
        <v>95127801.88</v>
      </c>
      <c r="M511" t="n">
        <v>14254.0318</v>
      </c>
      <c r="N511" t="inlineStr">
        <is>
          <t>Spend-Based Estimate</t>
        </is>
      </c>
      <c r="O511" t="b">
        <v>1</v>
      </c>
      <c r="P511" t="inlineStr">
        <is>
          <t>Medium</t>
        </is>
      </c>
      <c r="Q511" t="inlineStr">
        <is>
          <t>Reported_Emissions; Scope_Emissions</t>
        </is>
      </c>
      <c r="R511" t="inlineStr">
        <is>
          <t>Valid</t>
        </is>
      </c>
      <c r="S511" t="n">
        <v>2038</v>
      </c>
      <c r="T511" t="inlineStr">
        <is>
          <t>Supplier Target Pathway</t>
        </is>
      </c>
      <c r="U511" t="n">
        <v>12826.0723</v>
      </c>
      <c r="V511" t="n">
        <v>7386.535</v>
      </c>
      <c r="W511" t="n">
        <v>7386.535</v>
      </c>
      <c r="X511" t="n">
        <v>7386.535</v>
      </c>
      <c r="Y511" t="n">
        <v>5439.5373</v>
      </c>
      <c r="Z511" t="n">
        <v>0.00047371</v>
      </c>
      <c r="AA511" t="n">
        <v>0.4241</v>
      </c>
      <c r="AB511" t="n">
        <v>0</v>
      </c>
      <c r="AC511" t="n">
        <v>319.9728</v>
      </c>
      <c r="AD511" t="n">
        <v>-39758.1083</v>
      </c>
      <c r="AE511" t="n">
        <v>121009.9933</v>
      </c>
      <c r="AF511" t="n">
        <v>0.968</v>
      </c>
      <c r="AG511" t="inlineStr">
        <is>
          <t>Low</t>
        </is>
      </c>
      <c r="AH511" t="inlineStr">
        <is>
          <t>On Track</t>
        </is>
      </c>
    </row>
    <row r="512">
      <c r="A512" t="inlineStr">
        <is>
          <t>SUP-0032</t>
        </is>
      </c>
      <c r="B512" t="inlineStr">
        <is>
          <t>Agriculture Supplier 032</t>
        </is>
      </c>
      <c r="C512" t="inlineStr">
        <is>
          <t>Agriculture</t>
        </is>
      </c>
      <c r="D512" t="n">
        <v>2024</v>
      </c>
      <c r="E512" t="n">
        <v>2018</v>
      </c>
      <c r="F512" t="n">
        <v>2035</v>
      </c>
      <c r="G512" t="inlineStr"/>
      <c r="H512" t="inlineStr"/>
      <c r="I512" t="n">
        <v>2269.1156</v>
      </c>
      <c r="J512" t="n">
        <v>9169.444799999999</v>
      </c>
      <c r="K512" t="n">
        <v>15593002.96</v>
      </c>
      <c r="L512" t="n">
        <v>95127801.88</v>
      </c>
      <c r="M512" t="n">
        <v>14254.0318</v>
      </c>
      <c r="N512" t="inlineStr">
        <is>
          <t>Spend-Based Estimate</t>
        </is>
      </c>
      <c r="O512" t="b">
        <v>1</v>
      </c>
      <c r="P512" t="inlineStr">
        <is>
          <t>Medium</t>
        </is>
      </c>
      <c r="Q512" t="inlineStr">
        <is>
          <t>Reported_Emissions; Scope_Emissions</t>
        </is>
      </c>
      <c r="R512" t="inlineStr">
        <is>
          <t>Valid</t>
        </is>
      </c>
      <c r="S512" t="n">
        <v>2039</v>
      </c>
      <c r="T512" t="inlineStr">
        <is>
          <t>Supplier Target Pathway</t>
        </is>
      </c>
      <c r="U512" t="n">
        <v>12826.0723</v>
      </c>
      <c r="V512" t="n">
        <v>7386.535</v>
      </c>
      <c r="W512" t="n">
        <v>7386.535</v>
      </c>
      <c r="X512" t="n">
        <v>7386.535</v>
      </c>
      <c r="Y512" t="n">
        <v>5439.5373</v>
      </c>
      <c r="Z512" t="n">
        <v>0.00047371</v>
      </c>
      <c r="AA512" t="n">
        <v>0.4241</v>
      </c>
      <c r="AB512" t="n">
        <v>0</v>
      </c>
      <c r="AC512" t="n">
        <v>319.9728</v>
      </c>
      <c r="AD512" t="n">
        <v>-47144.6433</v>
      </c>
      <c r="AE512" t="n">
        <v>128396.5283</v>
      </c>
      <c r="AF512" t="n">
        <v>0.968</v>
      </c>
      <c r="AG512" t="inlineStr">
        <is>
          <t>Low</t>
        </is>
      </c>
      <c r="AH512" t="inlineStr">
        <is>
          <t>On Track</t>
        </is>
      </c>
    </row>
    <row r="513">
      <c r="A513" t="inlineStr">
        <is>
          <t>SUP-0032</t>
        </is>
      </c>
      <c r="B513" t="inlineStr">
        <is>
          <t>Agriculture Supplier 032</t>
        </is>
      </c>
      <c r="C513" t="inlineStr">
        <is>
          <t>Agriculture</t>
        </is>
      </c>
      <c r="D513" t="n">
        <v>2024</v>
      </c>
      <c r="E513" t="n">
        <v>2018</v>
      </c>
      <c r="F513" t="n">
        <v>2035</v>
      </c>
      <c r="G513" t="inlineStr"/>
      <c r="H513" t="inlineStr"/>
      <c r="I513" t="n">
        <v>2269.1156</v>
      </c>
      <c r="J513" t="n">
        <v>9169.444799999999</v>
      </c>
      <c r="K513" t="n">
        <v>15593002.96</v>
      </c>
      <c r="L513" t="n">
        <v>95127801.88</v>
      </c>
      <c r="M513" t="n">
        <v>14254.0318</v>
      </c>
      <c r="N513" t="inlineStr">
        <is>
          <t>Spend-Based Estimate</t>
        </is>
      </c>
      <c r="O513" t="b">
        <v>1</v>
      </c>
      <c r="P513" t="inlineStr">
        <is>
          <t>Medium</t>
        </is>
      </c>
      <c r="Q513" t="inlineStr">
        <is>
          <t>Reported_Emissions; Scope_Emissions</t>
        </is>
      </c>
      <c r="R513" t="inlineStr">
        <is>
          <t>Valid</t>
        </is>
      </c>
      <c r="S513" t="n">
        <v>2040</v>
      </c>
      <c r="T513" t="inlineStr">
        <is>
          <t>Supplier Target Pathway</t>
        </is>
      </c>
      <c r="U513" t="n">
        <v>12826.0723</v>
      </c>
      <c r="V513" t="n">
        <v>7386.535</v>
      </c>
      <c r="W513" t="n">
        <v>7386.535</v>
      </c>
      <c r="X513" t="n">
        <v>7386.535</v>
      </c>
      <c r="Y513" t="n">
        <v>5439.5373</v>
      </c>
      <c r="Z513" t="n">
        <v>0.00047371</v>
      </c>
      <c r="AA513" t="n">
        <v>0.4241</v>
      </c>
      <c r="AB513" t="n">
        <v>0</v>
      </c>
      <c r="AC513" t="n">
        <v>319.9728</v>
      </c>
      <c r="AD513" t="n">
        <v>-54531.1783</v>
      </c>
      <c r="AE513" t="n">
        <v>135783.0633</v>
      </c>
      <c r="AF513" t="n">
        <v>0.968</v>
      </c>
      <c r="AG513" t="inlineStr">
        <is>
          <t>Low</t>
        </is>
      </c>
      <c r="AH513" t="inlineStr">
        <is>
          <t>On Track</t>
        </is>
      </c>
    </row>
    <row r="514">
      <c r="A514" t="inlineStr">
        <is>
          <t>SUP-0033</t>
        </is>
      </c>
      <c r="B514" t="inlineStr">
        <is>
          <t>Metals Supplier 033</t>
        </is>
      </c>
      <c r="C514" t="inlineStr">
        <is>
          <t>Metals</t>
        </is>
      </c>
      <c r="D514" t="n">
        <v>2024</v>
      </c>
      <c r="E514" t="n">
        <v>2021</v>
      </c>
      <c r="F514" t="n">
        <v>2030</v>
      </c>
      <c r="G514" t="n">
        <v>36124.2244</v>
      </c>
      <c r="H514" t="inlineStr"/>
      <c r="I514" t="n">
        <v>6049.4667</v>
      </c>
      <c r="J514" t="n">
        <v>25776.7657</v>
      </c>
      <c r="K514" t="n">
        <v>37962429.31</v>
      </c>
      <c r="L514" t="n">
        <v>112049870.81</v>
      </c>
      <c r="M514" t="n">
        <v>36124.2244</v>
      </c>
      <c r="N514" t="inlineStr">
        <is>
          <t>Supplier Reported Emissions</t>
        </is>
      </c>
      <c r="O514" t="b">
        <v>0</v>
      </c>
      <c r="P514" t="inlineStr">
        <is>
          <t>High</t>
        </is>
      </c>
      <c r="Q514" t="inlineStr">
        <is>
          <t>Scope_Emissions</t>
        </is>
      </c>
      <c r="R514" t="inlineStr">
        <is>
          <t>Valid</t>
        </is>
      </c>
      <c r="S514" t="n">
        <v>2025</v>
      </c>
      <c r="T514" t="inlineStr">
        <is>
          <t>Supplier Target Pathway</t>
        </is>
      </c>
      <c r="U514" t="n">
        <v>31208.1641</v>
      </c>
      <c r="V514" t="n">
        <v>21209.0683</v>
      </c>
      <c r="W514" t="n">
        <v>26764.1215</v>
      </c>
      <c r="X514" t="n">
        <v>26764.1215</v>
      </c>
      <c r="Y514" t="n">
        <v>4444.0426</v>
      </c>
      <c r="Z514" t="n">
        <v>0.00070502</v>
      </c>
      <c r="AA514" t="n">
        <v>0.1424</v>
      </c>
      <c r="AB514" t="n">
        <v>5555.0532</v>
      </c>
      <c r="AC514" t="n">
        <v>1111.0106</v>
      </c>
      <c r="AD514" t="n">
        <v>100490.2883</v>
      </c>
      <c r="AE514" t="n">
        <v>26764.1215</v>
      </c>
      <c r="AF514" t="n">
        <v>0.99</v>
      </c>
      <c r="AG514" t="inlineStr">
        <is>
          <t>High</t>
        </is>
      </c>
      <c r="AH514" t="inlineStr">
        <is>
          <t>On Track to Glide Path</t>
        </is>
      </c>
    </row>
    <row r="515">
      <c r="A515" t="inlineStr">
        <is>
          <t>SUP-0033</t>
        </is>
      </c>
      <c r="B515" t="inlineStr">
        <is>
          <t>Metals Supplier 033</t>
        </is>
      </c>
      <c r="C515" t="inlineStr">
        <is>
          <t>Metals</t>
        </is>
      </c>
      <c r="D515" t="n">
        <v>2024</v>
      </c>
      <c r="E515" t="n">
        <v>2021</v>
      </c>
      <c r="F515" t="n">
        <v>2030</v>
      </c>
      <c r="G515" t="n">
        <v>36124.2244</v>
      </c>
      <c r="H515" t="inlineStr"/>
      <c r="I515" t="n">
        <v>6049.4667</v>
      </c>
      <c r="J515" t="n">
        <v>25776.7657</v>
      </c>
      <c r="K515" t="n">
        <v>37962429.31</v>
      </c>
      <c r="L515" t="n">
        <v>112049870.81</v>
      </c>
      <c r="M515" t="n">
        <v>36124.2244</v>
      </c>
      <c r="N515" t="inlineStr">
        <is>
          <t>Supplier Reported Emissions</t>
        </is>
      </c>
      <c r="O515" t="b">
        <v>0</v>
      </c>
      <c r="P515" t="inlineStr">
        <is>
          <t>High</t>
        </is>
      </c>
      <c r="Q515" t="inlineStr">
        <is>
          <t>Scope_Emissions</t>
        </is>
      </c>
      <c r="R515" t="inlineStr">
        <is>
          <t>Valid</t>
        </is>
      </c>
      <c r="S515" t="n">
        <v>2026</v>
      </c>
      <c r="T515" t="inlineStr">
        <is>
          <t>Supplier Target Pathway</t>
        </is>
      </c>
      <c r="U515" t="n">
        <v>31208.1641</v>
      </c>
      <c r="V515" t="n">
        <v>21209.0683</v>
      </c>
      <c r="W515" t="n">
        <v>25653.1109</v>
      </c>
      <c r="X515" t="n">
        <v>25653.1109</v>
      </c>
      <c r="Y515" t="n">
        <v>5555.0532</v>
      </c>
      <c r="Z515" t="n">
        <v>0.00067575</v>
      </c>
      <c r="AA515" t="n">
        <v>0.178</v>
      </c>
      <c r="AB515" t="n">
        <v>4444.0426</v>
      </c>
      <c r="AC515" t="n">
        <v>1111.0106</v>
      </c>
      <c r="AD515" t="n">
        <v>74837.1774</v>
      </c>
      <c r="AE515" t="n">
        <v>52417.2324</v>
      </c>
      <c r="AF515" t="n">
        <v>0.99</v>
      </c>
      <c r="AG515" t="inlineStr">
        <is>
          <t>High</t>
        </is>
      </c>
      <c r="AH515" t="inlineStr">
        <is>
          <t>On Track to Glide Path</t>
        </is>
      </c>
    </row>
    <row r="516">
      <c r="A516" t="inlineStr">
        <is>
          <t>SUP-0033</t>
        </is>
      </c>
      <c r="B516" t="inlineStr">
        <is>
          <t>Metals Supplier 033</t>
        </is>
      </c>
      <c r="C516" t="inlineStr">
        <is>
          <t>Metals</t>
        </is>
      </c>
      <c r="D516" t="n">
        <v>2024</v>
      </c>
      <c r="E516" t="n">
        <v>2021</v>
      </c>
      <c r="F516" t="n">
        <v>2030</v>
      </c>
      <c r="G516" t="n">
        <v>36124.2244</v>
      </c>
      <c r="H516" t="inlineStr"/>
      <c r="I516" t="n">
        <v>6049.4667</v>
      </c>
      <c r="J516" t="n">
        <v>25776.7657</v>
      </c>
      <c r="K516" t="n">
        <v>37962429.31</v>
      </c>
      <c r="L516" t="n">
        <v>112049870.81</v>
      </c>
      <c r="M516" t="n">
        <v>36124.2244</v>
      </c>
      <c r="N516" t="inlineStr">
        <is>
          <t>Supplier Reported Emissions</t>
        </is>
      </c>
      <c r="O516" t="b">
        <v>0</v>
      </c>
      <c r="P516" t="inlineStr">
        <is>
          <t>High</t>
        </is>
      </c>
      <c r="Q516" t="inlineStr">
        <is>
          <t>Scope_Emissions</t>
        </is>
      </c>
      <c r="R516" t="inlineStr">
        <is>
          <t>Valid</t>
        </is>
      </c>
      <c r="S516" t="n">
        <v>2027</v>
      </c>
      <c r="T516" t="inlineStr">
        <is>
          <t>Supplier Target Pathway</t>
        </is>
      </c>
      <c r="U516" t="n">
        <v>31208.1641</v>
      </c>
      <c r="V516" t="n">
        <v>21209.0683</v>
      </c>
      <c r="W516" t="n">
        <v>24542.1002</v>
      </c>
      <c r="X516" t="n">
        <v>24542.1002</v>
      </c>
      <c r="Y516" t="n">
        <v>6666.0639</v>
      </c>
      <c r="Z516" t="n">
        <v>0.0006464799999999999</v>
      </c>
      <c r="AA516" t="n">
        <v>0.2136</v>
      </c>
      <c r="AB516" t="n">
        <v>3333.0319</v>
      </c>
      <c r="AC516" t="n">
        <v>1111.0106</v>
      </c>
      <c r="AD516" t="n">
        <v>50295.0772</v>
      </c>
      <c r="AE516" t="n">
        <v>76959.33259999999</v>
      </c>
      <c r="AF516" t="n">
        <v>0.99</v>
      </c>
      <c r="AG516" t="inlineStr">
        <is>
          <t>High</t>
        </is>
      </c>
      <c r="AH516" t="inlineStr">
        <is>
          <t>On Track to Glide Path</t>
        </is>
      </c>
    </row>
    <row r="517">
      <c r="A517" t="inlineStr">
        <is>
          <t>SUP-0033</t>
        </is>
      </c>
      <c r="B517" t="inlineStr">
        <is>
          <t>Metals Supplier 033</t>
        </is>
      </c>
      <c r="C517" t="inlineStr">
        <is>
          <t>Metals</t>
        </is>
      </c>
      <c r="D517" t="n">
        <v>2024</v>
      </c>
      <c r="E517" t="n">
        <v>2021</v>
      </c>
      <c r="F517" t="n">
        <v>2030</v>
      </c>
      <c r="G517" t="n">
        <v>36124.2244</v>
      </c>
      <c r="H517" t="inlineStr"/>
      <c r="I517" t="n">
        <v>6049.4667</v>
      </c>
      <c r="J517" t="n">
        <v>25776.7657</v>
      </c>
      <c r="K517" t="n">
        <v>37962429.31</v>
      </c>
      <c r="L517" t="n">
        <v>112049870.81</v>
      </c>
      <c r="M517" t="n">
        <v>36124.2244</v>
      </c>
      <c r="N517" t="inlineStr">
        <is>
          <t>Supplier Reported Emissions</t>
        </is>
      </c>
      <c r="O517" t="b">
        <v>0</v>
      </c>
      <c r="P517" t="inlineStr">
        <is>
          <t>High</t>
        </is>
      </c>
      <c r="Q517" t="inlineStr">
        <is>
          <t>Scope_Emissions</t>
        </is>
      </c>
      <c r="R517" t="inlineStr">
        <is>
          <t>Valid</t>
        </is>
      </c>
      <c r="S517" t="n">
        <v>2028</v>
      </c>
      <c r="T517" t="inlineStr">
        <is>
          <t>Supplier Target Pathway</t>
        </is>
      </c>
      <c r="U517" t="n">
        <v>31208.1641</v>
      </c>
      <c r="V517" t="n">
        <v>21209.0683</v>
      </c>
      <c r="W517" t="n">
        <v>23431.0896</v>
      </c>
      <c r="X517" t="n">
        <v>23431.0896</v>
      </c>
      <c r="Y517" t="n">
        <v>7777.0745</v>
      </c>
      <c r="Z517" t="n">
        <v>0.00061722</v>
      </c>
      <c r="AA517" t="n">
        <v>0.2492</v>
      </c>
      <c r="AB517" t="n">
        <v>2222.0213</v>
      </c>
      <c r="AC517" t="n">
        <v>1111.0106</v>
      </c>
      <c r="AD517" t="n">
        <v>26863.9876</v>
      </c>
      <c r="AE517" t="n">
        <v>100390.4222</v>
      </c>
      <c r="AF517" t="n">
        <v>0.99</v>
      </c>
      <c r="AG517" t="inlineStr">
        <is>
          <t>Medium</t>
        </is>
      </c>
      <c r="AH517" t="inlineStr">
        <is>
          <t>On Track to Glide Path</t>
        </is>
      </c>
    </row>
    <row r="518">
      <c r="A518" t="inlineStr">
        <is>
          <t>SUP-0033</t>
        </is>
      </c>
      <c r="B518" t="inlineStr">
        <is>
          <t>Metals Supplier 033</t>
        </is>
      </c>
      <c r="C518" t="inlineStr">
        <is>
          <t>Metals</t>
        </is>
      </c>
      <c r="D518" t="n">
        <v>2024</v>
      </c>
      <c r="E518" t="n">
        <v>2021</v>
      </c>
      <c r="F518" t="n">
        <v>2030</v>
      </c>
      <c r="G518" t="n">
        <v>36124.2244</v>
      </c>
      <c r="H518" t="inlineStr"/>
      <c r="I518" t="n">
        <v>6049.4667</v>
      </c>
      <c r="J518" t="n">
        <v>25776.7657</v>
      </c>
      <c r="K518" t="n">
        <v>37962429.31</v>
      </c>
      <c r="L518" t="n">
        <v>112049870.81</v>
      </c>
      <c r="M518" t="n">
        <v>36124.2244</v>
      </c>
      <c r="N518" t="inlineStr">
        <is>
          <t>Supplier Reported Emissions</t>
        </is>
      </c>
      <c r="O518" t="b">
        <v>0</v>
      </c>
      <c r="P518" t="inlineStr">
        <is>
          <t>High</t>
        </is>
      </c>
      <c r="Q518" t="inlineStr">
        <is>
          <t>Scope_Emissions</t>
        </is>
      </c>
      <c r="R518" t="inlineStr">
        <is>
          <t>Valid</t>
        </is>
      </c>
      <c r="S518" t="n">
        <v>2029</v>
      </c>
      <c r="T518" t="inlineStr">
        <is>
          <t>Supplier Target Pathway</t>
        </is>
      </c>
      <c r="U518" t="n">
        <v>31208.1641</v>
      </c>
      <c r="V518" t="n">
        <v>21209.0683</v>
      </c>
      <c r="W518" t="n">
        <v>22320.079</v>
      </c>
      <c r="X518" t="n">
        <v>22320.079</v>
      </c>
      <c r="Y518" t="n">
        <v>8888.0851</v>
      </c>
      <c r="Z518" t="n">
        <v>0.00058795</v>
      </c>
      <c r="AA518" t="n">
        <v>0.2848</v>
      </c>
      <c r="AB518" t="n">
        <v>1111.0106</v>
      </c>
      <c r="AC518" t="n">
        <v>1111.0106</v>
      </c>
      <c r="AD518" t="n">
        <v>4543.9086</v>
      </c>
      <c r="AE518" t="n">
        <v>122710.5012</v>
      </c>
      <c r="AF518" t="n">
        <v>0.99</v>
      </c>
      <c r="AG518" t="inlineStr">
        <is>
          <t>Medium</t>
        </is>
      </c>
      <c r="AH518" t="inlineStr">
        <is>
          <t>On Track to Glide Path</t>
        </is>
      </c>
    </row>
    <row r="519">
      <c r="A519" t="inlineStr">
        <is>
          <t>SUP-0033</t>
        </is>
      </c>
      <c r="B519" t="inlineStr">
        <is>
          <t>Metals Supplier 033</t>
        </is>
      </c>
      <c r="C519" t="inlineStr">
        <is>
          <t>Metals</t>
        </is>
      </c>
      <c r="D519" t="n">
        <v>2024</v>
      </c>
      <c r="E519" t="n">
        <v>2021</v>
      </c>
      <c r="F519" t="n">
        <v>2030</v>
      </c>
      <c r="G519" t="n">
        <v>36124.2244</v>
      </c>
      <c r="H519" t="inlineStr"/>
      <c r="I519" t="n">
        <v>6049.4667</v>
      </c>
      <c r="J519" t="n">
        <v>25776.7657</v>
      </c>
      <c r="K519" t="n">
        <v>37962429.31</v>
      </c>
      <c r="L519" t="n">
        <v>112049870.81</v>
      </c>
      <c r="M519" t="n">
        <v>36124.2244</v>
      </c>
      <c r="N519" t="inlineStr">
        <is>
          <t>Supplier Reported Emissions</t>
        </is>
      </c>
      <c r="O519" t="b">
        <v>0</v>
      </c>
      <c r="P519" t="inlineStr">
        <is>
          <t>High</t>
        </is>
      </c>
      <c r="Q519" t="inlineStr">
        <is>
          <t>Scope_Emissions</t>
        </is>
      </c>
      <c r="R519" t="inlineStr">
        <is>
          <t>Valid</t>
        </is>
      </c>
      <c r="S519" t="n">
        <v>2030</v>
      </c>
      <c r="T519" t="inlineStr">
        <is>
          <t>Supplier Target Pathway</t>
        </is>
      </c>
      <c r="U519" t="n">
        <v>31208.1641</v>
      </c>
      <c r="V519" t="n">
        <v>21209.0683</v>
      </c>
      <c r="W519" t="n">
        <v>21209.0683</v>
      </c>
      <c r="X519" t="n">
        <v>21209.0683</v>
      </c>
      <c r="Y519" t="n">
        <v>9999.095799999999</v>
      </c>
      <c r="Z519" t="n">
        <v>0.00055869</v>
      </c>
      <c r="AA519" t="n">
        <v>0.3204</v>
      </c>
      <c r="AB519" t="n">
        <v>0</v>
      </c>
      <c r="AC519" t="n">
        <v>1111.0106</v>
      </c>
      <c r="AD519" t="n">
        <v>-16665.1597</v>
      </c>
      <c r="AE519" t="n">
        <v>143919.5695</v>
      </c>
      <c r="AF519" t="n">
        <v>0.99</v>
      </c>
      <c r="AG519" t="inlineStr">
        <is>
          <t>Low</t>
        </is>
      </c>
      <c r="AH519" t="inlineStr">
        <is>
          <t>On Track</t>
        </is>
      </c>
    </row>
    <row r="520">
      <c r="A520" t="inlineStr">
        <is>
          <t>SUP-0033</t>
        </is>
      </c>
      <c r="B520" t="inlineStr">
        <is>
          <t>Metals Supplier 033</t>
        </is>
      </c>
      <c r="C520" t="inlineStr">
        <is>
          <t>Metals</t>
        </is>
      </c>
      <c r="D520" t="n">
        <v>2024</v>
      </c>
      <c r="E520" t="n">
        <v>2021</v>
      </c>
      <c r="F520" t="n">
        <v>2030</v>
      </c>
      <c r="G520" t="n">
        <v>36124.2244</v>
      </c>
      <c r="H520" t="inlineStr"/>
      <c r="I520" t="n">
        <v>6049.4667</v>
      </c>
      <c r="J520" t="n">
        <v>25776.7657</v>
      </c>
      <c r="K520" t="n">
        <v>37962429.31</v>
      </c>
      <c r="L520" t="n">
        <v>112049870.81</v>
      </c>
      <c r="M520" t="n">
        <v>36124.2244</v>
      </c>
      <c r="N520" t="inlineStr">
        <is>
          <t>Supplier Reported Emissions</t>
        </is>
      </c>
      <c r="O520" t="b">
        <v>0</v>
      </c>
      <c r="P520" t="inlineStr">
        <is>
          <t>High</t>
        </is>
      </c>
      <c r="Q520" t="inlineStr">
        <is>
          <t>Scope_Emissions</t>
        </is>
      </c>
      <c r="R520" t="inlineStr">
        <is>
          <t>Valid</t>
        </is>
      </c>
      <c r="S520" t="n">
        <v>2031</v>
      </c>
      <c r="T520" t="inlineStr">
        <is>
          <t>Supplier Target Pathway</t>
        </is>
      </c>
      <c r="U520" t="n">
        <v>31208.1641</v>
      </c>
      <c r="V520" t="n">
        <v>21209.0683</v>
      </c>
      <c r="W520" t="n">
        <v>21209.0683</v>
      </c>
      <c r="X520" t="n">
        <v>21209.0683</v>
      </c>
      <c r="Y520" t="n">
        <v>9999.095799999999</v>
      </c>
      <c r="Z520" t="n">
        <v>0.00055869</v>
      </c>
      <c r="AA520" t="n">
        <v>0.3204</v>
      </c>
      <c r="AB520" t="n">
        <v>0</v>
      </c>
      <c r="AC520" t="n">
        <v>1111.0106</v>
      </c>
      <c r="AD520" t="n">
        <v>-37874.228</v>
      </c>
      <c r="AE520" t="n">
        <v>165128.6378</v>
      </c>
      <c r="AF520" t="n">
        <v>0.99</v>
      </c>
      <c r="AG520" t="inlineStr">
        <is>
          <t>Low</t>
        </is>
      </c>
      <c r="AH520" t="inlineStr">
        <is>
          <t>On Track</t>
        </is>
      </c>
    </row>
    <row r="521">
      <c r="A521" t="inlineStr">
        <is>
          <t>SUP-0033</t>
        </is>
      </c>
      <c r="B521" t="inlineStr">
        <is>
          <t>Metals Supplier 033</t>
        </is>
      </c>
      <c r="C521" t="inlineStr">
        <is>
          <t>Metals</t>
        </is>
      </c>
      <c r="D521" t="n">
        <v>2024</v>
      </c>
      <c r="E521" t="n">
        <v>2021</v>
      </c>
      <c r="F521" t="n">
        <v>2030</v>
      </c>
      <c r="G521" t="n">
        <v>36124.2244</v>
      </c>
      <c r="H521" t="inlineStr"/>
      <c r="I521" t="n">
        <v>6049.4667</v>
      </c>
      <c r="J521" t="n">
        <v>25776.7657</v>
      </c>
      <c r="K521" t="n">
        <v>37962429.31</v>
      </c>
      <c r="L521" t="n">
        <v>112049870.81</v>
      </c>
      <c r="M521" t="n">
        <v>36124.2244</v>
      </c>
      <c r="N521" t="inlineStr">
        <is>
          <t>Supplier Reported Emissions</t>
        </is>
      </c>
      <c r="O521" t="b">
        <v>0</v>
      </c>
      <c r="P521" t="inlineStr">
        <is>
          <t>High</t>
        </is>
      </c>
      <c r="Q521" t="inlineStr">
        <is>
          <t>Scope_Emissions</t>
        </is>
      </c>
      <c r="R521" t="inlineStr">
        <is>
          <t>Valid</t>
        </is>
      </c>
      <c r="S521" t="n">
        <v>2032</v>
      </c>
      <c r="T521" t="inlineStr">
        <is>
          <t>Supplier Target Pathway</t>
        </is>
      </c>
      <c r="U521" t="n">
        <v>31208.1641</v>
      </c>
      <c r="V521" t="n">
        <v>21209.0683</v>
      </c>
      <c r="W521" t="n">
        <v>21209.0683</v>
      </c>
      <c r="X521" t="n">
        <v>21209.0683</v>
      </c>
      <c r="Y521" t="n">
        <v>9999.095799999999</v>
      </c>
      <c r="Z521" t="n">
        <v>0.00055869</v>
      </c>
      <c r="AA521" t="n">
        <v>0.3204</v>
      </c>
      <c r="AB521" t="n">
        <v>0</v>
      </c>
      <c r="AC521" t="n">
        <v>1111.0106</v>
      </c>
      <c r="AD521" t="n">
        <v>-59083.2963</v>
      </c>
      <c r="AE521" t="n">
        <v>186337.7061</v>
      </c>
      <c r="AF521" t="n">
        <v>0.99</v>
      </c>
      <c r="AG521" t="inlineStr">
        <is>
          <t>Low</t>
        </is>
      </c>
      <c r="AH521" t="inlineStr">
        <is>
          <t>On Track</t>
        </is>
      </c>
    </row>
    <row r="522">
      <c r="A522" t="inlineStr">
        <is>
          <t>SUP-0033</t>
        </is>
      </c>
      <c r="B522" t="inlineStr">
        <is>
          <t>Metals Supplier 033</t>
        </is>
      </c>
      <c r="C522" t="inlineStr">
        <is>
          <t>Metals</t>
        </is>
      </c>
      <c r="D522" t="n">
        <v>2024</v>
      </c>
      <c r="E522" t="n">
        <v>2021</v>
      </c>
      <c r="F522" t="n">
        <v>2030</v>
      </c>
      <c r="G522" t="n">
        <v>36124.2244</v>
      </c>
      <c r="H522" t="inlineStr"/>
      <c r="I522" t="n">
        <v>6049.4667</v>
      </c>
      <c r="J522" t="n">
        <v>25776.7657</v>
      </c>
      <c r="K522" t="n">
        <v>37962429.31</v>
      </c>
      <c r="L522" t="n">
        <v>112049870.81</v>
      </c>
      <c r="M522" t="n">
        <v>36124.2244</v>
      </c>
      <c r="N522" t="inlineStr">
        <is>
          <t>Supplier Reported Emissions</t>
        </is>
      </c>
      <c r="O522" t="b">
        <v>0</v>
      </c>
      <c r="P522" t="inlineStr">
        <is>
          <t>High</t>
        </is>
      </c>
      <c r="Q522" t="inlineStr">
        <is>
          <t>Scope_Emissions</t>
        </is>
      </c>
      <c r="R522" t="inlineStr">
        <is>
          <t>Valid</t>
        </is>
      </c>
      <c r="S522" t="n">
        <v>2033</v>
      </c>
      <c r="T522" t="inlineStr">
        <is>
          <t>Supplier Target Pathway</t>
        </is>
      </c>
      <c r="U522" t="n">
        <v>31208.1641</v>
      </c>
      <c r="V522" t="n">
        <v>21209.0683</v>
      </c>
      <c r="W522" t="n">
        <v>21209.0683</v>
      </c>
      <c r="X522" t="n">
        <v>21209.0683</v>
      </c>
      <c r="Y522" t="n">
        <v>9999.095799999999</v>
      </c>
      <c r="Z522" t="n">
        <v>0.00055869</v>
      </c>
      <c r="AA522" t="n">
        <v>0.3204</v>
      </c>
      <c r="AB522" t="n">
        <v>0</v>
      </c>
      <c r="AC522" t="n">
        <v>1111.0106</v>
      </c>
      <c r="AD522" t="n">
        <v>-80292.3646</v>
      </c>
      <c r="AE522" t="n">
        <v>207546.7744</v>
      </c>
      <c r="AF522" t="n">
        <v>0.99</v>
      </c>
      <c r="AG522" t="inlineStr">
        <is>
          <t>Low</t>
        </is>
      </c>
      <c r="AH522" t="inlineStr">
        <is>
          <t>On Track</t>
        </is>
      </c>
    </row>
    <row r="523">
      <c r="A523" t="inlineStr">
        <is>
          <t>SUP-0033</t>
        </is>
      </c>
      <c r="B523" t="inlineStr">
        <is>
          <t>Metals Supplier 033</t>
        </is>
      </c>
      <c r="C523" t="inlineStr">
        <is>
          <t>Metals</t>
        </is>
      </c>
      <c r="D523" t="n">
        <v>2024</v>
      </c>
      <c r="E523" t="n">
        <v>2021</v>
      </c>
      <c r="F523" t="n">
        <v>2030</v>
      </c>
      <c r="G523" t="n">
        <v>36124.2244</v>
      </c>
      <c r="H523" t="inlineStr"/>
      <c r="I523" t="n">
        <v>6049.4667</v>
      </c>
      <c r="J523" t="n">
        <v>25776.7657</v>
      </c>
      <c r="K523" t="n">
        <v>37962429.31</v>
      </c>
      <c r="L523" t="n">
        <v>112049870.81</v>
      </c>
      <c r="M523" t="n">
        <v>36124.2244</v>
      </c>
      <c r="N523" t="inlineStr">
        <is>
          <t>Supplier Reported Emissions</t>
        </is>
      </c>
      <c r="O523" t="b">
        <v>0</v>
      </c>
      <c r="P523" t="inlineStr">
        <is>
          <t>High</t>
        </is>
      </c>
      <c r="Q523" t="inlineStr">
        <is>
          <t>Scope_Emissions</t>
        </is>
      </c>
      <c r="R523" t="inlineStr">
        <is>
          <t>Valid</t>
        </is>
      </c>
      <c r="S523" t="n">
        <v>2034</v>
      </c>
      <c r="T523" t="inlineStr">
        <is>
          <t>Supplier Target Pathway</t>
        </is>
      </c>
      <c r="U523" t="n">
        <v>31208.1641</v>
      </c>
      <c r="V523" t="n">
        <v>21209.0683</v>
      </c>
      <c r="W523" t="n">
        <v>21209.0683</v>
      </c>
      <c r="X523" t="n">
        <v>21209.0683</v>
      </c>
      <c r="Y523" t="n">
        <v>9999.095799999999</v>
      </c>
      <c r="Z523" t="n">
        <v>0.00055869</v>
      </c>
      <c r="AA523" t="n">
        <v>0.3204</v>
      </c>
      <c r="AB523" t="n">
        <v>0</v>
      </c>
      <c r="AC523" t="n">
        <v>1111.0106</v>
      </c>
      <c r="AD523" t="n">
        <v>-101501.4329</v>
      </c>
      <c r="AE523" t="n">
        <v>228755.8427</v>
      </c>
      <c r="AF523" t="n">
        <v>0.99</v>
      </c>
      <c r="AG523" t="inlineStr">
        <is>
          <t>Low</t>
        </is>
      </c>
      <c r="AH523" t="inlineStr">
        <is>
          <t>On Track</t>
        </is>
      </c>
    </row>
    <row r="524">
      <c r="A524" t="inlineStr">
        <is>
          <t>SUP-0033</t>
        </is>
      </c>
      <c r="B524" t="inlineStr">
        <is>
          <t>Metals Supplier 033</t>
        </is>
      </c>
      <c r="C524" t="inlineStr">
        <is>
          <t>Metals</t>
        </is>
      </c>
      <c r="D524" t="n">
        <v>2024</v>
      </c>
      <c r="E524" t="n">
        <v>2021</v>
      </c>
      <c r="F524" t="n">
        <v>2030</v>
      </c>
      <c r="G524" t="n">
        <v>36124.2244</v>
      </c>
      <c r="H524" t="inlineStr"/>
      <c r="I524" t="n">
        <v>6049.4667</v>
      </c>
      <c r="J524" t="n">
        <v>25776.7657</v>
      </c>
      <c r="K524" t="n">
        <v>37962429.31</v>
      </c>
      <c r="L524" t="n">
        <v>112049870.81</v>
      </c>
      <c r="M524" t="n">
        <v>36124.2244</v>
      </c>
      <c r="N524" t="inlineStr">
        <is>
          <t>Supplier Reported Emissions</t>
        </is>
      </c>
      <c r="O524" t="b">
        <v>0</v>
      </c>
      <c r="P524" t="inlineStr">
        <is>
          <t>High</t>
        </is>
      </c>
      <c r="Q524" t="inlineStr">
        <is>
          <t>Scope_Emissions</t>
        </is>
      </c>
      <c r="R524" t="inlineStr">
        <is>
          <t>Valid</t>
        </is>
      </c>
      <c r="S524" t="n">
        <v>2035</v>
      </c>
      <c r="T524" t="inlineStr">
        <is>
          <t>Supplier Target Pathway</t>
        </is>
      </c>
      <c r="U524" t="n">
        <v>31208.1641</v>
      </c>
      <c r="V524" t="n">
        <v>21209.0683</v>
      </c>
      <c r="W524" t="n">
        <v>21209.0683</v>
      </c>
      <c r="X524" t="n">
        <v>21209.0683</v>
      </c>
      <c r="Y524" t="n">
        <v>9999.095799999999</v>
      </c>
      <c r="Z524" t="n">
        <v>0.00055869</v>
      </c>
      <c r="AA524" t="n">
        <v>0.3204</v>
      </c>
      <c r="AB524" t="n">
        <v>0</v>
      </c>
      <c r="AC524" t="n">
        <v>1111.0106</v>
      </c>
      <c r="AD524" t="n">
        <v>-122710.5012</v>
      </c>
      <c r="AE524" t="n">
        <v>249964.911</v>
      </c>
      <c r="AF524" t="n">
        <v>0.99</v>
      </c>
      <c r="AG524" t="inlineStr">
        <is>
          <t>Low</t>
        </is>
      </c>
      <c r="AH524" t="inlineStr">
        <is>
          <t>On Track</t>
        </is>
      </c>
    </row>
    <row r="525">
      <c r="A525" t="inlineStr">
        <is>
          <t>SUP-0033</t>
        </is>
      </c>
      <c r="B525" t="inlineStr">
        <is>
          <t>Metals Supplier 033</t>
        </is>
      </c>
      <c r="C525" t="inlineStr">
        <is>
          <t>Metals</t>
        </is>
      </c>
      <c r="D525" t="n">
        <v>2024</v>
      </c>
      <c r="E525" t="n">
        <v>2021</v>
      </c>
      <c r="F525" t="n">
        <v>2030</v>
      </c>
      <c r="G525" t="n">
        <v>36124.2244</v>
      </c>
      <c r="H525" t="inlineStr"/>
      <c r="I525" t="n">
        <v>6049.4667</v>
      </c>
      <c r="J525" t="n">
        <v>25776.7657</v>
      </c>
      <c r="K525" t="n">
        <v>37962429.31</v>
      </c>
      <c r="L525" t="n">
        <v>112049870.81</v>
      </c>
      <c r="M525" t="n">
        <v>36124.2244</v>
      </c>
      <c r="N525" t="inlineStr">
        <is>
          <t>Supplier Reported Emissions</t>
        </is>
      </c>
      <c r="O525" t="b">
        <v>0</v>
      </c>
      <c r="P525" t="inlineStr">
        <is>
          <t>High</t>
        </is>
      </c>
      <c r="Q525" t="inlineStr">
        <is>
          <t>Scope_Emissions</t>
        </is>
      </c>
      <c r="R525" t="inlineStr">
        <is>
          <t>Valid</t>
        </is>
      </c>
      <c r="S525" t="n">
        <v>2036</v>
      </c>
      <c r="T525" t="inlineStr">
        <is>
          <t>Supplier Target Pathway</t>
        </is>
      </c>
      <c r="U525" t="n">
        <v>31208.1641</v>
      </c>
      <c r="V525" t="n">
        <v>21209.0683</v>
      </c>
      <c r="W525" t="n">
        <v>21209.0683</v>
      </c>
      <c r="X525" t="n">
        <v>21209.0683</v>
      </c>
      <c r="Y525" t="n">
        <v>9999.095799999999</v>
      </c>
      <c r="Z525" t="n">
        <v>0.00055869</v>
      </c>
      <c r="AA525" t="n">
        <v>0.3204</v>
      </c>
      <c r="AB525" t="n">
        <v>0</v>
      </c>
      <c r="AC525" t="n">
        <v>1111.0106</v>
      </c>
      <c r="AD525" t="n">
        <v>-143919.5695</v>
      </c>
      <c r="AE525" t="n">
        <v>271173.9793</v>
      </c>
      <c r="AF525" t="n">
        <v>0.99</v>
      </c>
      <c r="AG525" t="inlineStr">
        <is>
          <t>Low</t>
        </is>
      </c>
      <c r="AH525" t="inlineStr">
        <is>
          <t>On Track</t>
        </is>
      </c>
    </row>
    <row r="526">
      <c r="A526" t="inlineStr">
        <is>
          <t>SUP-0033</t>
        </is>
      </c>
      <c r="B526" t="inlineStr">
        <is>
          <t>Metals Supplier 033</t>
        </is>
      </c>
      <c r="C526" t="inlineStr">
        <is>
          <t>Metals</t>
        </is>
      </c>
      <c r="D526" t="n">
        <v>2024</v>
      </c>
      <c r="E526" t="n">
        <v>2021</v>
      </c>
      <c r="F526" t="n">
        <v>2030</v>
      </c>
      <c r="G526" t="n">
        <v>36124.2244</v>
      </c>
      <c r="H526" t="inlineStr"/>
      <c r="I526" t="n">
        <v>6049.4667</v>
      </c>
      <c r="J526" t="n">
        <v>25776.7657</v>
      </c>
      <c r="K526" t="n">
        <v>37962429.31</v>
      </c>
      <c r="L526" t="n">
        <v>112049870.81</v>
      </c>
      <c r="M526" t="n">
        <v>36124.2244</v>
      </c>
      <c r="N526" t="inlineStr">
        <is>
          <t>Supplier Reported Emissions</t>
        </is>
      </c>
      <c r="O526" t="b">
        <v>0</v>
      </c>
      <c r="P526" t="inlineStr">
        <is>
          <t>High</t>
        </is>
      </c>
      <c r="Q526" t="inlineStr">
        <is>
          <t>Scope_Emissions</t>
        </is>
      </c>
      <c r="R526" t="inlineStr">
        <is>
          <t>Valid</t>
        </is>
      </c>
      <c r="S526" t="n">
        <v>2037</v>
      </c>
      <c r="T526" t="inlineStr">
        <is>
          <t>Supplier Target Pathway</t>
        </is>
      </c>
      <c r="U526" t="n">
        <v>31208.1641</v>
      </c>
      <c r="V526" t="n">
        <v>21209.0683</v>
      </c>
      <c r="W526" t="n">
        <v>21209.0683</v>
      </c>
      <c r="X526" t="n">
        <v>21209.0683</v>
      </c>
      <c r="Y526" t="n">
        <v>9999.095799999999</v>
      </c>
      <c r="Z526" t="n">
        <v>0.00055869</v>
      </c>
      <c r="AA526" t="n">
        <v>0.3204</v>
      </c>
      <c r="AB526" t="n">
        <v>0</v>
      </c>
      <c r="AC526" t="n">
        <v>1111.0106</v>
      </c>
      <c r="AD526" t="n">
        <v>-165128.6378</v>
      </c>
      <c r="AE526" t="n">
        <v>292383.0476</v>
      </c>
      <c r="AF526" t="n">
        <v>0.99</v>
      </c>
      <c r="AG526" t="inlineStr">
        <is>
          <t>Low</t>
        </is>
      </c>
      <c r="AH526" t="inlineStr">
        <is>
          <t>On Track</t>
        </is>
      </c>
    </row>
    <row r="527">
      <c r="A527" t="inlineStr">
        <is>
          <t>SUP-0033</t>
        </is>
      </c>
      <c r="B527" t="inlineStr">
        <is>
          <t>Metals Supplier 033</t>
        </is>
      </c>
      <c r="C527" t="inlineStr">
        <is>
          <t>Metals</t>
        </is>
      </c>
      <c r="D527" t="n">
        <v>2024</v>
      </c>
      <c r="E527" t="n">
        <v>2021</v>
      </c>
      <c r="F527" t="n">
        <v>2030</v>
      </c>
      <c r="G527" t="n">
        <v>36124.2244</v>
      </c>
      <c r="H527" t="inlineStr"/>
      <c r="I527" t="n">
        <v>6049.4667</v>
      </c>
      <c r="J527" t="n">
        <v>25776.7657</v>
      </c>
      <c r="K527" t="n">
        <v>37962429.31</v>
      </c>
      <c r="L527" t="n">
        <v>112049870.81</v>
      </c>
      <c r="M527" t="n">
        <v>36124.2244</v>
      </c>
      <c r="N527" t="inlineStr">
        <is>
          <t>Supplier Reported Emissions</t>
        </is>
      </c>
      <c r="O527" t="b">
        <v>0</v>
      </c>
      <c r="P527" t="inlineStr">
        <is>
          <t>High</t>
        </is>
      </c>
      <c r="Q527" t="inlineStr">
        <is>
          <t>Scope_Emissions</t>
        </is>
      </c>
      <c r="R527" t="inlineStr">
        <is>
          <t>Valid</t>
        </is>
      </c>
      <c r="S527" t="n">
        <v>2038</v>
      </c>
      <c r="T527" t="inlineStr">
        <is>
          <t>Supplier Target Pathway</t>
        </is>
      </c>
      <c r="U527" t="n">
        <v>31208.1641</v>
      </c>
      <c r="V527" t="n">
        <v>21209.0683</v>
      </c>
      <c r="W527" t="n">
        <v>21209.0683</v>
      </c>
      <c r="X527" t="n">
        <v>21209.0683</v>
      </c>
      <c r="Y527" t="n">
        <v>9999.095799999999</v>
      </c>
      <c r="Z527" t="n">
        <v>0.00055869</v>
      </c>
      <c r="AA527" t="n">
        <v>0.3204</v>
      </c>
      <c r="AB527" t="n">
        <v>0</v>
      </c>
      <c r="AC527" t="n">
        <v>1111.0106</v>
      </c>
      <c r="AD527" t="n">
        <v>-186337.7061</v>
      </c>
      <c r="AE527" t="n">
        <v>313592.1159</v>
      </c>
      <c r="AF527" t="n">
        <v>0.99</v>
      </c>
      <c r="AG527" t="inlineStr">
        <is>
          <t>Low</t>
        </is>
      </c>
      <c r="AH527" t="inlineStr">
        <is>
          <t>On Track</t>
        </is>
      </c>
    </row>
    <row r="528">
      <c r="A528" t="inlineStr">
        <is>
          <t>SUP-0033</t>
        </is>
      </c>
      <c r="B528" t="inlineStr">
        <is>
          <t>Metals Supplier 033</t>
        </is>
      </c>
      <c r="C528" t="inlineStr">
        <is>
          <t>Metals</t>
        </is>
      </c>
      <c r="D528" t="n">
        <v>2024</v>
      </c>
      <c r="E528" t="n">
        <v>2021</v>
      </c>
      <c r="F528" t="n">
        <v>2030</v>
      </c>
      <c r="G528" t="n">
        <v>36124.2244</v>
      </c>
      <c r="H528" t="inlineStr"/>
      <c r="I528" t="n">
        <v>6049.4667</v>
      </c>
      <c r="J528" t="n">
        <v>25776.7657</v>
      </c>
      <c r="K528" t="n">
        <v>37962429.31</v>
      </c>
      <c r="L528" t="n">
        <v>112049870.81</v>
      </c>
      <c r="M528" t="n">
        <v>36124.2244</v>
      </c>
      <c r="N528" t="inlineStr">
        <is>
          <t>Supplier Reported Emissions</t>
        </is>
      </c>
      <c r="O528" t="b">
        <v>0</v>
      </c>
      <c r="P528" t="inlineStr">
        <is>
          <t>High</t>
        </is>
      </c>
      <c r="Q528" t="inlineStr">
        <is>
          <t>Scope_Emissions</t>
        </is>
      </c>
      <c r="R528" t="inlineStr">
        <is>
          <t>Valid</t>
        </is>
      </c>
      <c r="S528" t="n">
        <v>2039</v>
      </c>
      <c r="T528" t="inlineStr">
        <is>
          <t>Supplier Target Pathway</t>
        </is>
      </c>
      <c r="U528" t="n">
        <v>31208.1641</v>
      </c>
      <c r="V528" t="n">
        <v>21209.0683</v>
      </c>
      <c r="W528" t="n">
        <v>21209.0683</v>
      </c>
      <c r="X528" t="n">
        <v>21209.0683</v>
      </c>
      <c r="Y528" t="n">
        <v>9999.095799999999</v>
      </c>
      <c r="Z528" t="n">
        <v>0.00055869</v>
      </c>
      <c r="AA528" t="n">
        <v>0.3204</v>
      </c>
      <c r="AB528" t="n">
        <v>0</v>
      </c>
      <c r="AC528" t="n">
        <v>1111.0106</v>
      </c>
      <c r="AD528" t="n">
        <v>-207546.7744</v>
      </c>
      <c r="AE528" t="n">
        <v>334801.1842</v>
      </c>
      <c r="AF528" t="n">
        <v>0.99</v>
      </c>
      <c r="AG528" t="inlineStr">
        <is>
          <t>Low</t>
        </is>
      </c>
      <c r="AH528" t="inlineStr">
        <is>
          <t>On Track</t>
        </is>
      </c>
    </row>
    <row r="529">
      <c r="A529" t="inlineStr">
        <is>
          <t>SUP-0033</t>
        </is>
      </c>
      <c r="B529" t="inlineStr">
        <is>
          <t>Metals Supplier 033</t>
        </is>
      </c>
      <c r="C529" t="inlineStr">
        <is>
          <t>Metals</t>
        </is>
      </c>
      <c r="D529" t="n">
        <v>2024</v>
      </c>
      <c r="E529" t="n">
        <v>2021</v>
      </c>
      <c r="F529" t="n">
        <v>2030</v>
      </c>
      <c r="G529" t="n">
        <v>36124.2244</v>
      </c>
      <c r="H529" t="inlineStr"/>
      <c r="I529" t="n">
        <v>6049.4667</v>
      </c>
      <c r="J529" t="n">
        <v>25776.7657</v>
      </c>
      <c r="K529" t="n">
        <v>37962429.31</v>
      </c>
      <c r="L529" t="n">
        <v>112049870.81</v>
      </c>
      <c r="M529" t="n">
        <v>36124.2244</v>
      </c>
      <c r="N529" t="inlineStr">
        <is>
          <t>Supplier Reported Emissions</t>
        </is>
      </c>
      <c r="O529" t="b">
        <v>0</v>
      </c>
      <c r="P529" t="inlineStr">
        <is>
          <t>High</t>
        </is>
      </c>
      <c r="Q529" t="inlineStr">
        <is>
          <t>Scope_Emissions</t>
        </is>
      </c>
      <c r="R529" t="inlineStr">
        <is>
          <t>Valid</t>
        </is>
      </c>
      <c r="S529" t="n">
        <v>2040</v>
      </c>
      <c r="T529" t="inlineStr">
        <is>
          <t>Supplier Target Pathway</t>
        </is>
      </c>
      <c r="U529" t="n">
        <v>31208.1641</v>
      </c>
      <c r="V529" t="n">
        <v>21209.0683</v>
      </c>
      <c r="W529" t="n">
        <v>21209.0683</v>
      </c>
      <c r="X529" t="n">
        <v>21209.0683</v>
      </c>
      <c r="Y529" t="n">
        <v>9999.095799999999</v>
      </c>
      <c r="Z529" t="n">
        <v>0.00055869</v>
      </c>
      <c r="AA529" t="n">
        <v>0.3204</v>
      </c>
      <c r="AB529" t="n">
        <v>0</v>
      </c>
      <c r="AC529" t="n">
        <v>1111.0106</v>
      </c>
      <c r="AD529" t="n">
        <v>-228755.8427</v>
      </c>
      <c r="AE529" t="n">
        <v>356010.2525</v>
      </c>
      <c r="AF529" t="n">
        <v>0.99</v>
      </c>
      <c r="AG529" t="inlineStr">
        <is>
          <t>Low</t>
        </is>
      </c>
      <c r="AH529" t="inlineStr">
        <is>
          <t>On Track</t>
        </is>
      </c>
    </row>
    <row r="530">
      <c r="A530" t="inlineStr">
        <is>
          <t>SUP-0034</t>
        </is>
      </c>
      <c r="B530" t="inlineStr">
        <is>
          <t>Logistics Supplier 034</t>
        </is>
      </c>
      <c r="C530" t="inlineStr">
        <is>
          <t>Logistics</t>
        </is>
      </c>
      <c r="D530" t="n">
        <v>2024</v>
      </c>
      <c r="E530" t="n">
        <v>2020</v>
      </c>
      <c r="F530" t="n">
        <v>2035</v>
      </c>
      <c r="G530" t="n">
        <v>2270.0275</v>
      </c>
      <c r="H530" t="n">
        <v>494.8927</v>
      </c>
      <c r="I530" t="n">
        <v>482.9003</v>
      </c>
      <c r="J530" t="n">
        <v>1239.3185</v>
      </c>
      <c r="K530" t="n">
        <v>7148885.07</v>
      </c>
      <c r="L530" t="n">
        <v>18559711.1</v>
      </c>
      <c r="M530" t="n">
        <v>2270.0275</v>
      </c>
      <c r="N530" t="inlineStr">
        <is>
          <t>Supplier Reported Emissions</t>
        </is>
      </c>
      <c r="O530" t="b">
        <v>0</v>
      </c>
      <c r="P530" t="inlineStr">
        <is>
          <t>High</t>
        </is>
      </c>
      <c r="Q530" t="inlineStr">
        <is>
          <t>None</t>
        </is>
      </c>
      <c r="R530" t="inlineStr">
        <is>
          <t>Valid</t>
        </is>
      </c>
      <c r="S530" t="n">
        <v>2025</v>
      </c>
      <c r="T530" t="inlineStr">
        <is>
          <t>Supplier Target Pathway</t>
        </is>
      </c>
      <c r="U530" t="n">
        <v>2616.4397</v>
      </c>
      <c r="V530" t="n">
        <v>1293.0445</v>
      </c>
      <c r="W530" t="n">
        <v>2175.308</v>
      </c>
      <c r="X530" t="n">
        <v>2175.308</v>
      </c>
      <c r="Y530" t="n">
        <v>441.1317</v>
      </c>
      <c r="Z530" t="n">
        <v>0.00030429</v>
      </c>
      <c r="AA530" t="n">
        <v>0.1686</v>
      </c>
      <c r="AB530" t="n">
        <v>882.2635</v>
      </c>
      <c r="AC530" t="n">
        <v>88.22629999999999</v>
      </c>
      <c r="AD530" t="n">
        <v>12048.1815</v>
      </c>
      <c r="AE530" t="n">
        <v>2175.308</v>
      </c>
      <c r="AF530" t="n">
        <v>0.99</v>
      </c>
      <c r="AG530" t="inlineStr">
        <is>
          <t>Critical</t>
        </is>
      </c>
      <c r="AH530" t="inlineStr">
        <is>
          <t>On Track to Glide Path</t>
        </is>
      </c>
    </row>
    <row r="531">
      <c r="A531" t="inlineStr">
        <is>
          <t>SUP-0034</t>
        </is>
      </c>
      <c r="B531" t="inlineStr">
        <is>
          <t>Logistics Supplier 034</t>
        </is>
      </c>
      <c r="C531" t="inlineStr">
        <is>
          <t>Logistics</t>
        </is>
      </c>
      <c r="D531" t="n">
        <v>2024</v>
      </c>
      <c r="E531" t="n">
        <v>2020</v>
      </c>
      <c r="F531" t="n">
        <v>2035</v>
      </c>
      <c r="G531" t="n">
        <v>2270.0275</v>
      </c>
      <c r="H531" t="n">
        <v>494.8927</v>
      </c>
      <c r="I531" t="n">
        <v>482.9003</v>
      </c>
      <c r="J531" t="n">
        <v>1239.3185</v>
      </c>
      <c r="K531" t="n">
        <v>7148885.07</v>
      </c>
      <c r="L531" t="n">
        <v>18559711.1</v>
      </c>
      <c r="M531" t="n">
        <v>2270.0275</v>
      </c>
      <c r="N531" t="inlineStr">
        <is>
          <t>Supplier Reported Emissions</t>
        </is>
      </c>
      <c r="O531" t="b">
        <v>0</v>
      </c>
      <c r="P531" t="inlineStr">
        <is>
          <t>High</t>
        </is>
      </c>
      <c r="Q531" t="inlineStr">
        <is>
          <t>None</t>
        </is>
      </c>
      <c r="R531" t="inlineStr">
        <is>
          <t>Valid</t>
        </is>
      </c>
      <c r="S531" t="n">
        <v>2026</v>
      </c>
      <c r="T531" t="inlineStr">
        <is>
          <t>Supplier Target Pathway</t>
        </is>
      </c>
      <c r="U531" t="n">
        <v>2616.4397</v>
      </c>
      <c r="V531" t="n">
        <v>1293.0445</v>
      </c>
      <c r="W531" t="n">
        <v>2087.0816</v>
      </c>
      <c r="X531" t="n">
        <v>2087.0816</v>
      </c>
      <c r="Y531" t="n">
        <v>529.3581</v>
      </c>
      <c r="Z531" t="n">
        <v>0.00029195</v>
      </c>
      <c r="AA531" t="n">
        <v>0.20232</v>
      </c>
      <c r="AB531" t="n">
        <v>794.0371</v>
      </c>
      <c r="AC531" t="n">
        <v>88.22629999999999</v>
      </c>
      <c r="AD531" t="n">
        <v>9961.099899999999</v>
      </c>
      <c r="AE531" t="n">
        <v>4262.3896</v>
      </c>
      <c r="AF531" t="n">
        <v>0.99</v>
      </c>
      <c r="AG531" t="inlineStr">
        <is>
          <t>Critical</t>
        </is>
      </c>
      <c r="AH531" t="inlineStr">
        <is>
          <t>On Track to Glide Path</t>
        </is>
      </c>
    </row>
    <row r="532">
      <c r="A532" t="inlineStr">
        <is>
          <t>SUP-0034</t>
        </is>
      </c>
      <c r="B532" t="inlineStr">
        <is>
          <t>Logistics Supplier 034</t>
        </is>
      </c>
      <c r="C532" t="inlineStr">
        <is>
          <t>Logistics</t>
        </is>
      </c>
      <c r="D532" t="n">
        <v>2024</v>
      </c>
      <c r="E532" t="n">
        <v>2020</v>
      </c>
      <c r="F532" t="n">
        <v>2035</v>
      </c>
      <c r="G532" t="n">
        <v>2270.0275</v>
      </c>
      <c r="H532" t="n">
        <v>494.8927</v>
      </c>
      <c r="I532" t="n">
        <v>482.9003</v>
      </c>
      <c r="J532" t="n">
        <v>1239.3185</v>
      </c>
      <c r="K532" t="n">
        <v>7148885.07</v>
      </c>
      <c r="L532" t="n">
        <v>18559711.1</v>
      </c>
      <c r="M532" t="n">
        <v>2270.0275</v>
      </c>
      <c r="N532" t="inlineStr">
        <is>
          <t>Supplier Reported Emissions</t>
        </is>
      </c>
      <c r="O532" t="b">
        <v>0</v>
      </c>
      <c r="P532" t="inlineStr">
        <is>
          <t>High</t>
        </is>
      </c>
      <c r="Q532" t="inlineStr">
        <is>
          <t>None</t>
        </is>
      </c>
      <c r="R532" t="inlineStr">
        <is>
          <t>Valid</t>
        </is>
      </c>
      <c r="S532" t="n">
        <v>2027</v>
      </c>
      <c r="T532" t="inlineStr">
        <is>
          <t>Supplier Target Pathway</t>
        </is>
      </c>
      <c r="U532" t="n">
        <v>2616.4397</v>
      </c>
      <c r="V532" t="n">
        <v>1293.0445</v>
      </c>
      <c r="W532" t="n">
        <v>1998.8553</v>
      </c>
      <c r="X532" t="n">
        <v>1998.8553</v>
      </c>
      <c r="Y532" t="n">
        <v>617.5844</v>
      </c>
      <c r="Z532" t="n">
        <v>0.0002796</v>
      </c>
      <c r="AA532" t="n">
        <v>0.23604</v>
      </c>
      <c r="AB532" t="n">
        <v>705.8108</v>
      </c>
      <c r="AC532" t="n">
        <v>88.22629999999999</v>
      </c>
      <c r="AD532" t="n">
        <v>7962.2446</v>
      </c>
      <c r="AE532" t="n">
        <v>6261.2449</v>
      </c>
      <c r="AF532" t="n">
        <v>0.99</v>
      </c>
      <c r="AG532" t="inlineStr">
        <is>
          <t>Critical</t>
        </is>
      </c>
      <c r="AH532" t="inlineStr">
        <is>
          <t>On Track to Glide Path</t>
        </is>
      </c>
    </row>
    <row r="533">
      <c r="A533" t="inlineStr">
        <is>
          <t>SUP-0034</t>
        </is>
      </c>
      <c r="B533" t="inlineStr">
        <is>
          <t>Logistics Supplier 034</t>
        </is>
      </c>
      <c r="C533" t="inlineStr">
        <is>
          <t>Logistics</t>
        </is>
      </c>
      <c r="D533" t="n">
        <v>2024</v>
      </c>
      <c r="E533" t="n">
        <v>2020</v>
      </c>
      <c r="F533" t="n">
        <v>2035</v>
      </c>
      <c r="G533" t="n">
        <v>2270.0275</v>
      </c>
      <c r="H533" t="n">
        <v>494.8927</v>
      </c>
      <c r="I533" t="n">
        <v>482.9003</v>
      </c>
      <c r="J533" t="n">
        <v>1239.3185</v>
      </c>
      <c r="K533" t="n">
        <v>7148885.07</v>
      </c>
      <c r="L533" t="n">
        <v>18559711.1</v>
      </c>
      <c r="M533" t="n">
        <v>2270.0275</v>
      </c>
      <c r="N533" t="inlineStr">
        <is>
          <t>Supplier Reported Emissions</t>
        </is>
      </c>
      <c r="O533" t="b">
        <v>0</v>
      </c>
      <c r="P533" t="inlineStr">
        <is>
          <t>High</t>
        </is>
      </c>
      <c r="Q533" t="inlineStr">
        <is>
          <t>None</t>
        </is>
      </c>
      <c r="R533" t="inlineStr">
        <is>
          <t>Valid</t>
        </is>
      </c>
      <c r="S533" t="n">
        <v>2028</v>
      </c>
      <c r="T533" t="inlineStr">
        <is>
          <t>Supplier Target Pathway</t>
        </is>
      </c>
      <c r="U533" t="n">
        <v>2616.4397</v>
      </c>
      <c r="V533" t="n">
        <v>1293.0445</v>
      </c>
      <c r="W533" t="n">
        <v>1910.6289</v>
      </c>
      <c r="X533" t="n">
        <v>1910.6289</v>
      </c>
      <c r="Y533" t="n">
        <v>705.8108</v>
      </c>
      <c r="Z533" t="n">
        <v>0.00026726</v>
      </c>
      <c r="AA533" t="n">
        <v>0.26976</v>
      </c>
      <c r="AB533" t="n">
        <v>617.5844</v>
      </c>
      <c r="AC533" t="n">
        <v>88.22629999999999</v>
      </c>
      <c r="AD533" t="n">
        <v>6051.6157</v>
      </c>
      <c r="AE533" t="n">
        <v>8171.8738</v>
      </c>
      <c r="AF533" t="n">
        <v>0.99</v>
      </c>
      <c r="AG533" t="inlineStr">
        <is>
          <t>Critical</t>
        </is>
      </c>
      <c r="AH533" t="inlineStr">
        <is>
          <t>On Track to Glide Path</t>
        </is>
      </c>
    </row>
    <row r="534">
      <c r="A534" t="inlineStr">
        <is>
          <t>SUP-0034</t>
        </is>
      </c>
      <c r="B534" t="inlineStr">
        <is>
          <t>Logistics Supplier 034</t>
        </is>
      </c>
      <c r="C534" t="inlineStr">
        <is>
          <t>Logistics</t>
        </is>
      </c>
      <c r="D534" t="n">
        <v>2024</v>
      </c>
      <c r="E534" t="n">
        <v>2020</v>
      </c>
      <c r="F534" t="n">
        <v>2035</v>
      </c>
      <c r="G534" t="n">
        <v>2270.0275</v>
      </c>
      <c r="H534" t="n">
        <v>494.8927</v>
      </c>
      <c r="I534" t="n">
        <v>482.9003</v>
      </c>
      <c r="J534" t="n">
        <v>1239.3185</v>
      </c>
      <c r="K534" t="n">
        <v>7148885.07</v>
      </c>
      <c r="L534" t="n">
        <v>18559711.1</v>
      </c>
      <c r="M534" t="n">
        <v>2270.0275</v>
      </c>
      <c r="N534" t="inlineStr">
        <is>
          <t>Supplier Reported Emissions</t>
        </is>
      </c>
      <c r="O534" t="b">
        <v>0</v>
      </c>
      <c r="P534" t="inlineStr">
        <is>
          <t>High</t>
        </is>
      </c>
      <c r="Q534" t="inlineStr">
        <is>
          <t>None</t>
        </is>
      </c>
      <c r="R534" t="inlineStr">
        <is>
          <t>Valid</t>
        </is>
      </c>
      <c r="S534" t="n">
        <v>2029</v>
      </c>
      <c r="T534" t="inlineStr">
        <is>
          <t>Supplier Target Pathway</t>
        </is>
      </c>
      <c r="U534" t="n">
        <v>2616.4397</v>
      </c>
      <c r="V534" t="n">
        <v>1293.0445</v>
      </c>
      <c r="W534" t="n">
        <v>1822.4026</v>
      </c>
      <c r="X534" t="n">
        <v>1822.4026</v>
      </c>
      <c r="Y534" t="n">
        <v>794.0371</v>
      </c>
      <c r="Z534" t="n">
        <v>0.00025492</v>
      </c>
      <c r="AA534" t="n">
        <v>0.30348</v>
      </c>
      <c r="AB534" t="n">
        <v>529.3581</v>
      </c>
      <c r="AC534" t="n">
        <v>88.22629999999999</v>
      </c>
      <c r="AD534" t="n">
        <v>4229.2131</v>
      </c>
      <c r="AE534" t="n">
        <v>9994.276400000001</v>
      </c>
      <c r="AF534" t="n">
        <v>0.99</v>
      </c>
      <c r="AG534" t="inlineStr">
        <is>
          <t>Critical</t>
        </is>
      </c>
      <c r="AH534" t="inlineStr">
        <is>
          <t>On Track to Glide Path</t>
        </is>
      </c>
    </row>
    <row r="535">
      <c r="A535" t="inlineStr">
        <is>
          <t>SUP-0034</t>
        </is>
      </c>
      <c r="B535" t="inlineStr">
        <is>
          <t>Logistics Supplier 034</t>
        </is>
      </c>
      <c r="C535" t="inlineStr">
        <is>
          <t>Logistics</t>
        </is>
      </c>
      <c r="D535" t="n">
        <v>2024</v>
      </c>
      <c r="E535" t="n">
        <v>2020</v>
      </c>
      <c r="F535" t="n">
        <v>2035</v>
      </c>
      <c r="G535" t="n">
        <v>2270.0275</v>
      </c>
      <c r="H535" t="n">
        <v>494.8927</v>
      </c>
      <c r="I535" t="n">
        <v>482.9003</v>
      </c>
      <c r="J535" t="n">
        <v>1239.3185</v>
      </c>
      <c r="K535" t="n">
        <v>7148885.07</v>
      </c>
      <c r="L535" t="n">
        <v>18559711.1</v>
      </c>
      <c r="M535" t="n">
        <v>2270.0275</v>
      </c>
      <c r="N535" t="inlineStr">
        <is>
          <t>Supplier Reported Emissions</t>
        </is>
      </c>
      <c r="O535" t="b">
        <v>0</v>
      </c>
      <c r="P535" t="inlineStr">
        <is>
          <t>High</t>
        </is>
      </c>
      <c r="Q535" t="inlineStr">
        <is>
          <t>None</t>
        </is>
      </c>
      <c r="R535" t="inlineStr">
        <is>
          <t>Valid</t>
        </is>
      </c>
      <c r="S535" t="n">
        <v>2030</v>
      </c>
      <c r="T535" t="inlineStr">
        <is>
          <t>Supplier Target Pathway</t>
        </is>
      </c>
      <c r="U535" t="n">
        <v>2616.4397</v>
      </c>
      <c r="V535" t="n">
        <v>1293.0445</v>
      </c>
      <c r="W535" t="n">
        <v>1734.1762</v>
      </c>
      <c r="X535" t="n">
        <v>1734.1762</v>
      </c>
      <c r="Y535" t="n">
        <v>882.2635</v>
      </c>
      <c r="Z535" t="n">
        <v>0.00024258</v>
      </c>
      <c r="AA535" t="n">
        <v>0.3372</v>
      </c>
      <c r="AB535" t="n">
        <v>441.1317</v>
      </c>
      <c r="AC535" t="n">
        <v>88.22629999999999</v>
      </c>
      <c r="AD535" t="n">
        <v>2495.0369</v>
      </c>
      <c r="AE535" t="n">
        <v>11728.4526</v>
      </c>
      <c r="AF535" t="n">
        <v>0.99</v>
      </c>
      <c r="AG535" t="inlineStr">
        <is>
          <t>High</t>
        </is>
      </c>
      <c r="AH535" t="inlineStr">
        <is>
          <t>On Track to Glide Path</t>
        </is>
      </c>
    </row>
    <row r="536">
      <c r="A536" t="inlineStr">
        <is>
          <t>SUP-0034</t>
        </is>
      </c>
      <c r="B536" t="inlineStr">
        <is>
          <t>Logistics Supplier 034</t>
        </is>
      </c>
      <c r="C536" t="inlineStr">
        <is>
          <t>Logistics</t>
        </is>
      </c>
      <c r="D536" t="n">
        <v>2024</v>
      </c>
      <c r="E536" t="n">
        <v>2020</v>
      </c>
      <c r="F536" t="n">
        <v>2035</v>
      </c>
      <c r="G536" t="n">
        <v>2270.0275</v>
      </c>
      <c r="H536" t="n">
        <v>494.8927</v>
      </c>
      <c r="I536" t="n">
        <v>482.9003</v>
      </c>
      <c r="J536" t="n">
        <v>1239.3185</v>
      </c>
      <c r="K536" t="n">
        <v>7148885.07</v>
      </c>
      <c r="L536" t="n">
        <v>18559711.1</v>
      </c>
      <c r="M536" t="n">
        <v>2270.0275</v>
      </c>
      <c r="N536" t="inlineStr">
        <is>
          <t>Supplier Reported Emissions</t>
        </is>
      </c>
      <c r="O536" t="b">
        <v>0</v>
      </c>
      <c r="P536" t="inlineStr">
        <is>
          <t>High</t>
        </is>
      </c>
      <c r="Q536" t="inlineStr">
        <is>
          <t>None</t>
        </is>
      </c>
      <c r="R536" t="inlineStr">
        <is>
          <t>Valid</t>
        </is>
      </c>
      <c r="S536" t="n">
        <v>2031</v>
      </c>
      <c r="T536" t="inlineStr">
        <is>
          <t>Supplier Target Pathway</t>
        </is>
      </c>
      <c r="U536" t="n">
        <v>2616.4397</v>
      </c>
      <c r="V536" t="n">
        <v>1293.0445</v>
      </c>
      <c r="W536" t="n">
        <v>1645.9499</v>
      </c>
      <c r="X536" t="n">
        <v>1645.9499</v>
      </c>
      <c r="Y536" t="n">
        <v>970.4897999999999</v>
      </c>
      <c r="Z536" t="n">
        <v>0.00023024</v>
      </c>
      <c r="AA536" t="n">
        <v>0.37092</v>
      </c>
      <c r="AB536" t="n">
        <v>352.9054</v>
      </c>
      <c r="AC536" t="n">
        <v>88.22629999999999</v>
      </c>
      <c r="AD536" t="n">
        <v>849.087</v>
      </c>
      <c r="AE536" t="n">
        <v>13374.4025</v>
      </c>
      <c r="AF536" t="n">
        <v>0.99</v>
      </c>
      <c r="AG536" t="inlineStr">
        <is>
          <t>High</t>
        </is>
      </c>
      <c r="AH536" t="inlineStr">
        <is>
          <t>On Track to Glide Path</t>
        </is>
      </c>
    </row>
    <row r="537">
      <c r="A537" t="inlineStr">
        <is>
          <t>SUP-0034</t>
        </is>
      </c>
      <c r="B537" t="inlineStr">
        <is>
          <t>Logistics Supplier 034</t>
        </is>
      </c>
      <c r="C537" t="inlineStr">
        <is>
          <t>Logistics</t>
        </is>
      </c>
      <c r="D537" t="n">
        <v>2024</v>
      </c>
      <c r="E537" t="n">
        <v>2020</v>
      </c>
      <c r="F537" t="n">
        <v>2035</v>
      </c>
      <c r="G537" t="n">
        <v>2270.0275</v>
      </c>
      <c r="H537" t="n">
        <v>494.8927</v>
      </c>
      <c r="I537" t="n">
        <v>482.9003</v>
      </c>
      <c r="J537" t="n">
        <v>1239.3185</v>
      </c>
      <c r="K537" t="n">
        <v>7148885.07</v>
      </c>
      <c r="L537" t="n">
        <v>18559711.1</v>
      </c>
      <c r="M537" t="n">
        <v>2270.0275</v>
      </c>
      <c r="N537" t="inlineStr">
        <is>
          <t>Supplier Reported Emissions</t>
        </is>
      </c>
      <c r="O537" t="b">
        <v>0</v>
      </c>
      <c r="P537" t="inlineStr">
        <is>
          <t>High</t>
        </is>
      </c>
      <c r="Q537" t="inlineStr">
        <is>
          <t>None</t>
        </is>
      </c>
      <c r="R537" t="inlineStr">
        <is>
          <t>Valid</t>
        </is>
      </c>
      <c r="S537" t="n">
        <v>2032</v>
      </c>
      <c r="T537" t="inlineStr">
        <is>
          <t>Supplier Target Pathway</t>
        </is>
      </c>
      <c r="U537" t="n">
        <v>2616.4397</v>
      </c>
      <c r="V537" t="n">
        <v>1293.0445</v>
      </c>
      <c r="W537" t="n">
        <v>1557.7235</v>
      </c>
      <c r="X537" t="n">
        <v>1557.7235</v>
      </c>
      <c r="Y537" t="n">
        <v>1058.7162</v>
      </c>
      <c r="Z537" t="n">
        <v>0.0002179</v>
      </c>
      <c r="AA537" t="n">
        <v>0.40464</v>
      </c>
      <c r="AB537" t="n">
        <v>264.679</v>
      </c>
      <c r="AC537" t="n">
        <v>88.22629999999999</v>
      </c>
      <c r="AD537" t="n">
        <v>-708.6365</v>
      </c>
      <c r="AE537" t="n">
        <v>14932.126</v>
      </c>
      <c r="AF537" t="n">
        <v>0.99</v>
      </c>
      <c r="AG537" t="inlineStr">
        <is>
          <t>High</t>
        </is>
      </c>
      <c r="AH537" t="inlineStr">
        <is>
          <t>On Track to Glide Path</t>
        </is>
      </c>
    </row>
    <row r="538">
      <c r="A538" t="inlineStr">
        <is>
          <t>SUP-0034</t>
        </is>
      </c>
      <c r="B538" t="inlineStr">
        <is>
          <t>Logistics Supplier 034</t>
        </is>
      </c>
      <c r="C538" t="inlineStr">
        <is>
          <t>Logistics</t>
        </is>
      </c>
      <c r="D538" t="n">
        <v>2024</v>
      </c>
      <c r="E538" t="n">
        <v>2020</v>
      </c>
      <c r="F538" t="n">
        <v>2035</v>
      </c>
      <c r="G538" t="n">
        <v>2270.0275</v>
      </c>
      <c r="H538" t="n">
        <v>494.8927</v>
      </c>
      <c r="I538" t="n">
        <v>482.9003</v>
      </c>
      <c r="J538" t="n">
        <v>1239.3185</v>
      </c>
      <c r="K538" t="n">
        <v>7148885.07</v>
      </c>
      <c r="L538" t="n">
        <v>18559711.1</v>
      </c>
      <c r="M538" t="n">
        <v>2270.0275</v>
      </c>
      <c r="N538" t="inlineStr">
        <is>
          <t>Supplier Reported Emissions</t>
        </is>
      </c>
      <c r="O538" t="b">
        <v>0</v>
      </c>
      <c r="P538" t="inlineStr">
        <is>
          <t>High</t>
        </is>
      </c>
      <c r="Q538" t="inlineStr">
        <is>
          <t>None</t>
        </is>
      </c>
      <c r="R538" t="inlineStr">
        <is>
          <t>Valid</t>
        </is>
      </c>
      <c r="S538" t="n">
        <v>2033</v>
      </c>
      <c r="T538" t="inlineStr">
        <is>
          <t>Supplier Target Pathway</t>
        </is>
      </c>
      <c r="U538" t="n">
        <v>2616.4397</v>
      </c>
      <c r="V538" t="n">
        <v>1293.0445</v>
      </c>
      <c r="W538" t="n">
        <v>1469.4972</v>
      </c>
      <c r="X538" t="n">
        <v>1469.4972</v>
      </c>
      <c r="Y538" t="n">
        <v>1146.9425</v>
      </c>
      <c r="Z538" t="n">
        <v>0.00020556</v>
      </c>
      <c r="AA538" t="n">
        <v>0.43836</v>
      </c>
      <c r="AB538" t="n">
        <v>176.4527</v>
      </c>
      <c r="AC538" t="n">
        <v>88.22629999999999</v>
      </c>
      <c r="AD538" t="n">
        <v>-2178.1337</v>
      </c>
      <c r="AE538" t="n">
        <v>16401.6232</v>
      </c>
      <c r="AF538" t="n">
        <v>0.99</v>
      </c>
      <c r="AG538" t="inlineStr">
        <is>
          <t>Medium</t>
        </is>
      </c>
      <c r="AH538" t="inlineStr">
        <is>
          <t>On Track to Glide Path</t>
        </is>
      </c>
    </row>
    <row r="539">
      <c r="A539" t="inlineStr">
        <is>
          <t>SUP-0034</t>
        </is>
      </c>
      <c r="B539" t="inlineStr">
        <is>
          <t>Logistics Supplier 034</t>
        </is>
      </c>
      <c r="C539" t="inlineStr">
        <is>
          <t>Logistics</t>
        </is>
      </c>
      <c r="D539" t="n">
        <v>2024</v>
      </c>
      <c r="E539" t="n">
        <v>2020</v>
      </c>
      <c r="F539" t="n">
        <v>2035</v>
      </c>
      <c r="G539" t="n">
        <v>2270.0275</v>
      </c>
      <c r="H539" t="n">
        <v>494.8927</v>
      </c>
      <c r="I539" t="n">
        <v>482.9003</v>
      </c>
      <c r="J539" t="n">
        <v>1239.3185</v>
      </c>
      <c r="K539" t="n">
        <v>7148885.07</v>
      </c>
      <c r="L539" t="n">
        <v>18559711.1</v>
      </c>
      <c r="M539" t="n">
        <v>2270.0275</v>
      </c>
      <c r="N539" t="inlineStr">
        <is>
          <t>Supplier Reported Emissions</t>
        </is>
      </c>
      <c r="O539" t="b">
        <v>0</v>
      </c>
      <c r="P539" t="inlineStr">
        <is>
          <t>High</t>
        </is>
      </c>
      <c r="Q539" t="inlineStr">
        <is>
          <t>None</t>
        </is>
      </c>
      <c r="R539" t="inlineStr">
        <is>
          <t>Valid</t>
        </is>
      </c>
      <c r="S539" t="n">
        <v>2034</v>
      </c>
      <c r="T539" t="inlineStr">
        <is>
          <t>Supplier Target Pathway</t>
        </is>
      </c>
      <c r="U539" t="n">
        <v>2616.4397</v>
      </c>
      <c r="V539" t="n">
        <v>1293.0445</v>
      </c>
      <c r="W539" t="n">
        <v>1381.2708</v>
      </c>
      <c r="X539" t="n">
        <v>1381.2708</v>
      </c>
      <c r="Y539" t="n">
        <v>1235.1689</v>
      </c>
      <c r="Z539" t="n">
        <v>0.00019321</v>
      </c>
      <c r="AA539" t="n">
        <v>0.47208</v>
      </c>
      <c r="AB539" t="n">
        <v>88.22629999999999</v>
      </c>
      <c r="AC539" t="n">
        <v>88.22629999999999</v>
      </c>
      <c r="AD539" t="n">
        <v>-3559.4045</v>
      </c>
      <c r="AE539" t="n">
        <v>17782.894</v>
      </c>
      <c r="AF539" t="n">
        <v>0.99</v>
      </c>
      <c r="AG539" t="inlineStr">
        <is>
          <t>Medium</t>
        </is>
      </c>
      <c r="AH539" t="inlineStr">
        <is>
          <t>On Track to Glide Path</t>
        </is>
      </c>
    </row>
    <row r="540">
      <c r="A540" t="inlineStr">
        <is>
          <t>SUP-0034</t>
        </is>
      </c>
      <c r="B540" t="inlineStr">
        <is>
          <t>Logistics Supplier 034</t>
        </is>
      </c>
      <c r="C540" t="inlineStr">
        <is>
          <t>Logistics</t>
        </is>
      </c>
      <c r="D540" t="n">
        <v>2024</v>
      </c>
      <c r="E540" t="n">
        <v>2020</v>
      </c>
      <c r="F540" t="n">
        <v>2035</v>
      </c>
      <c r="G540" t="n">
        <v>2270.0275</v>
      </c>
      <c r="H540" t="n">
        <v>494.8927</v>
      </c>
      <c r="I540" t="n">
        <v>482.9003</v>
      </c>
      <c r="J540" t="n">
        <v>1239.3185</v>
      </c>
      <c r="K540" t="n">
        <v>7148885.07</v>
      </c>
      <c r="L540" t="n">
        <v>18559711.1</v>
      </c>
      <c r="M540" t="n">
        <v>2270.0275</v>
      </c>
      <c r="N540" t="inlineStr">
        <is>
          <t>Supplier Reported Emissions</t>
        </is>
      </c>
      <c r="O540" t="b">
        <v>0</v>
      </c>
      <c r="P540" t="inlineStr">
        <is>
          <t>High</t>
        </is>
      </c>
      <c r="Q540" t="inlineStr">
        <is>
          <t>None</t>
        </is>
      </c>
      <c r="R540" t="inlineStr">
        <is>
          <t>Valid</t>
        </is>
      </c>
      <c r="S540" t="n">
        <v>2035</v>
      </c>
      <c r="T540" t="inlineStr">
        <is>
          <t>Supplier Target Pathway</t>
        </is>
      </c>
      <c r="U540" t="n">
        <v>2616.4397</v>
      </c>
      <c r="V540" t="n">
        <v>1293.0445</v>
      </c>
      <c r="W540" t="n">
        <v>1293.0445</v>
      </c>
      <c r="X540" t="n">
        <v>1293.0445</v>
      </c>
      <c r="Y540" t="n">
        <v>1323.3952</v>
      </c>
      <c r="Z540" t="n">
        <v>0.00018087</v>
      </c>
      <c r="AA540" t="n">
        <v>0.5058</v>
      </c>
      <c r="AB540" t="n">
        <v>0</v>
      </c>
      <c r="AC540" t="n">
        <v>88.22629999999999</v>
      </c>
      <c r="AD540" t="n">
        <v>-4852.449</v>
      </c>
      <c r="AE540" t="n">
        <v>19075.9385</v>
      </c>
      <c r="AF540" t="n">
        <v>0.99</v>
      </c>
      <c r="AG540" t="inlineStr">
        <is>
          <t>Low</t>
        </is>
      </c>
      <c r="AH540" t="inlineStr">
        <is>
          <t>On Track</t>
        </is>
      </c>
    </row>
    <row r="541">
      <c r="A541" t="inlineStr">
        <is>
          <t>SUP-0034</t>
        </is>
      </c>
      <c r="B541" t="inlineStr">
        <is>
          <t>Logistics Supplier 034</t>
        </is>
      </c>
      <c r="C541" t="inlineStr">
        <is>
          <t>Logistics</t>
        </is>
      </c>
      <c r="D541" t="n">
        <v>2024</v>
      </c>
      <c r="E541" t="n">
        <v>2020</v>
      </c>
      <c r="F541" t="n">
        <v>2035</v>
      </c>
      <c r="G541" t="n">
        <v>2270.0275</v>
      </c>
      <c r="H541" t="n">
        <v>494.8927</v>
      </c>
      <c r="I541" t="n">
        <v>482.9003</v>
      </c>
      <c r="J541" t="n">
        <v>1239.3185</v>
      </c>
      <c r="K541" t="n">
        <v>7148885.07</v>
      </c>
      <c r="L541" t="n">
        <v>18559711.1</v>
      </c>
      <c r="M541" t="n">
        <v>2270.0275</v>
      </c>
      <c r="N541" t="inlineStr">
        <is>
          <t>Supplier Reported Emissions</t>
        </is>
      </c>
      <c r="O541" t="b">
        <v>0</v>
      </c>
      <c r="P541" t="inlineStr">
        <is>
          <t>High</t>
        </is>
      </c>
      <c r="Q541" t="inlineStr">
        <is>
          <t>None</t>
        </is>
      </c>
      <c r="R541" t="inlineStr">
        <is>
          <t>Valid</t>
        </is>
      </c>
      <c r="S541" t="n">
        <v>2036</v>
      </c>
      <c r="T541" t="inlineStr">
        <is>
          <t>Supplier Target Pathway</t>
        </is>
      </c>
      <c r="U541" t="n">
        <v>2616.4397</v>
      </c>
      <c r="V541" t="n">
        <v>1293.0445</v>
      </c>
      <c r="W541" t="n">
        <v>1293.0445</v>
      </c>
      <c r="X541" t="n">
        <v>1293.0445</v>
      </c>
      <c r="Y541" t="n">
        <v>1323.3952</v>
      </c>
      <c r="Z541" t="n">
        <v>0.00018087</v>
      </c>
      <c r="AA541" t="n">
        <v>0.5058</v>
      </c>
      <c r="AB541" t="n">
        <v>0</v>
      </c>
      <c r="AC541" t="n">
        <v>88.22629999999999</v>
      </c>
      <c r="AD541" t="n">
        <v>-6145.4935</v>
      </c>
      <c r="AE541" t="n">
        <v>20368.983</v>
      </c>
      <c r="AF541" t="n">
        <v>0.99</v>
      </c>
      <c r="AG541" t="inlineStr">
        <is>
          <t>Low</t>
        </is>
      </c>
      <c r="AH541" t="inlineStr">
        <is>
          <t>On Track</t>
        </is>
      </c>
    </row>
    <row r="542">
      <c r="A542" t="inlineStr">
        <is>
          <t>SUP-0034</t>
        </is>
      </c>
      <c r="B542" t="inlineStr">
        <is>
          <t>Logistics Supplier 034</t>
        </is>
      </c>
      <c r="C542" t="inlineStr">
        <is>
          <t>Logistics</t>
        </is>
      </c>
      <c r="D542" t="n">
        <v>2024</v>
      </c>
      <c r="E542" t="n">
        <v>2020</v>
      </c>
      <c r="F542" t="n">
        <v>2035</v>
      </c>
      <c r="G542" t="n">
        <v>2270.0275</v>
      </c>
      <c r="H542" t="n">
        <v>494.8927</v>
      </c>
      <c r="I542" t="n">
        <v>482.9003</v>
      </c>
      <c r="J542" t="n">
        <v>1239.3185</v>
      </c>
      <c r="K542" t="n">
        <v>7148885.07</v>
      </c>
      <c r="L542" t="n">
        <v>18559711.1</v>
      </c>
      <c r="M542" t="n">
        <v>2270.0275</v>
      </c>
      <c r="N542" t="inlineStr">
        <is>
          <t>Supplier Reported Emissions</t>
        </is>
      </c>
      <c r="O542" t="b">
        <v>0</v>
      </c>
      <c r="P542" t="inlineStr">
        <is>
          <t>High</t>
        </is>
      </c>
      <c r="Q542" t="inlineStr">
        <is>
          <t>None</t>
        </is>
      </c>
      <c r="R542" t="inlineStr">
        <is>
          <t>Valid</t>
        </is>
      </c>
      <c r="S542" t="n">
        <v>2037</v>
      </c>
      <c r="T542" t="inlineStr">
        <is>
          <t>Supplier Target Pathway</t>
        </is>
      </c>
      <c r="U542" t="n">
        <v>2616.4397</v>
      </c>
      <c r="V542" t="n">
        <v>1293.0445</v>
      </c>
      <c r="W542" t="n">
        <v>1293.0445</v>
      </c>
      <c r="X542" t="n">
        <v>1293.0445</v>
      </c>
      <c r="Y542" t="n">
        <v>1323.3952</v>
      </c>
      <c r="Z542" t="n">
        <v>0.00018087</v>
      </c>
      <c r="AA542" t="n">
        <v>0.5058</v>
      </c>
      <c r="AB542" t="n">
        <v>0</v>
      </c>
      <c r="AC542" t="n">
        <v>88.22629999999999</v>
      </c>
      <c r="AD542" t="n">
        <v>-7438.538</v>
      </c>
      <c r="AE542" t="n">
        <v>21662.0275</v>
      </c>
      <c r="AF542" t="n">
        <v>0.99</v>
      </c>
      <c r="AG542" t="inlineStr">
        <is>
          <t>Low</t>
        </is>
      </c>
      <c r="AH542" t="inlineStr">
        <is>
          <t>On Track</t>
        </is>
      </c>
    </row>
    <row r="543">
      <c r="A543" t="inlineStr">
        <is>
          <t>SUP-0034</t>
        </is>
      </c>
      <c r="B543" t="inlineStr">
        <is>
          <t>Logistics Supplier 034</t>
        </is>
      </c>
      <c r="C543" t="inlineStr">
        <is>
          <t>Logistics</t>
        </is>
      </c>
      <c r="D543" t="n">
        <v>2024</v>
      </c>
      <c r="E543" t="n">
        <v>2020</v>
      </c>
      <c r="F543" t="n">
        <v>2035</v>
      </c>
      <c r="G543" t="n">
        <v>2270.0275</v>
      </c>
      <c r="H543" t="n">
        <v>494.8927</v>
      </c>
      <c r="I543" t="n">
        <v>482.9003</v>
      </c>
      <c r="J543" t="n">
        <v>1239.3185</v>
      </c>
      <c r="K543" t="n">
        <v>7148885.07</v>
      </c>
      <c r="L543" t="n">
        <v>18559711.1</v>
      </c>
      <c r="M543" t="n">
        <v>2270.0275</v>
      </c>
      <c r="N543" t="inlineStr">
        <is>
          <t>Supplier Reported Emissions</t>
        </is>
      </c>
      <c r="O543" t="b">
        <v>0</v>
      </c>
      <c r="P543" t="inlineStr">
        <is>
          <t>High</t>
        </is>
      </c>
      <c r="Q543" t="inlineStr">
        <is>
          <t>None</t>
        </is>
      </c>
      <c r="R543" t="inlineStr">
        <is>
          <t>Valid</t>
        </is>
      </c>
      <c r="S543" t="n">
        <v>2038</v>
      </c>
      <c r="T543" t="inlineStr">
        <is>
          <t>Supplier Target Pathway</t>
        </is>
      </c>
      <c r="U543" t="n">
        <v>2616.4397</v>
      </c>
      <c r="V543" t="n">
        <v>1293.0445</v>
      </c>
      <c r="W543" t="n">
        <v>1293.0445</v>
      </c>
      <c r="X543" t="n">
        <v>1293.0445</v>
      </c>
      <c r="Y543" t="n">
        <v>1323.3952</v>
      </c>
      <c r="Z543" t="n">
        <v>0.00018087</v>
      </c>
      <c r="AA543" t="n">
        <v>0.5058</v>
      </c>
      <c r="AB543" t="n">
        <v>0</v>
      </c>
      <c r="AC543" t="n">
        <v>88.22629999999999</v>
      </c>
      <c r="AD543" t="n">
        <v>-8731.5825</v>
      </c>
      <c r="AE543" t="n">
        <v>22955.072</v>
      </c>
      <c r="AF543" t="n">
        <v>0.99</v>
      </c>
      <c r="AG543" t="inlineStr">
        <is>
          <t>Low</t>
        </is>
      </c>
      <c r="AH543" t="inlineStr">
        <is>
          <t>On Track</t>
        </is>
      </c>
    </row>
    <row r="544">
      <c r="A544" t="inlineStr">
        <is>
          <t>SUP-0034</t>
        </is>
      </c>
      <c r="B544" t="inlineStr">
        <is>
          <t>Logistics Supplier 034</t>
        </is>
      </c>
      <c r="C544" t="inlineStr">
        <is>
          <t>Logistics</t>
        </is>
      </c>
      <c r="D544" t="n">
        <v>2024</v>
      </c>
      <c r="E544" t="n">
        <v>2020</v>
      </c>
      <c r="F544" t="n">
        <v>2035</v>
      </c>
      <c r="G544" t="n">
        <v>2270.0275</v>
      </c>
      <c r="H544" t="n">
        <v>494.8927</v>
      </c>
      <c r="I544" t="n">
        <v>482.9003</v>
      </c>
      <c r="J544" t="n">
        <v>1239.3185</v>
      </c>
      <c r="K544" t="n">
        <v>7148885.07</v>
      </c>
      <c r="L544" t="n">
        <v>18559711.1</v>
      </c>
      <c r="M544" t="n">
        <v>2270.0275</v>
      </c>
      <c r="N544" t="inlineStr">
        <is>
          <t>Supplier Reported Emissions</t>
        </is>
      </c>
      <c r="O544" t="b">
        <v>0</v>
      </c>
      <c r="P544" t="inlineStr">
        <is>
          <t>High</t>
        </is>
      </c>
      <c r="Q544" t="inlineStr">
        <is>
          <t>None</t>
        </is>
      </c>
      <c r="R544" t="inlineStr">
        <is>
          <t>Valid</t>
        </is>
      </c>
      <c r="S544" t="n">
        <v>2039</v>
      </c>
      <c r="T544" t="inlineStr">
        <is>
          <t>Supplier Target Pathway</t>
        </is>
      </c>
      <c r="U544" t="n">
        <v>2616.4397</v>
      </c>
      <c r="V544" t="n">
        <v>1293.0445</v>
      </c>
      <c r="W544" t="n">
        <v>1293.0445</v>
      </c>
      <c r="X544" t="n">
        <v>1293.0445</v>
      </c>
      <c r="Y544" t="n">
        <v>1323.3952</v>
      </c>
      <c r="Z544" t="n">
        <v>0.00018087</v>
      </c>
      <c r="AA544" t="n">
        <v>0.5058</v>
      </c>
      <c r="AB544" t="n">
        <v>0</v>
      </c>
      <c r="AC544" t="n">
        <v>88.22629999999999</v>
      </c>
      <c r="AD544" t="n">
        <v>-10024.627</v>
      </c>
      <c r="AE544" t="n">
        <v>24248.1165</v>
      </c>
      <c r="AF544" t="n">
        <v>0.99</v>
      </c>
      <c r="AG544" t="inlineStr">
        <is>
          <t>Low</t>
        </is>
      </c>
      <c r="AH544" t="inlineStr">
        <is>
          <t>On Track</t>
        </is>
      </c>
    </row>
    <row r="545">
      <c r="A545" t="inlineStr">
        <is>
          <t>SUP-0034</t>
        </is>
      </c>
      <c r="B545" t="inlineStr">
        <is>
          <t>Logistics Supplier 034</t>
        </is>
      </c>
      <c r="C545" t="inlineStr">
        <is>
          <t>Logistics</t>
        </is>
      </c>
      <c r="D545" t="n">
        <v>2024</v>
      </c>
      <c r="E545" t="n">
        <v>2020</v>
      </c>
      <c r="F545" t="n">
        <v>2035</v>
      </c>
      <c r="G545" t="n">
        <v>2270.0275</v>
      </c>
      <c r="H545" t="n">
        <v>494.8927</v>
      </c>
      <c r="I545" t="n">
        <v>482.9003</v>
      </c>
      <c r="J545" t="n">
        <v>1239.3185</v>
      </c>
      <c r="K545" t="n">
        <v>7148885.07</v>
      </c>
      <c r="L545" t="n">
        <v>18559711.1</v>
      </c>
      <c r="M545" t="n">
        <v>2270.0275</v>
      </c>
      <c r="N545" t="inlineStr">
        <is>
          <t>Supplier Reported Emissions</t>
        </is>
      </c>
      <c r="O545" t="b">
        <v>0</v>
      </c>
      <c r="P545" t="inlineStr">
        <is>
          <t>High</t>
        </is>
      </c>
      <c r="Q545" t="inlineStr">
        <is>
          <t>None</t>
        </is>
      </c>
      <c r="R545" t="inlineStr">
        <is>
          <t>Valid</t>
        </is>
      </c>
      <c r="S545" t="n">
        <v>2040</v>
      </c>
      <c r="T545" t="inlineStr">
        <is>
          <t>Supplier Target Pathway</t>
        </is>
      </c>
      <c r="U545" t="n">
        <v>2616.4397</v>
      </c>
      <c r="V545" t="n">
        <v>1293.0445</v>
      </c>
      <c r="W545" t="n">
        <v>1293.0445</v>
      </c>
      <c r="X545" t="n">
        <v>1293.0445</v>
      </c>
      <c r="Y545" t="n">
        <v>1323.3952</v>
      </c>
      <c r="Z545" t="n">
        <v>0.00018087</v>
      </c>
      <c r="AA545" t="n">
        <v>0.5058</v>
      </c>
      <c r="AB545" t="n">
        <v>0</v>
      </c>
      <c r="AC545" t="n">
        <v>88.22629999999999</v>
      </c>
      <c r="AD545" t="n">
        <v>-11317.6715</v>
      </c>
      <c r="AE545" t="n">
        <v>25541.161</v>
      </c>
      <c r="AF545" t="n">
        <v>0.99</v>
      </c>
      <c r="AG545" t="inlineStr">
        <is>
          <t>Low</t>
        </is>
      </c>
      <c r="AH545" t="inlineStr">
        <is>
          <t>On Track</t>
        </is>
      </c>
    </row>
    <row r="546">
      <c r="A546" t="inlineStr">
        <is>
          <t>SUP-0035</t>
        </is>
      </c>
      <c r="B546" t="inlineStr">
        <is>
          <t>Electronics Supplier 035</t>
        </is>
      </c>
      <c r="C546" t="inlineStr">
        <is>
          <t>Electronics</t>
        </is>
      </c>
      <c r="D546" t="n">
        <v>2024</v>
      </c>
      <c r="E546" t="n">
        <v>2015</v>
      </c>
      <c r="F546" t="n">
        <v>2040</v>
      </c>
      <c r="G546" t="n">
        <v>6953.4706</v>
      </c>
      <c r="H546" t="n">
        <v>1693.7246</v>
      </c>
      <c r="I546" t="n">
        <v>682.607</v>
      </c>
      <c r="J546" t="n">
        <v>4916.7978</v>
      </c>
      <c r="K546" t="n">
        <v>9349838.890000001</v>
      </c>
      <c r="L546" t="n">
        <v>19154531.46</v>
      </c>
      <c r="M546" t="n">
        <v>6953.4706</v>
      </c>
      <c r="N546" t="inlineStr">
        <is>
          <t>Supplier Reported Emissions</t>
        </is>
      </c>
      <c r="O546" t="b">
        <v>0</v>
      </c>
      <c r="P546" t="inlineStr">
        <is>
          <t>High</t>
        </is>
      </c>
      <c r="Q546" t="inlineStr">
        <is>
          <t>None</t>
        </is>
      </c>
      <c r="R546" t="inlineStr">
        <is>
          <t>Valid</t>
        </is>
      </c>
      <c r="S546" t="n">
        <v>2025</v>
      </c>
      <c r="T546" t="inlineStr">
        <is>
          <t>Industry Haircut Pathway</t>
        </is>
      </c>
      <c r="U546" t="n">
        <v>15198.8368</v>
      </c>
      <c r="V546" t="n">
        <v>9994.7551</v>
      </c>
      <c r="W546" t="n">
        <v>13117.2041</v>
      </c>
      <c r="X546" t="n">
        <v>13117.2041</v>
      </c>
      <c r="Y546" t="n">
        <v>2081.6327</v>
      </c>
      <c r="Z546" t="n">
        <v>0.00140293</v>
      </c>
      <c r="AA546" t="n">
        <v>0.13696</v>
      </c>
      <c r="AB546" t="n">
        <v>3122.449</v>
      </c>
      <c r="AC546" t="n">
        <v>208.1633</v>
      </c>
      <c r="AD546" t="n">
        <v>146798.8775</v>
      </c>
      <c r="AE546" t="n">
        <v>13117.2041</v>
      </c>
      <c r="AF546" t="n">
        <v>0.918</v>
      </c>
      <c r="AG546" t="inlineStr">
        <is>
          <t>High</t>
        </is>
      </c>
      <c r="AH546" t="inlineStr">
        <is>
          <t>On Track to Glide Path</t>
        </is>
      </c>
    </row>
    <row r="547">
      <c r="A547" t="inlineStr">
        <is>
          <t>SUP-0035</t>
        </is>
      </c>
      <c r="B547" t="inlineStr">
        <is>
          <t>Electronics Supplier 035</t>
        </is>
      </c>
      <c r="C547" t="inlineStr">
        <is>
          <t>Electronics</t>
        </is>
      </c>
      <c r="D547" t="n">
        <v>2024</v>
      </c>
      <c r="E547" t="n">
        <v>2015</v>
      </c>
      <c r="F547" t="n">
        <v>2040</v>
      </c>
      <c r="G547" t="n">
        <v>6953.4706</v>
      </c>
      <c r="H547" t="n">
        <v>1693.7246</v>
      </c>
      <c r="I547" t="n">
        <v>682.607</v>
      </c>
      <c r="J547" t="n">
        <v>4916.7978</v>
      </c>
      <c r="K547" t="n">
        <v>9349838.890000001</v>
      </c>
      <c r="L547" t="n">
        <v>19154531.46</v>
      </c>
      <c r="M547" t="n">
        <v>6953.4706</v>
      </c>
      <c r="N547" t="inlineStr">
        <is>
          <t>Supplier Reported Emissions</t>
        </is>
      </c>
      <c r="O547" t="b">
        <v>0</v>
      </c>
      <c r="P547" t="inlineStr">
        <is>
          <t>High</t>
        </is>
      </c>
      <c r="Q547" t="inlineStr">
        <is>
          <t>None</t>
        </is>
      </c>
      <c r="R547" t="inlineStr">
        <is>
          <t>Valid</t>
        </is>
      </c>
      <c r="S547" t="n">
        <v>2026</v>
      </c>
      <c r="T547" t="inlineStr">
        <is>
          <t>Industry Haircut Pathway</t>
        </is>
      </c>
      <c r="U547" t="n">
        <v>15198.8368</v>
      </c>
      <c r="V547" t="n">
        <v>9994.7551</v>
      </c>
      <c r="W547" t="n">
        <v>12909.0408</v>
      </c>
      <c r="X547" t="n">
        <v>12909.0408</v>
      </c>
      <c r="Y547" t="n">
        <v>2289.796</v>
      </c>
      <c r="Z547" t="n">
        <v>0.00138067</v>
      </c>
      <c r="AA547" t="n">
        <v>0.150656</v>
      </c>
      <c r="AB547" t="n">
        <v>2914.2858</v>
      </c>
      <c r="AC547" t="n">
        <v>208.1633</v>
      </c>
      <c r="AD547" t="n">
        <v>133889.8367</v>
      </c>
      <c r="AE547" t="n">
        <v>26026.2449</v>
      </c>
      <c r="AF547" t="n">
        <v>0.918</v>
      </c>
      <c r="AG547" t="inlineStr">
        <is>
          <t>High</t>
        </is>
      </c>
      <c r="AH547" t="inlineStr">
        <is>
          <t>On Track to Glide Path</t>
        </is>
      </c>
    </row>
    <row r="548">
      <c r="A548" t="inlineStr">
        <is>
          <t>SUP-0035</t>
        </is>
      </c>
      <c r="B548" t="inlineStr">
        <is>
          <t>Electronics Supplier 035</t>
        </is>
      </c>
      <c r="C548" t="inlineStr">
        <is>
          <t>Electronics</t>
        </is>
      </c>
      <c r="D548" t="n">
        <v>2024</v>
      </c>
      <c r="E548" t="n">
        <v>2015</v>
      </c>
      <c r="F548" t="n">
        <v>2040</v>
      </c>
      <c r="G548" t="n">
        <v>6953.4706</v>
      </c>
      <c r="H548" t="n">
        <v>1693.7246</v>
      </c>
      <c r="I548" t="n">
        <v>682.607</v>
      </c>
      <c r="J548" t="n">
        <v>4916.7978</v>
      </c>
      <c r="K548" t="n">
        <v>9349838.890000001</v>
      </c>
      <c r="L548" t="n">
        <v>19154531.46</v>
      </c>
      <c r="M548" t="n">
        <v>6953.4706</v>
      </c>
      <c r="N548" t="inlineStr">
        <is>
          <t>Supplier Reported Emissions</t>
        </is>
      </c>
      <c r="O548" t="b">
        <v>0</v>
      </c>
      <c r="P548" t="inlineStr">
        <is>
          <t>High</t>
        </is>
      </c>
      <c r="Q548" t="inlineStr">
        <is>
          <t>None</t>
        </is>
      </c>
      <c r="R548" t="inlineStr">
        <is>
          <t>Valid</t>
        </is>
      </c>
      <c r="S548" t="n">
        <v>2027</v>
      </c>
      <c r="T548" t="inlineStr">
        <is>
          <t>Industry Haircut Pathway</t>
        </is>
      </c>
      <c r="U548" t="n">
        <v>15198.8368</v>
      </c>
      <c r="V548" t="n">
        <v>9994.7551</v>
      </c>
      <c r="W548" t="n">
        <v>12700.8776</v>
      </c>
      <c r="X548" t="n">
        <v>12700.8776</v>
      </c>
      <c r="Y548" t="n">
        <v>2497.9592</v>
      </c>
      <c r="Z548" t="n">
        <v>0.00135841</v>
      </c>
      <c r="AA548" t="n">
        <v>0.164352</v>
      </c>
      <c r="AB548" t="n">
        <v>2706.1225</v>
      </c>
      <c r="AC548" t="n">
        <v>208.1633</v>
      </c>
      <c r="AD548" t="n">
        <v>121188.9591</v>
      </c>
      <c r="AE548" t="n">
        <v>38727.1225</v>
      </c>
      <c r="AF548" t="n">
        <v>0.918</v>
      </c>
      <c r="AG548" t="inlineStr">
        <is>
          <t>High</t>
        </is>
      </c>
      <c r="AH548" t="inlineStr">
        <is>
          <t>On Track to Glide Path</t>
        </is>
      </c>
    </row>
    <row r="549">
      <c r="A549" t="inlineStr">
        <is>
          <t>SUP-0035</t>
        </is>
      </c>
      <c r="B549" t="inlineStr">
        <is>
          <t>Electronics Supplier 035</t>
        </is>
      </c>
      <c r="C549" t="inlineStr">
        <is>
          <t>Electronics</t>
        </is>
      </c>
      <c r="D549" t="n">
        <v>2024</v>
      </c>
      <c r="E549" t="n">
        <v>2015</v>
      </c>
      <c r="F549" t="n">
        <v>2040</v>
      </c>
      <c r="G549" t="n">
        <v>6953.4706</v>
      </c>
      <c r="H549" t="n">
        <v>1693.7246</v>
      </c>
      <c r="I549" t="n">
        <v>682.607</v>
      </c>
      <c r="J549" t="n">
        <v>4916.7978</v>
      </c>
      <c r="K549" t="n">
        <v>9349838.890000001</v>
      </c>
      <c r="L549" t="n">
        <v>19154531.46</v>
      </c>
      <c r="M549" t="n">
        <v>6953.4706</v>
      </c>
      <c r="N549" t="inlineStr">
        <is>
          <t>Supplier Reported Emissions</t>
        </is>
      </c>
      <c r="O549" t="b">
        <v>0</v>
      </c>
      <c r="P549" t="inlineStr">
        <is>
          <t>High</t>
        </is>
      </c>
      <c r="Q549" t="inlineStr">
        <is>
          <t>None</t>
        </is>
      </c>
      <c r="R549" t="inlineStr">
        <is>
          <t>Valid</t>
        </is>
      </c>
      <c r="S549" t="n">
        <v>2028</v>
      </c>
      <c r="T549" t="inlineStr">
        <is>
          <t>Industry Haircut Pathway</t>
        </is>
      </c>
      <c r="U549" t="n">
        <v>15198.8368</v>
      </c>
      <c r="V549" t="n">
        <v>9994.7551</v>
      </c>
      <c r="W549" t="n">
        <v>12492.7143</v>
      </c>
      <c r="X549" t="n">
        <v>12492.7143</v>
      </c>
      <c r="Y549" t="n">
        <v>2706.1225</v>
      </c>
      <c r="Z549" t="n">
        <v>0.00133614</v>
      </c>
      <c r="AA549" t="n">
        <v>0.178048</v>
      </c>
      <c r="AB549" t="n">
        <v>2497.9592</v>
      </c>
      <c r="AC549" t="n">
        <v>208.1633</v>
      </c>
      <c r="AD549" t="n">
        <v>108696.2448</v>
      </c>
      <c r="AE549" t="n">
        <v>51219.8368</v>
      </c>
      <c r="AF549" t="n">
        <v>0.918</v>
      </c>
      <c r="AG549" t="inlineStr">
        <is>
          <t>High</t>
        </is>
      </c>
      <c r="AH549" t="inlineStr">
        <is>
          <t>On Track to Glide Path</t>
        </is>
      </c>
    </row>
    <row r="550">
      <c r="A550" t="inlineStr">
        <is>
          <t>SUP-0035</t>
        </is>
      </c>
      <c r="B550" t="inlineStr">
        <is>
          <t>Electronics Supplier 035</t>
        </is>
      </c>
      <c r="C550" t="inlineStr">
        <is>
          <t>Electronics</t>
        </is>
      </c>
      <c r="D550" t="n">
        <v>2024</v>
      </c>
      <c r="E550" t="n">
        <v>2015</v>
      </c>
      <c r="F550" t="n">
        <v>2040</v>
      </c>
      <c r="G550" t="n">
        <v>6953.4706</v>
      </c>
      <c r="H550" t="n">
        <v>1693.7246</v>
      </c>
      <c r="I550" t="n">
        <v>682.607</v>
      </c>
      <c r="J550" t="n">
        <v>4916.7978</v>
      </c>
      <c r="K550" t="n">
        <v>9349838.890000001</v>
      </c>
      <c r="L550" t="n">
        <v>19154531.46</v>
      </c>
      <c r="M550" t="n">
        <v>6953.4706</v>
      </c>
      <c r="N550" t="inlineStr">
        <is>
          <t>Supplier Reported Emissions</t>
        </is>
      </c>
      <c r="O550" t="b">
        <v>0</v>
      </c>
      <c r="P550" t="inlineStr">
        <is>
          <t>High</t>
        </is>
      </c>
      <c r="Q550" t="inlineStr">
        <is>
          <t>None</t>
        </is>
      </c>
      <c r="R550" t="inlineStr">
        <is>
          <t>Valid</t>
        </is>
      </c>
      <c r="S550" t="n">
        <v>2029</v>
      </c>
      <c r="T550" t="inlineStr">
        <is>
          <t>Industry Haircut Pathway</t>
        </is>
      </c>
      <c r="U550" t="n">
        <v>15198.8368</v>
      </c>
      <c r="V550" t="n">
        <v>9994.7551</v>
      </c>
      <c r="W550" t="n">
        <v>12284.551</v>
      </c>
      <c r="X550" t="n">
        <v>12284.551</v>
      </c>
      <c r="Y550" t="n">
        <v>2914.2858</v>
      </c>
      <c r="Z550" t="n">
        <v>0.00131388</v>
      </c>
      <c r="AA550" t="n">
        <v>0.191744</v>
      </c>
      <c r="AB550" t="n">
        <v>2289.796</v>
      </c>
      <c r="AC550" t="n">
        <v>208.1633</v>
      </c>
      <c r="AD550" t="n">
        <v>96411.69379999999</v>
      </c>
      <c r="AE550" t="n">
        <v>63504.3878</v>
      </c>
      <c r="AF550" t="n">
        <v>0.918</v>
      </c>
      <c r="AG550" t="inlineStr">
        <is>
          <t>High</t>
        </is>
      </c>
      <c r="AH550" t="inlineStr">
        <is>
          <t>On Track to Glide Path</t>
        </is>
      </c>
    </row>
    <row r="551">
      <c r="A551" t="inlineStr">
        <is>
          <t>SUP-0035</t>
        </is>
      </c>
      <c r="B551" t="inlineStr">
        <is>
          <t>Electronics Supplier 035</t>
        </is>
      </c>
      <c r="C551" t="inlineStr">
        <is>
          <t>Electronics</t>
        </is>
      </c>
      <c r="D551" t="n">
        <v>2024</v>
      </c>
      <c r="E551" t="n">
        <v>2015</v>
      </c>
      <c r="F551" t="n">
        <v>2040</v>
      </c>
      <c r="G551" t="n">
        <v>6953.4706</v>
      </c>
      <c r="H551" t="n">
        <v>1693.7246</v>
      </c>
      <c r="I551" t="n">
        <v>682.607</v>
      </c>
      <c r="J551" t="n">
        <v>4916.7978</v>
      </c>
      <c r="K551" t="n">
        <v>9349838.890000001</v>
      </c>
      <c r="L551" t="n">
        <v>19154531.46</v>
      </c>
      <c r="M551" t="n">
        <v>6953.4706</v>
      </c>
      <c r="N551" t="inlineStr">
        <is>
          <t>Supplier Reported Emissions</t>
        </is>
      </c>
      <c r="O551" t="b">
        <v>0</v>
      </c>
      <c r="P551" t="inlineStr">
        <is>
          <t>High</t>
        </is>
      </c>
      <c r="Q551" t="inlineStr">
        <is>
          <t>None</t>
        </is>
      </c>
      <c r="R551" t="inlineStr">
        <is>
          <t>Valid</t>
        </is>
      </c>
      <c r="S551" t="n">
        <v>2030</v>
      </c>
      <c r="T551" t="inlineStr">
        <is>
          <t>Industry Haircut Pathway</t>
        </is>
      </c>
      <c r="U551" t="n">
        <v>15198.8368</v>
      </c>
      <c r="V551" t="n">
        <v>9994.7551</v>
      </c>
      <c r="W551" t="n">
        <v>12076.3878</v>
      </c>
      <c r="X551" t="n">
        <v>12076.3878</v>
      </c>
      <c r="Y551" t="n">
        <v>3122.449</v>
      </c>
      <c r="Z551" t="n">
        <v>0.00129161</v>
      </c>
      <c r="AA551" t="n">
        <v>0.20544</v>
      </c>
      <c r="AB551" t="n">
        <v>2081.6327</v>
      </c>
      <c r="AC551" t="n">
        <v>208.1633</v>
      </c>
      <c r="AD551" t="n">
        <v>84335.306</v>
      </c>
      <c r="AE551" t="n">
        <v>75580.77559999999</v>
      </c>
      <c r="AF551" t="n">
        <v>0.918</v>
      </c>
      <c r="AG551" t="inlineStr">
        <is>
          <t>High</t>
        </is>
      </c>
      <c r="AH551" t="inlineStr">
        <is>
          <t>On Track to Glide Path</t>
        </is>
      </c>
    </row>
    <row r="552">
      <c r="A552" t="inlineStr">
        <is>
          <t>SUP-0035</t>
        </is>
      </c>
      <c r="B552" t="inlineStr">
        <is>
          <t>Electronics Supplier 035</t>
        </is>
      </c>
      <c r="C552" t="inlineStr">
        <is>
          <t>Electronics</t>
        </is>
      </c>
      <c r="D552" t="n">
        <v>2024</v>
      </c>
      <c r="E552" t="n">
        <v>2015</v>
      </c>
      <c r="F552" t="n">
        <v>2040</v>
      </c>
      <c r="G552" t="n">
        <v>6953.4706</v>
      </c>
      <c r="H552" t="n">
        <v>1693.7246</v>
      </c>
      <c r="I552" t="n">
        <v>682.607</v>
      </c>
      <c r="J552" t="n">
        <v>4916.7978</v>
      </c>
      <c r="K552" t="n">
        <v>9349838.890000001</v>
      </c>
      <c r="L552" t="n">
        <v>19154531.46</v>
      </c>
      <c r="M552" t="n">
        <v>6953.4706</v>
      </c>
      <c r="N552" t="inlineStr">
        <is>
          <t>Supplier Reported Emissions</t>
        </is>
      </c>
      <c r="O552" t="b">
        <v>0</v>
      </c>
      <c r="P552" t="inlineStr">
        <is>
          <t>High</t>
        </is>
      </c>
      <c r="Q552" t="inlineStr">
        <is>
          <t>None</t>
        </is>
      </c>
      <c r="R552" t="inlineStr">
        <is>
          <t>Valid</t>
        </is>
      </c>
      <c r="S552" t="n">
        <v>2031</v>
      </c>
      <c r="T552" t="inlineStr">
        <is>
          <t>Industry Haircut Pathway</t>
        </is>
      </c>
      <c r="U552" t="n">
        <v>15198.8368</v>
      </c>
      <c r="V552" t="n">
        <v>9994.7551</v>
      </c>
      <c r="W552" t="n">
        <v>11868.2245</v>
      </c>
      <c r="X552" t="n">
        <v>11868.2245</v>
      </c>
      <c r="Y552" t="n">
        <v>3330.6123</v>
      </c>
      <c r="Z552" t="n">
        <v>0.00126935</v>
      </c>
      <c r="AA552" t="n">
        <v>0.219136</v>
      </c>
      <c r="AB552" t="n">
        <v>1873.4694</v>
      </c>
      <c r="AC552" t="n">
        <v>208.1633</v>
      </c>
      <c r="AD552" t="n">
        <v>72467.0815</v>
      </c>
      <c r="AE552" t="n">
        <v>87449.0001</v>
      </c>
      <c r="AF552" t="n">
        <v>0.918</v>
      </c>
      <c r="AG552" t="inlineStr">
        <is>
          <t>High</t>
        </is>
      </c>
      <c r="AH552" t="inlineStr">
        <is>
          <t>On Track to Glide Path</t>
        </is>
      </c>
    </row>
    <row r="553">
      <c r="A553" t="inlineStr">
        <is>
          <t>SUP-0035</t>
        </is>
      </c>
      <c r="B553" t="inlineStr">
        <is>
          <t>Electronics Supplier 035</t>
        </is>
      </c>
      <c r="C553" t="inlineStr">
        <is>
          <t>Electronics</t>
        </is>
      </c>
      <c r="D553" t="n">
        <v>2024</v>
      </c>
      <c r="E553" t="n">
        <v>2015</v>
      </c>
      <c r="F553" t="n">
        <v>2040</v>
      </c>
      <c r="G553" t="n">
        <v>6953.4706</v>
      </c>
      <c r="H553" t="n">
        <v>1693.7246</v>
      </c>
      <c r="I553" t="n">
        <v>682.607</v>
      </c>
      <c r="J553" t="n">
        <v>4916.7978</v>
      </c>
      <c r="K553" t="n">
        <v>9349838.890000001</v>
      </c>
      <c r="L553" t="n">
        <v>19154531.46</v>
      </c>
      <c r="M553" t="n">
        <v>6953.4706</v>
      </c>
      <c r="N553" t="inlineStr">
        <is>
          <t>Supplier Reported Emissions</t>
        </is>
      </c>
      <c r="O553" t="b">
        <v>0</v>
      </c>
      <c r="P553" t="inlineStr">
        <is>
          <t>High</t>
        </is>
      </c>
      <c r="Q553" t="inlineStr">
        <is>
          <t>None</t>
        </is>
      </c>
      <c r="R553" t="inlineStr">
        <is>
          <t>Valid</t>
        </is>
      </c>
      <c r="S553" t="n">
        <v>2032</v>
      </c>
      <c r="T553" t="inlineStr">
        <is>
          <t>Industry Haircut Pathway</t>
        </is>
      </c>
      <c r="U553" t="n">
        <v>15198.8368</v>
      </c>
      <c r="V553" t="n">
        <v>9994.7551</v>
      </c>
      <c r="W553" t="n">
        <v>11660.0612</v>
      </c>
      <c r="X553" t="n">
        <v>11660.0612</v>
      </c>
      <c r="Y553" t="n">
        <v>3538.7756</v>
      </c>
      <c r="Z553" t="n">
        <v>0.00124709</v>
      </c>
      <c r="AA553" t="n">
        <v>0.232832</v>
      </c>
      <c r="AB553" t="n">
        <v>1665.3062</v>
      </c>
      <c r="AC553" t="n">
        <v>208.1633</v>
      </c>
      <c r="AD553" t="n">
        <v>60807.0203</v>
      </c>
      <c r="AE553" t="n">
        <v>99109.0613</v>
      </c>
      <c r="AF553" t="n">
        <v>0.918</v>
      </c>
      <c r="AG553" t="inlineStr">
        <is>
          <t>High</t>
        </is>
      </c>
      <c r="AH553" t="inlineStr">
        <is>
          <t>On Track to Glide Path</t>
        </is>
      </c>
    </row>
    <row r="554">
      <c r="A554" t="inlineStr">
        <is>
          <t>SUP-0035</t>
        </is>
      </c>
      <c r="B554" t="inlineStr">
        <is>
          <t>Electronics Supplier 035</t>
        </is>
      </c>
      <c r="C554" t="inlineStr">
        <is>
          <t>Electronics</t>
        </is>
      </c>
      <c r="D554" t="n">
        <v>2024</v>
      </c>
      <c r="E554" t="n">
        <v>2015</v>
      </c>
      <c r="F554" t="n">
        <v>2040</v>
      </c>
      <c r="G554" t="n">
        <v>6953.4706</v>
      </c>
      <c r="H554" t="n">
        <v>1693.7246</v>
      </c>
      <c r="I554" t="n">
        <v>682.607</v>
      </c>
      <c r="J554" t="n">
        <v>4916.7978</v>
      </c>
      <c r="K554" t="n">
        <v>9349838.890000001</v>
      </c>
      <c r="L554" t="n">
        <v>19154531.46</v>
      </c>
      <c r="M554" t="n">
        <v>6953.4706</v>
      </c>
      <c r="N554" t="inlineStr">
        <is>
          <t>Supplier Reported Emissions</t>
        </is>
      </c>
      <c r="O554" t="b">
        <v>0</v>
      </c>
      <c r="P554" t="inlineStr">
        <is>
          <t>High</t>
        </is>
      </c>
      <c r="Q554" t="inlineStr">
        <is>
          <t>None</t>
        </is>
      </c>
      <c r="R554" t="inlineStr">
        <is>
          <t>Valid</t>
        </is>
      </c>
      <c r="S554" t="n">
        <v>2033</v>
      </c>
      <c r="T554" t="inlineStr">
        <is>
          <t>Industry Haircut Pathway</t>
        </is>
      </c>
      <c r="U554" t="n">
        <v>15198.8368</v>
      </c>
      <c r="V554" t="n">
        <v>9994.7551</v>
      </c>
      <c r="W554" t="n">
        <v>11451.898</v>
      </c>
      <c r="X554" t="n">
        <v>11451.898</v>
      </c>
      <c r="Y554" t="n">
        <v>3746.9388</v>
      </c>
      <c r="Z554" t="n">
        <v>0.00122482</v>
      </c>
      <c r="AA554" t="n">
        <v>0.246528</v>
      </c>
      <c r="AB554" t="n">
        <v>1457.1429</v>
      </c>
      <c r="AC554" t="n">
        <v>208.1633</v>
      </c>
      <c r="AD554" t="n">
        <v>49355.1223</v>
      </c>
      <c r="AE554" t="n">
        <v>110560.9593</v>
      </c>
      <c r="AF554" t="n">
        <v>0.918</v>
      </c>
      <c r="AG554" t="inlineStr">
        <is>
          <t>Medium</t>
        </is>
      </c>
      <c r="AH554" t="inlineStr">
        <is>
          <t>On Track to Glide Path</t>
        </is>
      </c>
    </row>
    <row r="555">
      <c r="A555" t="inlineStr">
        <is>
          <t>SUP-0035</t>
        </is>
      </c>
      <c r="B555" t="inlineStr">
        <is>
          <t>Electronics Supplier 035</t>
        </is>
      </c>
      <c r="C555" t="inlineStr">
        <is>
          <t>Electronics</t>
        </is>
      </c>
      <c r="D555" t="n">
        <v>2024</v>
      </c>
      <c r="E555" t="n">
        <v>2015</v>
      </c>
      <c r="F555" t="n">
        <v>2040</v>
      </c>
      <c r="G555" t="n">
        <v>6953.4706</v>
      </c>
      <c r="H555" t="n">
        <v>1693.7246</v>
      </c>
      <c r="I555" t="n">
        <v>682.607</v>
      </c>
      <c r="J555" t="n">
        <v>4916.7978</v>
      </c>
      <c r="K555" t="n">
        <v>9349838.890000001</v>
      </c>
      <c r="L555" t="n">
        <v>19154531.46</v>
      </c>
      <c r="M555" t="n">
        <v>6953.4706</v>
      </c>
      <c r="N555" t="inlineStr">
        <is>
          <t>Supplier Reported Emissions</t>
        </is>
      </c>
      <c r="O555" t="b">
        <v>0</v>
      </c>
      <c r="P555" t="inlineStr">
        <is>
          <t>High</t>
        </is>
      </c>
      <c r="Q555" t="inlineStr">
        <is>
          <t>None</t>
        </is>
      </c>
      <c r="R555" t="inlineStr">
        <is>
          <t>Valid</t>
        </is>
      </c>
      <c r="S555" t="n">
        <v>2034</v>
      </c>
      <c r="T555" t="inlineStr">
        <is>
          <t>Industry Haircut Pathway</t>
        </is>
      </c>
      <c r="U555" t="n">
        <v>15198.8368</v>
      </c>
      <c r="V555" t="n">
        <v>9994.7551</v>
      </c>
      <c r="W555" t="n">
        <v>11243.7347</v>
      </c>
      <c r="X555" t="n">
        <v>11243.7347</v>
      </c>
      <c r="Y555" t="n">
        <v>3955.1021</v>
      </c>
      <c r="Z555" t="n">
        <v>0.00120256</v>
      </c>
      <c r="AA555" t="n">
        <v>0.260224</v>
      </c>
      <c r="AB555" t="n">
        <v>1248.9796</v>
      </c>
      <c r="AC555" t="n">
        <v>208.1633</v>
      </c>
      <c r="AD555" t="n">
        <v>38111.3876</v>
      </c>
      <c r="AE555" t="n">
        <v>121804.694</v>
      </c>
      <c r="AF555" t="n">
        <v>0.918</v>
      </c>
      <c r="AG555" t="inlineStr">
        <is>
          <t>Medium</t>
        </is>
      </c>
      <c r="AH555" t="inlineStr">
        <is>
          <t>On Track to Glide Path</t>
        </is>
      </c>
    </row>
    <row r="556">
      <c r="A556" t="inlineStr">
        <is>
          <t>SUP-0035</t>
        </is>
      </c>
      <c r="B556" t="inlineStr">
        <is>
          <t>Electronics Supplier 035</t>
        </is>
      </c>
      <c r="C556" t="inlineStr">
        <is>
          <t>Electronics</t>
        </is>
      </c>
      <c r="D556" t="n">
        <v>2024</v>
      </c>
      <c r="E556" t="n">
        <v>2015</v>
      </c>
      <c r="F556" t="n">
        <v>2040</v>
      </c>
      <c r="G556" t="n">
        <v>6953.4706</v>
      </c>
      <c r="H556" t="n">
        <v>1693.7246</v>
      </c>
      <c r="I556" t="n">
        <v>682.607</v>
      </c>
      <c r="J556" t="n">
        <v>4916.7978</v>
      </c>
      <c r="K556" t="n">
        <v>9349838.890000001</v>
      </c>
      <c r="L556" t="n">
        <v>19154531.46</v>
      </c>
      <c r="M556" t="n">
        <v>6953.4706</v>
      </c>
      <c r="N556" t="inlineStr">
        <is>
          <t>Supplier Reported Emissions</t>
        </is>
      </c>
      <c r="O556" t="b">
        <v>0</v>
      </c>
      <c r="P556" t="inlineStr">
        <is>
          <t>High</t>
        </is>
      </c>
      <c r="Q556" t="inlineStr">
        <is>
          <t>None</t>
        </is>
      </c>
      <c r="R556" t="inlineStr">
        <is>
          <t>Valid</t>
        </is>
      </c>
      <c r="S556" t="n">
        <v>2035</v>
      </c>
      <c r="T556" t="inlineStr">
        <is>
          <t>Industry Haircut Pathway</t>
        </is>
      </c>
      <c r="U556" t="n">
        <v>15198.8368</v>
      </c>
      <c r="V556" t="n">
        <v>9994.7551</v>
      </c>
      <c r="W556" t="n">
        <v>11035.5714</v>
      </c>
      <c r="X556" t="n">
        <v>11035.5714</v>
      </c>
      <c r="Y556" t="n">
        <v>4163.2654</v>
      </c>
      <c r="Z556" t="n">
        <v>0.0011803</v>
      </c>
      <c r="AA556" t="n">
        <v>0.27392</v>
      </c>
      <c r="AB556" t="n">
        <v>1040.8163</v>
      </c>
      <c r="AC556" t="n">
        <v>208.1633</v>
      </c>
      <c r="AD556" t="n">
        <v>27075.8162</v>
      </c>
      <c r="AE556" t="n">
        <v>132840.2654</v>
      </c>
      <c r="AF556" t="n">
        <v>0.918</v>
      </c>
      <c r="AG556" t="inlineStr">
        <is>
          <t>Medium</t>
        </is>
      </c>
      <c r="AH556" t="inlineStr">
        <is>
          <t>On Track to Glide Path</t>
        </is>
      </c>
    </row>
    <row r="557">
      <c r="A557" t="inlineStr">
        <is>
          <t>SUP-0035</t>
        </is>
      </c>
      <c r="B557" t="inlineStr">
        <is>
          <t>Electronics Supplier 035</t>
        </is>
      </c>
      <c r="C557" t="inlineStr">
        <is>
          <t>Electronics</t>
        </is>
      </c>
      <c r="D557" t="n">
        <v>2024</v>
      </c>
      <c r="E557" t="n">
        <v>2015</v>
      </c>
      <c r="F557" t="n">
        <v>2040</v>
      </c>
      <c r="G557" t="n">
        <v>6953.4706</v>
      </c>
      <c r="H557" t="n">
        <v>1693.7246</v>
      </c>
      <c r="I557" t="n">
        <v>682.607</v>
      </c>
      <c r="J557" t="n">
        <v>4916.7978</v>
      </c>
      <c r="K557" t="n">
        <v>9349838.890000001</v>
      </c>
      <c r="L557" t="n">
        <v>19154531.46</v>
      </c>
      <c r="M557" t="n">
        <v>6953.4706</v>
      </c>
      <c r="N557" t="inlineStr">
        <is>
          <t>Supplier Reported Emissions</t>
        </is>
      </c>
      <c r="O557" t="b">
        <v>0</v>
      </c>
      <c r="P557" t="inlineStr">
        <is>
          <t>High</t>
        </is>
      </c>
      <c r="Q557" t="inlineStr">
        <is>
          <t>None</t>
        </is>
      </c>
      <c r="R557" t="inlineStr">
        <is>
          <t>Valid</t>
        </is>
      </c>
      <c r="S557" t="n">
        <v>2036</v>
      </c>
      <c r="T557" t="inlineStr">
        <is>
          <t>Industry Haircut Pathway</t>
        </is>
      </c>
      <c r="U557" t="n">
        <v>15198.8368</v>
      </c>
      <c r="V557" t="n">
        <v>9994.7551</v>
      </c>
      <c r="W557" t="n">
        <v>10827.4082</v>
      </c>
      <c r="X557" t="n">
        <v>10827.4082</v>
      </c>
      <c r="Y557" t="n">
        <v>4371.4286</v>
      </c>
      <c r="Z557" t="n">
        <v>0.00115803</v>
      </c>
      <c r="AA557" t="n">
        <v>0.287616</v>
      </c>
      <c r="AB557" t="n">
        <v>832.6531</v>
      </c>
      <c r="AC557" t="n">
        <v>208.1633</v>
      </c>
      <c r="AD557" t="n">
        <v>16248.408</v>
      </c>
      <c r="AE557" t="n">
        <v>143667.6736</v>
      </c>
      <c r="AF557" t="n">
        <v>0.918</v>
      </c>
      <c r="AG557" t="inlineStr">
        <is>
          <t>Medium</t>
        </is>
      </c>
      <c r="AH557" t="inlineStr">
        <is>
          <t>On Track to Glide Path</t>
        </is>
      </c>
    </row>
    <row r="558">
      <c r="A558" t="inlineStr">
        <is>
          <t>SUP-0035</t>
        </is>
      </c>
      <c r="B558" t="inlineStr">
        <is>
          <t>Electronics Supplier 035</t>
        </is>
      </c>
      <c r="C558" t="inlineStr">
        <is>
          <t>Electronics</t>
        </is>
      </c>
      <c r="D558" t="n">
        <v>2024</v>
      </c>
      <c r="E558" t="n">
        <v>2015</v>
      </c>
      <c r="F558" t="n">
        <v>2040</v>
      </c>
      <c r="G558" t="n">
        <v>6953.4706</v>
      </c>
      <c r="H558" t="n">
        <v>1693.7246</v>
      </c>
      <c r="I558" t="n">
        <v>682.607</v>
      </c>
      <c r="J558" t="n">
        <v>4916.7978</v>
      </c>
      <c r="K558" t="n">
        <v>9349838.890000001</v>
      </c>
      <c r="L558" t="n">
        <v>19154531.46</v>
      </c>
      <c r="M558" t="n">
        <v>6953.4706</v>
      </c>
      <c r="N558" t="inlineStr">
        <is>
          <t>Supplier Reported Emissions</t>
        </is>
      </c>
      <c r="O558" t="b">
        <v>0</v>
      </c>
      <c r="P558" t="inlineStr">
        <is>
          <t>High</t>
        </is>
      </c>
      <c r="Q558" t="inlineStr">
        <is>
          <t>None</t>
        </is>
      </c>
      <c r="R558" t="inlineStr">
        <is>
          <t>Valid</t>
        </is>
      </c>
      <c r="S558" t="n">
        <v>2037</v>
      </c>
      <c r="T558" t="inlineStr">
        <is>
          <t>Industry Haircut Pathway</t>
        </is>
      </c>
      <c r="U558" t="n">
        <v>15198.8368</v>
      </c>
      <c r="V558" t="n">
        <v>9994.7551</v>
      </c>
      <c r="W558" t="n">
        <v>10619.2449</v>
      </c>
      <c r="X558" t="n">
        <v>10619.2449</v>
      </c>
      <c r="Y558" t="n">
        <v>4579.5919</v>
      </c>
      <c r="Z558" t="n">
        <v>0.00113577</v>
      </c>
      <c r="AA558" t="n">
        <v>0.301312</v>
      </c>
      <c r="AB558" t="n">
        <v>624.4897999999999</v>
      </c>
      <c r="AC558" t="n">
        <v>208.1633</v>
      </c>
      <c r="AD558" t="n">
        <v>5629.1631</v>
      </c>
      <c r="AE558" t="n">
        <v>154286.9185</v>
      </c>
      <c r="AF558" t="n">
        <v>0.918</v>
      </c>
      <c r="AG558" t="inlineStr">
        <is>
          <t>Medium</t>
        </is>
      </c>
      <c r="AH558" t="inlineStr">
        <is>
          <t>On Track to Glide Path</t>
        </is>
      </c>
    </row>
    <row r="559">
      <c r="A559" t="inlineStr">
        <is>
          <t>SUP-0035</t>
        </is>
      </c>
      <c r="B559" t="inlineStr">
        <is>
          <t>Electronics Supplier 035</t>
        </is>
      </c>
      <c r="C559" t="inlineStr">
        <is>
          <t>Electronics</t>
        </is>
      </c>
      <c r="D559" t="n">
        <v>2024</v>
      </c>
      <c r="E559" t="n">
        <v>2015</v>
      </c>
      <c r="F559" t="n">
        <v>2040</v>
      </c>
      <c r="G559" t="n">
        <v>6953.4706</v>
      </c>
      <c r="H559" t="n">
        <v>1693.7246</v>
      </c>
      <c r="I559" t="n">
        <v>682.607</v>
      </c>
      <c r="J559" t="n">
        <v>4916.7978</v>
      </c>
      <c r="K559" t="n">
        <v>9349838.890000001</v>
      </c>
      <c r="L559" t="n">
        <v>19154531.46</v>
      </c>
      <c r="M559" t="n">
        <v>6953.4706</v>
      </c>
      <c r="N559" t="inlineStr">
        <is>
          <t>Supplier Reported Emissions</t>
        </is>
      </c>
      <c r="O559" t="b">
        <v>0</v>
      </c>
      <c r="P559" t="inlineStr">
        <is>
          <t>High</t>
        </is>
      </c>
      <c r="Q559" t="inlineStr">
        <is>
          <t>None</t>
        </is>
      </c>
      <c r="R559" t="inlineStr">
        <is>
          <t>Valid</t>
        </is>
      </c>
      <c r="S559" t="n">
        <v>2038</v>
      </c>
      <c r="T559" t="inlineStr">
        <is>
          <t>Industry Haircut Pathway</t>
        </is>
      </c>
      <c r="U559" t="n">
        <v>15198.8368</v>
      </c>
      <c r="V559" t="n">
        <v>9994.7551</v>
      </c>
      <c r="W559" t="n">
        <v>10411.0816</v>
      </c>
      <c r="X559" t="n">
        <v>10411.0816</v>
      </c>
      <c r="Y559" t="n">
        <v>4787.7552</v>
      </c>
      <c r="Z559" t="n">
        <v>0.0011135</v>
      </c>
      <c r="AA559" t="n">
        <v>0.315008</v>
      </c>
      <c r="AB559" t="n">
        <v>416.3265</v>
      </c>
      <c r="AC559" t="n">
        <v>208.1633</v>
      </c>
      <c r="AD559" t="n">
        <v>-4781.9185</v>
      </c>
      <c r="AE559" t="n">
        <v>164698.0001</v>
      </c>
      <c r="AF559" t="n">
        <v>0.918</v>
      </c>
      <c r="AG559" t="inlineStr">
        <is>
          <t>Medium</t>
        </is>
      </c>
      <c r="AH559" t="inlineStr">
        <is>
          <t>On Track to Glide Path</t>
        </is>
      </c>
    </row>
    <row r="560">
      <c r="A560" t="inlineStr">
        <is>
          <t>SUP-0035</t>
        </is>
      </c>
      <c r="B560" t="inlineStr">
        <is>
          <t>Electronics Supplier 035</t>
        </is>
      </c>
      <c r="C560" t="inlineStr">
        <is>
          <t>Electronics</t>
        </is>
      </c>
      <c r="D560" t="n">
        <v>2024</v>
      </c>
      <c r="E560" t="n">
        <v>2015</v>
      </c>
      <c r="F560" t="n">
        <v>2040</v>
      </c>
      <c r="G560" t="n">
        <v>6953.4706</v>
      </c>
      <c r="H560" t="n">
        <v>1693.7246</v>
      </c>
      <c r="I560" t="n">
        <v>682.607</v>
      </c>
      <c r="J560" t="n">
        <v>4916.7978</v>
      </c>
      <c r="K560" t="n">
        <v>9349838.890000001</v>
      </c>
      <c r="L560" t="n">
        <v>19154531.46</v>
      </c>
      <c r="M560" t="n">
        <v>6953.4706</v>
      </c>
      <c r="N560" t="inlineStr">
        <is>
          <t>Supplier Reported Emissions</t>
        </is>
      </c>
      <c r="O560" t="b">
        <v>0</v>
      </c>
      <c r="P560" t="inlineStr">
        <is>
          <t>High</t>
        </is>
      </c>
      <c r="Q560" t="inlineStr">
        <is>
          <t>None</t>
        </is>
      </c>
      <c r="R560" t="inlineStr">
        <is>
          <t>Valid</t>
        </is>
      </c>
      <c r="S560" t="n">
        <v>2039</v>
      </c>
      <c r="T560" t="inlineStr">
        <is>
          <t>Industry Haircut Pathway</t>
        </is>
      </c>
      <c r="U560" t="n">
        <v>15198.8368</v>
      </c>
      <c r="V560" t="n">
        <v>9994.7551</v>
      </c>
      <c r="W560" t="n">
        <v>10202.9183</v>
      </c>
      <c r="X560" t="n">
        <v>10202.9183</v>
      </c>
      <c r="Y560" t="n">
        <v>4995.9185</v>
      </c>
      <c r="Z560" t="n">
        <v>0.00109124</v>
      </c>
      <c r="AA560" t="n">
        <v>0.328704</v>
      </c>
      <c r="AB560" t="n">
        <v>208.1633</v>
      </c>
      <c r="AC560" t="n">
        <v>208.1633</v>
      </c>
      <c r="AD560" t="n">
        <v>-14984.8368</v>
      </c>
      <c r="AE560" t="n">
        <v>174900.9184</v>
      </c>
      <c r="AF560" t="n">
        <v>0.918</v>
      </c>
      <c r="AG560" t="inlineStr">
        <is>
          <t>Medium</t>
        </is>
      </c>
      <c r="AH560" t="inlineStr">
        <is>
          <t>On Track to Glide Path</t>
        </is>
      </c>
    </row>
    <row r="561">
      <c r="A561" t="inlineStr">
        <is>
          <t>SUP-0035</t>
        </is>
      </c>
      <c r="B561" t="inlineStr">
        <is>
          <t>Electronics Supplier 035</t>
        </is>
      </c>
      <c r="C561" t="inlineStr">
        <is>
          <t>Electronics</t>
        </is>
      </c>
      <c r="D561" t="n">
        <v>2024</v>
      </c>
      <c r="E561" t="n">
        <v>2015</v>
      </c>
      <c r="F561" t="n">
        <v>2040</v>
      </c>
      <c r="G561" t="n">
        <v>6953.4706</v>
      </c>
      <c r="H561" t="n">
        <v>1693.7246</v>
      </c>
      <c r="I561" t="n">
        <v>682.607</v>
      </c>
      <c r="J561" t="n">
        <v>4916.7978</v>
      </c>
      <c r="K561" t="n">
        <v>9349838.890000001</v>
      </c>
      <c r="L561" t="n">
        <v>19154531.46</v>
      </c>
      <c r="M561" t="n">
        <v>6953.4706</v>
      </c>
      <c r="N561" t="inlineStr">
        <is>
          <t>Supplier Reported Emissions</t>
        </is>
      </c>
      <c r="O561" t="b">
        <v>0</v>
      </c>
      <c r="P561" t="inlineStr">
        <is>
          <t>High</t>
        </is>
      </c>
      <c r="Q561" t="inlineStr">
        <is>
          <t>None</t>
        </is>
      </c>
      <c r="R561" t="inlineStr">
        <is>
          <t>Valid</t>
        </is>
      </c>
      <c r="S561" t="n">
        <v>2040</v>
      </c>
      <c r="T561" t="inlineStr">
        <is>
          <t>Industry Haircut Pathway</t>
        </is>
      </c>
      <c r="U561" t="n">
        <v>15198.8368</v>
      </c>
      <c r="V561" t="n">
        <v>9994.7551</v>
      </c>
      <c r="W561" t="n">
        <v>9994.7551</v>
      </c>
      <c r="X561" t="n">
        <v>9994.7551</v>
      </c>
      <c r="Y561" t="n">
        <v>5204.0817</v>
      </c>
      <c r="Z561" t="n">
        <v>0.00106898</v>
      </c>
      <c r="AA561" t="n">
        <v>0.3424</v>
      </c>
      <c r="AB561" t="n">
        <v>0</v>
      </c>
      <c r="AC561" t="n">
        <v>208.1633</v>
      </c>
      <c r="AD561" t="n">
        <v>-24979.5919</v>
      </c>
      <c r="AE561" t="n">
        <v>184895.6735</v>
      </c>
      <c r="AF561" t="n">
        <v>0.918</v>
      </c>
      <c r="AG561" t="inlineStr">
        <is>
          <t>Low</t>
        </is>
      </c>
      <c r="AH561" t="inlineStr">
        <is>
          <t>On Track</t>
        </is>
      </c>
    </row>
    <row r="562">
      <c r="A562" t="inlineStr">
        <is>
          <t>SUP-0036</t>
        </is>
      </c>
      <c r="B562" t="inlineStr">
        <is>
          <t>Metals Supplier 036</t>
        </is>
      </c>
      <c r="C562" t="inlineStr">
        <is>
          <t>Metals</t>
        </is>
      </c>
      <c r="D562" t="n">
        <v>2024</v>
      </c>
      <c r="E562" t="n">
        <v>2015</v>
      </c>
      <c r="F562" t="n">
        <v>2030</v>
      </c>
      <c r="G562" t="n">
        <v>15692.3728</v>
      </c>
      <c r="H562" t="n">
        <v>3296.4657</v>
      </c>
      <c r="I562" t="n">
        <v>2402.7106</v>
      </c>
      <c r="J562" t="n">
        <v>9642.759599999999</v>
      </c>
      <c r="K562" t="n">
        <v>12457093.49</v>
      </c>
      <c r="L562" t="n">
        <v>110411320.56</v>
      </c>
      <c r="M562" t="n">
        <v>15692.3728</v>
      </c>
      <c r="N562" t="inlineStr">
        <is>
          <t>Supplier Reported Emissions</t>
        </is>
      </c>
      <c r="O562" t="b">
        <v>0</v>
      </c>
      <c r="P562" t="inlineStr">
        <is>
          <t>High</t>
        </is>
      </c>
      <c r="Q562" t="inlineStr">
        <is>
          <t>None</t>
        </is>
      </c>
      <c r="R562" t="inlineStr">
        <is>
          <t>Valid</t>
        </is>
      </c>
      <c r="S562" t="n">
        <v>2025</v>
      </c>
      <c r="T562" t="inlineStr">
        <is>
          <t>Industry Haircut Pathway</t>
        </is>
      </c>
      <c r="U562" t="n">
        <v>16020.528</v>
      </c>
      <c r="V562" t="n">
        <v>9849.420599999999</v>
      </c>
      <c r="W562" t="n">
        <v>11906.4564</v>
      </c>
      <c r="X562" t="n">
        <v>11906.4564</v>
      </c>
      <c r="Y562" t="n">
        <v>4114.0716</v>
      </c>
      <c r="Z562" t="n">
        <v>0.0009558</v>
      </c>
      <c r="AA562" t="n">
        <v>0.2568</v>
      </c>
      <c r="AB562" t="n">
        <v>2057.0358</v>
      </c>
      <c r="AC562" t="n">
        <v>411.4072</v>
      </c>
      <c r="AD562" t="n">
        <v>47190.0672</v>
      </c>
      <c r="AE562" t="n">
        <v>11906.4564</v>
      </c>
      <c r="AF562" t="n">
        <v>0.843</v>
      </c>
      <c r="AG562" t="inlineStr">
        <is>
          <t>High</t>
        </is>
      </c>
      <c r="AH562" t="inlineStr">
        <is>
          <t>On Track to Glide Path</t>
        </is>
      </c>
    </row>
    <row r="563">
      <c r="A563" t="inlineStr">
        <is>
          <t>SUP-0036</t>
        </is>
      </c>
      <c r="B563" t="inlineStr">
        <is>
          <t>Metals Supplier 036</t>
        </is>
      </c>
      <c r="C563" t="inlineStr">
        <is>
          <t>Metals</t>
        </is>
      </c>
      <c r="D563" t="n">
        <v>2024</v>
      </c>
      <c r="E563" t="n">
        <v>2015</v>
      </c>
      <c r="F563" t="n">
        <v>2030</v>
      </c>
      <c r="G563" t="n">
        <v>15692.3728</v>
      </c>
      <c r="H563" t="n">
        <v>3296.4657</v>
      </c>
      <c r="I563" t="n">
        <v>2402.7106</v>
      </c>
      <c r="J563" t="n">
        <v>9642.759599999999</v>
      </c>
      <c r="K563" t="n">
        <v>12457093.49</v>
      </c>
      <c r="L563" t="n">
        <v>110411320.56</v>
      </c>
      <c r="M563" t="n">
        <v>15692.3728</v>
      </c>
      <c r="N563" t="inlineStr">
        <is>
          <t>Supplier Reported Emissions</t>
        </is>
      </c>
      <c r="O563" t="b">
        <v>0</v>
      </c>
      <c r="P563" t="inlineStr">
        <is>
          <t>High</t>
        </is>
      </c>
      <c r="Q563" t="inlineStr">
        <is>
          <t>None</t>
        </is>
      </c>
      <c r="R563" t="inlineStr">
        <is>
          <t>Valid</t>
        </is>
      </c>
      <c r="S563" t="n">
        <v>2026</v>
      </c>
      <c r="T563" t="inlineStr">
        <is>
          <t>Industry Haircut Pathway</t>
        </is>
      </c>
      <c r="U563" t="n">
        <v>16020.528</v>
      </c>
      <c r="V563" t="n">
        <v>9849.420599999999</v>
      </c>
      <c r="W563" t="n">
        <v>11495.0493</v>
      </c>
      <c r="X563" t="n">
        <v>11495.0493</v>
      </c>
      <c r="Y563" t="n">
        <v>4525.4787</v>
      </c>
      <c r="Z563" t="n">
        <v>0.0009227699999999999</v>
      </c>
      <c r="AA563" t="n">
        <v>0.28248</v>
      </c>
      <c r="AB563" t="n">
        <v>1645.6286</v>
      </c>
      <c r="AC563" t="n">
        <v>411.4072</v>
      </c>
      <c r="AD563" t="n">
        <v>35695.0179</v>
      </c>
      <c r="AE563" t="n">
        <v>23401.5057</v>
      </c>
      <c r="AF563" t="n">
        <v>0.843</v>
      </c>
      <c r="AG563" t="inlineStr">
        <is>
          <t>High</t>
        </is>
      </c>
      <c r="AH563" t="inlineStr">
        <is>
          <t>On Track to Glide Path</t>
        </is>
      </c>
    </row>
    <row r="564">
      <c r="A564" t="inlineStr">
        <is>
          <t>SUP-0036</t>
        </is>
      </c>
      <c r="B564" t="inlineStr">
        <is>
          <t>Metals Supplier 036</t>
        </is>
      </c>
      <c r="C564" t="inlineStr">
        <is>
          <t>Metals</t>
        </is>
      </c>
      <c r="D564" t="n">
        <v>2024</v>
      </c>
      <c r="E564" t="n">
        <v>2015</v>
      </c>
      <c r="F564" t="n">
        <v>2030</v>
      </c>
      <c r="G564" t="n">
        <v>15692.3728</v>
      </c>
      <c r="H564" t="n">
        <v>3296.4657</v>
      </c>
      <c r="I564" t="n">
        <v>2402.7106</v>
      </c>
      <c r="J564" t="n">
        <v>9642.759599999999</v>
      </c>
      <c r="K564" t="n">
        <v>12457093.49</v>
      </c>
      <c r="L564" t="n">
        <v>110411320.56</v>
      </c>
      <c r="M564" t="n">
        <v>15692.3728</v>
      </c>
      <c r="N564" t="inlineStr">
        <is>
          <t>Supplier Reported Emissions</t>
        </is>
      </c>
      <c r="O564" t="b">
        <v>0</v>
      </c>
      <c r="P564" t="inlineStr">
        <is>
          <t>High</t>
        </is>
      </c>
      <c r="Q564" t="inlineStr">
        <is>
          <t>None</t>
        </is>
      </c>
      <c r="R564" t="inlineStr">
        <is>
          <t>Valid</t>
        </is>
      </c>
      <c r="S564" t="n">
        <v>2027</v>
      </c>
      <c r="T564" t="inlineStr">
        <is>
          <t>Industry Haircut Pathway</t>
        </is>
      </c>
      <c r="U564" t="n">
        <v>16020.528</v>
      </c>
      <c r="V564" t="n">
        <v>9849.420599999999</v>
      </c>
      <c r="W564" t="n">
        <v>11083.6421</v>
      </c>
      <c r="X564" t="n">
        <v>11083.6421</v>
      </c>
      <c r="Y564" t="n">
        <v>4936.8859</v>
      </c>
      <c r="Z564" t="n">
        <v>0.00088975</v>
      </c>
      <c r="AA564" t="n">
        <v>0.30816</v>
      </c>
      <c r="AB564" t="n">
        <v>1234.2215</v>
      </c>
      <c r="AC564" t="n">
        <v>411.4072</v>
      </c>
      <c r="AD564" t="n">
        <v>24611.3758</v>
      </c>
      <c r="AE564" t="n">
        <v>34485.1478</v>
      </c>
      <c r="AF564" t="n">
        <v>0.843</v>
      </c>
      <c r="AG564" t="inlineStr">
        <is>
          <t>Medium</t>
        </is>
      </c>
      <c r="AH564" t="inlineStr">
        <is>
          <t>On Track to Glide Path</t>
        </is>
      </c>
    </row>
    <row r="565">
      <c r="A565" t="inlineStr">
        <is>
          <t>SUP-0036</t>
        </is>
      </c>
      <c r="B565" t="inlineStr">
        <is>
          <t>Metals Supplier 036</t>
        </is>
      </c>
      <c r="C565" t="inlineStr">
        <is>
          <t>Metals</t>
        </is>
      </c>
      <c r="D565" t="n">
        <v>2024</v>
      </c>
      <c r="E565" t="n">
        <v>2015</v>
      </c>
      <c r="F565" t="n">
        <v>2030</v>
      </c>
      <c r="G565" t="n">
        <v>15692.3728</v>
      </c>
      <c r="H565" t="n">
        <v>3296.4657</v>
      </c>
      <c r="I565" t="n">
        <v>2402.7106</v>
      </c>
      <c r="J565" t="n">
        <v>9642.759599999999</v>
      </c>
      <c r="K565" t="n">
        <v>12457093.49</v>
      </c>
      <c r="L565" t="n">
        <v>110411320.56</v>
      </c>
      <c r="M565" t="n">
        <v>15692.3728</v>
      </c>
      <c r="N565" t="inlineStr">
        <is>
          <t>Supplier Reported Emissions</t>
        </is>
      </c>
      <c r="O565" t="b">
        <v>0</v>
      </c>
      <c r="P565" t="inlineStr">
        <is>
          <t>High</t>
        </is>
      </c>
      <c r="Q565" t="inlineStr">
        <is>
          <t>None</t>
        </is>
      </c>
      <c r="R565" t="inlineStr">
        <is>
          <t>Valid</t>
        </is>
      </c>
      <c r="S565" t="n">
        <v>2028</v>
      </c>
      <c r="T565" t="inlineStr">
        <is>
          <t>Industry Haircut Pathway</t>
        </is>
      </c>
      <c r="U565" t="n">
        <v>16020.528</v>
      </c>
      <c r="V565" t="n">
        <v>9849.420599999999</v>
      </c>
      <c r="W565" t="n">
        <v>10672.2349</v>
      </c>
      <c r="X565" t="n">
        <v>10672.2349</v>
      </c>
      <c r="Y565" t="n">
        <v>5348.2931</v>
      </c>
      <c r="Z565" t="n">
        <v>0.0008567200000000001</v>
      </c>
      <c r="AA565" t="n">
        <v>0.33384</v>
      </c>
      <c r="AB565" t="n">
        <v>822.8143</v>
      </c>
      <c r="AC565" t="n">
        <v>411.4072</v>
      </c>
      <c r="AD565" t="n">
        <v>13939.1409</v>
      </c>
      <c r="AE565" t="n">
        <v>45157.3827</v>
      </c>
      <c r="AF565" t="n">
        <v>0.843</v>
      </c>
      <c r="AG565" t="inlineStr">
        <is>
          <t>Medium</t>
        </is>
      </c>
      <c r="AH565" t="inlineStr">
        <is>
          <t>On Track to Glide Path</t>
        </is>
      </c>
    </row>
    <row r="566">
      <c r="A566" t="inlineStr">
        <is>
          <t>SUP-0036</t>
        </is>
      </c>
      <c r="B566" t="inlineStr">
        <is>
          <t>Metals Supplier 036</t>
        </is>
      </c>
      <c r="C566" t="inlineStr">
        <is>
          <t>Metals</t>
        </is>
      </c>
      <c r="D566" t="n">
        <v>2024</v>
      </c>
      <c r="E566" t="n">
        <v>2015</v>
      </c>
      <c r="F566" t="n">
        <v>2030</v>
      </c>
      <c r="G566" t="n">
        <v>15692.3728</v>
      </c>
      <c r="H566" t="n">
        <v>3296.4657</v>
      </c>
      <c r="I566" t="n">
        <v>2402.7106</v>
      </c>
      <c r="J566" t="n">
        <v>9642.759599999999</v>
      </c>
      <c r="K566" t="n">
        <v>12457093.49</v>
      </c>
      <c r="L566" t="n">
        <v>110411320.56</v>
      </c>
      <c r="M566" t="n">
        <v>15692.3728</v>
      </c>
      <c r="N566" t="inlineStr">
        <is>
          <t>Supplier Reported Emissions</t>
        </is>
      </c>
      <c r="O566" t="b">
        <v>0</v>
      </c>
      <c r="P566" t="inlineStr">
        <is>
          <t>High</t>
        </is>
      </c>
      <c r="Q566" t="inlineStr">
        <is>
          <t>None</t>
        </is>
      </c>
      <c r="R566" t="inlineStr">
        <is>
          <t>Valid</t>
        </is>
      </c>
      <c r="S566" t="n">
        <v>2029</v>
      </c>
      <c r="T566" t="inlineStr">
        <is>
          <t>Industry Haircut Pathway</t>
        </is>
      </c>
      <c r="U566" t="n">
        <v>16020.528</v>
      </c>
      <c r="V566" t="n">
        <v>9849.420599999999</v>
      </c>
      <c r="W566" t="n">
        <v>10260.8278</v>
      </c>
      <c r="X566" t="n">
        <v>10260.8278</v>
      </c>
      <c r="Y566" t="n">
        <v>5759.7002</v>
      </c>
      <c r="Z566" t="n">
        <v>0.00082369</v>
      </c>
      <c r="AA566" t="n">
        <v>0.35952</v>
      </c>
      <c r="AB566" t="n">
        <v>411.4072</v>
      </c>
      <c r="AC566" t="n">
        <v>411.4072</v>
      </c>
      <c r="AD566" t="n">
        <v>3678.3131</v>
      </c>
      <c r="AE566" t="n">
        <v>55418.2105</v>
      </c>
      <c r="AF566" t="n">
        <v>0.843</v>
      </c>
      <c r="AG566" t="inlineStr">
        <is>
          <t>Medium</t>
        </is>
      </c>
      <c r="AH566" t="inlineStr">
        <is>
          <t>On Track to Glide Path</t>
        </is>
      </c>
    </row>
    <row r="567">
      <c r="A567" t="inlineStr">
        <is>
          <t>SUP-0036</t>
        </is>
      </c>
      <c r="B567" t="inlineStr">
        <is>
          <t>Metals Supplier 036</t>
        </is>
      </c>
      <c r="C567" t="inlineStr">
        <is>
          <t>Metals</t>
        </is>
      </c>
      <c r="D567" t="n">
        <v>2024</v>
      </c>
      <c r="E567" t="n">
        <v>2015</v>
      </c>
      <c r="F567" t="n">
        <v>2030</v>
      </c>
      <c r="G567" t="n">
        <v>15692.3728</v>
      </c>
      <c r="H567" t="n">
        <v>3296.4657</v>
      </c>
      <c r="I567" t="n">
        <v>2402.7106</v>
      </c>
      <c r="J567" t="n">
        <v>9642.759599999999</v>
      </c>
      <c r="K567" t="n">
        <v>12457093.49</v>
      </c>
      <c r="L567" t="n">
        <v>110411320.56</v>
      </c>
      <c r="M567" t="n">
        <v>15692.3728</v>
      </c>
      <c r="N567" t="inlineStr">
        <is>
          <t>Supplier Reported Emissions</t>
        </is>
      </c>
      <c r="O567" t="b">
        <v>0</v>
      </c>
      <c r="P567" t="inlineStr">
        <is>
          <t>High</t>
        </is>
      </c>
      <c r="Q567" t="inlineStr">
        <is>
          <t>None</t>
        </is>
      </c>
      <c r="R567" t="inlineStr">
        <is>
          <t>Valid</t>
        </is>
      </c>
      <c r="S567" t="n">
        <v>2030</v>
      </c>
      <c r="T567" t="inlineStr">
        <is>
          <t>Industry Haircut Pathway</t>
        </is>
      </c>
      <c r="U567" t="n">
        <v>16020.528</v>
      </c>
      <c r="V567" t="n">
        <v>9849.420599999999</v>
      </c>
      <c r="W567" t="n">
        <v>9849.420599999999</v>
      </c>
      <c r="X567" t="n">
        <v>9849.420599999999</v>
      </c>
      <c r="Y567" t="n">
        <v>6171.1074</v>
      </c>
      <c r="Z567" t="n">
        <v>0.00079067</v>
      </c>
      <c r="AA567" t="n">
        <v>0.3852</v>
      </c>
      <c r="AB567" t="n">
        <v>0</v>
      </c>
      <c r="AC567" t="n">
        <v>411.4072</v>
      </c>
      <c r="AD567" t="n">
        <v>-6171.1075</v>
      </c>
      <c r="AE567" t="n">
        <v>65267.6311</v>
      </c>
      <c r="AF567" t="n">
        <v>0.843</v>
      </c>
      <c r="AG567" t="inlineStr">
        <is>
          <t>Low</t>
        </is>
      </c>
      <c r="AH567" t="inlineStr">
        <is>
          <t>On Track</t>
        </is>
      </c>
    </row>
    <row r="568">
      <c r="A568" t="inlineStr">
        <is>
          <t>SUP-0036</t>
        </is>
      </c>
      <c r="B568" t="inlineStr">
        <is>
          <t>Metals Supplier 036</t>
        </is>
      </c>
      <c r="C568" t="inlineStr">
        <is>
          <t>Metals</t>
        </is>
      </c>
      <c r="D568" t="n">
        <v>2024</v>
      </c>
      <c r="E568" t="n">
        <v>2015</v>
      </c>
      <c r="F568" t="n">
        <v>2030</v>
      </c>
      <c r="G568" t="n">
        <v>15692.3728</v>
      </c>
      <c r="H568" t="n">
        <v>3296.4657</v>
      </c>
      <c r="I568" t="n">
        <v>2402.7106</v>
      </c>
      <c r="J568" t="n">
        <v>9642.759599999999</v>
      </c>
      <c r="K568" t="n">
        <v>12457093.49</v>
      </c>
      <c r="L568" t="n">
        <v>110411320.56</v>
      </c>
      <c r="M568" t="n">
        <v>15692.3728</v>
      </c>
      <c r="N568" t="inlineStr">
        <is>
          <t>Supplier Reported Emissions</t>
        </is>
      </c>
      <c r="O568" t="b">
        <v>0</v>
      </c>
      <c r="P568" t="inlineStr">
        <is>
          <t>High</t>
        </is>
      </c>
      <c r="Q568" t="inlineStr">
        <is>
          <t>None</t>
        </is>
      </c>
      <c r="R568" t="inlineStr">
        <is>
          <t>Valid</t>
        </is>
      </c>
      <c r="S568" t="n">
        <v>2031</v>
      </c>
      <c r="T568" t="inlineStr">
        <is>
          <t>Industry Haircut Pathway</t>
        </is>
      </c>
      <c r="U568" t="n">
        <v>16020.528</v>
      </c>
      <c r="V568" t="n">
        <v>9849.420599999999</v>
      </c>
      <c r="W568" t="n">
        <v>9849.420599999999</v>
      </c>
      <c r="X568" t="n">
        <v>9849.420599999999</v>
      </c>
      <c r="Y568" t="n">
        <v>6171.1074</v>
      </c>
      <c r="Z568" t="n">
        <v>0.00079067</v>
      </c>
      <c r="AA568" t="n">
        <v>0.3852</v>
      </c>
      <c r="AB568" t="n">
        <v>0</v>
      </c>
      <c r="AC568" t="n">
        <v>411.4072</v>
      </c>
      <c r="AD568" t="n">
        <v>-16020.5281</v>
      </c>
      <c r="AE568" t="n">
        <v>75117.0517</v>
      </c>
      <c r="AF568" t="n">
        <v>0.843</v>
      </c>
      <c r="AG568" t="inlineStr">
        <is>
          <t>Low</t>
        </is>
      </c>
      <c r="AH568" t="inlineStr">
        <is>
          <t>On Track</t>
        </is>
      </c>
    </row>
    <row r="569">
      <c r="A569" t="inlineStr">
        <is>
          <t>SUP-0036</t>
        </is>
      </c>
      <c r="B569" t="inlineStr">
        <is>
          <t>Metals Supplier 036</t>
        </is>
      </c>
      <c r="C569" t="inlineStr">
        <is>
          <t>Metals</t>
        </is>
      </c>
      <c r="D569" t="n">
        <v>2024</v>
      </c>
      <c r="E569" t="n">
        <v>2015</v>
      </c>
      <c r="F569" t="n">
        <v>2030</v>
      </c>
      <c r="G569" t="n">
        <v>15692.3728</v>
      </c>
      <c r="H569" t="n">
        <v>3296.4657</v>
      </c>
      <c r="I569" t="n">
        <v>2402.7106</v>
      </c>
      <c r="J569" t="n">
        <v>9642.759599999999</v>
      </c>
      <c r="K569" t="n">
        <v>12457093.49</v>
      </c>
      <c r="L569" t="n">
        <v>110411320.56</v>
      </c>
      <c r="M569" t="n">
        <v>15692.3728</v>
      </c>
      <c r="N569" t="inlineStr">
        <is>
          <t>Supplier Reported Emissions</t>
        </is>
      </c>
      <c r="O569" t="b">
        <v>0</v>
      </c>
      <c r="P569" t="inlineStr">
        <is>
          <t>High</t>
        </is>
      </c>
      <c r="Q569" t="inlineStr">
        <is>
          <t>None</t>
        </is>
      </c>
      <c r="R569" t="inlineStr">
        <is>
          <t>Valid</t>
        </is>
      </c>
      <c r="S569" t="n">
        <v>2032</v>
      </c>
      <c r="T569" t="inlineStr">
        <is>
          <t>Industry Haircut Pathway</t>
        </is>
      </c>
      <c r="U569" t="n">
        <v>16020.528</v>
      </c>
      <c r="V569" t="n">
        <v>9849.420599999999</v>
      </c>
      <c r="W569" t="n">
        <v>9849.420599999999</v>
      </c>
      <c r="X569" t="n">
        <v>9849.420599999999</v>
      </c>
      <c r="Y569" t="n">
        <v>6171.1074</v>
      </c>
      <c r="Z569" t="n">
        <v>0.00079067</v>
      </c>
      <c r="AA569" t="n">
        <v>0.3852</v>
      </c>
      <c r="AB569" t="n">
        <v>0</v>
      </c>
      <c r="AC569" t="n">
        <v>411.4072</v>
      </c>
      <c r="AD569" t="n">
        <v>-25869.9487</v>
      </c>
      <c r="AE569" t="n">
        <v>84966.47229999999</v>
      </c>
      <c r="AF569" t="n">
        <v>0.843</v>
      </c>
      <c r="AG569" t="inlineStr">
        <is>
          <t>Low</t>
        </is>
      </c>
      <c r="AH569" t="inlineStr">
        <is>
          <t>On Track</t>
        </is>
      </c>
    </row>
    <row r="570">
      <c r="A570" t="inlineStr">
        <is>
          <t>SUP-0036</t>
        </is>
      </c>
      <c r="B570" t="inlineStr">
        <is>
          <t>Metals Supplier 036</t>
        </is>
      </c>
      <c r="C570" t="inlineStr">
        <is>
          <t>Metals</t>
        </is>
      </c>
      <c r="D570" t="n">
        <v>2024</v>
      </c>
      <c r="E570" t="n">
        <v>2015</v>
      </c>
      <c r="F570" t="n">
        <v>2030</v>
      </c>
      <c r="G570" t="n">
        <v>15692.3728</v>
      </c>
      <c r="H570" t="n">
        <v>3296.4657</v>
      </c>
      <c r="I570" t="n">
        <v>2402.7106</v>
      </c>
      <c r="J570" t="n">
        <v>9642.759599999999</v>
      </c>
      <c r="K570" t="n">
        <v>12457093.49</v>
      </c>
      <c r="L570" t="n">
        <v>110411320.56</v>
      </c>
      <c r="M570" t="n">
        <v>15692.3728</v>
      </c>
      <c r="N570" t="inlineStr">
        <is>
          <t>Supplier Reported Emissions</t>
        </is>
      </c>
      <c r="O570" t="b">
        <v>0</v>
      </c>
      <c r="P570" t="inlineStr">
        <is>
          <t>High</t>
        </is>
      </c>
      <c r="Q570" t="inlineStr">
        <is>
          <t>None</t>
        </is>
      </c>
      <c r="R570" t="inlineStr">
        <is>
          <t>Valid</t>
        </is>
      </c>
      <c r="S570" t="n">
        <v>2033</v>
      </c>
      <c r="T570" t="inlineStr">
        <is>
          <t>Industry Haircut Pathway</t>
        </is>
      </c>
      <c r="U570" t="n">
        <v>16020.528</v>
      </c>
      <c r="V570" t="n">
        <v>9849.420599999999</v>
      </c>
      <c r="W570" t="n">
        <v>9849.420599999999</v>
      </c>
      <c r="X570" t="n">
        <v>9849.420599999999</v>
      </c>
      <c r="Y570" t="n">
        <v>6171.1074</v>
      </c>
      <c r="Z570" t="n">
        <v>0.00079067</v>
      </c>
      <c r="AA570" t="n">
        <v>0.3852</v>
      </c>
      <c r="AB570" t="n">
        <v>0</v>
      </c>
      <c r="AC570" t="n">
        <v>411.4072</v>
      </c>
      <c r="AD570" t="n">
        <v>-35719.3693</v>
      </c>
      <c r="AE570" t="n">
        <v>94815.89290000001</v>
      </c>
      <c r="AF570" t="n">
        <v>0.843</v>
      </c>
      <c r="AG570" t="inlineStr">
        <is>
          <t>Low</t>
        </is>
      </c>
      <c r="AH570" t="inlineStr">
        <is>
          <t>On Track</t>
        </is>
      </c>
    </row>
    <row r="571">
      <c r="A571" t="inlineStr">
        <is>
          <t>SUP-0036</t>
        </is>
      </c>
      <c r="B571" t="inlineStr">
        <is>
          <t>Metals Supplier 036</t>
        </is>
      </c>
      <c r="C571" t="inlineStr">
        <is>
          <t>Metals</t>
        </is>
      </c>
      <c r="D571" t="n">
        <v>2024</v>
      </c>
      <c r="E571" t="n">
        <v>2015</v>
      </c>
      <c r="F571" t="n">
        <v>2030</v>
      </c>
      <c r="G571" t="n">
        <v>15692.3728</v>
      </c>
      <c r="H571" t="n">
        <v>3296.4657</v>
      </c>
      <c r="I571" t="n">
        <v>2402.7106</v>
      </c>
      <c r="J571" t="n">
        <v>9642.759599999999</v>
      </c>
      <c r="K571" t="n">
        <v>12457093.49</v>
      </c>
      <c r="L571" t="n">
        <v>110411320.56</v>
      </c>
      <c r="M571" t="n">
        <v>15692.3728</v>
      </c>
      <c r="N571" t="inlineStr">
        <is>
          <t>Supplier Reported Emissions</t>
        </is>
      </c>
      <c r="O571" t="b">
        <v>0</v>
      </c>
      <c r="P571" t="inlineStr">
        <is>
          <t>High</t>
        </is>
      </c>
      <c r="Q571" t="inlineStr">
        <is>
          <t>None</t>
        </is>
      </c>
      <c r="R571" t="inlineStr">
        <is>
          <t>Valid</t>
        </is>
      </c>
      <c r="S571" t="n">
        <v>2034</v>
      </c>
      <c r="T571" t="inlineStr">
        <is>
          <t>Industry Haircut Pathway</t>
        </is>
      </c>
      <c r="U571" t="n">
        <v>16020.528</v>
      </c>
      <c r="V571" t="n">
        <v>9849.420599999999</v>
      </c>
      <c r="W571" t="n">
        <v>9849.420599999999</v>
      </c>
      <c r="X571" t="n">
        <v>9849.420599999999</v>
      </c>
      <c r="Y571" t="n">
        <v>6171.1074</v>
      </c>
      <c r="Z571" t="n">
        <v>0.00079067</v>
      </c>
      <c r="AA571" t="n">
        <v>0.3852</v>
      </c>
      <c r="AB571" t="n">
        <v>0</v>
      </c>
      <c r="AC571" t="n">
        <v>411.4072</v>
      </c>
      <c r="AD571" t="n">
        <v>-45568.7899</v>
      </c>
      <c r="AE571" t="n">
        <v>104665.3135</v>
      </c>
      <c r="AF571" t="n">
        <v>0.843</v>
      </c>
      <c r="AG571" t="inlineStr">
        <is>
          <t>Low</t>
        </is>
      </c>
      <c r="AH571" t="inlineStr">
        <is>
          <t>On Track</t>
        </is>
      </c>
    </row>
    <row r="572">
      <c r="A572" t="inlineStr">
        <is>
          <t>SUP-0036</t>
        </is>
      </c>
      <c r="B572" t="inlineStr">
        <is>
          <t>Metals Supplier 036</t>
        </is>
      </c>
      <c r="C572" t="inlineStr">
        <is>
          <t>Metals</t>
        </is>
      </c>
      <c r="D572" t="n">
        <v>2024</v>
      </c>
      <c r="E572" t="n">
        <v>2015</v>
      </c>
      <c r="F572" t="n">
        <v>2030</v>
      </c>
      <c r="G572" t="n">
        <v>15692.3728</v>
      </c>
      <c r="H572" t="n">
        <v>3296.4657</v>
      </c>
      <c r="I572" t="n">
        <v>2402.7106</v>
      </c>
      <c r="J572" t="n">
        <v>9642.759599999999</v>
      </c>
      <c r="K572" t="n">
        <v>12457093.49</v>
      </c>
      <c r="L572" t="n">
        <v>110411320.56</v>
      </c>
      <c r="M572" t="n">
        <v>15692.3728</v>
      </c>
      <c r="N572" t="inlineStr">
        <is>
          <t>Supplier Reported Emissions</t>
        </is>
      </c>
      <c r="O572" t="b">
        <v>0</v>
      </c>
      <c r="P572" t="inlineStr">
        <is>
          <t>High</t>
        </is>
      </c>
      <c r="Q572" t="inlineStr">
        <is>
          <t>None</t>
        </is>
      </c>
      <c r="R572" t="inlineStr">
        <is>
          <t>Valid</t>
        </is>
      </c>
      <c r="S572" t="n">
        <v>2035</v>
      </c>
      <c r="T572" t="inlineStr">
        <is>
          <t>Industry Haircut Pathway</t>
        </is>
      </c>
      <c r="U572" t="n">
        <v>16020.528</v>
      </c>
      <c r="V572" t="n">
        <v>9849.420599999999</v>
      </c>
      <c r="W572" t="n">
        <v>9849.420599999999</v>
      </c>
      <c r="X572" t="n">
        <v>9849.420599999999</v>
      </c>
      <c r="Y572" t="n">
        <v>6171.1074</v>
      </c>
      <c r="Z572" t="n">
        <v>0.00079067</v>
      </c>
      <c r="AA572" t="n">
        <v>0.3852</v>
      </c>
      <c r="AB572" t="n">
        <v>0</v>
      </c>
      <c r="AC572" t="n">
        <v>411.4072</v>
      </c>
      <c r="AD572" t="n">
        <v>-55418.2105</v>
      </c>
      <c r="AE572" t="n">
        <v>114514.7341</v>
      </c>
      <c r="AF572" t="n">
        <v>0.843</v>
      </c>
      <c r="AG572" t="inlineStr">
        <is>
          <t>Low</t>
        </is>
      </c>
      <c r="AH572" t="inlineStr">
        <is>
          <t>On Track</t>
        </is>
      </c>
    </row>
    <row r="573">
      <c r="A573" t="inlineStr">
        <is>
          <t>SUP-0036</t>
        </is>
      </c>
      <c r="B573" t="inlineStr">
        <is>
          <t>Metals Supplier 036</t>
        </is>
      </c>
      <c r="C573" t="inlineStr">
        <is>
          <t>Metals</t>
        </is>
      </c>
      <c r="D573" t="n">
        <v>2024</v>
      </c>
      <c r="E573" t="n">
        <v>2015</v>
      </c>
      <c r="F573" t="n">
        <v>2030</v>
      </c>
      <c r="G573" t="n">
        <v>15692.3728</v>
      </c>
      <c r="H573" t="n">
        <v>3296.4657</v>
      </c>
      <c r="I573" t="n">
        <v>2402.7106</v>
      </c>
      <c r="J573" t="n">
        <v>9642.759599999999</v>
      </c>
      <c r="K573" t="n">
        <v>12457093.49</v>
      </c>
      <c r="L573" t="n">
        <v>110411320.56</v>
      </c>
      <c r="M573" t="n">
        <v>15692.3728</v>
      </c>
      <c r="N573" t="inlineStr">
        <is>
          <t>Supplier Reported Emissions</t>
        </is>
      </c>
      <c r="O573" t="b">
        <v>0</v>
      </c>
      <c r="P573" t="inlineStr">
        <is>
          <t>High</t>
        </is>
      </c>
      <c r="Q573" t="inlineStr">
        <is>
          <t>None</t>
        </is>
      </c>
      <c r="R573" t="inlineStr">
        <is>
          <t>Valid</t>
        </is>
      </c>
      <c r="S573" t="n">
        <v>2036</v>
      </c>
      <c r="T573" t="inlineStr">
        <is>
          <t>Industry Haircut Pathway</t>
        </is>
      </c>
      <c r="U573" t="n">
        <v>16020.528</v>
      </c>
      <c r="V573" t="n">
        <v>9849.420599999999</v>
      </c>
      <c r="W573" t="n">
        <v>9849.420599999999</v>
      </c>
      <c r="X573" t="n">
        <v>9849.420599999999</v>
      </c>
      <c r="Y573" t="n">
        <v>6171.1074</v>
      </c>
      <c r="Z573" t="n">
        <v>0.00079067</v>
      </c>
      <c r="AA573" t="n">
        <v>0.3852</v>
      </c>
      <c r="AB573" t="n">
        <v>0</v>
      </c>
      <c r="AC573" t="n">
        <v>411.4072</v>
      </c>
      <c r="AD573" t="n">
        <v>-65267.6311</v>
      </c>
      <c r="AE573" t="n">
        <v>124364.1547</v>
      </c>
      <c r="AF573" t="n">
        <v>0.843</v>
      </c>
      <c r="AG573" t="inlineStr">
        <is>
          <t>Low</t>
        </is>
      </c>
      <c r="AH573" t="inlineStr">
        <is>
          <t>On Track</t>
        </is>
      </c>
    </row>
    <row r="574">
      <c r="A574" t="inlineStr">
        <is>
          <t>SUP-0036</t>
        </is>
      </c>
      <c r="B574" t="inlineStr">
        <is>
          <t>Metals Supplier 036</t>
        </is>
      </c>
      <c r="C574" t="inlineStr">
        <is>
          <t>Metals</t>
        </is>
      </c>
      <c r="D574" t="n">
        <v>2024</v>
      </c>
      <c r="E574" t="n">
        <v>2015</v>
      </c>
      <c r="F574" t="n">
        <v>2030</v>
      </c>
      <c r="G574" t="n">
        <v>15692.3728</v>
      </c>
      <c r="H574" t="n">
        <v>3296.4657</v>
      </c>
      <c r="I574" t="n">
        <v>2402.7106</v>
      </c>
      <c r="J574" t="n">
        <v>9642.759599999999</v>
      </c>
      <c r="K574" t="n">
        <v>12457093.49</v>
      </c>
      <c r="L574" t="n">
        <v>110411320.56</v>
      </c>
      <c r="M574" t="n">
        <v>15692.3728</v>
      </c>
      <c r="N574" t="inlineStr">
        <is>
          <t>Supplier Reported Emissions</t>
        </is>
      </c>
      <c r="O574" t="b">
        <v>0</v>
      </c>
      <c r="P574" t="inlineStr">
        <is>
          <t>High</t>
        </is>
      </c>
      <c r="Q574" t="inlineStr">
        <is>
          <t>None</t>
        </is>
      </c>
      <c r="R574" t="inlineStr">
        <is>
          <t>Valid</t>
        </is>
      </c>
      <c r="S574" t="n">
        <v>2037</v>
      </c>
      <c r="T574" t="inlineStr">
        <is>
          <t>Industry Haircut Pathway</t>
        </is>
      </c>
      <c r="U574" t="n">
        <v>16020.528</v>
      </c>
      <c r="V574" t="n">
        <v>9849.420599999999</v>
      </c>
      <c r="W574" t="n">
        <v>9849.420599999999</v>
      </c>
      <c r="X574" t="n">
        <v>9849.420599999999</v>
      </c>
      <c r="Y574" t="n">
        <v>6171.1074</v>
      </c>
      <c r="Z574" t="n">
        <v>0.00079067</v>
      </c>
      <c r="AA574" t="n">
        <v>0.3852</v>
      </c>
      <c r="AB574" t="n">
        <v>0</v>
      </c>
      <c r="AC574" t="n">
        <v>411.4072</v>
      </c>
      <c r="AD574" t="n">
        <v>-75117.0517</v>
      </c>
      <c r="AE574" t="n">
        <v>134213.5753</v>
      </c>
      <c r="AF574" t="n">
        <v>0.843</v>
      </c>
      <c r="AG574" t="inlineStr">
        <is>
          <t>Low</t>
        </is>
      </c>
      <c r="AH574" t="inlineStr">
        <is>
          <t>On Track</t>
        </is>
      </c>
    </row>
    <row r="575">
      <c r="A575" t="inlineStr">
        <is>
          <t>SUP-0036</t>
        </is>
      </c>
      <c r="B575" t="inlineStr">
        <is>
          <t>Metals Supplier 036</t>
        </is>
      </c>
      <c r="C575" t="inlineStr">
        <is>
          <t>Metals</t>
        </is>
      </c>
      <c r="D575" t="n">
        <v>2024</v>
      </c>
      <c r="E575" t="n">
        <v>2015</v>
      </c>
      <c r="F575" t="n">
        <v>2030</v>
      </c>
      <c r="G575" t="n">
        <v>15692.3728</v>
      </c>
      <c r="H575" t="n">
        <v>3296.4657</v>
      </c>
      <c r="I575" t="n">
        <v>2402.7106</v>
      </c>
      <c r="J575" t="n">
        <v>9642.759599999999</v>
      </c>
      <c r="K575" t="n">
        <v>12457093.49</v>
      </c>
      <c r="L575" t="n">
        <v>110411320.56</v>
      </c>
      <c r="M575" t="n">
        <v>15692.3728</v>
      </c>
      <c r="N575" t="inlineStr">
        <is>
          <t>Supplier Reported Emissions</t>
        </is>
      </c>
      <c r="O575" t="b">
        <v>0</v>
      </c>
      <c r="P575" t="inlineStr">
        <is>
          <t>High</t>
        </is>
      </c>
      <c r="Q575" t="inlineStr">
        <is>
          <t>None</t>
        </is>
      </c>
      <c r="R575" t="inlineStr">
        <is>
          <t>Valid</t>
        </is>
      </c>
      <c r="S575" t="n">
        <v>2038</v>
      </c>
      <c r="T575" t="inlineStr">
        <is>
          <t>Industry Haircut Pathway</t>
        </is>
      </c>
      <c r="U575" t="n">
        <v>16020.528</v>
      </c>
      <c r="V575" t="n">
        <v>9849.420599999999</v>
      </c>
      <c r="W575" t="n">
        <v>9849.420599999999</v>
      </c>
      <c r="X575" t="n">
        <v>9849.420599999999</v>
      </c>
      <c r="Y575" t="n">
        <v>6171.1074</v>
      </c>
      <c r="Z575" t="n">
        <v>0.00079067</v>
      </c>
      <c r="AA575" t="n">
        <v>0.3852</v>
      </c>
      <c r="AB575" t="n">
        <v>0</v>
      </c>
      <c r="AC575" t="n">
        <v>411.4072</v>
      </c>
      <c r="AD575" t="n">
        <v>-84966.47229999999</v>
      </c>
      <c r="AE575" t="n">
        <v>144062.9959</v>
      </c>
      <c r="AF575" t="n">
        <v>0.843</v>
      </c>
      <c r="AG575" t="inlineStr">
        <is>
          <t>Low</t>
        </is>
      </c>
      <c r="AH575" t="inlineStr">
        <is>
          <t>On Track</t>
        </is>
      </c>
    </row>
    <row r="576">
      <c r="A576" t="inlineStr">
        <is>
          <t>SUP-0036</t>
        </is>
      </c>
      <c r="B576" t="inlineStr">
        <is>
          <t>Metals Supplier 036</t>
        </is>
      </c>
      <c r="C576" t="inlineStr">
        <is>
          <t>Metals</t>
        </is>
      </c>
      <c r="D576" t="n">
        <v>2024</v>
      </c>
      <c r="E576" t="n">
        <v>2015</v>
      </c>
      <c r="F576" t="n">
        <v>2030</v>
      </c>
      <c r="G576" t="n">
        <v>15692.3728</v>
      </c>
      <c r="H576" t="n">
        <v>3296.4657</v>
      </c>
      <c r="I576" t="n">
        <v>2402.7106</v>
      </c>
      <c r="J576" t="n">
        <v>9642.759599999999</v>
      </c>
      <c r="K576" t="n">
        <v>12457093.49</v>
      </c>
      <c r="L576" t="n">
        <v>110411320.56</v>
      </c>
      <c r="M576" t="n">
        <v>15692.3728</v>
      </c>
      <c r="N576" t="inlineStr">
        <is>
          <t>Supplier Reported Emissions</t>
        </is>
      </c>
      <c r="O576" t="b">
        <v>0</v>
      </c>
      <c r="P576" t="inlineStr">
        <is>
          <t>High</t>
        </is>
      </c>
      <c r="Q576" t="inlineStr">
        <is>
          <t>None</t>
        </is>
      </c>
      <c r="R576" t="inlineStr">
        <is>
          <t>Valid</t>
        </is>
      </c>
      <c r="S576" t="n">
        <v>2039</v>
      </c>
      <c r="T576" t="inlineStr">
        <is>
          <t>Industry Haircut Pathway</t>
        </is>
      </c>
      <c r="U576" t="n">
        <v>16020.528</v>
      </c>
      <c r="V576" t="n">
        <v>9849.420599999999</v>
      </c>
      <c r="W576" t="n">
        <v>9849.420599999999</v>
      </c>
      <c r="X576" t="n">
        <v>9849.420599999999</v>
      </c>
      <c r="Y576" t="n">
        <v>6171.1074</v>
      </c>
      <c r="Z576" t="n">
        <v>0.00079067</v>
      </c>
      <c r="AA576" t="n">
        <v>0.3852</v>
      </c>
      <c r="AB576" t="n">
        <v>0</v>
      </c>
      <c r="AC576" t="n">
        <v>411.4072</v>
      </c>
      <c r="AD576" t="n">
        <v>-94815.89290000001</v>
      </c>
      <c r="AE576" t="n">
        <v>153912.4165</v>
      </c>
      <c r="AF576" t="n">
        <v>0.843</v>
      </c>
      <c r="AG576" t="inlineStr">
        <is>
          <t>Low</t>
        </is>
      </c>
      <c r="AH576" t="inlineStr">
        <is>
          <t>On Track</t>
        </is>
      </c>
    </row>
    <row r="577">
      <c r="A577" t="inlineStr">
        <is>
          <t>SUP-0036</t>
        </is>
      </c>
      <c r="B577" t="inlineStr">
        <is>
          <t>Metals Supplier 036</t>
        </is>
      </c>
      <c r="C577" t="inlineStr">
        <is>
          <t>Metals</t>
        </is>
      </c>
      <c r="D577" t="n">
        <v>2024</v>
      </c>
      <c r="E577" t="n">
        <v>2015</v>
      </c>
      <c r="F577" t="n">
        <v>2030</v>
      </c>
      <c r="G577" t="n">
        <v>15692.3728</v>
      </c>
      <c r="H577" t="n">
        <v>3296.4657</v>
      </c>
      <c r="I577" t="n">
        <v>2402.7106</v>
      </c>
      <c r="J577" t="n">
        <v>9642.759599999999</v>
      </c>
      <c r="K577" t="n">
        <v>12457093.49</v>
      </c>
      <c r="L577" t="n">
        <v>110411320.56</v>
      </c>
      <c r="M577" t="n">
        <v>15692.3728</v>
      </c>
      <c r="N577" t="inlineStr">
        <is>
          <t>Supplier Reported Emissions</t>
        </is>
      </c>
      <c r="O577" t="b">
        <v>0</v>
      </c>
      <c r="P577" t="inlineStr">
        <is>
          <t>High</t>
        </is>
      </c>
      <c r="Q577" t="inlineStr">
        <is>
          <t>None</t>
        </is>
      </c>
      <c r="R577" t="inlineStr">
        <is>
          <t>Valid</t>
        </is>
      </c>
      <c r="S577" t="n">
        <v>2040</v>
      </c>
      <c r="T577" t="inlineStr">
        <is>
          <t>Industry Haircut Pathway</t>
        </is>
      </c>
      <c r="U577" t="n">
        <v>16020.528</v>
      </c>
      <c r="V577" t="n">
        <v>9849.420599999999</v>
      </c>
      <c r="W577" t="n">
        <v>9849.420599999999</v>
      </c>
      <c r="X577" t="n">
        <v>9849.420599999999</v>
      </c>
      <c r="Y577" t="n">
        <v>6171.1074</v>
      </c>
      <c r="Z577" t="n">
        <v>0.00079067</v>
      </c>
      <c r="AA577" t="n">
        <v>0.3852</v>
      </c>
      <c r="AB577" t="n">
        <v>0</v>
      </c>
      <c r="AC577" t="n">
        <v>411.4072</v>
      </c>
      <c r="AD577" t="n">
        <v>-104665.3135</v>
      </c>
      <c r="AE577" t="n">
        <v>163761.8371</v>
      </c>
      <c r="AF577" t="n">
        <v>0.843</v>
      </c>
      <c r="AG577" t="inlineStr">
        <is>
          <t>Low</t>
        </is>
      </c>
      <c r="AH577" t="inlineStr">
        <is>
          <t>On Track</t>
        </is>
      </c>
    </row>
    <row r="578">
      <c r="A578" t="inlineStr">
        <is>
          <t>SUP-0037</t>
        </is>
      </c>
      <c r="B578" t="inlineStr">
        <is>
          <t>Agriculture Supplier 037</t>
        </is>
      </c>
      <c r="C578" t="inlineStr">
        <is>
          <t>Agriculture</t>
        </is>
      </c>
      <c r="D578" t="n">
        <v>2024</v>
      </c>
      <c r="E578" t="n">
        <v>2019</v>
      </c>
      <c r="F578" t="n">
        <v>2035</v>
      </c>
      <c r="G578" t="n">
        <v>24172.2297</v>
      </c>
      <c r="H578" t="inlineStr"/>
      <c r="I578" t="n">
        <v>3839.1525</v>
      </c>
      <c r="J578" t="n">
        <v>15298.1023</v>
      </c>
      <c r="K578" t="n">
        <v>35588458.58</v>
      </c>
      <c r="L578" t="n">
        <v>116985827.89</v>
      </c>
      <c r="M578" t="n">
        <v>24172.2297</v>
      </c>
      <c r="N578" t="inlineStr">
        <is>
          <t>Supplier Reported Emissions</t>
        </is>
      </c>
      <c r="O578" t="b">
        <v>0</v>
      </c>
      <c r="P578" t="inlineStr">
        <is>
          <t>High</t>
        </is>
      </c>
      <c r="Q578" t="inlineStr">
        <is>
          <t>Scope_Emissions</t>
        </is>
      </c>
      <c r="R578" t="inlineStr">
        <is>
          <t>Valid</t>
        </is>
      </c>
      <c r="S578" t="n">
        <v>2025</v>
      </c>
      <c r="T578" t="inlineStr">
        <is>
          <t>Supplier Target Pathway</t>
        </is>
      </c>
      <c r="U578" t="n">
        <v>13104.249</v>
      </c>
      <c r="V578" t="n">
        <v>5898.2225</v>
      </c>
      <c r="W578" t="n">
        <v>10401.9891</v>
      </c>
      <c r="X578" t="n">
        <v>10401.9891</v>
      </c>
      <c r="Y578" t="n">
        <v>2702.2599</v>
      </c>
      <c r="Z578" t="n">
        <v>0.00029229</v>
      </c>
      <c r="AA578" t="n">
        <v>0.206212</v>
      </c>
      <c r="AB578" t="n">
        <v>4503.7666</v>
      </c>
      <c r="AC578" t="n">
        <v>450.3767</v>
      </c>
      <c r="AD578" t="n">
        <v>54478.4584</v>
      </c>
      <c r="AE578" t="n">
        <v>10401.9891</v>
      </c>
      <c r="AF578" t="n">
        <v>0.99</v>
      </c>
      <c r="AG578" t="inlineStr">
        <is>
          <t>Critical</t>
        </is>
      </c>
      <c r="AH578" t="inlineStr">
        <is>
          <t>On Track to Glide Path</t>
        </is>
      </c>
    </row>
    <row r="579">
      <c r="A579" t="inlineStr">
        <is>
          <t>SUP-0037</t>
        </is>
      </c>
      <c r="B579" t="inlineStr">
        <is>
          <t>Agriculture Supplier 037</t>
        </is>
      </c>
      <c r="C579" t="inlineStr">
        <is>
          <t>Agriculture</t>
        </is>
      </c>
      <c r="D579" t="n">
        <v>2024</v>
      </c>
      <c r="E579" t="n">
        <v>2019</v>
      </c>
      <c r="F579" t="n">
        <v>2035</v>
      </c>
      <c r="G579" t="n">
        <v>24172.2297</v>
      </c>
      <c r="H579" t="inlineStr"/>
      <c r="I579" t="n">
        <v>3839.1525</v>
      </c>
      <c r="J579" t="n">
        <v>15298.1023</v>
      </c>
      <c r="K579" t="n">
        <v>35588458.58</v>
      </c>
      <c r="L579" t="n">
        <v>116985827.89</v>
      </c>
      <c r="M579" t="n">
        <v>24172.2297</v>
      </c>
      <c r="N579" t="inlineStr">
        <is>
          <t>Supplier Reported Emissions</t>
        </is>
      </c>
      <c r="O579" t="b">
        <v>0</v>
      </c>
      <c r="P579" t="inlineStr">
        <is>
          <t>High</t>
        </is>
      </c>
      <c r="Q579" t="inlineStr">
        <is>
          <t>Scope_Emissions</t>
        </is>
      </c>
      <c r="R579" t="inlineStr">
        <is>
          <t>Valid</t>
        </is>
      </c>
      <c r="S579" t="n">
        <v>2026</v>
      </c>
      <c r="T579" t="inlineStr">
        <is>
          <t>Supplier Target Pathway</t>
        </is>
      </c>
      <c r="U579" t="n">
        <v>13104.249</v>
      </c>
      <c r="V579" t="n">
        <v>5898.2225</v>
      </c>
      <c r="W579" t="n">
        <v>9951.6124</v>
      </c>
      <c r="X579" t="n">
        <v>9951.6124</v>
      </c>
      <c r="Y579" t="n">
        <v>3152.6366</v>
      </c>
      <c r="Z579" t="n">
        <v>0.00027963</v>
      </c>
      <c r="AA579" t="n">
        <v>0.240581</v>
      </c>
      <c r="AB579" t="n">
        <v>4053.3899</v>
      </c>
      <c r="AC579" t="n">
        <v>450.3767</v>
      </c>
      <c r="AD579" t="n">
        <v>44526.846</v>
      </c>
      <c r="AE579" t="n">
        <v>20353.6015</v>
      </c>
      <c r="AF579" t="n">
        <v>0.99</v>
      </c>
      <c r="AG579" t="inlineStr">
        <is>
          <t>Critical</t>
        </is>
      </c>
      <c r="AH579" t="inlineStr">
        <is>
          <t>On Track to Glide Path</t>
        </is>
      </c>
    </row>
    <row r="580">
      <c r="A580" t="inlineStr">
        <is>
          <t>SUP-0037</t>
        </is>
      </c>
      <c r="B580" t="inlineStr">
        <is>
          <t>Agriculture Supplier 037</t>
        </is>
      </c>
      <c r="C580" t="inlineStr">
        <is>
          <t>Agriculture</t>
        </is>
      </c>
      <c r="D580" t="n">
        <v>2024</v>
      </c>
      <c r="E580" t="n">
        <v>2019</v>
      </c>
      <c r="F580" t="n">
        <v>2035</v>
      </c>
      <c r="G580" t="n">
        <v>24172.2297</v>
      </c>
      <c r="H580" t="inlineStr"/>
      <c r="I580" t="n">
        <v>3839.1525</v>
      </c>
      <c r="J580" t="n">
        <v>15298.1023</v>
      </c>
      <c r="K580" t="n">
        <v>35588458.58</v>
      </c>
      <c r="L580" t="n">
        <v>116985827.89</v>
      </c>
      <c r="M580" t="n">
        <v>24172.2297</v>
      </c>
      <c r="N580" t="inlineStr">
        <is>
          <t>Supplier Reported Emissions</t>
        </is>
      </c>
      <c r="O580" t="b">
        <v>0</v>
      </c>
      <c r="P580" t="inlineStr">
        <is>
          <t>High</t>
        </is>
      </c>
      <c r="Q580" t="inlineStr">
        <is>
          <t>Scope_Emissions</t>
        </is>
      </c>
      <c r="R580" t="inlineStr">
        <is>
          <t>Valid</t>
        </is>
      </c>
      <c r="S580" t="n">
        <v>2027</v>
      </c>
      <c r="T580" t="inlineStr">
        <is>
          <t>Supplier Target Pathway</t>
        </is>
      </c>
      <c r="U580" t="n">
        <v>13104.249</v>
      </c>
      <c r="V580" t="n">
        <v>5898.2225</v>
      </c>
      <c r="W580" t="n">
        <v>9501.235699999999</v>
      </c>
      <c r="X580" t="n">
        <v>9501.235699999999</v>
      </c>
      <c r="Y580" t="n">
        <v>3603.0133</v>
      </c>
      <c r="Z580" t="n">
        <v>0.00026698</v>
      </c>
      <c r="AA580" t="n">
        <v>0.27495</v>
      </c>
      <c r="AB580" t="n">
        <v>3603.0133</v>
      </c>
      <c r="AC580" t="n">
        <v>450.3767</v>
      </c>
      <c r="AD580" t="n">
        <v>35025.6103</v>
      </c>
      <c r="AE580" t="n">
        <v>29854.8372</v>
      </c>
      <c r="AF580" t="n">
        <v>0.99</v>
      </c>
      <c r="AG580" t="inlineStr">
        <is>
          <t>Critical</t>
        </is>
      </c>
      <c r="AH580" t="inlineStr">
        <is>
          <t>On Track to Glide Path</t>
        </is>
      </c>
    </row>
    <row r="581">
      <c r="A581" t="inlineStr">
        <is>
          <t>SUP-0037</t>
        </is>
      </c>
      <c r="B581" t="inlineStr">
        <is>
          <t>Agriculture Supplier 037</t>
        </is>
      </c>
      <c r="C581" t="inlineStr">
        <is>
          <t>Agriculture</t>
        </is>
      </c>
      <c r="D581" t="n">
        <v>2024</v>
      </c>
      <c r="E581" t="n">
        <v>2019</v>
      </c>
      <c r="F581" t="n">
        <v>2035</v>
      </c>
      <c r="G581" t="n">
        <v>24172.2297</v>
      </c>
      <c r="H581" t="inlineStr"/>
      <c r="I581" t="n">
        <v>3839.1525</v>
      </c>
      <c r="J581" t="n">
        <v>15298.1023</v>
      </c>
      <c r="K581" t="n">
        <v>35588458.58</v>
      </c>
      <c r="L581" t="n">
        <v>116985827.89</v>
      </c>
      <c r="M581" t="n">
        <v>24172.2297</v>
      </c>
      <c r="N581" t="inlineStr">
        <is>
          <t>Supplier Reported Emissions</t>
        </is>
      </c>
      <c r="O581" t="b">
        <v>0</v>
      </c>
      <c r="P581" t="inlineStr">
        <is>
          <t>High</t>
        </is>
      </c>
      <c r="Q581" t="inlineStr">
        <is>
          <t>Scope_Emissions</t>
        </is>
      </c>
      <c r="R581" t="inlineStr">
        <is>
          <t>Valid</t>
        </is>
      </c>
      <c r="S581" t="n">
        <v>2028</v>
      </c>
      <c r="T581" t="inlineStr">
        <is>
          <t>Supplier Target Pathway</t>
        </is>
      </c>
      <c r="U581" t="n">
        <v>13104.249</v>
      </c>
      <c r="V581" t="n">
        <v>5898.2225</v>
      </c>
      <c r="W581" t="n">
        <v>9050.8591</v>
      </c>
      <c r="X581" t="n">
        <v>9050.8591</v>
      </c>
      <c r="Y581" t="n">
        <v>4053.3899</v>
      </c>
      <c r="Z581" t="n">
        <v>0.00025432</v>
      </c>
      <c r="AA581" t="n">
        <v>0.309319</v>
      </c>
      <c r="AB581" t="n">
        <v>3152.6366</v>
      </c>
      <c r="AC581" t="n">
        <v>450.3767</v>
      </c>
      <c r="AD581" t="n">
        <v>25974.7512</v>
      </c>
      <c r="AE581" t="n">
        <v>38905.6963</v>
      </c>
      <c r="AF581" t="n">
        <v>0.99</v>
      </c>
      <c r="AG581" t="inlineStr">
        <is>
          <t>Critical</t>
        </is>
      </c>
      <c r="AH581" t="inlineStr">
        <is>
          <t>On Track to Glide Path</t>
        </is>
      </c>
    </row>
    <row r="582">
      <c r="A582" t="inlineStr">
        <is>
          <t>SUP-0037</t>
        </is>
      </c>
      <c r="B582" t="inlineStr">
        <is>
          <t>Agriculture Supplier 037</t>
        </is>
      </c>
      <c r="C582" t="inlineStr">
        <is>
          <t>Agriculture</t>
        </is>
      </c>
      <c r="D582" t="n">
        <v>2024</v>
      </c>
      <c r="E582" t="n">
        <v>2019</v>
      </c>
      <c r="F582" t="n">
        <v>2035</v>
      </c>
      <c r="G582" t="n">
        <v>24172.2297</v>
      </c>
      <c r="H582" t="inlineStr"/>
      <c r="I582" t="n">
        <v>3839.1525</v>
      </c>
      <c r="J582" t="n">
        <v>15298.1023</v>
      </c>
      <c r="K582" t="n">
        <v>35588458.58</v>
      </c>
      <c r="L582" t="n">
        <v>116985827.89</v>
      </c>
      <c r="M582" t="n">
        <v>24172.2297</v>
      </c>
      <c r="N582" t="inlineStr">
        <is>
          <t>Supplier Reported Emissions</t>
        </is>
      </c>
      <c r="O582" t="b">
        <v>0</v>
      </c>
      <c r="P582" t="inlineStr">
        <is>
          <t>High</t>
        </is>
      </c>
      <c r="Q582" t="inlineStr">
        <is>
          <t>Scope_Emissions</t>
        </is>
      </c>
      <c r="R582" t="inlineStr">
        <is>
          <t>Valid</t>
        </is>
      </c>
      <c r="S582" t="n">
        <v>2029</v>
      </c>
      <c r="T582" t="inlineStr">
        <is>
          <t>Supplier Target Pathway</t>
        </is>
      </c>
      <c r="U582" t="n">
        <v>13104.249</v>
      </c>
      <c r="V582" t="n">
        <v>5898.2225</v>
      </c>
      <c r="W582" t="n">
        <v>8600.482400000001</v>
      </c>
      <c r="X582" t="n">
        <v>8600.482400000001</v>
      </c>
      <c r="Y582" t="n">
        <v>4503.7666</v>
      </c>
      <c r="Z582" t="n">
        <v>0.00024166</v>
      </c>
      <c r="AA582" t="n">
        <v>0.343688</v>
      </c>
      <c r="AB582" t="n">
        <v>2702.2599</v>
      </c>
      <c r="AC582" t="n">
        <v>450.3767</v>
      </c>
      <c r="AD582" t="n">
        <v>17374.2688</v>
      </c>
      <c r="AE582" t="n">
        <v>47506.1787</v>
      </c>
      <c r="AF582" t="n">
        <v>0.99</v>
      </c>
      <c r="AG582" t="inlineStr">
        <is>
          <t>Critical</t>
        </is>
      </c>
      <c r="AH582" t="inlineStr">
        <is>
          <t>On Track to Glide Path</t>
        </is>
      </c>
    </row>
    <row r="583">
      <c r="A583" t="inlineStr">
        <is>
          <t>SUP-0037</t>
        </is>
      </c>
      <c r="B583" t="inlineStr">
        <is>
          <t>Agriculture Supplier 037</t>
        </is>
      </c>
      <c r="C583" t="inlineStr">
        <is>
          <t>Agriculture</t>
        </is>
      </c>
      <c r="D583" t="n">
        <v>2024</v>
      </c>
      <c r="E583" t="n">
        <v>2019</v>
      </c>
      <c r="F583" t="n">
        <v>2035</v>
      </c>
      <c r="G583" t="n">
        <v>24172.2297</v>
      </c>
      <c r="H583" t="inlineStr"/>
      <c r="I583" t="n">
        <v>3839.1525</v>
      </c>
      <c r="J583" t="n">
        <v>15298.1023</v>
      </c>
      <c r="K583" t="n">
        <v>35588458.58</v>
      </c>
      <c r="L583" t="n">
        <v>116985827.89</v>
      </c>
      <c r="M583" t="n">
        <v>24172.2297</v>
      </c>
      <c r="N583" t="inlineStr">
        <is>
          <t>Supplier Reported Emissions</t>
        </is>
      </c>
      <c r="O583" t="b">
        <v>0</v>
      </c>
      <c r="P583" t="inlineStr">
        <is>
          <t>High</t>
        </is>
      </c>
      <c r="Q583" t="inlineStr">
        <is>
          <t>Scope_Emissions</t>
        </is>
      </c>
      <c r="R583" t="inlineStr">
        <is>
          <t>Valid</t>
        </is>
      </c>
      <c r="S583" t="n">
        <v>2030</v>
      </c>
      <c r="T583" t="inlineStr">
        <is>
          <t>Supplier Target Pathway</t>
        </is>
      </c>
      <c r="U583" t="n">
        <v>13104.249</v>
      </c>
      <c r="V583" t="n">
        <v>5898.2225</v>
      </c>
      <c r="W583" t="n">
        <v>8150.1058</v>
      </c>
      <c r="X583" t="n">
        <v>8150.1058</v>
      </c>
      <c r="Y583" t="n">
        <v>4954.1432</v>
      </c>
      <c r="Z583" t="n">
        <v>0.00022901</v>
      </c>
      <c r="AA583" t="n">
        <v>0.378056</v>
      </c>
      <c r="AB583" t="n">
        <v>2251.8833</v>
      </c>
      <c r="AC583" t="n">
        <v>450.3767</v>
      </c>
      <c r="AD583" t="n">
        <v>9224.163</v>
      </c>
      <c r="AE583" t="n">
        <v>55656.2845</v>
      </c>
      <c r="AF583" t="n">
        <v>0.99</v>
      </c>
      <c r="AG583" t="inlineStr">
        <is>
          <t>Critical</t>
        </is>
      </c>
      <c r="AH583" t="inlineStr">
        <is>
          <t>On Track to Glide Path</t>
        </is>
      </c>
    </row>
    <row r="584">
      <c r="A584" t="inlineStr">
        <is>
          <t>SUP-0037</t>
        </is>
      </c>
      <c r="B584" t="inlineStr">
        <is>
          <t>Agriculture Supplier 037</t>
        </is>
      </c>
      <c r="C584" t="inlineStr">
        <is>
          <t>Agriculture</t>
        </is>
      </c>
      <c r="D584" t="n">
        <v>2024</v>
      </c>
      <c r="E584" t="n">
        <v>2019</v>
      </c>
      <c r="F584" t="n">
        <v>2035</v>
      </c>
      <c r="G584" t="n">
        <v>24172.2297</v>
      </c>
      <c r="H584" t="inlineStr"/>
      <c r="I584" t="n">
        <v>3839.1525</v>
      </c>
      <c r="J584" t="n">
        <v>15298.1023</v>
      </c>
      <c r="K584" t="n">
        <v>35588458.58</v>
      </c>
      <c r="L584" t="n">
        <v>116985827.89</v>
      </c>
      <c r="M584" t="n">
        <v>24172.2297</v>
      </c>
      <c r="N584" t="inlineStr">
        <is>
          <t>Supplier Reported Emissions</t>
        </is>
      </c>
      <c r="O584" t="b">
        <v>0</v>
      </c>
      <c r="P584" t="inlineStr">
        <is>
          <t>High</t>
        </is>
      </c>
      <c r="Q584" t="inlineStr">
        <is>
          <t>Scope_Emissions</t>
        </is>
      </c>
      <c r="R584" t="inlineStr">
        <is>
          <t>Valid</t>
        </is>
      </c>
      <c r="S584" t="n">
        <v>2031</v>
      </c>
      <c r="T584" t="inlineStr">
        <is>
          <t>Supplier Target Pathway</t>
        </is>
      </c>
      <c r="U584" t="n">
        <v>13104.249</v>
      </c>
      <c r="V584" t="n">
        <v>5898.2225</v>
      </c>
      <c r="W584" t="n">
        <v>7699.7291</v>
      </c>
      <c r="X584" t="n">
        <v>7699.7291</v>
      </c>
      <c r="Y584" t="n">
        <v>5404.5199</v>
      </c>
      <c r="Z584" t="n">
        <v>0.00021635</v>
      </c>
      <c r="AA584" t="n">
        <v>0.412425</v>
      </c>
      <c r="AB584" t="n">
        <v>1801.5066</v>
      </c>
      <c r="AC584" t="n">
        <v>450.3767</v>
      </c>
      <c r="AD584" t="n">
        <v>1524.4339</v>
      </c>
      <c r="AE584" t="n">
        <v>63356.0136</v>
      </c>
      <c r="AF584" t="n">
        <v>0.99</v>
      </c>
      <c r="AG584" t="inlineStr">
        <is>
          <t>High</t>
        </is>
      </c>
      <c r="AH584" t="inlineStr">
        <is>
          <t>On Track to Glide Path</t>
        </is>
      </c>
    </row>
    <row r="585">
      <c r="A585" t="inlineStr">
        <is>
          <t>SUP-0037</t>
        </is>
      </c>
      <c r="B585" t="inlineStr">
        <is>
          <t>Agriculture Supplier 037</t>
        </is>
      </c>
      <c r="C585" t="inlineStr">
        <is>
          <t>Agriculture</t>
        </is>
      </c>
      <c r="D585" t="n">
        <v>2024</v>
      </c>
      <c r="E585" t="n">
        <v>2019</v>
      </c>
      <c r="F585" t="n">
        <v>2035</v>
      </c>
      <c r="G585" t="n">
        <v>24172.2297</v>
      </c>
      <c r="H585" t="inlineStr"/>
      <c r="I585" t="n">
        <v>3839.1525</v>
      </c>
      <c r="J585" t="n">
        <v>15298.1023</v>
      </c>
      <c r="K585" t="n">
        <v>35588458.58</v>
      </c>
      <c r="L585" t="n">
        <v>116985827.89</v>
      </c>
      <c r="M585" t="n">
        <v>24172.2297</v>
      </c>
      <c r="N585" t="inlineStr">
        <is>
          <t>Supplier Reported Emissions</t>
        </is>
      </c>
      <c r="O585" t="b">
        <v>0</v>
      </c>
      <c r="P585" t="inlineStr">
        <is>
          <t>High</t>
        </is>
      </c>
      <c r="Q585" t="inlineStr">
        <is>
          <t>Scope_Emissions</t>
        </is>
      </c>
      <c r="R585" t="inlineStr">
        <is>
          <t>Valid</t>
        </is>
      </c>
      <c r="S585" t="n">
        <v>2032</v>
      </c>
      <c r="T585" t="inlineStr">
        <is>
          <t>Supplier Target Pathway</t>
        </is>
      </c>
      <c r="U585" t="n">
        <v>13104.249</v>
      </c>
      <c r="V585" t="n">
        <v>5898.2225</v>
      </c>
      <c r="W585" t="n">
        <v>7249.3524</v>
      </c>
      <c r="X585" t="n">
        <v>7249.3524</v>
      </c>
      <c r="Y585" t="n">
        <v>5854.8966</v>
      </c>
      <c r="Z585" t="n">
        <v>0.0002037</v>
      </c>
      <c r="AA585" t="n">
        <v>0.446794</v>
      </c>
      <c r="AB585" t="n">
        <v>1351.13</v>
      </c>
      <c r="AC585" t="n">
        <v>450.3767</v>
      </c>
      <c r="AD585" t="n">
        <v>-5724.9185</v>
      </c>
      <c r="AE585" t="n">
        <v>70605.36599999999</v>
      </c>
      <c r="AF585" t="n">
        <v>0.99</v>
      </c>
      <c r="AG585" t="inlineStr">
        <is>
          <t>High</t>
        </is>
      </c>
      <c r="AH585" t="inlineStr">
        <is>
          <t>On Track to Glide Path</t>
        </is>
      </c>
    </row>
    <row r="586">
      <c r="A586" t="inlineStr">
        <is>
          <t>SUP-0037</t>
        </is>
      </c>
      <c r="B586" t="inlineStr">
        <is>
          <t>Agriculture Supplier 037</t>
        </is>
      </c>
      <c r="C586" t="inlineStr">
        <is>
          <t>Agriculture</t>
        </is>
      </c>
      <c r="D586" t="n">
        <v>2024</v>
      </c>
      <c r="E586" t="n">
        <v>2019</v>
      </c>
      <c r="F586" t="n">
        <v>2035</v>
      </c>
      <c r="G586" t="n">
        <v>24172.2297</v>
      </c>
      <c r="H586" t="inlineStr"/>
      <c r="I586" t="n">
        <v>3839.1525</v>
      </c>
      <c r="J586" t="n">
        <v>15298.1023</v>
      </c>
      <c r="K586" t="n">
        <v>35588458.58</v>
      </c>
      <c r="L586" t="n">
        <v>116985827.89</v>
      </c>
      <c r="M586" t="n">
        <v>24172.2297</v>
      </c>
      <c r="N586" t="inlineStr">
        <is>
          <t>Supplier Reported Emissions</t>
        </is>
      </c>
      <c r="O586" t="b">
        <v>0</v>
      </c>
      <c r="P586" t="inlineStr">
        <is>
          <t>High</t>
        </is>
      </c>
      <c r="Q586" t="inlineStr">
        <is>
          <t>Scope_Emissions</t>
        </is>
      </c>
      <c r="R586" t="inlineStr">
        <is>
          <t>Valid</t>
        </is>
      </c>
      <c r="S586" t="n">
        <v>2033</v>
      </c>
      <c r="T586" t="inlineStr">
        <is>
          <t>Supplier Target Pathway</t>
        </is>
      </c>
      <c r="U586" t="n">
        <v>13104.249</v>
      </c>
      <c r="V586" t="n">
        <v>5898.2225</v>
      </c>
      <c r="W586" t="n">
        <v>6798.9758</v>
      </c>
      <c r="X586" t="n">
        <v>6798.9758</v>
      </c>
      <c r="Y586" t="n">
        <v>6305.2732</v>
      </c>
      <c r="Z586" t="n">
        <v>0.00019104</v>
      </c>
      <c r="AA586" t="n">
        <v>0.481163</v>
      </c>
      <c r="AB586" t="n">
        <v>900.7533</v>
      </c>
      <c r="AC586" t="n">
        <v>450.3767</v>
      </c>
      <c r="AD586" t="n">
        <v>-12523.8943</v>
      </c>
      <c r="AE586" t="n">
        <v>77404.34179999999</v>
      </c>
      <c r="AF586" t="n">
        <v>0.99</v>
      </c>
      <c r="AG586" t="inlineStr">
        <is>
          <t>High</t>
        </is>
      </c>
      <c r="AH586" t="inlineStr">
        <is>
          <t>On Track to Glide Path</t>
        </is>
      </c>
    </row>
    <row r="587">
      <c r="A587" t="inlineStr">
        <is>
          <t>SUP-0037</t>
        </is>
      </c>
      <c r="B587" t="inlineStr">
        <is>
          <t>Agriculture Supplier 037</t>
        </is>
      </c>
      <c r="C587" t="inlineStr">
        <is>
          <t>Agriculture</t>
        </is>
      </c>
      <c r="D587" t="n">
        <v>2024</v>
      </c>
      <c r="E587" t="n">
        <v>2019</v>
      </c>
      <c r="F587" t="n">
        <v>2035</v>
      </c>
      <c r="G587" t="n">
        <v>24172.2297</v>
      </c>
      <c r="H587" t="inlineStr"/>
      <c r="I587" t="n">
        <v>3839.1525</v>
      </c>
      <c r="J587" t="n">
        <v>15298.1023</v>
      </c>
      <c r="K587" t="n">
        <v>35588458.58</v>
      </c>
      <c r="L587" t="n">
        <v>116985827.89</v>
      </c>
      <c r="M587" t="n">
        <v>24172.2297</v>
      </c>
      <c r="N587" t="inlineStr">
        <is>
          <t>Supplier Reported Emissions</t>
        </is>
      </c>
      <c r="O587" t="b">
        <v>0</v>
      </c>
      <c r="P587" t="inlineStr">
        <is>
          <t>High</t>
        </is>
      </c>
      <c r="Q587" t="inlineStr">
        <is>
          <t>Scope_Emissions</t>
        </is>
      </c>
      <c r="R587" t="inlineStr">
        <is>
          <t>Valid</t>
        </is>
      </c>
      <c r="S587" t="n">
        <v>2034</v>
      </c>
      <c r="T587" t="inlineStr">
        <is>
          <t>Supplier Target Pathway</t>
        </is>
      </c>
      <c r="U587" t="n">
        <v>13104.249</v>
      </c>
      <c r="V587" t="n">
        <v>5898.2225</v>
      </c>
      <c r="W587" t="n">
        <v>6348.5991</v>
      </c>
      <c r="X587" t="n">
        <v>6348.5991</v>
      </c>
      <c r="Y587" t="n">
        <v>6755.6499</v>
      </c>
      <c r="Z587" t="n">
        <v>0.00017839</v>
      </c>
      <c r="AA587" t="n">
        <v>0.515531</v>
      </c>
      <c r="AB587" t="n">
        <v>450.3767</v>
      </c>
      <c r="AC587" t="n">
        <v>450.3767</v>
      </c>
      <c r="AD587" t="n">
        <v>-18872.4934</v>
      </c>
      <c r="AE587" t="n">
        <v>83752.9409</v>
      </c>
      <c r="AF587" t="n">
        <v>0.99</v>
      </c>
      <c r="AG587" t="inlineStr">
        <is>
          <t>Medium</t>
        </is>
      </c>
      <c r="AH587" t="inlineStr">
        <is>
          <t>On Track to Glide Path</t>
        </is>
      </c>
    </row>
    <row r="588">
      <c r="A588" t="inlineStr">
        <is>
          <t>SUP-0037</t>
        </is>
      </c>
      <c r="B588" t="inlineStr">
        <is>
          <t>Agriculture Supplier 037</t>
        </is>
      </c>
      <c r="C588" t="inlineStr">
        <is>
          <t>Agriculture</t>
        </is>
      </c>
      <c r="D588" t="n">
        <v>2024</v>
      </c>
      <c r="E588" t="n">
        <v>2019</v>
      </c>
      <c r="F588" t="n">
        <v>2035</v>
      </c>
      <c r="G588" t="n">
        <v>24172.2297</v>
      </c>
      <c r="H588" t="inlineStr"/>
      <c r="I588" t="n">
        <v>3839.1525</v>
      </c>
      <c r="J588" t="n">
        <v>15298.1023</v>
      </c>
      <c r="K588" t="n">
        <v>35588458.58</v>
      </c>
      <c r="L588" t="n">
        <v>116985827.89</v>
      </c>
      <c r="M588" t="n">
        <v>24172.2297</v>
      </c>
      <c r="N588" t="inlineStr">
        <is>
          <t>Supplier Reported Emissions</t>
        </is>
      </c>
      <c r="O588" t="b">
        <v>0</v>
      </c>
      <c r="P588" t="inlineStr">
        <is>
          <t>High</t>
        </is>
      </c>
      <c r="Q588" t="inlineStr">
        <is>
          <t>Scope_Emissions</t>
        </is>
      </c>
      <c r="R588" t="inlineStr">
        <is>
          <t>Valid</t>
        </is>
      </c>
      <c r="S588" t="n">
        <v>2035</v>
      </c>
      <c r="T588" t="inlineStr">
        <is>
          <t>Supplier Target Pathway</t>
        </is>
      </c>
      <c r="U588" t="n">
        <v>13104.249</v>
      </c>
      <c r="V588" t="n">
        <v>5898.2225</v>
      </c>
      <c r="W588" t="n">
        <v>5898.2225</v>
      </c>
      <c r="X588" t="n">
        <v>5898.2225</v>
      </c>
      <c r="Y588" t="n">
        <v>7206.0265</v>
      </c>
      <c r="Z588" t="n">
        <v>0.00016573</v>
      </c>
      <c r="AA588" t="n">
        <v>0.5499000000000001</v>
      </c>
      <c r="AB588" t="n">
        <v>0</v>
      </c>
      <c r="AC588" t="n">
        <v>450.3767</v>
      </c>
      <c r="AD588" t="n">
        <v>-24770.7159</v>
      </c>
      <c r="AE588" t="n">
        <v>89651.1634</v>
      </c>
      <c r="AF588" t="n">
        <v>0.99</v>
      </c>
      <c r="AG588" t="inlineStr">
        <is>
          <t>Low</t>
        </is>
      </c>
      <c r="AH588" t="inlineStr">
        <is>
          <t>On Track</t>
        </is>
      </c>
    </row>
    <row r="589">
      <c r="A589" t="inlineStr">
        <is>
          <t>SUP-0037</t>
        </is>
      </c>
      <c r="B589" t="inlineStr">
        <is>
          <t>Agriculture Supplier 037</t>
        </is>
      </c>
      <c r="C589" t="inlineStr">
        <is>
          <t>Agriculture</t>
        </is>
      </c>
      <c r="D589" t="n">
        <v>2024</v>
      </c>
      <c r="E589" t="n">
        <v>2019</v>
      </c>
      <c r="F589" t="n">
        <v>2035</v>
      </c>
      <c r="G589" t="n">
        <v>24172.2297</v>
      </c>
      <c r="H589" t="inlineStr"/>
      <c r="I589" t="n">
        <v>3839.1525</v>
      </c>
      <c r="J589" t="n">
        <v>15298.1023</v>
      </c>
      <c r="K589" t="n">
        <v>35588458.58</v>
      </c>
      <c r="L589" t="n">
        <v>116985827.89</v>
      </c>
      <c r="M589" t="n">
        <v>24172.2297</v>
      </c>
      <c r="N589" t="inlineStr">
        <is>
          <t>Supplier Reported Emissions</t>
        </is>
      </c>
      <c r="O589" t="b">
        <v>0</v>
      </c>
      <c r="P589" t="inlineStr">
        <is>
          <t>High</t>
        </is>
      </c>
      <c r="Q589" t="inlineStr">
        <is>
          <t>Scope_Emissions</t>
        </is>
      </c>
      <c r="R589" t="inlineStr">
        <is>
          <t>Valid</t>
        </is>
      </c>
      <c r="S589" t="n">
        <v>2036</v>
      </c>
      <c r="T589" t="inlineStr">
        <is>
          <t>Supplier Target Pathway</t>
        </is>
      </c>
      <c r="U589" t="n">
        <v>13104.249</v>
      </c>
      <c r="V589" t="n">
        <v>5898.2225</v>
      </c>
      <c r="W589" t="n">
        <v>5898.2225</v>
      </c>
      <c r="X589" t="n">
        <v>5898.2225</v>
      </c>
      <c r="Y589" t="n">
        <v>7206.0265</v>
      </c>
      <c r="Z589" t="n">
        <v>0.00016573</v>
      </c>
      <c r="AA589" t="n">
        <v>0.5499000000000001</v>
      </c>
      <c r="AB589" t="n">
        <v>0</v>
      </c>
      <c r="AC589" t="n">
        <v>450.3767</v>
      </c>
      <c r="AD589" t="n">
        <v>-30668.9384</v>
      </c>
      <c r="AE589" t="n">
        <v>95549.38589999999</v>
      </c>
      <c r="AF589" t="n">
        <v>0.99</v>
      </c>
      <c r="AG589" t="inlineStr">
        <is>
          <t>Low</t>
        </is>
      </c>
      <c r="AH589" t="inlineStr">
        <is>
          <t>On Track</t>
        </is>
      </c>
    </row>
    <row r="590">
      <c r="A590" t="inlineStr">
        <is>
          <t>SUP-0037</t>
        </is>
      </c>
      <c r="B590" t="inlineStr">
        <is>
          <t>Agriculture Supplier 037</t>
        </is>
      </c>
      <c r="C590" t="inlineStr">
        <is>
          <t>Agriculture</t>
        </is>
      </c>
      <c r="D590" t="n">
        <v>2024</v>
      </c>
      <c r="E590" t="n">
        <v>2019</v>
      </c>
      <c r="F590" t="n">
        <v>2035</v>
      </c>
      <c r="G590" t="n">
        <v>24172.2297</v>
      </c>
      <c r="H590" t="inlineStr"/>
      <c r="I590" t="n">
        <v>3839.1525</v>
      </c>
      <c r="J590" t="n">
        <v>15298.1023</v>
      </c>
      <c r="K590" t="n">
        <v>35588458.58</v>
      </c>
      <c r="L590" t="n">
        <v>116985827.89</v>
      </c>
      <c r="M590" t="n">
        <v>24172.2297</v>
      </c>
      <c r="N590" t="inlineStr">
        <is>
          <t>Supplier Reported Emissions</t>
        </is>
      </c>
      <c r="O590" t="b">
        <v>0</v>
      </c>
      <c r="P590" t="inlineStr">
        <is>
          <t>High</t>
        </is>
      </c>
      <c r="Q590" t="inlineStr">
        <is>
          <t>Scope_Emissions</t>
        </is>
      </c>
      <c r="R590" t="inlineStr">
        <is>
          <t>Valid</t>
        </is>
      </c>
      <c r="S590" t="n">
        <v>2037</v>
      </c>
      <c r="T590" t="inlineStr">
        <is>
          <t>Supplier Target Pathway</t>
        </is>
      </c>
      <c r="U590" t="n">
        <v>13104.249</v>
      </c>
      <c r="V590" t="n">
        <v>5898.2225</v>
      </c>
      <c r="W590" t="n">
        <v>5898.2225</v>
      </c>
      <c r="X590" t="n">
        <v>5898.2225</v>
      </c>
      <c r="Y590" t="n">
        <v>7206.0265</v>
      </c>
      <c r="Z590" t="n">
        <v>0.00016573</v>
      </c>
      <c r="AA590" t="n">
        <v>0.5499000000000001</v>
      </c>
      <c r="AB590" t="n">
        <v>0</v>
      </c>
      <c r="AC590" t="n">
        <v>450.3767</v>
      </c>
      <c r="AD590" t="n">
        <v>-36567.1609</v>
      </c>
      <c r="AE590" t="n">
        <v>101447.6084</v>
      </c>
      <c r="AF590" t="n">
        <v>0.99</v>
      </c>
      <c r="AG590" t="inlineStr">
        <is>
          <t>Low</t>
        </is>
      </c>
      <c r="AH590" t="inlineStr">
        <is>
          <t>On Track</t>
        </is>
      </c>
    </row>
    <row r="591">
      <c r="A591" t="inlineStr">
        <is>
          <t>SUP-0037</t>
        </is>
      </c>
      <c r="B591" t="inlineStr">
        <is>
          <t>Agriculture Supplier 037</t>
        </is>
      </c>
      <c r="C591" t="inlineStr">
        <is>
          <t>Agriculture</t>
        </is>
      </c>
      <c r="D591" t="n">
        <v>2024</v>
      </c>
      <c r="E591" t="n">
        <v>2019</v>
      </c>
      <c r="F591" t="n">
        <v>2035</v>
      </c>
      <c r="G591" t="n">
        <v>24172.2297</v>
      </c>
      <c r="H591" t="inlineStr"/>
      <c r="I591" t="n">
        <v>3839.1525</v>
      </c>
      <c r="J591" t="n">
        <v>15298.1023</v>
      </c>
      <c r="K591" t="n">
        <v>35588458.58</v>
      </c>
      <c r="L591" t="n">
        <v>116985827.89</v>
      </c>
      <c r="M591" t="n">
        <v>24172.2297</v>
      </c>
      <c r="N591" t="inlineStr">
        <is>
          <t>Supplier Reported Emissions</t>
        </is>
      </c>
      <c r="O591" t="b">
        <v>0</v>
      </c>
      <c r="P591" t="inlineStr">
        <is>
          <t>High</t>
        </is>
      </c>
      <c r="Q591" t="inlineStr">
        <is>
          <t>Scope_Emissions</t>
        </is>
      </c>
      <c r="R591" t="inlineStr">
        <is>
          <t>Valid</t>
        </is>
      </c>
      <c r="S591" t="n">
        <v>2038</v>
      </c>
      <c r="T591" t="inlineStr">
        <is>
          <t>Supplier Target Pathway</t>
        </is>
      </c>
      <c r="U591" t="n">
        <v>13104.249</v>
      </c>
      <c r="V591" t="n">
        <v>5898.2225</v>
      </c>
      <c r="W591" t="n">
        <v>5898.2225</v>
      </c>
      <c r="X591" t="n">
        <v>5898.2225</v>
      </c>
      <c r="Y591" t="n">
        <v>7206.0265</v>
      </c>
      <c r="Z591" t="n">
        <v>0.00016573</v>
      </c>
      <c r="AA591" t="n">
        <v>0.5499000000000001</v>
      </c>
      <c r="AB591" t="n">
        <v>0</v>
      </c>
      <c r="AC591" t="n">
        <v>450.3767</v>
      </c>
      <c r="AD591" t="n">
        <v>-42465.3834</v>
      </c>
      <c r="AE591" t="n">
        <v>107345.8309</v>
      </c>
      <c r="AF591" t="n">
        <v>0.99</v>
      </c>
      <c r="AG591" t="inlineStr">
        <is>
          <t>Low</t>
        </is>
      </c>
      <c r="AH591" t="inlineStr">
        <is>
          <t>On Track</t>
        </is>
      </c>
    </row>
    <row r="592">
      <c r="A592" t="inlineStr">
        <is>
          <t>SUP-0037</t>
        </is>
      </c>
      <c r="B592" t="inlineStr">
        <is>
          <t>Agriculture Supplier 037</t>
        </is>
      </c>
      <c r="C592" t="inlineStr">
        <is>
          <t>Agriculture</t>
        </is>
      </c>
      <c r="D592" t="n">
        <v>2024</v>
      </c>
      <c r="E592" t="n">
        <v>2019</v>
      </c>
      <c r="F592" t="n">
        <v>2035</v>
      </c>
      <c r="G592" t="n">
        <v>24172.2297</v>
      </c>
      <c r="H592" t="inlineStr"/>
      <c r="I592" t="n">
        <v>3839.1525</v>
      </c>
      <c r="J592" t="n">
        <v>15298.1023</v>
      </c>
      <c r="K592" t="n">
        <v>35588458.58</v>
      </c>
      <c r="L592" t="n">
        <v>116985827.89</v>
      </c>
      <c r="M592" t="n">
        <v>24172.2297</v>
      </c>
      <c r="N592" t="inlineStr">
        <is>
          <t>Supplier Reported Emissions</t>
        </is>
      </c>
      <c r="O592" t="b">
        <v>0</v>
      </c>
      <c r="P592" t="inlineStr">
        <is>
          <t>High</t>
        </is>
      </c>
      <c r="Q592" t="inlineStr">
        <is>
          <t>Scope_Emissions</t>
        </is>
      </c>
      <c r="R592" t="inlineStr">
        <is>
          <t>Valid</t>
        </is>
      </c>
      <c r="S592" t="n">
        <v>2039</v>
      </c>
      <c r="T592" t="inlineStr">
        <is>
          <t>Supplier Target Pathway</t>
        </is>
      </c>
      <c r="U592" t="n">
        <v>13104.249</v>
      </c>
      <c r="V592" t="n">
        <v>5898.2225</v>
      </c>
      <c r="W592" t="n">
        <v>5898.2225</v>
      </c>
      <c r="X592" t="n">
        <v>5898.2225</v>
      </c>
      <c r="Y592" t="n">
        <v>7206.0265</v>
      </c>
      <c r="Z592" t="n">
        <v>0.00016573</v>
      </c>
      <c r="AA592" t="n">
        <v>0.5499000000000001</v>
      </c>
      <c r="AB592" t="n">
        <v>0</v>
      </c>
      <c r="AC592" t="n">
        <v>450.3767</v>
      </c>
      <c r="AD592" t="n">
        <v>-48363.6059</v>
      </c>
      <c r="AE592" t="n">
        <v>113244.0534</v>
      </c>
      <c r="AF592" t="n">
        <v>0.99</v>
      </c>
      <c r="AG592" t="inlineStr">
        <is>
          <t>Low</t>
        </is>
      </c>
      <c r="AH592" t="inlineStr">
        <is>
          <t>On Track</t>
        </is>
      </c>
    </row>
    <row r="593">
      <c r="A593" t="inlineStr">
        <is>
          <t>SUP-0037</t>
        </is>
      </c>
      <c r="B593" t="inlineStr">
        <is>
          <t>Agriculture Supplier 037</t>
        </is>
      </c>
      <c r="C593" t="inlineStr">
        <is>
          <t>Agriculture</t>
        </is>
      </c>
      <c r="D593" t="n">
        <v>2024</v>
      </c>
      <c r="E593" t="n">
        <v>2019</v>
      </c>
      <c r="F593" t="n">
        <v>2035</v>
      </c>
      <c r="G593" t="n">
        <v>24172.2297</v>
      </c>
      <c r="H593" t="inlineStr"/>
      <c r="I593" t="n">
        <v>3839.1525</v>
      </c>
      <c r="J593" t="n">
        <v>15298.1023</v>
      </c>
      <c r="K593" t="n">
        <v>35588458.58</v>
      </c>
      <c r="L593" t="n">
        <v>116985827.89</v>
      </c>
      <c r="M593" t="n">
        <v>24172.2297</v>
      </c>
      <c r="N593" t="inlineStr">
        <is>
          <t>Supplier Reported Emissions</t>
        </is>
      </c>
      <c r="O593" t="b">
        <v>0</v>
      </c>
      <c r="P593" t="inlineStr">
        <is>
          <t>High</t>
        </is>
      </c>
      <c r="Q593" t="inlineStr">
        <is>
          <t>Scope_Emissions</t>
        </is>
      </c>
      <c r="R593" t="inlineStr">
        <is>
          <t>Valid</t>
        </is>
      </c>
      <c r="S593" t="n">
        <v>2040</v>
      </c>
      <c r="T593" t="inlineStr">
        <is>
          <t>Supplier Target Pathway</t>
        </is>
      </c>
      <c r="U593" t="n">
        <v>13104.249</v>
      </c>
      <c r="V593" t="n">
        <v>5898.2225</v>
      </c>
      <c r="W593" t="n">
        <v>5898.2225</v>
      </c>
      <c r="X593" t="n">
        <v>5898.2225</v>
      </c>
      <c r="Y593" t="n">
        <v>7206.0265</v>
      </c>
      <c r="Z593" t="n">
        <v>0.00016573</v>
      </c>
      <c r="AA593" t="n">
        <v>0.5499000000000001</v>
      </c>
      <c r="AB593" t="n">
        <v>0</v>
      </c>
      <c r="AC593" t="n">
        <v>450.3767</v>
      </c>
      <c r="AD593" t="n">
        <v>-54261.8284</v>
      </c>
      <c r="AE593" t="n">
        <v>119142.2759</v>
      </c>
      <c r="AF593" t="n">
        <v>0.99</v>
      </c>
      <c r="AG593" t="inlineStr">
        <is>
          <t>Low</t>
        </is>
      </c>
      <c r="AH593" t="inlineStr">
        <is>
          <t>On Track</t>
        </is>
      </c>
    </row>
    <row r="594">
      <c r="A594" t="inlineStr">
        <is>
          <t>SUP-0038</t>
        </is>
      </c>
      <c r="B594" t="inlineStr">
        <is>
          <t>Agriculture Supplier 038</t>
        </is>
      </c>
      <c r="C594" t="inlineStr">
        <is>
          <t>Agriculture</t>
        </is>
      </c>
      <c r="D594" t="n">
        <v>2024</v>
      </c>
      <c r="E594" t="n">
        <v>2020</v>
      </c>
      <c r="F594" t="n">
        <v>2040</v>
      </c>
      <c r="G594" t="n">
        <v>29649.8869</v>
      </c>
      <c r="H594" t="n">
        <v>7511.1592</v>
      </c>
      <c r="I594" t="inlineStr"/>
      <c r="J594" t="n">
        <v>17952.3869</v>
      </c>
      <c r="K594" t="n">
        <v>44421179.83</v>
      </c>
      <c r="L594" t="n">
        <v>343175981.25</v>
      </c>
      <c r="M594" t="n">
        <v>29649.8869</v>
      </c>
      <c r="N594" t="inlineStr">
        <is>
          <t>Supplier Reported Emissions</t>
        </is>
      </c>
      <c r="O594" t="b">
        <v>0</v>
      </c>
      <c r="P594" t="inlineStr">
        <is>
          <t>High</t>
        </is>
      </c>
      <c r="Q594" t="inlineStr">
        <is>
          <t>Scope_Emissions</t>
        </is>
      </c>
      <c r="R594" t="inlineStr">
        <is>
          <t>Valid</t>
        </is>
      </c>
      <c r="S594" t="n">
        <v>2025</v>
      </c>
      <c r="T594" t="inlineStr">
        <is>
          <t>Supplier Target Pathway</t>
        </is>
      </c>
      <c r="U594" t="n">
        <v>33223.8893</v>
      </c>
      <c r="V594" t="n">
        <v>10578.4864</v>
      </c>
      <c r="W594" t="n">
        <v>27562.5386</v>
      </c>
      <c r="X594" t="n">
        <v>27562.5386</v>
      </c>
      <c r="Y594" t="n">
        <v>5661.3507</v>
      </c>
      <c r="Z594" t="n">
        <v>0.00062048</v>
      </c>
      <c r="AA594" t="n">
        <v>0.1704</v>
      </c>
      <c r="AB594" t="n">
        <v>16984.0522</v>
      </c>
      <c r="AC594" t="n">
        <v>1132.2701</v>
      </c>
      <c r="AD594" t="n">
        <v>141693.2438</v>
      </c>
      <c r="AE594" t="n">
        <v>27562.5386</v>
      </c>
      <c r="AF594" t="n">
        <v>0.99</v>
      </c>
      <c r="AG594" t="inlineStr">
        <is>
          <t>Critical</t>
        </is>
      </c>
      <c r="AH594" t="inlineStr">
        <is>
          <t>On Track to Glide Path</t>
        </is>
      </c>
    </row>
    <row r="595">
      <c r="A595" t="inlineStr">
        <is>
          <t>SUP-0038</t>
        </is>
      </c>
      <c r="B595" t="inlineStr">
        <is>
          <t>Agriculture Supplier 038</t>
        </is>
      </c>
      <c r="C595" t="inlineStr">
        <is>
          <t>Agriculture</t>
        </is>
      </c>
      <c r="D595" t="n">
        <v>2024</v>
      </c>
      <c r="E595" t="n">
        <v>2020</v>
      </c>
      <c r="F595" t="n">
        <v>2040</v>
      </c>
      <c r="G595" t="n">
        <v>29649.8869</v>
      </c>
      <c r="H595" t="n">
        <v>7511.1592</v>
      </c>
      <c r="I595" t="inlineStr"/>
      <c r="J595" t="n">
        <v>17952.3869</v>
      </c>
      <c r="K595" t="n">
        <v>44421179.83</v>
      </c>
      <c r="L595" t="n">
        <v>343175981.25</v>
      </c>
      <c r="M595" t="n">
        <v>29649.8869</v>
      </c>
      <c r="N595" t="inlineStr">
        <is>
          <t>Supplier Reported Emissions</t>
        </is>
      </c>
      <c r="O595" t="b">
        <v>0</v>
      </c>
      <c r="P595" t="inlineStr">
        <is>
          <t>High</t>
        </is>
      </c>
      <c r="Q595" t="inlineStr">
        <is>
          <t>Scope_Emissions</t>
        </is>
      </c>
      <c r="R595" t="inlineStr">
        <is>
          <t>Valid</t>
        </is>
      </c>
      <c r="S595" t="n">
        <v>2026</v>
      </c>
      <c r="T595" t="inlineStr">
        <is>
          <t>Supplier Target Pathway</t>
        </is>
      </c>
      <c r="U595" t="n">
        <v>33223.8893</v>
      </c>
      <c r="V595" t="n">
        <v>10578.4864</v>
      </c>
      <c r="W595" t="n">
        <v>26430.2684</v>
      </c>
      <c r="X595" t="n">
        <v>26430.2684</v>
      </c>
      <c r="Y595" t="n">
        <v>6793.6209</v>
      </c>
      <c r="Z595" t="n">
        <v>0.00059499</v>
      </c>
      <c r="AA595" t="n">
        <v>0.20448</v>
      </c>
      <c r="AB595" t="n">
        <v>15851.7821</v>
      </c>
      <c r="AC595" t="n">
        <v>1132.2701</v>
      </c>
      <c r="AD595" t="n">
        <v>115262.9754</v>
      </c>
      <c r="AE595" t="n">
        <v>53992.807</v>
      </c>
      <c r="AF595" t="n">
        <v>0.99</v>
      </c>
      <c r="AG595" t="inlineStr">
        <is>
          <t>Critical</t>
        </is>
      </c>
      <c r="AH595" t="inlineStr">
        <is>
          <t>On Track to Glide Path</t>
        </is>
      </c>
    </row>
    <row r="596">
      <c r="A596" t="inlineStr">
        <is>
          <t>SUP-0038</t>
        </is>
      </c>
      <c r="B596" t="inlineStr">
        <is>
          <t>Agriculture Supplier 038</t>
        </is>
      </c>
      <c r="C596" t="inlineStr">
        <is>
          <t>Agriculture</t>
        </is>
      </c>
      <c r="D596" t="n">
        <v>2024</v>
      </c>
      <c r="E596" t="n">
        <v>2020</v>
      </c>
      <c r="F596" t="n">
        <v>2040</v>
      </c>
      <c r="G596" t="n">
        <v>29649.8869</v>
      </c>
      <c r="H596" t="n">
        <v>7511.1592</v>
      </c>
      <c r="I596" t="inlineStr"/>
      <c r="J596" t="n">
        <v>17952.3869</v>
      </c>
      <c r="K596" t="n">
        <v>44421179.83</v>
      </c>
      <c r="L596" t="n">
        <v>343175981.25</v>
      </c>
      <c r="M596" t="n">
        <v>29649.8869</v>
      </c>
      <c r="N596" t="inlineStr">
        <is>
          <t>Supplier Reported Emissions</t>
        </is>
      </c>
      <c r="O596" t="b">
        <v>0</v>
      </c>
      <c r="P596" t="inlineStr">
        <is>
          <t>High</t>
        </is>
      </c>
      <c r="Q596" t="inlineStr">
        <is>
          <t>Scope_Emissions</t>
        </is>
      </c>
      <c r="R596" t="inlineStr">
        <is>
          <t>Valid</t>
        </is>
      </c>
      <c r="S596" t="n">
        <v>2027</v>
      </c>
      <c r="T596" t="inlineStr">
        <is>
          <t>Supplier Target Pathway</t>
        </is>
      </c>
      <c r="U596" t="n">
        <v>33223.8893</v>
      </c>
      <c r="V596" t="n">
        <v>10578.4864</v>
      </c>
      <c r="W596" t="n">
        <v>25297.9983</v>
      </c>
      <c r="X596" t="n">
        <v>25297.9983</v>
      </c>
      <c r="Y596" t="n">
        <v>7925.891</v>
      </c>
      <c r="Z596" t="n">
        <v>0.0005695</v>
      </c>
      <c r="AA596" t="n">
        <v>0.23856</v>
      </c>
      <c r="AB596" t="n">
        <v>14719.5119</v>
      </c>
      <c r="AC596" t="n">
        <v>1132.2701</v>
      </c>
      <c r="AD596" t="n">
        <v>89964.9771</v>
      </c>
      <c r="AE596" t="n">
        <v>79290.80530000001</v>
      </c>
      <c r="AF596" t="n">
        <v>0.99</v>
      </c>
      <c r="AG596" t="inlineStr">
        <is>
          <t>Critical</t>
        </is>
      </c>
      <c r="AH596" t="inlineStr">
        <is>
          <t>On Track to Glide Path</t>
        </is>
      </c>
    </row>
    <row r="597">
      <c r="A597" t="inlineStr">
        <is>
          <t>SUP-0038</t>
        </is>
      </c>
      <c r="B597" t="inlineStr">
        <is>
          <t>Agriculture Supplier 038</t>
        </is>
      </c>
      <c r="C597" t="inlineStr">
        <is>
          <t>Agriculture</t>
        </is>
      </c>
      <c r="D597" t="n">
        <v>2024</v>
      </c>
      <c r="E597" t="n">
        <v>2020</v>
      </c>
      <c r="F597" t="n">
        <v>2040</v>
      </c>
      <c r="G597" t="n">
        <v>29649.8869</v>
      </c>
      <c r="H597" t="n">
        <v>7511.1592</v>
      </c>
      <c r="I597" t="inlineStr"/>
      <c r="J597" t="n">
        <v>17952.3869</v>
      </c>
      <c r="K597" t="n">
        <v>44421179.83</v>
      </c>
      <c r="L597" t="n">
        <v>343175981.25</v>
      </c>
      <c r="M597" t="n">
        <v>29649.8869</v>
      </c>
      <c r="N597" t="inlineStr">
        <is>
          <t>Supplier Reported Emissions</t>
        </is>
      </c>
      <c r="O597" t="b">
        <v>0</v>
      </c>
      <c r="P597" t="inlineStr">
        <is>
          <t>High</t>
        </is>
      </c>
      <c r="Q597" t="inlineStr">
        <is>
          <t>Scope_Emissions</t>
        </is>
      </c>
      <c r="R597" t="inlineStr">
        <is>
          <t>Valid</t>
        </is>
      </c>
      <c r="S597" t="n">
        <v>2028</v>
      </c>
      <c r="T597" t="inlineStr">
        <is>
          <t>Supplier Target Pathway</t>
        </is>
      </c>
      <c r="U597" t="n">
        <v>33223.8893</v>
      </c>
      <c r="V597" t="n">
        <v>10578.4864</v>
      </c>
      <c r="W597" t="n">
        <v>24165.7281</v>
      </c>
      <c r="X597" t="n">
        <v>24165.7281</v>
      </c>
      <c r="Y597" t="n">
        <v>9058.1612</v>
      </c>
      <c r="Z597" t="n">
        <v>0.00054401</v>
      </c>
      <c r="AA597" t="n">
        <v>0.27264</v>
      </c>
      <c r="AB597" t="n">
        <v>13587.2418</v>
      </c>
      <c r="AC597" t="n">
        <v>1132.2701</v>
      </c>
      <c r="AD597" t="n">
        <v>65799.249</v>
      </c>
      <c r="AE597" t="n">
        <v>103456.5334</v>
      </c>
      <c r="AF597" t="n">
        <v>0.99</v>
      </c>
      <c r="AG597" t="inlineStr">
        <is>
          <t>Critical</t>
        </is>
      </c>
      <c r="AH597" t="inlineStr">
        <is>
          <t>On Track to Glide Path</t>
        </is>
      </c>
    </row>
    <row r="598">
      <c r="A598" t="inlineStr">
        <is>
          <t>SUP-0038</t>
        </is>
      </c>
      <c r="B598" t="inlineStr">
        <is>
          <t>Agriculture Supplier 038</t>
        </is>
      </c>
      <c r="C598" t="inlineStr">
        <is>
          <t>Agriculture</t>
        </is>
      </c>
      <c r="D598" t="n">
        <v>2024</v>
      </c>
      <c r="E598" t="n">
        <v>2020</v>
      </c>
      <c r="F598" t="n">
        <v>2040</v>
      </c>
      <c r="G598" t="n">
        <v>29649.8869</v>
      </c>
      <c r="H598" t="n">
        <v>7511.1592</v>
      </c>
      <c r="I598" t="inlineStr"/>
      <c r="J598" t="n">
        <v>17952.3869</v>
      </c>
      <c r="K598" t="n">
        <v>44421179.83</v>
      </c>
      <c r="L598" t="n">
        <v>343175981.25</v>
      </c>
      <c r="M598" t="n">
        <v>29649.8869</v>
      </c>
      <c r="N598" t="inlineStr">
        <is>
          <t>Supplier Reported Emissions</t>
        </is>
      </c>
      <c r="O598" t="b">
        <v>0</v>
      </c>
      <c r="P598" t="inlineStr">
        <is>
          <t>High</t>
        </is>
      </c>
      <c r="Q598" t="inlineStr">
        <is>
          <t>Scope_Emissions</t>
        </is>
      </c>
      <c r="R598" t="inlineStr">
        <is>
          <t>Valid</t>
        </is>
      </c>
      <c r="S598" t="n">
        <v>2029</v>
      </c>
      <c r="T598" t="inlineStr">
        <is>
          <t>Supplier Target Pathway</t>
        </is>
      </c>
      <c r="U598" t="n">
        <v>33223.8893</v>
      </c>
      <c r="V598" t="n">
        <v>10578.4864</v>
      </c>
      <c r="W598" t="n">
        <v>23033.458</v>
      </c>
      <c r="X598" t="n">
        <v>23033.458</v>
      </c>
      <c r="Y598" t="n">
        <v>10190.4313</v>
      </c>
      <c r="Z598" t="n">
        <v>0.00051852</v>
      </c>
      <c r="AA598" t="n">
        <v>0.30672</v>
      </c>
      <c r="AB598" t="n">
        <v>12454.9716</v>
      </c>
      <c r="AC598" t="n">
        <v>1132.2701</v>
      </c>
      <c r="AD598" t="n">
        <v>42765.791</v>
      </c>
      <c r="AE598" t="n">
        <v>126489.9914</v>
      </c>
      <c r="AF598" t="n">
        <v>0.99</v>
      </c>
      <c r="AG598" t="inlineStr">
        <is>
          <t>Critical</t>
        </is>
      </c>
      <c r="AH598" t="inlineStr">
        <is>
          <t>On Track to Glide Path</t>
        </is>
      </c>
    </row>
    <row r="599">
      <c r="A599" t="inlineStr">
        <is>
          <t>SUP-0038</t>
        </is>
      </c>
      <c r="B599" t="inlineStr">
        <is>
          <t>Agriculture Supplier 038</t>
        </is>
      </c>
      <c r="C599" t="inlineStr">
        <is>
          <t>Agriculture</t>
        </is>
      </c>
      <c r="D599" t="n">
        <v>2024</v>
      </c>
      <c r="E599" t="n">
        <v>2020</v>
      </c>
      <c r="F599" t="n">
        <v>2040</v>
      </c>
      <c r="G599" t="n">
        <v>29649.8869</v>
      </c>
      <c r="H599" t="n">
        <v>7511.1592</v>
      </c>
      <c r="I599" t="inlineStr"/>
      <c r="J599" t="n">
        <v>17952.3869</v>
      </c>
      <c r="K599" t="n">
        <v>44421179.83</v>
      </c>
      <c r="L599" t="n">
        <v>343175981.25</v>
      </c>
      <c r="M599" t="n">
        <v>29649.8869</v>
      </c>
      <c r="N599" t="inlineStr">
        <is>
          <t>Supplier Reported Emissions</t>
        </is>
      </c>
      <c r="O599" t="b">
        <v>0</v>
      </c>
      <c r="P599" t="inlineStr">
        <is>
          <t>High</t>
        </is>
      </c>
      <c r="Q599" t="inlineStr">
        <is>
          <t>Scope_Emissions</t>
        </is>
      </c>
      <c r="R599" t="inlineStr">
        <is>
          <t>Valid</t>
        </is>
      </c>
      <c r="S599" t="n">
        <v>2030</v>
      </c>
      <c r="T599" t="inlineStr">
        <is>
          <t>Supplier Target Pathway</t>
        </is>
      </c>
      <c r="U599" t="n">
        <v>33223.8893</v>
      </c>
      <c r="V599" t="n">
        <v>10578.4864</v>
      </c>
      <c r="W599" t="n">
        <v>21901.1878</v>
      </c>
      <c r="X599" t="n">
        <v>21901.1878</v>
      </c>
      <c r="Y599" t="n">
        <v>11322.7015</v>
      </c>
      <c r="Z599" t="n">
        <v>0.00049303</v>
      </c>
      <c r="AA599" t="n">
        <v>0.3408</v>
      </c>
      <c r="AB599" t="n">
        <v>11322.7015</v>
      </c>
      <c r="AC599" t="n">
        <v>1132.2701</v>
      </c>
      <c r="AD599" t="n">
        <v>20864.6032</v>
      </c>
      <c r="AE599" t="n">
        <v>148391.1792</v>
      </c>
      <c r="AF599" t="n">
        <v>0.99</v>
      </c>
      <c r="AG599" t="inlineStr">
        <is>
          <t>Critical</t>
        </is>
      </c>
      <c r="AH599" t="inlineStr">
        <is>
          <t>On Track to Glide Path</t>
        </is>
      </c>
    </row>
    <row r="600">
      <c r="A600" t="inlineStr">
        <is>
          <t>SUP-0038</t>
        </is>
      </c>
      <c r="B600" t="inlineStr">
        <is>
          <t>Agriculture Supplier 038</t>
        </is>
      </c>
      <c r="C600" t="inlineStr">
        <is>
          <t>Agriculture</t>
        </is>
      </c>
      <c r="D600" t="n">
        <v>2024</v>
      </c>
      <c r="E600" t="n">
        <v>2020</v>
      </c>
      <c r="F600" t="n">
        <v>2040</v>
      </c>
      <c r="G600" t="n">
        <v>29649.8869</v>
      </c>
      <c r="H600" t="n">
        <v>7511.1592</v>
      </c>
      <c r="I600" t="inlineStr"/>
      <c r="J600" t="n">
        <v>17952.3869</v>
      </c>
      <c r="K600" t="n">
        <v>44421179.83</v>
      </c>
      <c r="L600" t="n">
        <v>343175981.25</v>
      </c>
      <c r="M600" t="n">
        <v>29649.8869</v>
      </c>
      <c r="N600" t="inlineStr">
        <is>
          <t>Supplier Reported Emissions</t>
        </is>
      </c>
      <c r="O600" t="b">
        <v>0</v>
      </c>
      <c r="P600" t="inlineStr">
        <is>
          <t>High</t>
        </is>
      </c>
      <c r="Q600" t="inlineStr">
        <is>
          <t>Scope_Emissions</t>
        </is>
      </c>
      <c r="R600" t="inlineStr">
        <is>
          <t>Valid</t>
        </is>
      </c>
      <c r="S600" t="n">
        <v>2031</v>
      </c>
      <c r="T600" t="inlineStr">
        <is>
          <t>Supplier Target Pathway</t>
        </is>
      </c>
      <c r="U600" t="n">
        <v>33223.8893</v>
      </c>
      <c r="V600" t="n">
        <v>10578.4864</v>
      </c>
      <c r="W600" t="n">
        <v>20768.9177</v>
      </c>
      <c r="X600" t="n">
        <v>20768.9177</v>
      </c>
      <c r="Y600" t="n">
        <v>12454.9716</v>
      </c>
      <c r="Z600" t="n">
        <v>0.00046755</v>
      </c>
      <c r="AA600" t="n">
        <v>0.37488</v>
      </c>
      <c r="AB600" t="n">
        <v>10190.4313</v>
      </c>
      <c r="AC600" t="n">
        <v>1132.2701</v>
      </c>
      <c r="AD600" t="n">
        <v>95.6855</v>
      </c>
      <c r="AE600" t="n">
        <v>169160.0969</v>
      </c>
      <c r="AF600" t="n">
        <v>0.99</v>
      </c>
      <c r="AG600" t="inlineStr">
        <is>
          <t>Critical</t>
        </is>
      </c>
      <c r="AH600" t="inlineStr">
        <is>
          <t>On Track to Glide Path</t>
        </is>
      </c>
    </row>
    <row r="601">
      <c r="A601" t="inlineStr">
        <is>
          <t>SUP-0038</t>
        </is>
      </c>
      <c r="B601" t="inlineStr">
        <is>
          <t>Agriculture Supplier 038</t>
        </is>
      </c>
      <c r="C601" t="inlineStr">
        <is>
          <t>Agriculture</t>
        </is>
      </c>
      <c r="D601" t="n">
        <v>2024</v>
      </c>
      <c r="E601" t="n">
        <v>2020</v>
      </c>
      <c r="F601" t="n">
        <v>2040</v>
      </c>
      <c r="G601" t="n">
        <v>29649.8869</v>
      </c>
      <c r="H601" t="n">
        <v>7511.1592</v>
      </c>
      <c r="I601" t="inlineStr"/>
      <c r="J601" t="n">
        <v>17952.3869</v>
      </c>
      <c r="K601" t="n">
        <v>44421179.83</v>
      </c>
      <c r="L601" t="n">
        <v>343175981.25</v>
      </c>
      <c r="M601" t="n">
        <v>29649.8869</v>
      </c>
      <c r="N601" t="inlineStr">
        <is>
          <t>Supplier Reported Emissions</t>
        </is>
      </c>
      <c r="O601" t="b">
        <v>0</v>
      </c>
      <c r="P601" t="inlineStr">
        <is>
          <t>High</t>
        </is>
      </c>
      <c r="Q601" t="inlineStr">
        <is>
          <t>Scope_Emissions</t>
        </is>
      </c>
      <c r="R601" t="inlineStr">
        <is>
          <t>Valid</t>
        </is>
      </c>
      <c r="S601" t="n">
        <v>2032</v>
      </c>
      <c r="T601" t="inlineStr">
        <is>
          <t>Supplier Target Pathway</t>
        </is>
      </c>
      <c r="U601" t="n">
        <v>33223.8893</v>
      </c>
      <c r="V601" t="n">
        <v>10578.4864</v>
      </c>
      <c r="W601" t="n">
        <v>19636.6475</v>
      </c>
      <c r="X601" t="n">
        <v>19636.6475</v>
      </c>
      <c r="Y601" t="n">
        <v>13587.2418</v>
      </c>
      <c r="Z601" t="n">
        <v>0.00044206</v>
      </c>
      <c r="AA601" t="n">
        <v>0.40896</v>
      </c>
      <c r="AB601" t="n">
        <v>9058.1612</v>
      </c>
      <c r="AC601" t="n">
        <v>1132.2701</v>
      </c>
      <c r="AD601" t="n">
        <v>-19540.962</v>
      </c>
      <c r="AE601" t="n">
        <v>188796.7444</v>
      </c>
      <c r="AF601" t="n">
        <v>0.99</v>
      </c>
      <c r="AG601" t="inlineStr">
        <is>
          <t>Critical</t>
        </is>
      </c>
      <c r="AH601" t="inlineStr">
        <is>
          <t>On Track to Glide Path</t>
        </is>
      </c>
    </row>
    <row r="602">
      <c r="A602" t="inlineStr">
        <is>
          <t>SUP-0038</t>
        </is>
      </c>
      <c r="B602" t="inlineStr">
        <is>
          <t>Agriculture Supplier 038</t>
        </is>
      </c>
      <c r="C602" t="inlineStr">
        <is>
          <t>Agriculture</t>
        </is>
      </c>
      <c r="D602" t="n">
        <v>2024</v>
      </c>
      <c r="E602" t="n">
        <v>2020</v>
      </c>
      <c r="F602" t="n">
        <v>2040</v>
      </c>
      <c r="G602" t="n">
        <v>29649.8869</v>
      </c>
      <c r="H602" t="n">
        <v>7511.1592</v>
      </c>
      <c r="I602" t="inlineStr"/>
      <c r="J602" t="n">
        <v>17952.3869</v>
      </c>
      <c r="K602" t="n">
        <v>44421179.83</v>
      </c>
      <c r="L602" t="n">
        <v>343175981.25</v>
      </c>
      <c r="M602" t="n">
        <v>29649.8869</v>
      </c>
      <c r="N602" t="inlineStr">
        <is>
          <t>Supplier Reported Emissions</t>
        </is>
      </c>
      <c r="O602" t="b">
        <v>0</v>
      </c>
      <c r="P602" t="inlineStr">
        <is>
          <t>High</t>
        </is>
      </c>
      <c r="Q602" t="inlineStr">
        <is>
          <t>Scope_Emissions</t>
        </is>
      </c>
      <c r="R602" t="inlineStr">
        <is>
          <t>Valid</t>
        </is>
      </c>
      <c r="S602" t="n">
        <v>2033</v>
      </c>
      <c r="T602" t="inlineStr">
        <is>
          <t>Supplier Target Pathway</t>
        </is>
      </c>
      <c r="U602" t="n">
        <v>33223.8893</v>
      </c>
      <c r="V602" t="n">
        <v>10578.4864</v>
      </c>
      <c r="W602" t="n">
        <v>18504.3774</v>
      </c>
      <c r="X602" t="n">
        <v>18504.3774</v>
      </c>
      <c r="Y602" t="n">
        <v>14719.5119</v>
      </c>
      <c r="Z602" t="n">
        <v>0.00041657</v>
      </c>
      <c r="AA602" t="n">
        <v>0.44304</v>
      </c>
      <c r="AB602" t="n">
        <v>7925.891</v>
      </c>
      <c r="AC602" t="n">
        <v>1132.2701</v>
      </c>
      <c r="AD602" t="n">
        <v>-38045.3394</v>
      </c>
      <c r="AE602" t="n">
        <v>207301.1218</v>
      </c>
      <c r="AF602" t="n">
        <v>0.99</v>
      </c>
      <c r="AG602" t="inlineStr">
        <is>
          <t>Critical</t>
        </is>
      </c>
      <c r="AH602" t="inlineStr">
        <is>
          <t>On Track to Glide Path</t>
        </is>
      </c>
    </row>
    <row r="603">
      <c r="A603" t="inlineStr">
        <is>
          <t>SUP-0038</t>
        </is>
      </c>
      <c r="B603" t="inlineStr">
        <is>
          <t>Agriculture Supplier 038</t>
        </is>
      </c>
      <c r="C603" t="inlineStr">
        <is>
          <t>Agriculture</t>
        </is>
      </c>
      <c r="D603" t="n">
        <v>2024</v>
      </c>
      <c r="E603" t="n">
        <v>2020</v>
      </c>
      <c r="F603" t="n">
        <v>2040</v>
      </c>
      <c r="G603" t="n">
        <v>29649.8869</v>
      </c>
      <c r="H603" t="n">
        <v>7511.1592</v>
      </c>
      <c r="I603" t="inlineStr"/>
      <c r="J603" t="n">
        <v>17952.3869</v>
      </c>
      <c r="K603" t="n">
        <v>44421179.83</v>
      </c>
      <c r="L603" t="n">
        <v>343175981.25</v>
      </c>
      <c r="M603" t="n">
        <v>29649.8869</v>
      </c>
      <c r="N603" t="inlineStr">
        <is>
          <t>Supplier Reported Emissions</t>
        </is>
      </c>
      <c r="O603" t="b">
        <v>0</v>
      </c>
      <c r="P603" t="inlineStr">
        <is>
          <t>High</t>
        </is>
      </c>
      <c r="Q603" t="inlineStr">
        <is>
          <t>Scope_Emissions</t>
        </is>
      </c>
      <c r="R603" t="inlineStr">
        <is>
          <t>Valid</t>
        </is>
      </c>
      <c r="S603" t="n">
        <v>2034</v>
      </c>
      <c r="T603" t="inlineStr">
        <is>
          <t>Supplier Target Pathway</t>
        </is>
      </c>
      <c r="U603" t="n">
        <v>33223.8893</v>
      </c>
      <c r="V603" t="n">
        <v>10578.4864</v>
      </c>
      <c r="W603" t="n">
        <v>17372.1072</v>
      </c>
      <c r="X603" t="n">
        <v>17372.1072</v>
      </c>
      <c r="Y603" t="n">
        <v>15851.7821</v>
      </c>
      <c r="Z603" t="n">
        <v>0.00039108</v>
      </c>
      <c r="AA603" t="n">
        <v>0.47712</v>
      </c>
      <c r="AB603" t="n">
        <v>6793.6209</v>
      </c>
      <c r="AC603" t="n">
        <v>1132.2701</v>
      </c>
      <c r="AD603" t="n">
        <v>-55417.4466</v>
      </c>
      <c r="AE603" t="n">
        <v>224673.229</v>
      </c>
      <c r="AF603" t="n">
        <v>0.99</v>
      </c>
      <c r="AG603" t="inlineStr">
        <is>
          <t>Critical</t>
        </is>
      </c>
      <c r="AH603" t="inlineStr">
        <is>
          <t>On Track to Glide Path</t>
        </is>
      </c>
    </row>
    <row r="604">
      <c r="A604" t="inlineStr">
        <is>
          <t>SUP-0038</t>
        </is>
      </c>
      <c r="B604" t="inlineStr">
        <is>
          <t>Agriculture Supplier 038</t>
        </is>
      </c>
      <c r="C604" t="inlineStr">
        <is>
          <t>Agriculture</t>
        </is>
      </c>
      <c r="D604" t="n">
        <v>2024</v>
      </c>
      <c r="E604" t="n">
        <v>2020</v>
      </c>
      <c r="F604" t="n">
        <v>2040</v>
      </c>
      <c r="G604" t="n">
        <v>29649.8869</v>
      </c>
      <c r="H604" t="n">
        <v>7511.1592</v>
      </c>
      <c r="I604" t="inlineStr"/>
      <c r="J604" t="n">
        <v>17952.3869</v>
      </c>
      <c r="K604" t="n">
        <v>44421179.83</v>
      </c>
      <c r="L604" t="n">
        <v>343175981.25</v>
      </c>
      <c r="M604" t="n">
        <v>29649.8869</v>
      </c>
      <c r="N604" t="inlineStr">
        <is>
          <t>Supplier Reported Emissions</t>
        </is>
      </c>
      <c r="O604" t="b">
        <v>0</v>
      </c>
      <c r="P604" t="inlineStr">
        <is>
          <t>High</t>
        </is>
      </c>
      <c r="Q604" t="inlineStr">
        <is>
          <t>Scope_Emissions</t>
        </is>
      </c>
      <c r="R604" t="inlineStr">
        <is>
          <t>Valid</t>
        </is>
      </c>
      <c r="S604" t="n">
        <v>2035</v>
      </c>
      <c r="T604" t="inlineStr">
        <is>
          <t>Supplier Target Pathway</t>
        </is>
      </c>
      <c r="U604" t="n">
        <v>33223.8893</v>
      </c>
      <c r="V604" t="n">
        <v>10578.4864</v>
      </c>
      <c r="W604" t="n">
        <v>16239.8371</v>
      </c>
      <c r="X604" t="n">
        <v>16239.8371</v>
      </c>
      <c r="Y604" t="n">
        <v>16984.0522</v>
      </c>
      <c r="Z604" t="n">
        <v>0.00036559</v>
      </c>
      <c r="AA604" t="n">
        <v>0.5112</v>
      </c>
      <c r="AB604" t="n">
        <v>5661.3507</v>
      </c>
      <c r="AC604" t="n">
        <v>1132.2701</v>
      </c>
      <c r="AD604" t="n">
        <v>-71657.2837</v>
      </c>
      <c r="AE604" t="n">
        <v>240913.0661</v>
      </c>
      <c r="AF604" t="n">
        <v>0.99</v>
      </c>
      <c r="AG604" t="inlineStr">
        <is>
          <t>Critical</t>
        </is>
      </c>
      <c r="AH604" t="inlineStr">
        <is>
          <t>On Track to Glide Path</t>
        </is>
      </c>
    </row>
    <row r="605">
      <c r="A605" t="inlineStr">
        <is>
          <t>SUP-0038</t>
        </is>
      </c>
      <c r="B605" t="inlineStr">
        <is>
          <t>Agriculture Supplier 038</t>
        </is>
      </c>
      <c r="C605" t="inlineStr">
        <is>
          <t>Agriculture</t>
        </is>
      </c>
      <c r="D605" t="n">
        <v>2024</v>
      </c>
      <c r="E605" t="n">
        <v>2020</v>
      </c>
      <c r="F605" t="n">
        <v>2040</v>
      </c>
      <c r="G605" t="n">
        <v>29649.8869</v>
      </c>
      <c r="H605" t="n">
        <v>7511.1592</v>
      </c>
      <c r="I605" t="inlineStr"/>
      <c r="J605" t="n">
        <v>17952.3869</v>
      </c>
      <c r="K605" t="n">
        <v>44421179.83</v>
      </c>
      <c r="L605" t="n">
        <v>343175981.25</v>
      </c>
      <c r="M605" t="n">
        <v>29649.8869</v>
      </c>
      <c r="N605" t="inlineStr">
        <is>
          <t>Supplier Reported Emissions</t>
        </is>
      </c>
      <c r="O605" t="b">
        <v>0</v>
      </c>
      <c r="P605" t="inlineStr">
        <is>
          <t>High</t>
        </is>
      </c>
      <c r="Q605" t="inlineStr">
        <is>
          <t>Scope_Emissions</t>
        </is>
      </c>
      <c r="R605" t="inlineStr">
        <is>
          <t>Valid</t>
        </is>
      </c>
      <c r="S605" t="n">
        <v>2036</v>
      </c>
      <c r="T605" t="inlineStr">
        <is>
          <t>Supplier Target Pathway</t>
        </is>
      </c>
      <c r="U605" t="n">
        <v>33223.8893</v>
      </c>
      <c r="V605" t="n">
        <v>10578.4864</v>
      </c>
      <c r="W605" t="n">
        <v>15107.5669</v>
      </c>
      <c r="X605" t="n">
        <v>15107.5669</v>
      </c>
      <c r="Y605" t="n">
        <v>18116.3224</v>
      </c>
      <c r="Z605" t="n">
        <v>0.0003401</v>
      </c>
      <c r="AA605" t="n">
        <v>0.54528</v>
      </c>
      <c r="AB605" t="n">
        <v>4529.0806</v>
      </c>
      <c r="AC605" t="n">
        <v>1132.2701</v>
      </c>
      <c r="AD605" t="n">
        <v>-86764.85060000001</v>
      </c>
      <c r="AE605" t="n">
        <v>256020.633</v>
      </c>
      <c r="AF605" t="n">
        <v>0.99</v>
      </c>
      <c r="AG605" t="inlineStr">
        <is>
          <t>Critical</t>
        </is>
      </c>
      <c r="AH605" t="inlineStr">
        <is>
          <t>On Track to Glide Path</t>
        </is>
      </c>
    </row>
    <row r="606">
      <c r="A606" t="inlineStr">
        <is>
          <t>SUP-0038</t>
        </is>
      </c>
      <c r="B606" t="inlineStr">
        <is>
          <t>Agriculture Supplier 038</t>
        </is>
      </c>
      <c r="C606" t="inlineStr">
        <is>
          <t>Agriculture</t>
        </is>
      </c>
      <c r="D606" t="n">
        <v>2024</v>
      </c>
      <c r="E606" t="n">
        <v>2020</v>
      </c>
      <c r="F606" t="n">
        <v>2040</v>
      </c>
      <c r="G606" t="n">
        <v>29649.8869</v>
      </c>
      <c r="H606" t="n">
        <v>7511.1592</v>
      </c>
      <c r="I606" t="inlineStr"/>
      <c r="J606" t="n">
        <v>17952.3869</v>
      </c>
      <c r="K606" t="n">
        <v>44421179.83</v>
      </c>
      <c r="L606" t="n">
        <v>343175981.25</v>
      </c>
      <c r="M606" t="n">
        <v>29649.8869</v>
      </c>
      <c r="N606" t="inlineStr">
        <is>
          <t>Supplier Reported Emissions</t>
        </is>
      </c>
      <c r="O606" t="b">
        <v>0</v>
      </c>
      <c r="P606" t="inlineStr">
        <is>
          <t>High</t>
        </is>
      </c>
      <c r="Q606" t="inlineStr">
        <is>
          <t>Scope_Emissions</t>
        </is>
      </c>
      <c r="R606" t="inlineStr">
        <is>
          <t>Valid</t>
        </is>
      </c>
      <c r="S606" t="n">
        <v>2037</v>
      </c>
      <c r="T606" t="inlineStr">
        <is>
          <t>Supplier Target Pathway</t>
        </is>
      </c>
      <c r="U606" t="n">
        <v>33223.8893</v>
      </c>
      <c r="V606" t="n">
        <v>10578.4864</v>
      </c>
      <c r="W606" t="n">
        <v>13975.2968</v>
      </c>
      <c r="X606" t="n">
        <v>13975.2968</v>
      </c>
      <c r="Y606" t="n">
        <v>19248.5925</v>
      </c>
      <c r="Z606" t="n">
        <v>0.00031461</v>
      </c>
      <c r="AA606" t="n">
        <v>0.57936</v>
      </c>
      <c r="AB606" t="n">
        <v>3396.8104</v>
      </c>
      <c r="AC606" t="n">
        <v>1132.2701</v>
      </c>
      <c r="AD606" t="n">
        <v>-100740.1474</v>
      </c>
      <c r="AE606" t="n">
        <v>269995.9298</v>
      </c>
      <c r="AF606" t="n">
        <v>0.99</v>
      </c>
      <c r="AG606" t="inlineStr">
        <is>
          <t>High</t>
        </is>
      </c>
      <c r="AH606" t="inlineStr">
        <is>
          <t>On Track to Glide Path</t>
        </is>
      </c>
    </row>
    <row r="607">
      <c r="A607" t="inlineStr">
        <is>
          <t>SUP-0038</t>
        </is>
      </c>
      <c r="B607" t="inlineStr">
        <is>
          <t>Agriculture Supplier 038</t>
        </is>
      </c>
      <c r="C607" t="inlineStr">
        <is>
          <t>Agriculture</t>
        </is>
      </c>
      <c r="D607" t="n">
        <v>2024</v>
      </c>
      <c r="E607" t="n">
        <v>2020</v>
      </c>
      <c r="F607" t="n">
        <v>2040</v>
      </c>
      <c r="G607" t="n">
        <v>29649.8869</v>
      </c>
      <c r="H607" t="n">
        <v>7511.1592</v>
      </c>
      <c r="I607" t="inlineStr"/>
      <c r="J607" t="n">
        <v>17952.3869</v>
      </c>
      <c r="K607" t="n">
        <v>44421179.83</v>
      </c>
      <c r="L607" t="n">
        <v>343175981.25</v>
      </c>
      <c r="M607" t="n">
        <v>29649.8869</v>
      </c>
      <c r="N607" t="inlineStr">
        <is>
          <t>Supplier Reported Emissions</t>
        </is>
      </c>
      <c r="O607" t="b">
        <v>0</v>
      </c>
      <c r="P607" t="inlineStr">
        <is>
          <t>High</t>
        </is>
      </c>
      <c r="Q607" t="inlineStr">
        <is>
          <t>Scope_Emissions</t>
        </is>
      </c>
      <c r="R607" t="inlineStr">
        <is>
          <t>Valid</t>
        </is>
      </c>
      <c r="S607" t="n">
        <v>2038</v>
      </c>
      <c r="T607" t="inlineStr">
        <is>
          <t>Supplier Target Pathway</t>
        </is>
      </c>
      <c r="U607" t="n">
        <v>33223.8893</v>
      </c>
      <c r="V607" t="n">
        <v>10578.4864</v>
      </c>
      <c r="W607" t="n">
        <v>12843.0266</v>
      </c>
      <c r="X607" t="n">
        <v>12843.0266</v>
      </c>
      <c r="Y607" t="n">
        <v>20380.8627</v>
      </c>
      <c r="Z607" t="n">
        <v>0.00028912</v>
      </c>
      <c r="AA607" t="n">
        <v>0.61344</v>
      </c>
      <c r="AB607" t="n">
        <v>2264.5403</v>
      </c>
      <c r="AC607" t="n">
        <v>1132.2701</v>
      </c>
      <c r="AD607" t="n">
        <v>-113583.174</v>
      </c>
      <c r="AE607" t="n">
        <v>282838.9564</v>
      </c>
      <c r="AF607" t="n">
        <v>0.99</v>
      </c>
      <c r="AG607" t="inlineStr">
        <is>
          <t>High</t>
        </is>
      </c>
      <c r="AH607" t="inlineStr">
        <is>
          <t>On Track to Glide Path</t>
        </is>
      </c>
    </row>
    <row r="608">
      <c r="A608" t="inlineStr">
        <is>
          <t>SUP-0038</t>
        </is>
      </c>
      <c r="B608" t="inlineStr">
        <is>
          <t>Agriculture Supplier 038</t>
        </is>
      </c>
      <c r="C608" t="inlineStr">
        <is>
          <t>Agriculture</t>
        </is>
      </c>
      <c r="D608" t="n">
        <v>2024</v>
      </c>
      <c r="E608" t="n">
        <v>2020</v>
      </c>
      <c r="F608" t="n">
        <v>2040</v>
      </c>
      <c r="G608" t="n">
        <v>29649.8869</v>
      </c>
      <c r="H608" t="n">
        <v>7511.1592</v>
      </c>
      <c r="I608" t="inlineStr"/>
      <c r="J608" t="n">
        <v>17952.3869</v>
      </c>
      <c r="K608" t="n">
        <v>44421179.83</v>
      </c>
      <c r="L608" t="n">
        <v>343175981.25</v>
      </c>
      <c r="M608" t="n">
        <v>29649.8869</v>
      </c>
      <c r="N608" t="inlineStr">
        <is>
          <t>Supplier Reported Emissions</t>
        </is>
      </c>
      <c r="O608" t="b">
        <v>0</v>
      </c>
      <c r="P608" t="inlineStr">
        <is>
          <t>High</t>
        </is>
      </c>
      <c r="Q608" t="inlineStr">
        <is>
          <t>Scope_Emissions</t>
        </is>
      </c>
      <c r="R608" t="inlineStr">
        <is>
          <t>Valid</t>
        </is>
      </c>
      <c r="S608" t="n">
        <v>2039</v>
      </c>
      <c r="T608" t="inlineStr">
        <is>
          <t>Supplier Target Pathway</t>
        </is>
      </c>
      <c r="U608" t="n">
        <v>33223.8893</v>
      </c>
      <c r="V608" t="n">
        <v>10578.4864</v>
      </c>
      <c r="W608" t="n">
        <v>11710.7565</v>
      </c>
      <c r="X608" t="n">
        <v>11710.7565</v>
      </c>
      <c r="Y608" t="n">
        <v>21513.1328</v>
      </c>
      <c r="Z608" t="n">
        <v>0.00026363</v>
      </c>
      <c r="AA608" t="n">
        <v>0.64752</v>
      </c>
      <c r="AB608" t="n">
        <v>1132.2701</v>
      </c>
      <c r="AC608" t="n">
        <v>1132.2701</v>
      </c>
      <c r="AD608" t="n">
        <v>-125293.9305</v>
      </c>
      <c r="AE608" t="n">
        <v>294549.7129</v>
      </c>
      <c r="AF608" t="n">
        <v>0.99</v>
      </c>
      <c r="AG608" t="inlineStr">
        <is>
          <t>Medium</t>
        </is>
      </c>
      <c r="AH608" t="inlineStr">
        <is>
          <t>On Track to Glide Path</t>
        </is>
      </c>
    </row>
    <row r="609">
      <c r="A609" t="inlineStr">
        <is>
          <t>SUP-0038</t>
        </is>
      </c>
      <c r="B609" t="inlineStr">
        <is>
          <t>Agriculture Supplier 038</t>
        </is>
      </c>
      <c r="C609" t="inlineStr">
        <is>
          <t>Agriculture</t>
        </is>
      </c>
      <c r="D609" t="n">
        <v>2024</v>
      </c>
      <c r="E609" t="n">
        <v>2020</v>
      </c>
      <c r="F609" t="n">
        <v>2040</v>
      </c>
      <c r="G609" t="n">
        <v>29649.8869</v>
      </c>
      <c r="H609" t="n">
        <v>7511.1592</v>
      </c>
      <c r="I609" t="inlineStr"/>
      <c r="J609" t="n">
        <v>17952.3869</v>
      </c>
      <c r="K609" t="n">
        <v>44421179.83</v>
      </c>
      <c r="L609" t="n">
        <v>343175981.25</v>
      </c>
      <c r="M609" t="n">
        <v>29649.8869</v>
      </c>
      <c r="N609" t="inlineStr">
        <is>
          <t>Supplier Reported Emissions</t>
        </is>
      </c>
      <c r="O609" t="b">
        <v>0</v>
      </c>
      <c r="P609" t="inlineStr">
        <is>
          <t>High</t>
        </is>
      </c>
      <c r="Q609" t="inlineStr">
        <is>
          <t>Scope_Emissions</t>
        </is>
      </c>
      <c r="R609" t="inlineStr">
        <is>
          <t>Valid</t>
        </is>
      </c>
      <c r="S609" t="n">
        <v>2040</v>
      </c>
      <c r="T609" t="inlineStr">
        <is>
          <t>Supplier Target Pathway</t>
        </is>
      </c>
      <c r="U609" t="n">
        <v>33223.8893</v>
      </c>
      <c r="V609" t="n">
        <v>10578.4864</v>
      </c>
      <c r="W609" t="n">
        <v>10578.4864</v>
      </c>
      <c r="X609" t="n">
        <v>10578.4864</v>
      </c>
      <c r="Y609" t="n">
        <v>22645.4029</v>
      </c>
      <c r="Z609" t="n">
        <v>0.00023814</v>
      </c>
      <c r="AA609" t="n">
        <v>0.6816</v>
      </c>
      <c r="AB609" t="n">
        <v>0</v>
      </c>
      <c r="AC609" t="n">
        <v>1132.2701</v>
      </c>
      <c r="AD609" t="n">
        <v>-135872.4169</v>
      </c>
      <c r="AE609" t="n">
        <v>305128.1993</v>
      </c>
      <c r="AF609" t="n">
        <v>0.99</v>
      </c>
      <c r="AG609" t="inlineStr">
        <is>
          <t>Low</t>
        </is>
      </c>
      <c r="AH609" t="inlineStr">
        <is>
          <t>On Track</t>
        </is>
      </c>
    </row>
    <row r="610">
      <c r="A610" t="inlineStr">
        <is>
          <t>SUP-0039</t>
        </is>
      </c>
      <c r="B610" t="inlineStr">
        <is>
          <t>Electronics Supplier 039</t>
        </is>
      </c>
      <c r="C610" t="inlineStr">
        <is>
          <t>Electronics</t>
        </is>
      </c>
      <c r="D610" t="n">
        <v>2024</v>
      </c>
      <c r="E610" t="n">
        <v>2015</v>
      </c>
      <c r="F610" t="n">
        <v>2040</v>
      </c>
      <c r="G610" t="n">
        <v>19219.8697</v>
      </c>
      <c r="H610" t="n">
        <v>3401.2031</v>
      </c>
      <c r="I610" t="n">
        <v>3857.2562</v>
      </c>
      <c r="J610" t="inlineStr"/>
      <c r="K610" t="n">
        <v>13478264.2</v>
      </c>
      <c r="L610" t="n">
        <v>58884198.31</v>
      </c>
      <c r="M610" t="n">
        <v>19219.8697</v>
      </c>
      <c r="N610" t="inlineStr">
        <is>
          <t>Supplier Reported Emissions</t>
        </is>
      </c>
      <c r="O610" t="b">
        <v>0</v>
      </c>
      <c r="P610" t="inlineStr">
        <is>
          <t>High</t>
        </is>
      </c>
      <c r="Q610" t="inlineStr">
        <is>
          <t>Scope_Emissions</t>
        </is>
      </c>
      <c r="R610" t="inlineStr">
        <is>
          <t>Valid</t>
        </is>
      </c>
      <c r="S610" t="n">
        <v>2025</v>
      </c>
      <c r="T610" t="inlineStr">
        <is>
          <t>Industry Haircut Pathway</t>
        </is>
      </c>
      <c r="U610" t="n">
        <v>13252.7874</v>
      </c>
      <c r="V610" t="n">
        <v>8715.032999999999</v>
      </c>
      <c r="W610" t="n">
        <v>11437.6856</v>
      </c>
      <c r="X610" t="n">
        <v>11437.6856</v>
      </c>
      <c r="Y610" t="n">
        <v>1815.1018</v>
      </c>
      <c r="Z610" t="n">
        <v>0.0008486</v>
      </c>
      <c r="AA610" t="n">
        <v>0.13696</v>
      </c>
      <c r="AB610" t="n">
        <v>2722.6526</v>
      </c>
      <c r="AC610" t="n">
        <v>181.5102</v>
      </c>
      <c r="AD610" t="n">
        <v>128002.8424</v>
      </c>
      <c r="AE610" t="n">
        <v>11437.6856</v>
      </c>
      <c r="AF610" t="n">
        <v>0.901</v>
      </c>
      <c r="AG610" t="inlineStr">
        <is>
          <t>High</t>
        </is>
      </c>
      <c r="AH610" t="inlineStr">
        <is>
          <t>On Track to Glide Path</t>
        </is>
      </c>
    </row>
    <row r="611">
      <c r="A611" t="inlineStr">
        <is>
          <t>SUP-0039</t>
        </is>
      </c>
      <c r="B611" t="inlineStr">
        <is>
          <t>Electronics Supplier 039</t>
        </is>
      </c>
      <c r="C611" t="inlineStr">
        <is>
          <t>Electronics</t>
        </is>
      </c>
      <c r="D611" t="n">
        <v>2024</v>
      </c>
      <c r="E611" t="n">
        <v>2015</v>
      </c>
      <c r="F611" t="n">
        <v>2040</v>
      </c>
      <c r="G611" t="n">
        <v>19219.8697</v>
      </c>
      <c r="H611" t="n">
        <v>3401.2031</v>
      </c>
      <c r="I611" t="n">
        <v>3857.2562</v>
      </c>
      <c r="J611" t="inlineStr"/>
      <c r="K611" t="n">
        <v>13478264.2</v>
      </c>
      <c r="L611" t="n">
        <v>58884198.31</v>
      </c>
      <c r="M611" t="n">
        <v>19219.8697</v>
      </c>
      <c r="N611" t="inlineStr">
        <is>
          <t>Supplier Reported Emissions</t>
        </is>
      </c>
      <c r="O611" t="b">
        <v>0</v>
      </c>
      <c r="P611" t="inlineStr">
        <is>
          <t>High</t>
        </is>
      </c>
      <c r="Q611" t="inlineStr">
        <is>
          <t>Scope_Emissions</t>
        </is>
      </c>
      <c r="R611" t="inlineStr">
        <is>
          <t>Valid</t>
        </is>
      </c>
      <c r="S611" t="n">
        <v>2026</v>
      </c>
      <c r="T611" t="inlineStr">
        <is>
          <t>Industry Haircut Pathway</t>
        </is>
      </c>
      <c r="U611" t="n">
        <v>13252.7874</v>
      </c>
      <c r="V611" t="n">
        <v>8715.032999999999</v>
      </c>
      <c r="W611" t="n">
        <v>11256.1755</v>
      </c>
      <c r="X611" t="n">
        <v>11256.1755</v>
      </c>
      <c r="Y611" t="n">
        <v>1996.6119</v>
      </c>
      <c r="Z611" t="n">
        <v>0.0008351399999999999</v>
      </c>
      <c r="AA611" t="n">
        <v>0.150656</v>
      </c>
      <c r="AB611" t="n">
        <v>2541.1425</v>
      </c>
      <c r="AC611" t="n">
        <v>181.5102</v>
      </c>
      <c r="AD611" t="n">
        <v>116746.6669</v>
      </c>
      <c r="AE611" t="n">
        <v>22693.8611</v>
      </c>
      <c r="AF611" t="n">
        <v>0.901</v>
      </c>
      <c r="AG611" t="inlineStr">
        <is>
          <t>High</t>
        </is>
      </c>
      <c r="AH611" t="inlineStr">
        <is>
          <t>On Track to Glide Path</t>
        </is>
      </c>
    </row>
    <row r="612">
      <c r="A612" t="inlineStr">
        <is>
          <t>SUP-0039</t>
        </is>
      </c>
      <c r="B612" t="inlineStr">
        <is>
          <t>Electronics Supplier 039</t>
        </is>
      </c>
      <c r="C612" t="inlineStr">
        <is>
          <t>Electronics</t>
        </is>
      </c>
      <c r="D612" t="n">
        <v>2024</v>
      </c>
      <c r="E612" t="n">
        <v>2015</v>
      </c>
      <c r="F612" t="n">
        <v>2040</v>
      </c>
      <c r="G612" t="n">
        <v>19219.8697</v>
      </c>
      <c r="H612" t="n">
        <v>3401.2031</v>
      </c>
      <c r="I612" t="n">
        <v>3857.2562</v>
      </c>
      <c r="J612" t="inlineStr"/>
      <c r="K612" t="n">
        <v>13478264.2</v>
      </c>
      <c r="L612" t="n">
        <v>58884198.31</v>
      </c>
      <c r="M612" t="n">
        <v>19219.8697</v>
      </c>
      <c r="N612" t="inlineStr">
        <is>
          <t>Supplier Reported Emissions</t>
        </is>
      </c>
      <c r="O612" t="b">
        <v>0</v>
      </c>
      <c r="P612" t="inlineStr">
        <is>
          <t>High</t>
        </is>
      </c>
      <c r="Q612" t="inlineStr">
        <is>
          <t>Scope_Emissions</t>
        </is>
      </c>
      <c r="R612" t="inlineStr">
        <is>
          <t>Valid</t>
        </is>
      </c>
      <c r="S612" t="n">
        <v>2027</v>
      </c>
      <c r="T612" t="inlineStr">
        <is>
          <t>Industry Haircut Pathway</t>
        </is>
      </c>
      <c r="U612" t="n">
        <v>13252.7874</v>
      </c>
      <c r="V612" t="n">
        <v>8715.032999999999</v>
      </c>
      <c r="W612" t="n">
        <v>11074.6653</v>
      </c>
      <c r="X612" t="n">
        <v>11074.6653</v>
      </c>
      <c r="Y612" t="n">
        <v>2178.1221</v>
      </c>
      <c r="Z612" t="n">
        <v>0.00082167</v>
      </c>
      <c r="AA612" t="n">
        <v>0.164352</v>
      </c>
      <c r="AB612" t="n">
        <v>2359.6323</v>
      </c>
      <c r="AC612" t="n">
        <v>181.5102</v>
      </c>
      <c r="AD612" t="n">
        <v>105672.0016</v>
      </c>
      <c r="AE612" t="n">
        <v>33768.5264</v>
      </c>
      <c r="AF612" t="n">
        <v>0.901</v>
      </c>
      <c r="AG612" t="inlineStr">
        <is>
          <t>High</t>
        </is>
      </c>
      <c r="AH612" t="inlineStr">
        <is>
          <t>On Track to Glide Path</t>
        </is>
      </c>
    </row>
    <row r="613">
      <c r="A613" t="inlineStr">
        <is>
          <t>SUP-0039</t>
        </is>
      </c>
      <c r="B613" t="inlineStr">
        <is>
          <t>Electronics Supplier 039</t>
        </is>
      </c>
      <c r="C613" t="inlineStr">
        <is>
          <t>Electronics</t>
        </is>
      </c>
      <c r="D613" t="n">
        <v>2024</v>
      </c>
      <c r="E613" t="n">
        <v>2015</v>
      </c>
      <c r="F613" t="n">
        <v>2040</v>
      </c>
      <c r="G613" t="n">
        <v>19219.8697</v>
      </c>
      <c r="H613" t="n">
        <v>3401.2031</v>
      </c>
      <c r="I613" t="n">
        <v>3857.2562</v>
      </c>
      <c r="J613" t="inlineStr"/>
      <c r="K613" t="n">
        <v>13478264.2</v>
      </c>
      <c r="L613" t="n">
        <v>58884198.31</v>
      </c>
      <c r="M613" t="n">
        <v>19219.8697</v>
      </c>
      <c r="N613" t="inlineStr">
        <is>
          <t>Supplier Reported Emissions</t>
        </is>
      </c>
      <c r="O613" t="b">
        <v>0</v>
      </c>
      <c r="P613" t="inlineStr">
        <is>
          <t>High</t>
        </is>
      </c>
      <c r="Q613" t="inlineStr">
        <is>
          <t>Scope_Emissions</t>
        </is>
      </c>
      <c r="R613" t="inlineStr">
        <is>
          <t>Valid</t>
        </is>
      </c>
      <c r="S613" t="n">
        <v>2028</v>
      </c>
      <c r="T613" t="inlineStr">
        <is>
          <t>Industry Haircut Pathway</t>
        </is>
      </c>
      <c r="U613" t="n">
        <v>13252.7874</v>
      </c>
      <c r="V613" t="n">
        <v>8715.032999999999</v>
      </c>
      <c r="W613" t="n">
        <v>10893.1551</v>
      </c>
      <c r="X613" t="n">
        <v>10893.1551</v>
      </c>
      <c r="Y613" t="n">
        <v>2359.6323</v>
      </c>
      <c r="Z613" t="n">
        <v>0.0008082</v>
      </c>
      <c r="AA613" t="n">
        <v>0.178048</v>
      </c>
      <c r="AB613" t="n">
        <v>2178.1221</v>
      </c>
      <c r="AC613" t="n">
        <v>181.5102</v>
      </c>
      <c r="AD613" t="n">
        <v>94778.8465</v>
      </c>
      <c r="AE613" t="n">
        <v>44661.6815</v>
      </c>
      <c r="AF613" t="n">
        <v>0.901</v>
      </c>
      <c r="AG613" t="inlineStr">
        <is>
          <t>High</t>
        </is>
      </c>
      <c r="AH613" t="inlineStr">
        <is>
          <t>On Track to Glide Path</t>
        </is>
      </c>
    </row>
    <row r="614">
      <c r="A614" t="inlineStr">
        <is>
          <t>SUP-0039</t>
        </is>
      </c>
      <c r="B614" t="inlineStr">
        <is>
          <t>Electronics Supplier 039</t>
        </is>
      </c>
      <c r="C614" t="inlineStr">
        <is>
          <t>Electronics</t>
        </is>
      </c>
      <c r="D614" t="n">
        <v>2024</v>
      </c>
      <c r="E614" t="n">
        <v>2015</v>
      </c>
      <c r="F614" t="n">
        <v>2040</v>
      </c>
      <c r="G614" t="n">
        <v>19219.8697</v>
      </c>
      <c r="H614" t="n">
        <v>3401.2031</v>
      </c>
      <c r="I614" t="n">
        <v>3857.2562</v>
      </c>
      <c r="J614" t="inlineStr"/>
      <c r="K614" t="n">
        <v>13478264.2</v>
      </c>
      <c r="L614" t="n">
        <v>58884198.31</v>
      </c>
      <c r="M614" t="n">
        <v>19219.8697</v>
      </c>
      <c r="N614" t="inlineStr">
        <is>
          <t>Supplier Reported Emissions</t>
        </is>
      </c>
      <c r="O614" t="b">
        <v>0</v>
      </c>
      <c r="P614" t="inlineStr">
        <is>
          <t>High</t>
        </is>
      </c>
      <c r="Q614" t="inlineStr">
        <is>
          <t>Scope_Emissions</t>
        </is>
      </c>
      <c r="R614" t="inlineStr">
        <is>
          <t>Valid</t>
        </is>
      </c>
      <c r="S614" t="n">
        <v>2029</v>
      </c>
      <c r="T614" t="inlineStr">
        <is>
          <t>Industry Haircut Pathway</t>
        </is>
      </c>
      <c r="U614" t="n">
        <v>13252.7874</v>
      </c>
      <c r="V614" t="n">
        <v>8715.032999999999</v>
      </c>
      <c r="W614" t="n">
        <v>10711.6449</v>
      </c>
      <c r="X614" t="n">
        <v>10711.6449</v>
      </c>
      <c r="Y614" t="n">
        <v>2541.1425</v>
      </c>
      <c r="Z614" t="n">
        <v>0.00079473</v>
      </c>
      <c r="AA614" t="n">
        <v>0.191744</v>
      </c>
      <c r="AB614" t="n">
        <v>1996.6119</v>
      </c>
      <c r="AC614" t="n">
        <v>181.5102</v>
      </c>
      <c r="AD614" t="n">
        <v>84067.2016</v>
      </c>
      <c r="AE614" t="n">
        <v>55373.3264</v>
      </c>
      <c r="AF614" t="n">
        <v>0.901</v>
      </c>
      <c r="AG614" t="inlineStr">
        <is>
          <t>High</t>
        </is>
      </c>
      <c r="AH614" t="inlineStr">
        <is>
          <t>On Track to Glide Path</t>
        </is>
      </c>
    </row>
    <row r="615">
      <c r="A615" t="inlineStr">
        <is>
          <t>SUP-0039</t>
        </is>
      </c>
      <c r="B615" t="inlineStr">
        <is>
          <t>Electronics Supplier 039</t>
        </is>
      </c>
      <c r="C615" t="inlineStr">
        <is>
          <t>Electronics</t>
        </is>
      </c>
      <c r="D615" t="n">
        <v>2024</v>
      </c>
      <c r="E615" t="n">
        <v>2015</v>
      </c>
      <c r="F615" t="n">
        <v>2040</v>
      </c>
      <c r="G615" t="n">
        <v>19219.8697</v>
      </c>
      <c r="H615" t="n">
        <v>3401.2031</v>
      </c>
      <c r="I615" t="n">
        <v>3857.2562</v>
      </c>
      <c r="J615" t="inlineStr"/>
      <c r="K615" t="n">
        <v>13478264.2</v>
      </c>
      <c r="L615" t="n">
        <v>58884198.31</v>
      </c>
      <c r="M615" t="n">
        <v>19219.8697</v>
      </c>
      <c r="N615" t="inlineStr">
        <is>
          <t>Supplier Reported Emissions</t>
        </is>
      </c>
      <c r="O615" t="b">
        <v>0</v>
      </c>
      <c r="P615" t="inlineStr">
        <is>
          <t>High</t>
        </is>
      </c>
      <c r="Q615" t="inlineStr">
        <is>
          <t>Scope_Emissions</t>
        </is>
      </c>
      <c r="R615" t="inlineStr">
        <is>
          <t>Valid</t>
        </is>
      </c>
      <c r="S615" t="n">
        <v>2030</v>
      </c>
      <c r="T615" t="inlineStr">
        <is>
          <t>Industry Haircut Pathway</t>
        </is>
      </c>
      <c r="U615" t="n">
        <v>13252.7874</v>
      </c>
      <c r="V615" t="n">
        <v>8715.032999999999</v>
      </c>
      <c r="W615" t="n">
        <v>10530.1348</v>
      </c>
      <c r="X615" t="n">
        <v>10530.1348</v>
      </c>
      <c r="Y615" t="n">
        <v>2722.6526</v>
      </c>
      <c r="Z615" t="n">
        <v>0.00078127</v>
      </c>
      <c r="AA615" t="n">
        <v>0.20544</v>
      </c>
      <c r="AB615" t="n">
        <v>1815.1018</v>
      </c>
      <c r="AC615" t="n">
        <v>181.5102</v>
      </c>
      <c r="AD615" t="n">
        <v>73537.0668</v>
      </c>
      <c r="AE615" t="n">
        <v>65903.46120000001</v>
      </c>
      <c r="AF615" t="n">
        <v>0.901</v>
      </c>
      <c r="AG615" t="inlineStr">
        <is>
          <t>High</t>
        </is>
      </c>
      <c r="AH615" t="inlineStr">
        <is>
          <t>On Track to Glide Path</t>
        </is>
      </c>
    </row>
    <row r="616">
      <c r="A616" t="inlineStr">
        <is>
          <t>SUP-0039</t>
        </is>
      </c>
      <c r="B616" t="inlineStr">
        <is>
          <t>Electronics Supplier 039</t>
        </is>
      </c>
      <c r="C616" t="inlineStr">
        <is>
          <t>Electronics</t>
        </is>
      </c>
      <c r="D616" t="n">
        <v>2024</v>
      </c>
      <c r="E616" t="n">
        <v>2015</v>
      </c>
      <c r="F616" t="n">
        <v>2040</v>
      </c>
      <c r="G616" t="n">
        <v>19219.8697</v>
      </c>
      <c r="H616" t="n">
        <v>3401.2031</v>
      </c>
      <c r="I616" t="n">
        <v>3857.2562</v>
      </c>
      <c r="J616" t="inlineStr"/>
      <c r="K616" t="n">
        <v>13478264.2</v>
      </c>
      <c r="L616" t="n">
        <v>58884198.31</v>
      </c>
      <c r="M616" t="n">
        <v>19219.8697</v>
      </c>
      <c r="N616" t="inlineStr">
        <is>
          <t>Supplier Reported Emissions</t>
        </is>
      </c>
      <c r="O616" t="b">
        <v>0</v>
      </c>
      <c r="P616" t="inlineStr">
        <is>
          <t>High</t>
        </is>
      </c>
      <c r="Q616" t="inlineStr">
        <is>
          <t>Scope_Emissions</t>
        </is>
      </c>
      <c r="R616" t="inlineStr">
        <is>
          <t>Valid</t>
        </is>
      </c>
      <c r="S616" t="n">
        <v>2031</v>
      </c>
      <c r="T616" t="inlineStr">
        <is>
          <t>Industry Haircut Pathway</t>
        </is>
      </c>
      <c r="U616" t="n">
        <v>13252.7874</v>
      </c>
      <c r="V616" t="n">
        <v>8715.032999999999</v>
      </c>
      <c r="W616" t="n">
        <v>10348.6246</v>
      </c>
      <c r="X616" t="n">
        <v>10348.6246</v>
      </c>
      <c r="Y616" t="n">
        <v>2904.1628</v>
      </c>
      <c r="Z616" t="n">
        <v>0.0007678</v>
      </c>
      <c r="AA616" t="n">
        <v>0.219136</v>
      </c>
      <c r="AB616" t="n">
        <v>1633.5916</v>
      </c>
      <c r="AC616" t="n">
        <v>181.5102</v>
      </c>
      <c r="AD616" t="n">
        <v>63188.4422</v>
      </c>
      <c r="AE616" t="n">
        <v>76252.0858</v>
      </c>
      <c r="AF616" t="n">
        <v>0.901</v>
      </c>
      <c r="AG616" t="inlineStr">
        <is>
          <t>High</t>
        </is>
      </c>
      <c r="AH616" t="inlineStr">
        <is>
          <t>On Track to Glide Path</t>
        </is>
      </c>
    </row>
    <row r="617">
      <c r="A617" t="inlineStr">
        <is>
          <t>SUP-0039</t>
        </is>
      </c>
      <c r="B617" t="inlineStr">
        <is>
          <t>Electronics Supplier 039</t>
        </is>
      </c>
      <c r="C617" t="inlineStr">
        <is>
          <t>Electronics</t>
        </is>
      </c>
      <c r="D617" t="n">
        <v>2024</v>
      </c>
      <c r="E617" t="n">
        <v>2015</v>
      </c>
      <c r="F617" t="n">
        <v>2040</v>
      </c>
      <c r="G617" t="n">
        <v>19219.8697</v>
      </c>
      <c r="H617" t="n">
        <v>3401.2031</v>
      </c>
      <c r="I617" t="n">
        <v>3857.2562</v>
      </c>
      <c r="J617" t="inlineStr"/>
      <c r="K617" t="n">
        <v>13478264.2</v>
      </c>
      <c r="L617" t="n">
        <v>58884198.31</v>
      </c>
      <c r="M617" t="n">
        <v>19219.8697</v>
      </c>
      <c r="N617" t="inlineStr">
        <is>
          <t>Supplier Reported Emissions</t>
        </is>
      </c>
      <c r="O617" t="b">
        <v>0</v>
      </c>
      <c r="P617" t="inlineStr">
        <is>
          <t>High</t>
        </is>
      </c>
      <c r="Q617" t="inlineStr">
        <is>
          <t>Scope_Emissions</t>
        </is>
      </c>
      <c r="R617" t="inlineStr">
        <is>
          <t>Valid</t>
        </is>
      </c>
      <c r="S617" t="n">
        <v>2032</v>
      </c>
      <c r="T617" t="inlineStr">
        <is>
          <t>Industry Haircut Pathway</t>
        </is>
      </c>
      <c r="U617" t="n">
        <v>13252.7874</v>
      </c>
      <c r="V617" t="n">
        <v>8715.032999999999</v>
      </c>
      <c r="W617" t="n">
        <v>10167.1144</v>
      </c>
      <c r="X617" t="n">
        <v>10167.1144</v>
      </c>
      <c r="Y617" t="n">
        <v>3085.673</v>
      </c>
      <c r="Z617" t="n">
        <v>0.00075433</v>
      </c>
      <c r="AA617" t="n">
        <v>0.232832</v>
      </c>
      <c r="AB617" t="n">
        <v>1452.0814</v>
      </c>
      <c r="AC617" t="n">
        <v>181.5102</v>
      </c>
      <c r="AD617" t="n">
        <v>53021.3278</v>
      </c>
      <c r="AE617" t="n">
        <v>86419.20020000001</v>
      </c>
      <c r="AF617" t="n">
        <v>0.901</v>
      </c>
      <c r="AG617" t="inlineStr">
        <is>
          <t>High</t>
        </is>
      </c>
      <c r="AH617" t="inlineStr">
        <is>
          <t>On Track to Glide Path</t>
        </is>
      </c>
    </row>
    <row r="618">
      <c r="A618" t="inlineStr">
        <is>
          <t>SUP-0039</t>
        </is>
      </c>
      <c r="B618" t="inlineStr">
        <is>
          <t>Electronics Supplier 039</t>
        </is>
      </c>
      <c r="C618" t="inlineStr">
        <is>
          <t>Electronics</t>
        </is>
      </c>
      <c r="D618" t="n">
        <v>2024</v>
      </c>
      <c r="E618" t="n">
        <v>2015</v>
      </c>
      <c r="F618" t="n">
        <v>2040</v>
      </c>
      <c r="G618" t="n">
        <v>19219.8697</v>
      </c>
      <c r="H618" t="n">
        <v>3401.2031</v>
      </c>
      <c r="I618" t="n">
        <v>3857.2562</v>
      </c>
      <c r="J618" t="inlineStr"/>
      <c r="K618" t="n">
        <v>13478264.2</v>
      </c>
      <c r="L618" t="n">
        <v>58884198.31</v>
      </c>
      <c r="M618" t="n">
        <v>19219.8697</v>
      </c>
      <c r="N618" t="inlineStr">
        <is>
          <t>Supplier Reported Emissions</t>
        </is>
      </c>
      <c r="O618" t="b">
        <v>0</v>
      </c>
      <c r="P618" t="inlineStr">
        <is>
          <t>High</t>
        </is>
      </c>
      <c r="Q618" t="inlineStr">
        <is>
          <t>Scope_Emissions</t>
        </is>
      </c>
      <c r="R618" t="inlineStr">
        <is>
          <t>Valid</t>
        </is>
      </c>
      <c r="S618" t="n">
        <v>2033</v>
      </c>
      <c r="T618" t="inlineStr">
        <is>
          <t>Industry Haircut Pathway</t>
        </is>
      </c>
      <c r="U618" t="n">
        <v>13252.7874</v>
      </c>
      <c r="V618" t="n">
        <v>8715.032999999999</v>
      </c>
      <c r="W618" t="n">
        <v>9985.6042</v>
      </c>
      <c r="X618" t="n">
        <v>9985.6042</v>
      </c>
      <c r="Y618" t="n">
        <v>3267.1832</v>
      </c>
      <c r="Z618" t="n">
        <v>0.00074087</v>
      </c>
      <c r="AA618" t="n">
        <v>0.246528</v>
      </c>
      <c r="AB618" t="n">
        <v>1270.5712</v>
      </c>
      <c r="AC618" t="n">
        <v>181.5102</v>
      </c>
      <c r="AD618" t="n">
        <v>43035.7236</v>
      </c>
      <c r="AE618" t="n">
        <v>96404.80439999999</v>
      </c>
      <c r="AF618" t="n">
        <v>0.901</v>
      </c>
      <c r="AG618" t="inlineStr">
        <is>
          <t>Medium</t>
        </is>
      </c>
      <c r="AH618" t="inlineStr">
        <is>
          <t>On Track to Glide Path</t>
        </is>
      </c>
    </row>
    <row r="619">
      <c r="A619" t="inlineStr">
        <is>
          <t>SUP-0039</t>
        </is>
      </c>
      <c r="B619" t="inlineStr">
        <is>
          <t>Electronics Supplier 039</t>
        </is>
      </c>
      <c r="C619" t="inlineStr">
        <is>
          <t>Electronics</t>
        </is>
      </c>
      <c r="D619" t="n">
        <v>2024</v>
      </c>
      <c r="E619" t="n">
        <v>2015</v>
      </c>
      <c r="F619" t="n">
        <v>2040</v>
      </c>
      <c r="G619" t="n">
        <v>19219.8697</v>
      </c>
      <c r="H619" t="n">
        <v>3401.2031</v>
      </c>
      <c r="I619" t="n">
        <v>3857.2562</v>
      </c>
      <c r="J619" t="inlineStr"/>
      <c r="K619" t="n">
        <v>13478264.2</v>
      </c>
      <c r="L619" t="n">
        <v>58884198.31</v>
      </c>
      <c r="M619" t="n">
        <v>19219.8697</v>
      </c>
      <c r="N619" t="inlineStr">
        <is>
          <t>Supplier Reported Emissions</t>
        </is>
      </c>
      <c r="O619" t="b">
        <v>0</v>
      </c>
      <c r="P619" t="inlineStr">
        <is>
          <t>High</t>
        </is>
      </c>
      <c r="Q619" t="inlineStr">
        <is>
          <t>Scope_Emissions</t>
        </is>
      </c>
      <c r="R619" t="inlineStr">
        <is>
          <t>Valid</t>
        </is>
      </c>
      <c r="S619" t="n">
        <v>2034</v>
      </c>
      <c r="T619" t="inlineStr">
        <is>
          <t>Industry Haircut Pathway</t>
        </is>
      </c>
      <c r="U619" t="n">
        <v>13252.7874</v>
      </c>
      <c r="V619" t="n">
        <v>8715.032999999999</v>
      </c>
      <c r="W619" t="n">
        <v>9804.0941</v>
      </c>
      <c r="X619" t="n">
        <v>9804.0941</v>
      </c>
      <c r="Y619" t="n">
        <v>3448.6933</v>
      </c>
      <c r="Z619" t="n">
        <v>0.0007274</v>
      </c>
      <c r="AA619" t="n">
        <v>0.260224</v>
      </c>
      <c r="AB619" t="n">
        <v>1089.0611</v>
      </c>
      <c r="AC619" t="n">
        <v>181.5102</v>
      </c>
      <c r="AD619" t="n">
        <v>33231.6295</v>
      </c>
      <c r="AE619" t="n">
        <v>106208.8985</v>
      </c>
      <c r="AF619" t="n">
        <v>0.901</v>
      </c>
      <c r="AG619" t="inlineStr">
        <is>
          <t>Medium</t>
        </is>
      </c>
      <c r="AH619" t="inlineStr">
        <is>
          <t>On Track to Glide Path</t>
        </is>
      </c>
    </row>
    <row r="620">
      <c r="A620" t="inlineStr">
        <is>
          <t>SUP-0039</t>
        </is>
      </c>
      <c r="B620" t="inlineStr">
        <is>
          <t>Electronics Supplier 039</t>
        </is>
      </c>
      <c r="C620" t="inlineStr">
        <is>
          <t>Electronics</t>
        </is>
      </c>
      <c r="D620" t="n">
        <v>2024</v>
      </c>
      <c r="E620" t="n">
        <v>2015</v>
      </c>
      <c r="F620" t="n">
        <v>2040</v>
      </c>
      <c r="G620" t="n">
        <v>19219.8697</v>
      </c>
      <c r="H620" t="n">
        <v>3401.2031</v>
      </c>
      <c r="I620" t="n">
        <v>3857.2562</v>
      </c>
      <c r="J620" t="inlineStr"/>
      <c r="K620" t="n">
        <v>13478264.2</v>
      </c>
      <c r="L620" t="n">
        <v>58884198.31</v>
      </c>
      <c r="M620" t="n">
        <v>19219.8697</v>
      </c>
      <c r="N620" t="inlineStr">
        <is>
          <t>Supplier Reported Emissions</t>
        </is>
      </c>
      <c r="O620" t="b">
        <v>0</v>
      </c>
      <c r="P620" t="inlineStr">
        <is>
          <t>High</t>
        </is>
      </c>
      <c r="Q620" t="inlineStr">
        <is>
          <t>Scope_Emissions</t>
        </is>
      </c>
      <c r="R620" t="inlineStr">
        <is>
          <t>Valid</t>
        </is>
      </c>
      <c r="S620" t="n">
        <v>2035</v>
      </c>
      <c r="T620" t="inlineStr">
        <is>
          <t>Industry Haircut Pathway</t>
        </is>
      </c>
      <c r="U620" t="n">
        <v>13252.7874</v>
      </c>
      <c r="V620" t="n">
        <v>8715.032999999999</v>
      </c>
      <c r="W620" t="n">
        <v>9622.5839</v>
      </c>
      <c r="X620" t="n">
        <v>9622.5839</v>
      </c>
      <c r="Y620" t="n">
        <v>3630.2035</v>
      </c>
      <c r="Z620" t="n">
        <v>0.00071393</v>
      </c>
      <c r="AA620" t="n">
        <v>0.27392</v>
      </c>
      <c r="AB620" t="n">
        <v>907.5509</v>
      </c>
      <c r="AC620" t="n">
        <v>181.5102</v>
      </c>
      <c r="AD620" t="n">
        <v>23609.0456</v>
      </c>
      <c r="AE620" t="n">
        <v>115831.4824</v>
      </c>
      <c r="AF620" t="n">
        <v>0.901</v>
      </c>
      <c r="AG620" t="inlineStr">
        <is>
          <t>Medium</t>
        </is>
      </c>
      <c r="AH620" t="inlineStr">
        <is>
          <t>On Track to Glide Path</t>
        </is>
      </c>
    </row>
    <row r="621">
      <c r="A621" t="inlineStr">
        <is>
          <t>SUP-0039</t>
        </is>
      </c>
      <c r="B621" t="inlineStr">
        <is>
          <t>Electronics Supplier 039</t>
        </is>
      </c>
      <c r="C621" t="inlineStr">
        <is>
          <t>Electronics</t>
        </is>
      </c>
      <c r="D621" t="n">
        <v>2024</v>
      </c>
      <c r="E621" t="n">
        <v>2015</v>
      </c>
      <c r="F621" t="n">
        <v>2040</v>
      </c>
      <c r="G621" t="n">
        <v>19219.8697</v>
      </c>
      <c r="H621" t="n">
        <v>3401.2031</v>
      </c>
      <c r="I621" t="n">
        <v>3857.2562</v>
      </c>
      <c r="J621" t="inlineStr"/>
      <c r="K621" t="n">
        <v>13478264.2</v>
      </c>
      <c r="L621" t="n">
        <v>58884198.31</v>
      </c>
      <c r="M621" t="n">
        <v>19219.8697</v>
      </c>
      <c r="N621" t="inlineStr">
        <is>
          <t>Supplier Reported Emissions</t>
        </is>
      </c>
      <c r="O621" t="b">
        <v>0</v>
      </c>
      <c r="P621" t="inlineStr">
        <is>
          <t>High</t>
        </is>
      </c>
      <c r="Q621" t="inlineStr">
        <is>
          <t>Scope_Emissions</t>
        </is>
      </c>
      <c r="R621" t="inlineStr">
        <is>
          <t>Valid</t>
        </is>
      </c>
      <c r="S621" t="n">
        <v>2036</v>
      </c>
      <c r="T621" t="inlineStr">
        <is>
          <t>Industry Haircut Pathway</t>
        </is>
      </c>
      <c r="U621" t="n">
        <v>13252.7874</v>
      </c>
      <c r="V621" t="n">
        <v>8715.032999999999</v>
      </c>
      <c r="W621" t="n">
        <v>9441.073700000001</v>
      </c>
      <c r="X621" t="n">
        <v>9441.073700000001</v>
      </c>
      <c r="Y621" t="n">
        <v>3811.7137</v>
      </c>
      <c r="Z621" t="n">
        <v>0.00070047</v>
      </c>
      <c r="AA621" t="n">
        <v>0.287616</v>
      </c>
      <c r="AB621" t="n">
        <v>726.0407</v>
      </c>
      <c r="AC621" t="n">
        <v>181.5102</v>
      </c>
      <c r="AD621" t="n">
        <v>14167.9719</v>
      </c>
      <c r="AE621" t="n">
        <v>125272.5561</v>
      </c>
      <c r="AF621" t="n">
        <v>0.901</v>
      </c>
      <c r="AG621" t="inlineStr">
        <is>
          <t>Medium</t>
        </is>
      </c>
      <c r="AH621" t="inlineStr">
        <is>
          <t>On Track to Glide Path</t>
        </is>
      </c>
    </row>
    <row r="622">
      <c r="A622" t="inlineStr">
        <is>
          <t>SUP-0039</t>
        </is>
      </c>
      <c r="B622" t="inlineStr">
        <is>
          <t>Electronics Supplier 039</t>
        </is>
      </c>
      <c r="C622" t="inlineStr">
        <is>
          <t>Electronics</t>
        </is>
      </c>
      <c r="D622" t="n">
        <v>2024</v>
      </c>
      <c r="E622" t="n">
        <v>2015</v>
      </c>
      <c r="F622" t="n">
        <v>2040</v>
      </c>
      <c r="G622" t="n">
        <v>19219.8697</v>
      </c>
      <c r="H622" t="n">
        <v>3401.2031</v>
      </c>
      <c r="I622" t="n">
        <v>3857.2562</v>
      </c>
      <c r="J622" t="inlineStr"/>
      <c r="K622" t="n">
        <v>13478264.2</v>
      </c>
      <c r="L622" t="n">
        <v>58884198.31</v>
      </c>
      <c r="M622" t="n">
        <v>19219.8697</v>
      </c>
      <c r="N622" t="inlineStr">
        <is>
          <t>Supplier Reported Emissions</t>
        </is>
      </c>
      <c r="O622" t="b">
        <v>0</v>
      </c>
      <c r="P622" t="inlineStr">
        <is>
          <t>High</t>
        </is>
      </c>
      <c r="Q622" t="inlineStr">
        <is>
          <t>Scope_Emissions</t>
        </is>
      </c>
      <c r="R622" t="inlineStr">
        <is>
          <t>Valid</t>
        </is>
      </c>
      <c r="S622" t="n">
        <v>2037</v>
      </c>
      <c r="T622" t="inlineStr">
        <is>
          <t>Industry Haircut Pathway</t>
        </is>
      </c>
      <c r="U622" t="n">
        <v>13252.7874</v>
      </c>
      <c r="V622" t="n">
        <v>8715.032999999999</v>
      </c>
      <c r="W622" t="n">
        <v>9259.5635</v>
      </c>
      <c r="X622" t="n">
        <v>9259.5635</v>
      </c>
      <c r="Y622" t="n">
        <v>3993.2239</v>
      </c>
      <c r="Z622" t="n">
        <v>0.000687</v>
      </c>
      <c r="AA622" t="n">
        <v>0.301312</v>
      </c>
      <c r="AB622" t="n">
        <v>544.5305</v>
      </c>
      <c r="AC622" t="n">
        <v>181.5102</v>
      </c>
      <c r="AD622" t="n">
        <v>4908.4084</v>
      </c>
      <c r="AE622" t="n">
        <v>134532.1196</v>
      </c>
      <c r="AF622" t="n">
        <v>0.901</v>
      </c>
      <c r="AG622" t="inlineStr">
        <is>
          <t>Medium</t>
        </is>
      </c>
      <c r="AH622" t="inlineStr">
        <is>
          <t>On Track to Glide Path</t>
        </is>
      </c>
    </row>
    <row r="623">
      <c r="A623" t="inlineStr">
        <is>
          <t>SUP-0039</t>
        </is>
      </c>
      <c r="B623" t="inlineStr">
        <is>
          <t>Electronics Supplier 039</t>
        </is>
      </c>
      <c r="C623" t="inlineStr">
        <is>
          <t>Electronics</t>
        </is>
      </c>
      <c r="D623" t="n">
        <v>2024</v>
      </c>
      <c r="E623" t="n">
        <v>2015</v>
      </c>
      <c r="F623" t="n">
        <v>2040</v>
      </c>
      <c r="G623" t="n">
        <v>19219.8697</v>
      </c>
      <c r="H623" t="n">
        <v>3401.2031</v>
      </c>
      <c r="I623" t="n">
        <v>3857.2562</v>
      </c>
      <c r="J623" t="inlineStr"/>
      <c r="K623" t="n">
        <v>13478264.2</v>
      </c>
      <c r="L623" t="n">
        <v>58884198.31</v>
      </c>
      <c r="M623" t="n">
        <v>19219.8697</v>
      </c>
      <c r="N623" t="inlineStr">
        <is>
          <t>Supplier Reported Emissions</t>
        </is>
      </c>
      <c r="O623" t="b">
        <v>0</v>
      </c>
      <c r="P623" t="inlineStr">
        <is>
          <t>High</t>
        </is>
      </c>
      <c r="Q623" t="inlineStr">
        <is>
          <t>Scope_Emissions</t>
        </is>
      </c>
      <c r="R623" t="inlineStr">
        <is>
          <t>Valid</t>
        </is>
      </c>
      <c r="S623" t="n">
        <v>2038</v>
      </c>
      <c r="T623" t="inlineStr">
        <is>
          <t>Industry Haircut Pathway</t>
        </is>
      </c>
      <c r="U623" t="n">
        <v>13252.7874</v>
      </c>
      <c r="V623" t="n">
        <v>8715.032999999999</v>
      </c>
      <c r="W623" t="n">
        <v>9078.0533</v>
      </c>
      <c r="X623" t="n">
        <v>9078.0533</v>
      </c>
      <c r="Y623" t="n">
        <v>4174.7341</v>
      </c>
      <c r="Z623" t="n">
        <v>0.00067353</v>
      </c>
      <c r="AA623" t="n">
        <v>0.315008</v>
      </c>
      <c r="AB623" t="n">
        <v>363.0204</v>
      </c>
      <c r="AC623" t="n">
        <v>181.5102</v>
      </c>
      <c r="AD623" t="n">
        <v>-4169.6449</v>
      </c>
      <c r="AE623" t="n">
        <v>143610.1729</v>
      </c>
      <c r="AF623" t="n">
        <v>0.901</v>
      </c>
      <c r="AG623" t="inlineStr">
        <is>
          <t>Medium</t>
        </is>
      </c>
      <c r="AH623" t="inlineStr">
        <is>
          <t>On Track to Glide Path</t>
        </is>
      </c>
    </row>
    <row r="624">
      <c r="A624" t="inlineStr">
        <is>
          <t>SUP-0039</t>
        </is>
      </c>
      <c r="B624" t="inlineStr">
        <is>
          <t>Electronics Supplier 039</t>
        </is>
      </c>
      <c r="C624" t="inlineStr">
        <is>
          <t>Electronics</t>
        </is>
      </c>
      <c r="D624" t="n">
        <v>2024</v>
      </c>
      <c r="E624" t="n">
        <v>2015</v>
      </c>
      <c r="F624" t="n">
        <v>2040</v>
      </c>
      <c r="G624" t="n">
        <v>19219.8697</v>
      </c>
      <c r="H624" t="n">
        <v>3401.2031</v>
      </c>
      <c r="I624" t="n">
        <v>3857.2562</v>
      </c>
      <c r="J624" t="inlineStr"/>
      <c r="K624" t="n">
        <v>13478264.2</v>
      </c>
      <c r="L624" t="n">
        <v>58884198.31</v>
      </c>
      <c r="M624" t="n">
        <v>19219.8697</v>
      </c>
      <c r="N624" t="inlineStr">
        <is>
          <t>Supplier Reported Emissions</t>
        </is>
      </c>
      <c r="O624" t="b">
        <v>0</v>
      </c>
      <c r="P624" t="inlineStr">
        <is>
          <t>High</t>
        </is>
      </c>
      <c r="Q624" t="inlineStr">
        <is>
          <t>Scope_Emissions</t>
        </is>
      </c>
      <c r="R624" t="inlineStr">
        <is>
          <t>Valid</t>
        </is>
      </c>
      <c r="S624" t="n">
        <v>2039</v>
      </c>
      <c r="T624" t="inlineStr">
        <is>
          <t>Industry Haircut Pathway</t>
        </is>
      </c>
      <c r="U624" t="n">
        <v>13252.7874</v>
      </c>
      <c r="V624" t="n">
        <v>8715.032999999999</v>
      </c>
      <c r="W624" t="n">
        <v>8896.5432</v>
      </c>
      <c r="X624" t="n">
        <v>8896.5432</v>
      </c>
      <c r="Y624" t="n">
        <v>4356.2442</v>
      </c>
      <c r="Z624" t="n">
        <v>0.00066007</v>
      </c>
      <c r="AA624" t="n">
        <v>0.328704</v>
      </c>
      <c r="AB624" t="n">
        <v>181.5102</v>
      </c>
      <c r="AC624" t="n">
        <v>181.5102</v>
      </c>
      <c r="AD624" t="n">
        <v>-13066.1881</v>
      </c>
      <c r="AE624" t="n">
        <v>152506.7161</v>
      </c>
      <c r="AF624" t="n">
        <v>0.901</v>
      </c>
      <c r="AG624" t="inlineStr">
        <is>
          <t>Medium</t>
        </is>
      </c>
      <c r="AH624" t="inlineStr">
        <is>
          <t>On Track to Glide Path</t>
        </is>
      </c>
    </row>
    <row r="625">
      <c r="A625" t="inlineStr">
        <is>
          <t>SUP-0039</t>
        </is>
      </c>
      <c r="B625" t="inlineStr">
        <is>
          <t>Electronics Supplier 039</t>
        </is>
      </c>
      <c r="C625" t="inlineStr">
        <is>
          <t>Electronics</t>
        </is>
      </c>
      <c r="D625" t="n">
        <v>2024</v>
      </c>
      <c r="E625" t="n">
        <v>2015</v>
      </c>
      <c r="F625" t="n">
        <v>2040</v>
      </c>
      <c r="G625" t="n">
        <v>19219.8697</v>
      </c>
      <c r="H625" t="n">
        <v>3401.2031</v>
      </c>
      <c r="I625" t="n">
        <v>3857.2562</v>
      </c>
      <c r="J625" t="inlineStr"/>
      <c r="K625" t="n">
        <v>13478264.2</v>
      </c>
      <c r="L625" t="n">
        <v>58884198.31</v>
      </c>
      <c r="M625" t="n">
        <v>19219.8697</v>
      </c>
      <c r="N625" t="inlineStr">
        <is>
          <t>Supplier Reported Emissions</t>
        </is>
      </c>
      <c r="O625" t="b">
        <v>0</v>
      </c>
      <c r="P625" t="inlineStr">
        <is>
          <t>High</t>
        </is>
      </c>
      <c r="Q625" t="inlineStr">
        <is>
          <t>Scope_Emissions</t>
        </is>
      </c>
      <c r="R625" t="inlineStr">
        <is>
          <t>Valid</t>
        </is>
      </c>
      <c r="S625" t="n">
        <v>2040</v>
      </c>
      <c r="T625" t="inlineStr">
        <is>
          <t>Industry Haircut Pathway</t>
        </is>
      </c>
      <c r="U625" t="n">
        <v>13252.7874</v>
      </c>
      <c r="V625" t="n">
        <v>8715.032999999999</v>
      </c>
      <c r="W625" t="n">
        <v>8715.032999999999</v>
      </c>
      <c r="X625" t="n">
        <v>8715.032999999999</v>
      </c>
      <c r="Y625" t="n">
        <v>4537.7544</v>
      </c>
      <c r="Z625" t="n">
        <v>0.0006466</v>
      </c>
      <c r="AA625" t="n">
        <v>0.3424</v>
      </c>
      <c r="AB625" t="n">
        <v>0</v>
      </c>
      <c r="AC625" t="n">
        <v>181.5102</v>
      </c>
      <c r="AD625" t="n">
        <v>-21781.2211</v>
      </c>
      <c r="AE625" t="n">
        <v>161221.7491</v>
      </c>
      <c r="AF625" t="n">
        <v>0.901</v>
      </c>
      <c r="AG625" t="inlineStr">
        <is>
          <t>Low</t>
        </is>
      </c>
      <c r="AH625" t="inlineStr">
        <is>
          <t>On Track</t>
        </is>
      </c>
    </row>
    <row r="626">
      <c r="A626" t="inlineStr">
        <is>
          <t>SUP-0040</t>
        </is>
      </c>
      <c r="B626" t="inlineStr">
        <is>
          <t>Chemicals Supplier 040</t>
        </is>
      </c>
      <c r="C626" t="inlineStr">
        <is>
          <t>Chemicals</t>
        </is>
      </c>
      <c r="D626" t="n">
        <v>2024</v>
      </c>
      <c r="E626" t="n">
        <v>2021</v>
      </c>
      <c r="F626" t="n">
        <v>2030</v>
      </c>
      <c r="G626" t="n">
        <v>8045.683</v>
      </c>
      <c r="H626" t="n">
        <v>825.9494999999999</v>
      </c>
      <c r="I626" t="n">
        <v>1269.5315</v>
      </c>
      <c r="J626" t="n">
        <v>5474.4724</v>
      </c>
      <c r="K626" t="n">
        <v>7566361.97</v>
      </c>
      <c r="L626" t="n">
        <v>34740066.95</v>
      </c>
      <c r="M626" t="n">
        <v>8045.683</v>
      </c>
      <c r="N626" t="inlineStr">
        <is>
          <t>Supplier Reported Emissions</t>
        </is>
      </c>
      <c r="O626" t="b">
        <v>0</v>
      </c>
      <c r="P626" t="inlineStr">
        <is>
          <t>High</t>
        </is>
      </c>
      <c r="Q626" t="inlineStr">
        <is>
          <t>None</t>
        </is>
      </c>
      <c r="R626" t="inlineStr">
        <is>
          <t>Valid</t>
        </is>
      </c>
      <c r="S626" t="n">
        <v>2025</v>
      </c>
      <c r="T626" t="inlineStr">
        <is>
          <t>Supplier Target Pathway</t>
        </is>
      </c>
      <c r="U626" t="n">
        <v>8922.821599999999</v>
      </c>
      <c r="V626" t="n">
        <v>4237.448</v>
      </c>
      <c r="W626" t="n">
        <v>6840.4333</v>
      </c>
      <c r="X626" t="n">
        <v>6840.4333</v>
      </c>
      <c r="Y626" t="n">
        <v>2082.3883</v>
      </c>
      <c r="Z626" t="n">
        <v>0.00090406</v>
      </c>
      <c r="AA626" t="n">
        <v>0.233378</v>
      </c>
      <c r="AB626" t="n">
        <v>2602.9853</v>
      </c>
      <c r="AC626" t="n">
        <v>520.5971</v>
      </c>
      <c r="AD626" t="n">
        <v>18584.2547</v>
      </c>
      <c r="AE626" t="n">
        <v>6840.4333</v>
      </c>
      <c r="AF626" t="n">
        <v>0.99</v>
      </c>
      <c r="AG626" t="inlineStr">
        <is>
          <t>Critical</t>
        </is>
      </c>
      <c r="AH626" t="inlineStr">
        <is>
          <t>On Track to Glide Path</t>
        </is>
      </c>
    </row>
    <row r="627">
      <c r="A627" t="inlineStr">
        <is>
          <t>SUP-0040</t>
        </is>
      </c>
      <c r="B627" t="inlineStr">
        <is>
          <t>Chemicals Supplier 040</t>
        </is>
      </c>
      <c r="C627" t="inlineStr">
        <is>
          <t>Chemicals</t>
        </is>
      </c>
      <c r="D627" t="n">
        <v>2024</v>
      </c>
      <c r="E627" t="n">
        <v>2021</v>
      </c>
      <c r="F627" t="n">
        <v>2030</v>
      </c>
      <c r="G627" t="n">
        <v>8045.683</v>
      </c>
      <c r="H627" t="n">
        <v>825.9494999999999</v>
      </c>
      <c r="I627" t="n">
        <v>1269.5315</v>
      </c>
      <c r="J627" t="n">
        <v>5474.4724</v>
      </c>
      <c r="K627" t="n">
        <v>7566361.97</v>
      </c>
      <c r="L627" t="n">
        <v>34740066.95</v>
      </c>
      <c r="M627" t="n">
        <v>8045.683</v>
      </c>
      <c r="N627" t="inlineStr">
        <is>
          <t>Supplier Reported Emissions</t>
        </is>
      </c>
      <c r="O627" t="b">
        <v>0</v>
      </c>
      <c r="P627" t="inlineStr">
        <is>
          <t>High</t>
        </is>
      </c>
      <c r="Q627" t="inlineStr">
        <is>
          <t>None</t>
        </is>
      </c>
      <c r="R627" t="inlineStr">
        <is>
          <t>Valid</t>
        </is>
      </c>
      <c r="S627" t="n">
        <v>2026</v>
      </c>
      <c r="T627" t="inlineStr">
        <is>
          <t>Supplier Target Pathway</t>
        </is>
      </c>
      <c r="U627" t="n">
        <v>8922.821599999999</v>
      </c>
      <c r="V627" t="n">
        <v>4237.448</v>
      </c>
      <c r="W627" t="n">
        <v>6319.8363</v>
      </c>
      <c r="X627" t="n">
        <v>6319.8363</v>
      </c>
      <c r="Y627" t="n">
        <v>2602.9853</v>
      </c>
      <c r="Z627" t="n">
        <v>0.0008352499999999999</v>
      </c>
      <c r="AA627" t="n">
        <v>0.291722</v>
      </c>
      <c r="AB627" t="n">
        <v>2082.3883</v>
      </c>
      <c r="AC627" t="n">
        <v>520.5971</v>
      </c>
      <c r="AD627" t="n">
        <v>12264.4184</v>
      </c>
      <c r="AE627" t="n">
        <v>13160.2696</v>
      </c>
      <c r="AF627" t="n">
        <v>0.99</v>
      </c>
      <c r="AG627" t="inlineStr">
        <is>
          <t>Critical</t>
        </is>
      </c>
      <c r="AH627" t="inlineStr">
        <is>
          <t>On Track to Glide Path</t>
        </is>
      </c>
    </row>
    <row r="628">
      <c r="A628" t="inlineStr">
        <is>
          <t>SUP-0040</t>
        </is>
      </c>
      <c r="B628" t="inlineStr">
        <is>
          <t>Chemicals Supplier 040</t>
        </is>
      </c>
      <c r="C628" t="inlineStr">
        <is>
          <t>Chemicals</t>
        </is>
      </c>
      <c r="D628" t="n">
        <v>2024</v>
      </c>
      <c r="E628" t="n">
        <v>2021</v>
      </c>
      <c r="F628" t="n">
        <v>2030</v>
      </c>
      <c r="G628" t="n">
        <v>8045.683</v>
      </c>
      <c r="H628" t="n">
        <v>825.9494999999999</v>
      </c>
      <c r="I628" t="n">
        <v>1269.5315</v>
      </c>
      <c r="J628" t="n">
        <v>5474.4724</v>
      </c>
      <c r="K628" t="n">
        <v>7566361.97</v>
      </c>
      <c r="L628" t="n">
        <v>34740066.95</v>
      </c>
      <c r="M628" t="n">
        <v>8045.683</v>
      </c>
      <c r="N628" t="inlineStr">
        <is>
          <t>Supplier Reported Emissions</t>
        </is>
      </c>
      <c r="O628" t="b">
        <v>0</v>
      </c>
      <c r="P628" t="inlineStr">
        <is>
          <t>High</t>
        </is>
      </c>
      <c r="Q628" t="inlineStr">
        <is>
          <t>None</t>
        </is>
      </c>
      <c r="R628" t="inlineStr">
        <is>
          <t>Valid</t>
        </is>
      </c>
      <c r="S628" t="n">
        <v>2027</v>
      </c>
      <c r="T628" t="inlineStr">
        <is>
          <t>Supplier Target Pathway</t>
        </is>
      </c>
      <c r="U628" t="n">
        <v>8922.821599999999</v>
      </c>
      <c r="V628" t="n">
        <v>4237.448</v>
      </c>
      <c r="W628" t="n">
        <v>5799.2392</v>
      </c>
      <c r="X628" t="n">
        <v>5799.2392</v>
      </c>
      <c r="Y628" t="n">
        <v>3123.5824</v>
      </c>
      <c r="Z628" t="n">
        <v>0.00076645</v>
      </c>
      <c r="AA628" t="n">
        <v>0.350067</v>
      </c>
      <c r="AB628" t="n">
        <v>1561.7912</v>
      </c>
      <c r="AC628" t="n">
        <v>520.5971</v>
      </c>
      <c r="AD628" t="n">
        <v>6465.1792</v>
      </c>
      <c r="AE628" t="n">
        <v>18959.5088</v>
      </c>
      <c r="AF628" t="n">
        <v>0.99</v>
      </c>
      <c r="AG628" t="inlineStr">
        <is>
          <t>Critical</t>
        </is>
      </c>
      <c r="AH628" t="inlineStr">
        <is>
          <t>On Track to Glide Path</t>
        </is>
      </c>
    </row>
    <row r="629">
      <c r="A629" t="inlineStr">
        <is>
          <t>SUP-0040</t>
        </is>
      </c>
      <c r="B629" t="inlineStr">
        <is>
          <t>Chemicals Supplier 040</t>
        </is>
      </c>
      <c r="C629" t="inlineStr">
        <is>
          <t>Chemicals</t>
        </is>
      </c>
      <c r="D629" t="n">
        <v>2024</v>
      </c>
      <c r="E629" t="n">
        <v>2021</v>
      </c>
      <c r="F629" t="n">
        <v>2030</v>
      </c>
      <c r="G629" t="n">
        <v>8045.683</v>
      </c>
      <c r="H629" t="n">
        <v>825.9494999999999</v>
      </c>
      <c r="I629" t="n">
        <v>1269.5315</v>
      </c>
      <c r="J629" t="n">
        <v>5474.4724</v>
      </c>
      <c r="K629" t="n">
        <v>7566361.97</v>
      </c>
      <c r="L629" t="n">
        <v>34740066.95</v>
      </c>
      <c r="M629" t="n">
        <v>8045.683</v>
      </c>
      <c r="N629" t="inlineStr">
        <is>
          <t>Supplier Reported Emissions</t>
        </is>
      </c>
      <c r="O629" t="b">
        <v>0</v>
      </c>
      <c r="P629" t="inlineStr">
        <is>
          <t>High</t>
        </is>
      </c>
      <c r="Q629" t="inlineStr">
        <is>
          <t>None</t>
        </is>
      </c>
      <c r="R629" t="inlineStr">
        <is>
          <t>Valid</t>
        </is>
      </c>
      <c r="S629" t="n">
        <v>2028</v>
      </c>
      <c r="T629" t="inlineStr">
        <is>
          <t>Supplier Target Pathway</t>
        </is>
      </c>
      <c r="U629" t="n">
        <v>8922.821599999999</v>
      </c>
      <c r="V629" t="n">
        <v>4237.448</v>
      </c>
      <c r="W629" t="n">
        <v>5278.6421</v>
      </c>
      <c r="X629" t="n">
        <v>5278.6421</v>
      </c>
      <c r="Y629" t="n">
        <v>3644.1795</v>
      </c>
      <c r="Z629" t="n">
        <v>0.00069765</v>
      </c>
      <c r="AA629" t="n">
        <v>0.408411</v>
      </c>
      <c r="AB629" t="n">
        <v>1041.1941</v>
      </c>
      <c r="AC629" t="n">
        <v>520.5971</v>
      </c>
      <c r="AD629" t="n">
        <v>1186.5371</v>
      </c>
      <c r="AE629" t="n">
        <v>24238.1509</v>
      </c>
      <c r="AF629" t="n">
        <v>0.99</v>
      </c>
      <c r="AG629" t="inlineStr">
        <is>
          <t>High</t>
        </is>
      </c>
      <c r="AH629" t="inlineStr">
        <is>
          <t>On Track to Glide Path</t>
        </is>
      </c>
    </row>
    <row r="630">
      <c r="A630" t="inlineStr">
        <is>
          <t>SUP-0040</t>
        </is>
      </c>
      <c r="B630" t="inlineStr">
        <is>
          <t>Chemicals Supplier 040</t>
        </is>
      </c>
      <c r="C630" t="inlineStr">
        <is>
          <t>Chemicals</t>
        </is>
      </c>
      <c r="D630" t="n">
        <v>2024</v>
      </c>
      <c r="E630" t="n">
        <v>2021</v>
      </c>
      <c r="F630" t="n">
        <v>2030</v>
      </c>
      <c r="G630" t="n">
        <v>8045.683</v>
      </c>
      <c r="H630" t="n">
        <v>825.9494999999999</v>
      </c>
      <c r="I630" t="n">
        <v>1269.5315</v>
      </c>
      <c r="J630" t="n">
        <v>5474.4724</v>
      </c>
      <c r="K630" t="n">
        <v>7566361.97</v>
      </c>
      <c r="L630" t="n">
        <v>34740066.95</v>
      </c>
      <c r="M630" t="n">
        <v>8045.683</v>
      </c>
      <c r="N630" t="inlineStr">
        <is>
          <t>Supplier Reported Emissions</t>
        </is>
      </c>
      <c r="O630" t="b">
        <v>0</v>
      </c>
      <c r="P630" t="inlineStr">
        <is>
          <t>High</t>
        </is>
      </c>
      <c r="Q630" t="inlineStr">
        <is>
          <t>None</t>
        </is>
      </c>
      <c r="R630" t="inlineStr">
        <is>
          <t>Valid</t>
        </is>
      </c>
      <c r="S630" t="n">
        <v>2029</v>
      </c>
      <c r="T630" t="inlineStr">
        <is>
          <t>Supplier Target Pathway</t>
        </is>
      </c>
      <c r="U630" t="n">
        <v>8922.821599999999</v>
      </c>
      <c r="V630" t="n">
        <v>4237.448</v>
      </c>
      <c r="W630" t="n">
        <v>4758.045</v>
      </c>
      <c r="X630" t="n">
        <v>4758.045</v>
      </c>
      <c r="Y630" t="n">
        <v>4164.7766</v>
      </c>
      <c r="Z630" t="n">
        <v>0.00062884</v>
      </c>
      <c r="AA630" t="n">
        <v>0.466756</v>
      </c>
      <c r="AB630" t="n">
        <v>520.5971</v>
      </c>
      <c r="AC630" t="n">
        <v>520.5971</v>
      </c>
      <c r="AD630" t="n">
        <v>-3571.5079</v>
      </c>
      <c r="AE630" t="n">
        <v>28996.1959</v>
      </c>
      <c r="AF630" t="n">
        <v>0.99</v>
      </c>
      <c r="AG630" t="inlineStr">
        <is>
          <t>Medium</t>
        </is>
      </c>
      <c r="AH630" t="inlineStr">
        <is>
          <t>On Track to Glide Path</t>
        </is>
      </c>
    </row>
    <row r="631">
      <c r="A631" t="inlineStr">
        <is>
          <t>SUP-0040</t>
        </is>
      </c>
      <c r="B631" t="inlineStr">
        <is>
          <t>Chemicals Supplier 040</t>
        </is>
      </c>
      <c r="C631" t="inlineStr">
        <is>
          <t>Chemicals</t>
        </is>
      </c>
      <c r="D631" t="n">
        <v>2024</v>
      </c>
      <c r="E631" t="n">
        <v>2021</v>
      </c>
      <c r="F631" t="n">
        <v>2030</v>
      </c>
      <c r="G631" t="n">
        <v>8045.683</v>
      </c>
      <c r="H631" t="n">
        <v>825.9494999999999</v>
      </c>
      <c r="I631" t="n">
        <v>1269.5315</v>
      </c>
      <c r="J631" t="n">
        <v>5474.4724</v>
      </c>
      <c r="K631" t="n">
        <v>7566361.97</v>
      </c>
      <c r="L631" t="n">
        <v>34740066.95</v>
      </c>
      <c r="M631" t="n">
        <v>8045.683</v>
      </c>
      <c r="N631" t="inlineStr">
        <is>
          <t>Supplier Reported Emissions</t>
        </is>
      </c>
      <c r="O631" t="b">
        <v>0</v>
      </c>
      <c r="P631" t="inlineStr">
        <is>
          <t>High</t>
        </is>
      </c>
      <c r="Q631" t="inlineStr">
        <is>
          <t>None</t>
        </is>
      </c>
      <c r="R631" t="inlineStr">
        <is>
          <t>Valid</t>
        </is>
      </c>
      <c r="S631" t="n">
        <v>2030</v>
      </c>
      <c r="T631" t="inlineStr">
        <is>
          <t>Supplier Target Pathway</t>
        </is>
      </c>
      <c r="U631" t="n">
        <v>8922.821599999999</v>
      </c>
      <c r="V631" t="n">
        <v>4237.448</v>
      </c>
      <c r="W631" t="n">
        <v>4237.448</v>
      </c>
      <c r="X631" t="n">
        <v>4237.448</v>
      </c>
      <c r="Y631" t="n">
        <v>4685.3736</v>
      </c>
      <c r="Z631" t="n">
        <v>0.00056004</v>
      </c>
      <c r="AA631" t="n">
        <v>0.5251</v>
      </c>
      <c r="AB631" t="n">
        <v>0</v>
      </c>
      <c r="AC631" t="n">
        <v>520.5971</v>
      </c>
      <c r="AD631" t="n">
        <v>-7808.9559</v>
      </c>
      <c r="AE631" t="n">
        <v>33233.6439</v>
      </c>
      <c r="AF631" t="n">
        <v>0.99</v>
      </c>
      <c r="AG631" t="inlineStr">
        <is>
          <t>Low</t>
        </is>
      </c>
      <c r="AH631" t="inlineStr">
        <is>
          <t>On Track</t>
        </is>
      </c>
    </row>
    <row r="632">
      <c r="A632" t="inlineStr">
        <is>
          <t>SUP-0040</t>
        </is>
      </c>
      <c r="B632" t="inlineStr">
        <is>
          <t>Chemicals Supplier 040</t>
        </is>
      </c>
      <c r="C632" t="inlineStr">
        <is>
          <t>Chemicals</t>
        </is>
      </c>
      <c r="D632" t="n">
        <v>2024</v>
      </c>
      <c r="E632" t="n">
        <v>2021</v>
      </c>
      <c r="F632" t="n">
        <v>2030</v>
      </c>
      <c r="G632" t="n">
        <v>8045.683</v>
      </c>
      <c r="H632" t="n">
        <v>825.9494999999999</v>
      </c>
      <c r="I632" t="n">
        <v>1269.5315</v>
      </c>
      <c r="J632" t="n">
        <v>5474.4724</v>
      </c>
      <c r="K632" t="n">
        <v>7566361.97</v>
      </c>
      <c r="L632" t="n">
        <v>34740066.95</v>
      </c>
      <c r="M632" t="n">
        <v>8045.683</v>
      </c>
      <c r="N632" t="inlineStr">
        <is>
          <t>Supplier Reported Emissions</t>
        </is>
      </c>
      <c r="O632" t="b">
        <v>0</v>
      </c>
      <c r="P632" t="inlineStr">
        <is>
          <t>High</t>
        </is>
      </c>
      <c r="Q632" t="inlineStr">
        <is>
          <t>None</t>
        </is>
      </c>
      <c r="R632" t="inlineStr">
        <is>
          <t>Valid</t>
        </is>
      </c>
      <c r="S632" t="n">
        <v>2031</v>
      </c>
      <c r="T632" t="inlineStr">
        <is>
          <t>Supplier Target Pathway</t>
        </is>
      </c>
      <c r="U632" t="n">
        <v>8922.821599999999</v>
      </c>
      <c r="V632" t="n">
        <v>4237.448</v>
      </c>
      <c r="W632" t="n">
        <v>4237.448</v>
      </c>
      <c r="X632" t="n">
        <v>4237.448</v>
      </c>
      <c r="Y632" t="n">
        <v>4685.3736</v>
      </c>
      <c r="Z632" t="n">
        <v>0.00056004</v>
      </c>
      <c r="AA632" t="n">
        <v>0.5251</v>
      </c>
      <c r="AB632" t="n">
        <v>0</v>
      </c>
      <c r="AC632" t="n">
        <v>520.5971</v>
      </c>
      <c r="AD632" t="n">
        <v>-12046.4039</v>
      </c>
      <c r="AE632" t="n">
        <v>37471.0919</v>
      </c>
      <c r="AF632" t="n">
        <v>0.99</v>
      </c>
      <c r="AG632" t="inlineStr">
        <is>
          <t>Low</t>
        </is>
      </c>
      <c r="AH632" t="inlineStr">
        <is>
          <t>On Track</t>
        </is>
      </c>
    </row>
    <row r="633">
      <c r="A633" t="inlineStr">
        <is>
          <t>SUP-0040</t>
        </is>
      </c>
      <c r="B633" t="inlineStr">
        <is>
          <t>Chemicals Supplier 040</t>
        </is>
      </c>
      <c r="C633" t="inlineStr">
        <is>
          <t>Chemicals</t>
        </is>
      </c>
      <c r="D633" t="n">
        <v>2024</v>
      </c>
      <c r="E633" t="n">
        <v>2021</v>
      </c>
      <c r="F633" t="n">
        <v>2030</v>
      </c>
      <c r="G633" t="n">
        <v>8045.683</v>
      </c>
      <c r="H633" t="n">
        <v>825.9494999999999</v>
      </c>
      <c r="I633" t="n">
        <v>1269.5315</v>
      </c>
      <c r="J633" t="n">
        <v>5474.4724</v>
      </c>
      <c r="K633" t="n">
        <v>7566361.97</v>
      </c>
      <c r="L633" t="n">
        <v>34740066.95</v>
      </c>
      <c r="M633" t="n">
        <v>8045.683</v>
      </c>
      <c r="N633" t="inlineStr">
        <is>
          <t>Supplier Reported Emissions</t>
        </is>
      </c>
      <c r="O633" t="b">
        <v>0</v>
      </c>
      <c r="P633" t="inlineStr">
        <is>
          <t>High</t>
        </is>
      </c>
      <c r="Q633" t="inlineStr">
        <is>
          <t>None</t>
        </is>
      </c>
      <c r="R633" t="inlineStr">
        <is>
          <t>Valid</t>
        </is>
      </c>
      <c r="S633" t="n">
        <v>2032</v>
      </c>
      <c r="T633" t="inlineStr">
        <is>
          <t>Supplier Target Pathway</t>
        </is>
      </c>
      <c r="U633" t="n">
        <v>8922.821599999999</v>
      </c>
      <c r="V633" t="n">
        <v>4237.448</v>
      </c>
      <c r="W633" t="n">
        <v>4237.448</v>
      </c>
      <c r="X633" t="n">
        <v>4237.448</v>
      </c>
      <c r="Y633" t="n">
        <v>4685.3736</v>
      </c>
      <c r="Z633" t="n">
        <v>0.00056004</v>
      </c>
      <c r="AA633" t="n">
        <v>0.5251</v>
      </c>
      <c r="AB633" t="n">
        <v>0</v>
      </c>
      <c r="AC633" t="n">
        <v>520.5971</v>
      </c>
      <c r="AD633" t="n">
        <v>-16283.8519</v>
      </c>
      <c r="AE633" t="n">
        <v>41708.5399</v>
      </c>
      <c r="AF633" t="n">
        <v>0.99</v>
      </c>
      <c r="AG633" t="inlineStr">
        <is>
          <t>Low</t>
        </is>
      </c>
      <c r="AH633" t="inlineStr">
        <is>
          <t>On Track</t>
        </is>
      </c>
    </row>
    <row r="634">
      <c r="A634" t="inlineStr">
        <is>
          <t>SUP-0040</t>
        </is>
      </c>
      <c r="B634" t="inlineStr">
        <is>
          <t>Chemicals Supplier 040</t>
        </is>
      </c>
      <c r="C634" t="inlineStr">
        <is>
          <t>Chemicals</t>
        </is>
      </c>
      <c r="D634" t="n">
        <v>2024</v>
      </c>
      <c r="E634" t="n">
        <v>2021</v>
      </c>
      <c r="F634" t="n">
        <v>2030</v>
      </c>
      <c r="G634" t="n">
        <v>8045.683</v>
      </c>
      <c r="H634" t="n">
        <v>825.9494999999999</v>
      </c>
      <c r="I634" t="n">
        <v>1269.5315</v>
      </c>
      <c r="J634" t="n">
        <v>5474.4724</v>
      </c>
      <c r="K634" t="n">
        <v>7566361.97</v>
      </c>
      <c r="L634" t="n">
        <v>34740066.95</v>
      </c>
      <c r="M634" t="n">
        <v>8045.683</v>
      </c>
      <c r="N634" t="inlineStr">
        <is>
          <t>Supplier Reported Emissions</t>
        </is>
      </c>
      <c r="O634" t="b">
        <v>0</v>
      </c>
      <c r="P634" t="inlineStr">
        <is>
          <t>High</t>
        </is>
      </c>
      <c r="Q634" t="inlineStr">
        <is>
          <t>None</t>
        </is>
      </c>
      <c r="R634" t="inlineStr">
        <is>
          <t>Valid</t>
        </is>
      </c>
      <c r="S634" t="n">
        <v>2033</v>
      </c>
      <c r="T634" t="inlineStr">
        <is>
          <t>Supplier Target Pathway</t>
        </is>
      </c>
      <c r="U634" t="n">
        <v>8922.821599999999</v>
      </c>
      <c r="V634" t="n">
        <v>4237.448</v>
      </c>
      <c r="W634" t="n">
        <v>4237.448</v>
      </c>
      <c r="X634" t="n">
        <v>4237.448</v>
      </c>
      <c r="Y634" t="n">
        <v>4685.3736</v>
      </c>
      <c r="Z634" t="n">
        <v>0.00056004</v>
      </c>
      <c r="AA634" t="n">
        <v>0.5251</v>
      </c>
      <c r="AB634" t="n">
        <v>0</v>
      </c>
      <c r="AC634" t="n">
        <v>520.5971</v>
      </c>
      <c r="AD634" t="n">
        <v>-20521.2999</v>
      </c>
      <c r="AE634" t="n">
        <v>45945.9879</v>
      </c>
      <c r="AF634" t="n">
        <v>0.99</v>
      </c>
      <c r="AG634" t="inlineStr">
        <is>
          <t>Low</t>
        </is>
      </c>
      <c r="AH634" t="inlineStr">
        <is>
          <t>On Track</t>
        </is>
      </c>
    </row>
    <row r="635">
      <c r="A635" t="inlineStr">
        <is>
          <t>SUP-0040</t>
        </is>
      </c>
      <c r="B635" t="inlineStr">
        <is>
          <t>Chemicals Supplier 040</t>
        </is>
      </c>
      <c r="C635" t="inlineStr">
        <is>
          <t>Chemicals</t>
        </is>
      </c>
      <c r="D635" t="n">
        <v>2024</v>
      </c>
      <c r="E635" t="n">
        <v>2021</v>
      </c>
      <c r="F635" t="n">
        <v>2030</v>
      </c>
      <c r="G635" t="n">
        <v>8045.683</v>
      </c>
      <c r="H635" t="n">
        <v>825.9494999999999</v>
      </c>
      <c r="I635" t="n">
        <v>1269.5315</v>
      </c>
      <c r="J635" t="n">
        <v>5474.4724</v>
      </c>
      <c r="K635" t="n">
        <v>7566361.97</v>
      </c>
      <c r="L635" t="n">
        <v>34740066.95</v>
      </c>
      <c r="M635" t="n">
        <v>8045.683</v>
      </c>
      <c r="N635" t="inlineStr">
        <is>
          <t>Supplier Reported Emissions</t>
        </is>
      </c>
      <c r="O635" t="b">
        <v>0</v>
      </c>
      <c r="P635" t="inlineStr">
        <is>
          <t>High</t>
        </is>
      </c>
      <c r="Q635" t="inlineStr">
        <is>
          <t>None</t>
        </is>
      </c>
      <c r="R635" t="inlineStr">
        <is>
          <t>Valid</t>
        </is>
      </c>
      <c r="S635" t="n">
        <v>2034</v>
      </c>
      <c r="T635" t="inlineStr">
        <is>
          <t>Supplier Target Pathway</t>
        </is>
      </c>
      <c r="U635" t="n">
        <v>8922.821599999999</v>
      </c>
      <c r="V635" t="n">
        <v>4237.448</v>
      </c>
      <c r="W635" t="n">
        <v>4237.448</v>
      </c>
      <c r="X635" t="n">
        <v>4237.448</v>
      </c>
      <c r="Y635" t="n">
        <v>4685.3736</v>
      </c>
      <c r="Z635" t="n">
        <v>0.00056004</v>
      </c>
      <c r="AA635" t="n">
        <v>0.5251</v>
      </c>
      <c r="AB635" t="n">
        <v>0</v>
      </c>
      <c r="AC635" t="n">
        <v>520.5971</v>
      </c>
      <c r="AD635" t="n">
        <v>-24758.7479</v>
      </c>
      <c r="AE635" t="n">
        <v>50183.4359</v>
      </c>
      <c r="AF635" t="n">
        <v>0.99</v>
      </c>
      <c r="AG635" t="inlineStr">
        <is>
          <t>Low</t>
        </is>
      </c>
      <c r="AH635" t="inlineStr">
        <is>
          <t>On Track</t>
        </is>
      </c>
    </row>
    <row r="636">
      <c r="A636" t="inlineStr">
        <is>
          <t>SUP-0040</t>
        </is>
      </c>
      <c r="B636" t="inlineStr">
        <is>
          <t>Chemicals Supplier 040</t>
        </is>
      </c>
      <c r="C636" t="inlineStr">
        <is>
          <t>Chemicals</t>
        </is>
      </c>
      <c r="D636" t="n">
        <v>2024</v>
      </c>
      <c r="E636" t="n">
        <v>2021</v>
      </c>
      <c r="F636" t="n">
        <v>2030</v>
      </c>
      <c r="G636" t="n">
        <v>8045.683</v>
      </c>
      <c r="H636" t="n">
        <v>825.9494999999999</v>
      </c>
      <c r="I636" t="n">
        <v>1269.5315</v>
      </c>
      <c r="J636" t="n">
        <v>5474.4724</v>
      </c>
      <c r="K636" t="n">
        <v>7566361.97</v>
      </c>
      <c r="L636" t="n">
        <v>34740066.95</v>
      </c>
      <c r="M636" t="n">
        <v>8045.683</v>
      </c>
      <c r="N636" t="inlineStr">
        <is>
          <t>Supplier Reported Emissions</t>
        </is>
      </c>
      <c r="O636" t="b">
        <v>0</v>
      </c>
      <c r="P636" t="inlineStr">
        <is>
          <t>High</t>
        </is>
      </c>
      <c r="Q636" t="inlineStr">
        <is>
          <t>None</t>
        </is>
      </c>
      <c r="R636" t="inlineStr">
        <is>
          <t>Valid</t>
        </is>
      </c>
      <c r="S636" t="n">
        <v>2035</v>
      </c>
      <c r="T636" t="inlineStr">
        <is>
          <t>Supplier Target Pathway</t>
        </is>
      </c>
      <c r="U636" t="n">
        <v>8922.821599999999</v>
      </c>
      <c r="V636" t="n">
        <v>4237.448</v>
      </c>
      <c r="W636" t="n">
        <v>4237.448</v>
      </c>
      <c r="X636" t="n">
        <v>4237.448</v>
      </c>
      <c r="Y636" t="n">
        <v>4685.3736</v>
      </c>
      <c r="Z636" t="n">
        <v>0.00056004</v>
      </c>
      <c r="AA636" t="n">
        <v>0.5251</v>
      </c>
      <c r="AB636" t="n">
        <v>0</v>
      </c>
      <c r="AC636" t="n">
        <v>520.5971</v>
      </c>
      <c r="AD636" t="n">
        <v>-28996.1959</v>
      </c>
      <c r="AE636" t="n">
        <v>54420.8839</v>
      </c>
      <c r="AF636" t="n">
        <v>0.99</v>
      </c>
      <c r="AG636" t="inlineStr">
        <is>
          <t>Low</t>
        </is>
      </c>
      <c r="AH636" t="inlineStr">
        <is>
          <t>On Track</t>
        </is>
      </c>
    </row>
    <row r="637">
      <c r="A637" t="inlineStr">
        <is>
          <t>SUP-0040</t>
        </is>
      </c>
      <c r="B637" t="inlineStr">
        <is>
          <t>Chemicals Supplier 040</t>
        </is>
      </c>
      <c r="C637" t="inlineStr">
        <is>
          <t>Chemicals</t>
        </is>
      </c>
      <c r="D637" t="n">
        <v>2024</v>
      </c>
      <c r="E637" t="n">
        <v>2021</v>
      </c>
      <c r="F637" t="n">
        <v>2030</v>
      </c>
      <c r="G637" t="n">
        <v>8045.683</v>
      </c>
      <c r="H637" t="n">
        <v>825.9494999999999</v>
      </c>
      <c r="I637" t="n">
        <v>1269.5315</v>
      </c>
      <c r="J637" t="n">
        <v>5474.4724</v>
      </c>
      <c r="K637" t="n">
        <v>7566361.97</v>
      </c>
      <c r="L637" t="n">
        <v>34740066.95</v>
      </c>
      <c r="M637" t="n">
        <v>8045.683</v>
      </c>
      <c r="N637" t="inlineStr">
        <is>
          <t>Supplier Reported Emissions</t>
        </is>
      </c>
      <c r="O637" t="b">
        <v>0</v>
      </c>
      <c r="P637" t="inlineStr">
        <is>
          <t>High</t>
        </is>
      </c>
      <c r="Q637" t="inlineStr">
        <is>
          <t>None</t>
        </is>
      </c>
      <c r="R637" t="inlineStr">
        <is>
          <t>Valid</t>
        </is>
      </c>
      <c r="S637" t="n">
        <v>2036</v>
      </c>
      <c r="T637" t="inlineStr">
        <is>
          <t>Supplier Target Pathway</t>
        </is>
      </c>
      <c r="U637" t="n">
        <v>8922.821599999999</v>
      </c>
      <c r="V637" t="n">
        <v>4237.448</v>
      </c>
      <c r="W637" t="n">
        <v>4237.448</v>
      </c>
      <c r="X637" t="n">
        <v>4237.448</v>
      </c>
      <c r="Y637" t="n">
        <v>4685.3736</v>
      </c>
      <c r="Z637" t="n">
        <v>0.00056004</v>
      </c>
      <c r="AA637" t="n">
        <v>0.5251</v>
      </c>
      <c r="AB637" t="n">
        <v>0</v>
      </c>
      <c r="AC637" t="n">
        <v>520.5971</v>
      </c>
      <c r="AD637" t="n">
        <v>-33233.6439</v>
      </c>
      <c r="AE637" t="n">
        <v>58658.3319</v>
      </c>
      <c r="AF637" t="n">
        <v>0.99</v>
      </c>
      <c r="AG637" t="inlineStr">
        <is>
          <t>Low</t>
        </is>
      </c>
      <c r="AH637" t="inlineStr">
        <is>
          <t>On Track</t>
        </is>
      </c>
    </row>
    <row r="638">
      <c r="A638" t="inlineStr">
        <is>
          <t>SUP-0040</t>
        </is>
      </c>
      <c r="B638" t="inlineStr">
        <is>
          <t>Chemicals Supplier 040</t>
        </is>
      </c>
      <c r="C638" t="inlineStr">
        <is>
          <t>Chemicals</t>
        </is>
      </c>
      <c r="D638" t="n">
        <v>2024</v>
      </c>
      <c r="E638" t="n">
        <v>2021</v>
      </c>
      <c r="F638" t="n">
        <v>2030</v>
      </c>
      <c r="G638" t="n">
        <v>8045.683</v>
      </c>
      <c r="H638" t="n">
        <v>825.9494999999999</v>
      </c>
      <c r="I638" t="n">
        <v>1269.5315</v>
      </c>
      <c r="J638" t="n">
        <v>5474.4724</v>
      </c>
      <c r="K638" t="n">
        <v>7566361.97</v>
      </c>
      <c r="L638" t="n">
        <v>34740066.95</v>
      </c>
      <c r="M638" t="n">
        <v>8045.683</v>
      </c>
      <c r="N638" t="inlineStr">
        <is>
          <t>Supplier Reported Emissions</t>
        </is>
      </c>
      <c r="O638" t="b">
        <v>0</v>
      </c>
      <c r="P638" t="inlineStr">
        <is>
          <t>High</t>
        </is>
      </c>
      <c r="Q638" t="inlineStr">
        <is>
          <t>None</t>
        </is>
      </c>
      <c r="R638" t="inlineStr">
        <is>
          <t>Valid</t>
        </is>
      </c>
      <c r="S638" t="n">
        <v>2037</v>
      </c>
      <c r="T638" t="inlineStr">
        <is>
          <t>Supplier Target Pathway</t>
        </is>
      </c>
      <c r="U638" t="n">
        <v>8922.821599999999</v>
      </c>
      <c r="V638" t="n">
        <v>4237.448</v>
      </c>
      <c r="W638" t="n">
        <v>4237.448</v>
      </c>
      <c r="X638" t="n">
        <v>4237.448</v>
      </c>
      <c r="Y638" t="n">
        <v>4685.3736</v>
      </c>
      <c r="Z638" t="n">
        <v>0.00056004</v>
      </c>
      <c r="AA638" t="n">
        <v>0.5251</v>
      </c>
      <c r="AB638" t="n">
        <v>0</v>
      </c>
      <c r="AC638" t="n">
        <v>520.5971</v>
      </c>
      <c r="AD638" t="n">
        <v>-37471.0919</v>
      </c>
      <c r="AE638" t="n">
        <v>62895.7799</v>
      </c>
      <c r="AF638" t="n">
        <v>0.99</v>
      </c>
      <c r="AG638" t="inlineStr">
        <is>
          <t>Low</t>
        </is>
      </c>
      <c r="AH638" t="inlineStr">
        <is>
          <t>On Track</t>
        </is>
      </c>
    </row>
    <row r="639">
      <c r="A639" t="inlineStr">
        <is>
          <t>SUP-0040</t>
        </is>
      </c>
      <c r="B639" t="inlineStr">
        <is>
          <t>Chemicals Supplier 040</t>
        </is>
      </c>
      <c r="C639" t="inlineStr">
        <is>
          <t>Chemicals</t>
        </is>
      </c>
      <c r="D639" t="n">
        <v>2024</v>
      </c>
      <c r="E639" t="n">
        <v>2021</v>
      </c>
      <c r="F639" t="n">
        <v>2030</v>
      </c>
      <c r="G639" t="n">
        <v>8045.683</v>
      </c>
      <c r="H639" t="n">
        <v>825.9494999999999</v>
      </c>
      <c r="I639" t="n">
        <v>1269.5315</v>
      </c>
      <c r="J639" t="n">
        <v>5474.4724</v>
      </c>
      <c r="K639" t="n">
        <v>7566361.97</v>
      </c>
      <c r="L639" t="n">
        <v>34740066.95</v>
      </c>
      <c r="M639" t="n">
        <v>8045.683</v>
      </c>
      <c r="N639" t="inlineStr">
        <is>
          <t>Supplier Reported Emissions</t>
        </is>
      </c>
      <c r="O639" t="b">
        <v>0</v>
      </c>
      <c r="P639" t="inlineStr">
        <is>
          <t>High</t>
        </is>
      </c>
      <c r="Q639" t="inlineStr">
        <is>
          <t>None</t>
        </is>
      </c>
      <c r="R639" t="inlineStr">
        <is>
          <t>Valid</t>
        </is>
      </c>
      <c r="S639" t="n">
        <v>2038</v>
      </c>
      <c r="T639" t="inlineStr">
        <is>
          <t>Supplier Target Pathway</t>
        </is>
      </c>
      <c r="U639" t="n">
        <v>8922.821599999999</v>
      </c>
      <c r="V639" t="n">
        <v>4237.448</v>
      </c>
      <c r="W639" t="n">
        <v>4237.448</v>
      </c>
      <c r="X639" t="n">
        <v>4237.448</v>
      </c>
      <c r="Y639" t="n">
        <v>4685.3736</v>
      </c>
      <c r="Z639" t="n">
        <v>0.00056004</v>
      </c>
      <c r="AA639" t="n">
        <v>0.5251</v>
      </c>
      <c r="AB639" t="n">
        <v>0</v>
      </c>
      <c r="AC639" t="n">
        <v>520.5971</v>
      </c>
      <c r="AD639" t="n">
        <v>-41708.5399</v>
      </c>
      <c r="AE639" t="n">
        <v>67133.2279</v>
      </c>
      <c r="AF639" t="n">
        <v>0.99</v>
      </c>
      <c r="AG639" t="inlineStr">
        <is>
          <t>Low</t>
        </is>
      </c>
      <c r="AH639" t="inlineStr">
        <is>
          <t>On Track</t>
        </is>
      </c>
    </row>
    <row r="640">
      <c r="A640" t="inlineStr">
        <is>
          <t>SUP-0040</t>
        </is>
      </c>
      <c r="B640" t="inlineStr">
        <is>
          <t>Chemicals Supplier 040</t>
        </is>
      </c>
      <c r="C640" t="inlineStr">
        <is>
          <t>Chemicals</t>
        </is>
      </c>
      <c r="D640" t="n">
        <v>2024</v>
      </c>
      <c r="E640" t="n">
        <v>2021</v>
      </c>
      <c r="F640" t="n">
        <v>2030</v>
      </c>
      <c r="G640" t="n">
        <v>8045.683</v>
      </c>
      <c r="H640" t="n">
        <v>825.9494999999999</v>
      </c>
      <c r="I640" t="n">
        <v>1269.5315</v>
      </c>
      <c r="J640" t="n">
        <v>5474.4724</v>
      </c>
      <c r="K640" t="n">
        <v>7566361.97</v>
      </c>
      <c r="L640" t="n">
        <v>34740066.95</v>
      </c>
      <c r="M640" t="n">
        <v>8045.683</v>
      </c>
      <c r="N640" t="inlineStr">
        <is>
          <t>Supplier Reported Emissions</t>
        </is>
      </c>
      <c r="O640" t="b">
        <v>0</v>
      </c>
      <c r="P640" t="inlineStr">
        <is>
          <t>High</t>
        </is>
      </c>
      <c r="Q640" t="inlineStr">
        <is>
          <t>None</t>
        </is>
      </c>
      <c r="R640" t="inlineStr">
        <is>
          <t>Valid</t>
        </is>
      </c>
      <c r="S640" t="n">
        <v>2039</v>
      </c>
      <c r="T640" t="inlineStr">
        <is>
          <t>Supplier Target Pathway</t>
        </is>
      </c>
      <c r="U640" t="n">
        <v>8922.821599999999</v>
      </c>
      <c r="V640" t="n">
        <v>4237.448</v>
      </c>
      <c r="W640" t="n">
        <v>4237.448</v>
      </c>
      <c r="X640" t="n">
        <v>4237.448</v>
      </c>
      <c r="Y640" t="n">
        <v>4685.3736</v>
      </c>
      <c r="Z640" t="n">
        <v>0.00056004</v>
      </c>
      <c r="AA640" t="n">
        <v>0.5251</v>
      </c>
      <c r="AB640" t="n">
        <v>0</v>
      </c>
      <c r="AC640" t="n">
        <v>520.5971</v>
      </c>
      <c r="AD640" t="n">
        <v>-45945.9879</v>
      </c>
      <c r="AE640" t="n">
        <v>71370.6759</v>
      </c>
      <c r="AF640" t="n">
        <v>0.99</v>
      </c>
      <c r="AG640" t="inlineStr">
        <is>
          <t>Low</t>
        </is>
      </c>
      <c r="AH640" t="inlineStr">
        <is>
          <t>On Track</t>
        </is>
      </c>
    </row>
    <row r="641">
      <c r="A641" t="inlineStr">
        <is>
          <t>SUP-0040</t>
        </is>
      </c>
      <c r="B641" t="inlineStr">
        <is>
          <t>Chemicals Supplier 040</t>
        </is>
      </c>
      <c r="C641" t="inlineStr">
        <is>
          <t>Chemicals</t>
        </is>
      </c>
      <c r="D641" t="n">
        <v>2024</v>
      </c>
      <c r="E641" t="n">
        <v>2021</v>
      </c>
      <c r="F641" t="n">
        <v>2030</v>
      </c>
      <c r="G641" t="n">
        <v>8045.683</v>
      </c>
      <c r="H641" t="n">
        <v>825.9494999999999</v>
      </c>
      <c r="I641" t="n">
        <v>1269.5315</v>
      </c>
      <c r="J641" t="n">
        <v>5474.4724</v>
      </c>
      <c r="K641" t="n">
        <v>7566361.97</v>
      </c>
      <c r="L641" t="n">
        <v>34740066.95</v>
      </c>
      <c r="M641" t="n">
        <v>8045.683</v>
      </c>
      <c r="N641" t="inlineStr">
        <is>
          <t>Supplier Reported Emissions</t>
        </is>
      </c>
      <c r="O641" t="b">
        <v>0</v>
      </c>
      <c r="P641" t="inlineStr">
        <is>
          <t>High</t>
        </is>
      </c>
      <c r="Q641" t="inlineStr">
        <is>
          <t>None</t>
        </is>
      </c>
      <c r="R641" t="inlineStr">
        <is>
          <t>Valid</t>
        </is>
      </c>
      <c r="S641" t="n">
        <v>2040</v>
      </c>
      <c r="T641" t="inlineStr">
        <is>
          <t>Supplier Target Pathway</t>
        </is>
      </c>
      <c r="U641" t="n">
        <v>8922.821599999999</v>
      </c>
      <c r="V641" t="n">
        <v>4237.448</v>
      </c>
      <c r="W641" t="n">
        <v>4237.448</v>
      </c>
      <c r="X641" t="n">
        <v>4237.448</v>
      </c>
      <c r="Y641" t="n">
        <v>4685.3736</v>
      </c>
      <c r="Z641" t="n">
        <v>0.00056004</v>
      </c>
      <c r="AA641" t="n">
        <v>0.5251</v>
      </c>
      <c r="AB641" t="n">
        <v>0</v>
      </c>
      <c r="AC641" t="n">
        <v>520.5971</v>
      </c>
      <c r="AD641" t="n">
        <v>-50183.4359</v>
      </c>
      <c r="AE641" t="n">
        <v>75608.12390000001</v>
      </c>
      <c r="AF641" t="n">
        <v>0.99</v>
      </c>
      <c r="AG641" t="inlineStr">
        <is>
          <t>Low</t>
        </is>
      </c>
      <c r="AH641" t="inlineStr">
        <is>
          <t>On Track</t>
        </is>
      </c>
    </row>
    <row r="642">
      <c r="A642" t="inlineStr">
        <is>
          <t>SUP-0041</t>
        </is>
      </c>
      <c r="B642" t="inlineStr">
        <is>
          <t>Logistics Supplier 041</t>
        </is>
      </c>
      <c r="C642" t="inlineStr">
        <is>
          <t>Logistics</t>
        </is>
      </c>
      <c r="D642" t="n">
        <v>2024</v>
      </c>
      <c r="E642" t="n">
        <v>2015</v>
      </c>
      <c r="F642" t="n">
        <v>2040</v>
      </c>
      <c r="G642" t="n">
        <v>2816.2884</v>
      </c>
      <c r="H642" t="n">
        <v>250.739</v>
      </c>
      <c r="I642" t="inlineStr"/>
      <c r="J642" t="n">
        <v>1858.2658</v>
      </c>
      <c r="K642" t="n">
        <v>9757957.09</v>
      </c>
      <c r="L642" t="n">
        <v>23127476.6</v>
      </c>
      <c r="M642" t="n">
        <v>2816.2884</v>
      </c>
      <c r="N642" t="inlineStr">
        <is>
          <t>Supplier Reported Emissions</t>
        </is>
      </c>
      <c r="O642" t="b">
        <v>0</v>
      </c>
      <c r="P642" t="inlineStr">
        <is>
          <t>High</t>
        </is>
      </c>
      <c r="Q642" t="inlineStr">
        <is>
          <t>Scope_Emissions</t>
        </is>
      </c>
      <c r="R642" t="inlineStr">
        <is>
          <t>Valid</t>
        </is>
      </c>
      <c r="S642" t="n">
        <v>2025</v>
      </c>
      <c r="T642" t="inlineStr">
        <is>
          <t>Industry Haircut Pathway</t>
        </is>
      </c>
      <c r="U642" t="n">
        <v>2460.061</v>
      </c>
      <c r="V642" t="n">
        <v>1324.4968</v>
      </c>
      <c r="W642" t="n">
        <v>2005.8353</v>
      </c>
      <c r="X642" t="n">
        <v>2005.8353</v>
      </c>
      <c r="Y642" t="n">
        <v>454.2257</v>
      </c>
      <c r="Z642" t="n">
        <v>0.00020556</v>
      </c>
      <c r="AA642" t="n">
        <v>0.18464</v>
      </c>
      <c r="AB642" t="n">
        <v>681.3385</v>
      </c>
      <c r="AC642" t="n">
        <v>45.4226</v>
      </c>
      <c r="AD642" t="n">
        <v>19186.1135</v>
      </c>
      <c r="AE642" t="n">
        <v>2005.8353</v>
      </c>
      <c r="AF642" t="n">
        <v>0.865</v>
      </c>
      <c r="AG642" t="inlineStr">
        <is>
          <t>Critical</t>
        </is>
      </c>
      <c r="AH642" t="inlineStr">
        <is>
          <t>On Track to Glide Path</t>
        </is>
      </c>
    </row>
    <row r="643">
      <c r="A643" t="inlineStr">
        <is>
          <t>SUP-0041</t>
        </is>
      </c>
      <c r="B643" t="inlineStr">
        <is>
          <t>Logistics Supplier 041</t>
        </is>
      </c>
      <c r="C643" t="inlineStr">
        <is>
          <t>Logistics</t>
        </is>
      </c>
      <c r="D643" t="n">
        <v>2024</v>
      </c>
      <c r="E643" t="n">
        <v>2015</v>
      </c>
      <c r="F643" t="n">
        <v>2040</v>
      </c>
      <c r="G643" t="n">
        <v>2816.2884</v>
      </c>
      <c r="H643" t="n">
        <v>250.739</v>
      </c>
      <c r="I643" t="inlineStr"/>
      <c r="J643" t="n">
        <v>1858.2658</v>
      </c>
      <c r="K643" t="n">
        <v>9757957.09</v>
      </c>
      <c r="L643" t="n">
        <v>23127476.6</v>
      </c>
      <c r="M643" t="n">
        <v>2816.2884</v>
      </c>
      <c r="N643" t="inlineStr">
        <is>
          <t>Supplier Reported Emissions</t>
        </is>
      </c>
      <c r="O643" t="b">
        <v>0</v>
      </c>
      <c r="P643" t="inlineStr">
        <is>
          <t>High</t>
        </is>
      </c>
      <c r="Q643" t="inlineStr">
        <is>
          <t>Scope_Emissions</t>
        </is>
      </c>
      <c r="R643" t="inlineStr">
        <is>
          <t>Valid</t>
        </is>
      </c>
      <c r="S643" t="n">
        <v>2026</v>
      </c>
      <c r="T643" t="inlineStr">
        <is>
          <t>Industry Haircut Pathway</t>
        </is>
      </c>
      <c r="U643" t="n">
        <v>2460.061</v>
      </c>
      <c r="V643" t="n">
        <v>1324.4968</v>
      </c>
      <c r="W643" t="n">
        <v>1960.4128</v>
      </c>
      <c r="X643" t="n">
        <v>1960.4128</v>
      </c>
      <c r="Y643" t="n">
        <v>499.6482</v>
      </c>
      <c r="Z643" t="n">
        <v>0.0002009</v>
      </c>
      <c r="AA643" t="n">
        <v>0.203104</v>
      </c>
      <c r="AB643" t="n">
        <v>635.9159</v>
      </c>
      <c r="AC643" t="n">
        <v>45.4226</v>
      </c>
      <c r="AD643" t="n">
        <v>17225.7007</v>
      </c>
      <c r="AE643" t="n">
        <v>3966.2481</v>
      </c>
      <c r="AF643" t="n">
        <v>0.865</v>
      </c>
      <c r="AG643" t="inlineStr">
        <is>
          <t>Critical</t>
        </is>
      </c>
      <c r="AH643" t="inlineStr">
        <is>
          <t>On Track to Glide Path</t>
        </is>
      </c>
    </row>
    <row r="644">
      <c r="A644" t="inlineStr">
        <is>
          <t>SUP-0041</t>
        </is>
      </c>
      <c r="B644" t="inlineStr">
        <is>
          <t>Logistics Supplier 041</t>
        </is>
      </c>
      <c r="C644" t="inlineStr">
        <is>
          <t>Logistics</t>
        </is>
      </c>
      <c r="D644" t="n">
        <v>2024</v>
      </c>
      <c r="E644" t="n">
        <v>2015</v>
      </c>
      <c r="F644" t="n">
        <v>2040</v>
      </c>
      <c r="G644" t="n">
        <v>2816.2884</v>
      </c>
      <c r="H644" t="n">
        <v>250.739</v>
      </c>
      <c r="I644" t="inlineStr"/>
      <c r="J644" t="n">
        <v>1858.2658</v>
      </c>
      <c r="K644" t="n">
        <v>9757957.09</v>
      </c>
      <c r="L644" t="n">
        <v>23127476.6</v>
      </c>
      <c r="M644" t="n">
        <v>2816.2884</v>
      </c>
      <c r="N644" t="inlineStr">
        <is>
          <t>Supplier Reported Emissions</t>
        </is>
      </c>
      <c r="O644" t="b">
        <v>0</v>
      </c>
      <c r="P644" t="inlineStr">
        <is>
          <t>High</t>
        </is>
      </c>
      <c r="Q644" t="inlineStr">
        <is>
          <t>Scope_Emissions</t>
        </is>
      </c>
      <c r="R644" t="inlineStr">
        <is>
          <t>Valid</t>
        </is>
      </c>
      <c r="S644" t="n">
        <v>2027</v>
      </c>
      <c r="T644" t="inlineStr">
        <is>
          <t>Industry Haircut Pathway</t>
        </is>
      </c>
      <c r="U644" t="n">
        <v>2460.061</v>
      </c>
      <c r="V644" t="n">
        <v>1324.4968</v>
      </c>
      <c r="W644" t="n">
        <v>1914.9902</v>
      </c>
      <c r="X644" t="n">
        <v>1914.9902</v>
      </c>
      <c r="Y644" t="n">
        <v>545.0708</v>
      </c>
      <c r="Z644" t="n">
        <v>0.00019625</v>
      </c>
      <c r="AA644" t="n">
        <v>0.221568</v>
      </c>
      <c r="AB644" t="n">
        <v>590.4934</v>
      </c>
      <c r="AC644" t="n">
        <v>45.4226</v>
      </c>
      <c r="AD644" t="n">
        <v>15310.7105</v>
      </c>
      <c r="AE644" t="n">
        <v>5881.2383</v>
      </c>
      <c r="AF644" t="n">
        <v>0.865</v>
      </c>
      <c r="AG644" t="inlineStr">
        <is>
          <t>Critical</t>
        </is>
      </c>
      <c r="AH644" t="inlineStr">
        <is>
          <t>On Track to Glide Path</t>
        </is>
      </c>
    </row>
    <row r="645">
      <c r="A645" t="inlineStr">
        <is>
          <t>SUP-0041</t>
        </is>
      </c>
      <c r="B645" t="inlineStr">
        <is>
          <t>Logistics Supplier 041</t>
        </is>
      </c>
      <c r="C645" t="inlineStr">
        <is>
          <t>Logistics</t>
        </is>
      </c>
      <c r="D645" t="n">
        <v>2024</v>
      </c>
      <c r="E645" t="n">
        <v>2015</v>
      </c>
      <c r="F645" t="n">
        <v>2040</v>
      </c>
      <c r="G645" t="n">
        <v>2816.2884</v>
      </c>
      <c r="H645" t="n">
        <v>250.739</v>
      </c>
      <c r="I645" t="inlineStr"/>
      <c r="J645" t="n">
        <v>1858.2658</v>
      </c>
      <c r="K645" t="n">
        <v>9757957.09</v>
      </c>
      <c r="L645" t="n">
        <v>23127476.6</v>
      </c>
      <c r="M645" t="n">
        <v>2816.2884</v>
      </c>
      <c r="N645" t="inlineStr">
        <is>
          <t>Supplier Reported Emissions</t>
        </is>
      </c>
      <c r="O645" t="b">
        <v>0</v>
      </c>
      <c r="P645" t="inlineStr">
        <is>
          <t>High</t>
        </is>
      </c>
      <c r="Q645" t="inlineStr">
        <is>
          <t>Scope_Emissions</t>
        </is>
      </c>
      <c r="R645" t="inlineStr">
        <is>
          <t>Valid</t>
        </is>
      </c>
      <c r="S645" t="n">
        <v>2028</v>
      </c>
      <c r="T645" t="inlineStr">
        <is>
          <t>Industry Haircut Pathway</t>
        </is>
      </c>
      <c r="U645" t="n">
        <v>2460.061</v>
      </c>
      <c r="V645" t="n">
        <v>1324.4968</v>
      </c>
      <c r="W645" t="n">
        <v>1869.5676</v>
      </c>
      <c r="X645" t="n">
        <v>1869.5676</v>
      </c>
      <c r="Y645" t="n">
        <v>590.4934</v>
      </c>
      <c r="Z645" t="n">
        <v>0.00019159</v>
      </c>
      <c r="AA645" t="n">
        <v>0.240032</v>
      </c>
      <c r="AB645" t="n">
        <v>545.0708</v>
      </c>
      <c r="AC645" t="n">
        <v>45.4226</v>
      </c>
      <c r="AD645" t="n">
        <v>13441.1429</v>
      </c>
      <c r="AE645" t="n">
        <v>7750.8059</v>
      </c>
      <c r="AF645" t="n">
        <v>0.865</v>
      </c>
      <c r="AG645" t="inlineStr">
        <is>
          <t>Critical</t>
        </is>
      </c>
      <c r="AH645" t="inlineStr">
        <is>
          <t>On Track to Glide Path</t>
        </is>
      </c>
    </row>
    <row r="646">
      <c r="A646" t="inlineStr">
        <is>
          <t>SUP-0041</t>
        </is>
      </c>
      <c r="B646" t="inlineStr">
        <is>
          <t>Logistics Supplier 041</t>
        </is>
      </c>
      <c r="C646" t="inlineStr">
        <is>
          <t>Logistics</t>
        </is>
      </c>
      <c r="D646" t="n">
        <v>2024</v>
      </c>
      <c r="E646" t="n">
        <v>2015</v>
      </c>
      <c r="F646" t="n">
        <v>2040</v>
      </c>
      <c r="G646" t="n">
        <v>2816.2884</v>
      </c>
      <c r="H646" t="n">
        <v>250.739</v>
      </c>
      <c r="I646" t="inlineStr"/>
      <c r="J646" t="n">
        <v>1858.2658</v>
      </c>
      <c r="K646" t="n">
        <v>9757957.09</v>
      </c>
      <c r="L646" t="n">
        <v>23127476.6</v>
      </c>
      <c r="M646" t="n">
        <v>2816.2884</v>
      </c>
      <c r="N646" t="inlineStr">
        <is>
          <t>Supplier Reported Emissions</t>
        </is>
      </c>
      <c r="O646" t="b">
        <v>0</v>
      </c>
      <c r="P646" t="inlineStr">
        <is>
          <t>High</t>
        </is>
      </c>
      <c r="Q646" t="inlineStr">
        <is>
          <t>Scope_Emissions</t>
        </is>
      </c>
      <c r="R646" t="inlineStr">
        <is>
          <t>Valid</t>
        </is>
      </c>
      <c r="S646" t="n">
        <v>2029</v>
      </c>
      <c r="T646" t="inlineStr">
        <is>
          <t>Industry Haircut Pathway</t>
        </is>
      </c>
      <c r="U646" t="n">
        <v>2460.061</v>
      </c>
      <c r="V646" t="n">
        <v>1324.4968</v>
      </c>
      <c r="W646" t="n">
        <v>1824.1451</v>
      </c>
      <c r="X646" t="n">
        <v>1824.1451</v>
      </c>
      <c r="Y646" t="n">
        <v>635.9159</v>
      </c>
      <c r="Z646" t="n">
        <v>0.00018694</v>
      </c>
      <c r="AA646" t="n">
        <v>0.258496</v>
      </c>
      <c r="AB646" t="n">
        <v>499.6482</v>
      </c>
      <c r="AC646" t="n">
        <v>45.4226</v>
      </c>
      <c r="AD646" t="n">
        <v>11616.9978</v>
      </c>
      <c r="AE646" t="n">
        <v>9574.950999999999</v>
      </c>
      <c r="AF646" t="n">
        <v>0.865</v>
      </c>
      <c r="AG646" t="inlineStr">
        <is>
          <t>Critical</t>
        </is>
      </c>
      <c r="AH646" t="inlineStr">
        <is>
          <t>On Track to Glide Path</t>
        </is>
      </c>
    </row>
    <row r="647">
      <c r="A647" t="inlineStr">
        <is>
          <t>SUP-0041</t>
        </is>
      </c>
      <c r="B647" t="inlineStr">
        <is>
          <t>Logistics Supplier 041</t>
        </is>
      </c>
      <c r="C647" t="inlineStr">
        <is>
          <t>Logistics</t>
        </is>
      </c>
      <c r="D647" t="n">
        <v>2024</v>
      </c>
      <c r="E647" t="n">
        <v>2015</v>
      </c>
      <c r="F647" t="n">
        <v>2040</v>
      </c>
      <c r="G647" t="n">
        <v>2816.2884</v>
      </c>
      <c r="H647" t="n">
        <v>250.739</v>
      </c>
      <c r="I647" t="inlineStr"/>
      <c r="J647" t="n">
        <v>1858.2658</v>
      </c>
      <c r="K647" t="n">
        <v>9757957.09</v>
      </c>
      <c r="L647" t="n">
        <v>23127476.6</v>
      </c>
      <c r="M647" t="n">
        <v>2816.2884</v>
      </c>
      <c r="N647" t="inlineStr">
        <is>
          <t>Supplier Reported Emissions</t>
        </is>
      </c>
      <c r="O647" t="b">
        <v>0</v>
      </c>
      <c r="P647" t="inlineStr">
        <is>
          <t>High</t>
        </is>
      </c>
      <c r="Q647" t="inlineStr">
        <is>
          <t>Scope_Emissions</t>
        </is>
      </c>
      <c r="R647" t="inlineStr">
        <is>
          <t>Valid</t>
        </is>
      </c>
      <c r="S647" t="n">
        <v>2030</v>
      </c>
      <c r="T647" t="inlineStr">
        <is>
          <t>Industry Haircut Pathway</t>
        </is>
      </c>
      <c r="U647" t="n">
        <v>2460.061</v>
      </c>
      <c r="V647" t="n">
        <v>1324.4968</v>
      </c>
      <c r="W647" t="n">
        <v>1778.7225</v>
      </c>
      <c r="X647" t="n">
        <v>1778.7225</v>
      </c>
      <c r="Y647" t="n">
        <v>681.3385</v>
      </c>
      <c r="Z647" t="n">
        <v>0.00018228</v>
      </c>
      <c r="AA647" t="n">
        <v>0.27696</v>
      </c>
      <c r="AB647" t="n">
        <v>454.2257</v>
      </c>
      <c r="AC647" t="n">
        <v>45.4226</v>
      </c>
      <c r="AD647" t="n">
        <v>9838.275299999999</v>
      </c>
      <c r="AE647" t="n">
        <v>11353.6735</v>
      </c>
      <c r="AF647" t="n">
        <v>0.865</v>
      </c>
      <c r="AG647" t="inlineStr">
        <is>
          <t>High</t>
        </is>
      </c>
      <c r="AH647" t="inlineStr">
        <is>
          <t>On Track to Glide Path</t>
        </is>
      </c>
    </row>
    <row r="648">
      <c r="A648" t="inlineStr">
        <is>
          <t>SUP-0041</t>
        </is>
      </c>
      <c r="B648" t="inlineStr">
        <is>
          <t>Logistics Supplier 041</t>
        </is>
      </c>
      <c r="C648" t="inlineStr">
        <is>
          <t>Logistics</t>
        </is>
      </c>
      <c r="D648" t="n">
        <v>2024</v>
      </c>
      <c r="E648" t="n">
        <v>2015</v>
      </c>
      <c r="F648" t="n">
        <v>2040</v>
      </c>
      <c r="G648" t="n">
        <v>2816.2884</v>
      </c>
      <c r="H648" t="n">
        <v>250.739</v>
      </c>
      <c r="I648" t="inlineStr"/>
      <c r="J648" t="n">
        <v>1858.2658</v>
      </c>
      <c r="K648" t="n">
        <v>9757957.09</v>
      </c>
      <c r="L648" t="n">
        <v>23127476.6</v>
      </c>
      <c r="M648" t="n">
        <v>2816.2884</v>
      </c>
      <c r="N648" t="inlineStr">
        <is>
          <t>Supplier Reported Emissions</t>
        </is>
      </c>
      <c r="O648" t="b">
        <v>0</v>
      </c>
      <c r="P648" t="inlineStr">
        <is>
          <t>High</t>
        </is>
      </c>
      <c r="Q648" t="inlineStr">
        <is>
          <t>Scope_Emissions</t>
        </is>
      </c>
      <c r="R648" t="inlineStr">
        <is>
          <t>Valid</t>
        </is>
      </c>
      <c r="S648" t="n">
        <v>2031</v>
      </c>
      <c r="T648" t="inlineStr">
        <is>
          <t>Industry Haircut Pathway</t>
        </is>
      </c>
      <c r="U648" t="n">
        <v>2460.061</v>
      </c>
      <c r="V648" t="n">
        <v>1324.4968</v>
      </c>
      <c r="W648" t="n">
        <v>1733.2999</v>
      </c>
      <c r="X648" t="n">
        <v>1733.2999</v>
      </c>
      <c r="Y648" t="n">
        <v>726.7611000000001</v>
      </c>
      <c r="Z648" t="n">
        <v>0.00017763</v>
      </c>
      <c r="AA648" t="n">
        <v>0.295424</v>
      </c>
      <c r="AB648" t="n">
        <v>408.8031</v>
      </c>
      <c r="AC648" t="n">
        <v>45.4226</v>
      </c>
      <c r="AD648" t="n">
        <v>8104.9754</v>
      </c>
      <c r="AE648" t="n">
        <v>13086.9734</v>
      </c>
      <c r="AF648" t="n">
        <v>0.865</v>
      </c>
      <c r="AG648" t="inlineStr">
        <is>
          <t>High</t>
        </is>
      </c>
      <c r="AH648" t="inlineStr">
        <is>
          <t>On Track to Glide Path</t>
        </is>
      </c>
    </row>
    <row r="649">
      <c r="A649" t="inlineStr">
        <is>
          <t>SUP-0041</t>
        </is>
      </c>
      <c r="B649" t="inlineStr">
        <is>
          <t>Logistics Supplier 041</t>
        </is>
      </c>
      <c r="C649" t="inlineStr">
        <is>
          <t>Logistics</t>
        </is>
      </c>
      <c r="D649" t="n">
        <v>2024</v>
      </c>
      <c r="E649" t="n">
        <v>2015</v>
      </c>
      <c r="F649" t="n">
        <v>2040</v>
      </c>
      <c r="G649" t="n">
        <v>2816.2884</v>
      </c>
      <c r="H649" t="n">
        <v>250.739</v>
      </c>
      <c r="I649" t="inlineStr"/>
      <c r="J649" t="n">
        <v>1858.2658</v>
      </c>
      <c r="K649" t="n">
        <v>9757957.09</v>
      </c>
      <c r="L649" t="n">
        <v>23127476.6</v>
      </c>
      <c r="M649" t="n">
        <v>2816.2884</v>
      </c>
      <c r="N649" t="inlineStr">
        <is>
          <t>Supplier Reported Emissions</t>
        </is>
      </c>
      <c r="O649" t="b">
        <v>0</v>
      </c>
      <c r="P649" t="inlineStr">
        <is>
          <t>High</t>
        </is>
      </c>
      <c r="Q649" t="inlineStr">
        <is>
          <t>Scope_Emissions</t>
        </is>
      </c>
      <c r="R649" t="inlineStr">
        <is>
          <t>Valid</t>
        </is>
      </c>
      <c r="S649" t="n">
        <v>2032</v>
      </c>
      <c r="T649" t="inlineStr">
        <is>
          <t>Industry Haircut Pathway</t>
        </is>
      </c>
      <c r="U649" t="n">
        <v>2460.061</v>
      </c>
      <c r="V649" t="n">
        <v>1324.4968</v>
      </c>
      <c r="W649" t="n">
        <v>1687.8774</v>
      </c>
      <c r="X649" t="n">
        <v>1687.8774</v>
      </c>
      <c r="Y649" t="n">
        <v>772.1836</v>
      </c>
      <c r="Z649" t="n">
        <v>0.00017297</v>
      </c>
      <c r="AA649" t="n">
        <v>0.313888</v>
      </c>
      <c r="AB649" t="n">
        <v>363.3805</v>
      </c>
      <c r="AC649" t="n">
        <v>45.4226</v>
      </c>
      <c r="AD649" t="n">
        <v>6417.098</v>
      </c>
      <c r="AE649" t="n">
        <v>14774.8508</v>
      </c>
      <c r="AF649" t="n">
        <v>0.865</v>
      </c>
      <c r="AG649" t="inlineStr">
        <is>
          <t>High</t>
        </is>
      </c>
      <c r="AH649" t="inlineStr">
        <is>
          <t>On Track to Glide Path</t>
        </is>
      </c>
    </row>
    <row r="650">
      <c r="A650" t="inlineStr">
        <is>
          <t>SUP-0041</t>
        </is>
      </c>
      <c r="B650" t="inlineStr">
        <is>
          <t>Logistics Supplier 041</t>
        </is>
      </c>
      <c r="C650" t="inlineStr">
        <is>
          <t>Logistics</t>
        </is>
      </c>
      <c r="D650" t="n">
        <v>2024</v>
      </c>
      <c r="E650" t="n">
        <v>2015</v>
      </c>
      <c r="F650" t="n">
        <v>2040</v>
      </c>
      <c r="G650" t="n">
        <v>2816.2884</v>
      </c>
      <c r="H650" t="n">
        <v>250.739</v>
      </c>
      <c r="I650" t="inlineStr"/>
      <c r="J650" t="n">
        <v>1858.2658</v>
      </c>
      <c r="K650" t="n">
        <v>9757957.09</v>
      </c>
      <c r="L650" t="n">
        <v>23127476.6</v>
      </c>
      <c r="M650" t="n">
        <v>2816.2884</v>
      </c>
      <c r="N650" t="inlineStr">
        <is>
          <t>Supplier Reported Emissions</t>
        </is>
      </c>
      <c r="O650" t="b">
        <v>0</v>
      </c>
      <c r="P650" t="inlineStr">
        <is>
          <t>High</t>
        </is>
      </c>
      <c r="Q650" t="inlineStr">
        <is>
          <t>Scope_Emissions</t>
        </is>
      </c>
      <c r="R650" t="inlineStr">
        <is>
          <t>Valid</t>
        </is>
      </c>
      <c r="S650" t="n">
        <v>2033</v>
      </c>
      <c r="T650" t="inlineStr">
        <is>
          <t>Industry Haircut Pathway</t>
        </is>
      </c>
      <c r="U650" t="n">
        <v>2460.061</v>
      </c>
      <c r="V650" t="n">
        <v>1324.4968</v>
      </c>
      <c r="W650" t="n">
        <v>1642.4548</v>
      </c>
      <c r="X650" t="n">
        <v>1642.4548</v>
      </c>
      <c r="Y650" t="n">
        <v>817.6061999999999</v>
      </c>
      <c r="Z650" t="n">
        <v>0.00016832</v>
      </c>
      <c r="AA650" t="n">
        <v>0.332352</v>
      </c>
      <c r="AB650" t="n">
        <v>317.958</v>
      </c>
      <c r="AC650" t="n">
        <v>45.4226</v>
      </c>
      <c r="AD650" t="n">
        <v>4774.6432</v>
      </c>
      <c r="AE650" t="n">
        <v>16417.3056</v>
      </c>
      <c r="AF650" t="n">
        <v>0.865</v>
      </c>
      <c r="AG650" t="inlineStr">
        <is>
          <t>High</t>
        </is>
      </c>
      <c r="AH650" t="inlineStr">
        <is>
          <t>On Track to Glide Path</t>
        </is>
      </c>
    </row>
    <row r="651">
      <c r="A651" t="inlineStr">
        <is>
          <t>SUP-0041</t>
        </is>
      </c>
      <c r="B651" t="inlineStr">
        <is>
          <t>Logistics Supplier 041</t>
        </is>
      </c>
      <c r="C651" t="inlineStr">
        <is>
          <t>Logistics</t>
        </is>
      </c>
      <c r="D651" t="n">
        <v>2024</v>
      </c>
      <c r="E651" t="n">
        <v>2015</v>
      </c>
      <c r="F651" t="n">
        <v>2040</v>
      </c>
      <c r="G651" t="n">
        <v>2816.2884</v>
      </c>
      <c r="H651" t="n">
        <v>250.739</v>
      </c>
      <c r="I651" t="inlineStr"/>
      <c r="J651" t="n">
        <v>1858.2658</v>
      </c>
      <c r="K651" t="n">
        <v>9757957.09</v>
      </c>
      <c r="L651" t="n">
        <v>23127476.6</v>
      </c>
      <c r="M651" t="n">
        <v>2816.2884</v>
      </c>
      <c r="N651" t="inlineStr">
        <is>
          <t>Supplier Reported Emissions</t>
        </is>
      </c>
      <c r="O651" t="b">
        <v>0</v>
      </c>
      <c r="P651" t="inlineStr">
        <is>
          <t>High</t>
        </is>
      </c>
      <c r="Q651" t="inlineStr">
        <is>
          <t>Scope_Emissions</t>
        </is>
      </c>
      <c r="R651" t="inlineStr">
        <is>
          <t>Valid</t>
        </is>
      </c>
      <c r="S651" t="n">
        <v>2034</v>
      </c>
      <c r="T651" t="inlineStr">
        <is>
          <t>Industry Haircut Pathway</t>
        </is>
      </c>
      <c r="U651" t="n">
        <v>2460.061</v>
      </c>
      <c r="V651" t="n">
        <v>1324.4968</v>
      </c>
      <c r="W651" t="n">
        <v>1597.0322</v>
      </c>
      <c r="X651" t="n">
        <v>1597.0322</v>
      </c>
      <c r="Y651" t="n">
        <v>863.0288</v>
      </c>
      <c r="Z651" t="n">
        <v>0.00016366</v>
      </c>
      <c r="AA651" t="n">
        <v>0.350816</v>
      </c>
      <c r="AB651" t="n">
        <v>272.5354</v>
      </c>
      <c r="AC651" t="n">
        <v>45.4226</v>
      </c>
      <c r="AD651" t="n">
        <v>3177.611</v>
      </c>
      <c r="AE651" t="n">
        <v>18014.3378</v>
      </c>
      <c r="AF651" t="n">
        <v>0.865</v>
      </c>
      <c r="AG651" t="inlineStr">
        <is>
          <t>High</t>
        </is>
      </c>
      <c r="AH651" t="inlineStr">
        <is>
          <t>On Track to Glide Path</t>
        </is>
      </c>
    </row>
    <row r="652">
      <c r="A652" t="inlineStr">
        <is>
          <t>SUP-0041</t>
        </is>
      </c>
      <c r="B652" t="inlineStr">
        <is>
          <t>Logistics Supplier 041</t>
        </is>
      </c>
      <c r="C652" t="inlineStr">
        <is>
          <t>Logistics</t>
        </is>
      </c>
      <c r="D652" t="n">
        <v>2024</v>
      </c>
      <c r="E652" t="n">
        <v>2015</v>
      </c>
      <c r="F652" t="n">
        <v>2040</v>
      </c>
      <c r="G652" t="n">
        <v>2816.2884</v>
      </c>
      <c r="H652" t="n">
        <v>250.739</v>
      </c>
      <c r="I652" t="inlineStr"/>
      <c r="J652" t="n">
        <v>1858.2658</v>
      </c>
      <c r="K652" t="n">
        <v>9757957.09</v>
      </c>
      <c r="L652" t="n">
        <v>23127476.6</v>
      </c>
      <c r="M652" t="n">
        <v>2816.2884</v>
      </c>
      <c r="N652" t="inlineStr">
        <is>
          <t>Supplier Reported Emissions</t>
        </is>
      </c>
      <c r="O652" t="b">
        <v>0</v>
      </c>
      <c r="P652" t="inlineStr">
        <is>
          <t>High</t>
        </is>
      </c>
      <c r="Q652" t="inlineStr">
        <is>
          <t>Scope_Emissions</t>
        </is>
      </c>
      <c r="R652" t="inlineStr">
        <is>
          <t>Valid</t>
        </is>
      </c>
      <c r="S652" t="n">
        <v>2035</v>
      </c>
      <c r="T652" t="inlineStr">
        <is>
          <t>Industry Haircut Pathway</t>
        </is>
      </c>
      <c r="U652" t="n">
        <v>2460.061</v>
      </c>
      <c r="V652" t="n">
        <v>1324.4968</v>
      </c>
      <c r="W652" t="n">
        <v>1551.6097</v>
      </c>
      <c r="X652" t="n">
        <v>1551.6097</v>
      </c>
      <c r="Y652" t="n">
        <v>908.4512999999999</v>
      </c>
      <c r="Z652" t="n">
        <v>0.00015901</v>
      </c>
      <c r="AA652" t="n">
        <v>0.36928</v>
      </c>
      <c r="AB652" t="n">
        <v>227.1128</v>
      </c>
      <c r="AC652" t="n">
        <v>45.4226</v>
      </c>
      <c r="AD652" t="n">
        <v>1626.0013</v>
      </c>
      <c r="AE652" t="n">
        <v>19565.9475</v>
      </c>
      <c r="AF652" t="n">
        <v>0.865</v>
      </c>
      <c r="AG652" t="inlineStr">
        <is>
          <t>High</t>
        </is>
      </c>
      <c r="AH652" t="inlineStr">
        <is>
          <t>On Track to Glide Path</t>
        </is>
      </c>
    </row>
    <row r="653">
      <c r="A653" t="inlineStr">
        <is>
          <t>SUP-0041</t>
        </is>
      </c>
      <c r="B653" t="inlineStr">
        <is>
          <t>Logistics Supplier 041</t>
        </is>
      </c>
      <c r="C653" t="inlineStr">
        <is>
          <t>Logistics</t>
        </is>
      </c>
      <c r="D653" t="n">
        <v>2024</v>
      </c>
      <c r="E653" t="n">
        <v>2015</v>
      </c>
      <c r="F653" t="n">
        <v>2040</v>
      </c>
      <c r="G653" t="n">
        <v>2816.2884</v>
      </c>
      <c r="H653" t="n">
        <v>250.739</v>
      </c>
      <c r="I653" t="inlineStr"/>
      <c r="J653" t="n">
        <v>1858.2658</v>
      </c>
      <c r="K653" t="n">
        <v>9757957.09</v>
      </c>
      <c r="L653" t="n">
        <v>23127476.6</v>
      </c>
      <c r="M653" t="n">
        <v>2816.2884</v>
      </c>
      <c r="N653" t="inlineStr">
        <is>
          <t>Supplier Reported Emissions</t>
        </is>
      </c>
      <c r="O653" t="b">
        <v>0</v>
      </c>
      <c r="P653" t="inlineStr">
        <is>
          <t>High</t>
        </is>
      </c>
      <c r="Q653" t="inlineStr">
        <is>
          <t>Scope_Emissions</t>
        </is>
      </c>
      <c r="R653" t="inlineStr">
        <is>
          <t>Valid</t>
        </is>
      </c>
      <c r="S653" t="n">
        <v>2036</v>
      </c>
      <c r="T653" t="inlineStr">
        <is>
          <t>Industry Haircut Pathway</t>
        </is>
      </c>
      <c r="U653" t="n">
        <v>2460.061</v>
      </c>
      <c r="V653" t="n">
        <v>1324.4968</v>
      </c>
      <c r="W653" t="n">
        <v>1506.1871</v>
      </c>
      <c r="X653" t="n">
        <v>1506.1871</v>
      </c>
      <c r="Y653" t="n">
        <v>953.8739</v>
      </c>
      <c r="Z653" t="n">
        <v>0.00015435</v>
      </c>
      <c r="AA653" t="n">
        <v>0.387744</v>
      </c>
      <c r="AB653" t="n">
        <v>181.6903</v>
      </c>
      <c r="AC653" t="n">
        <v>45.4226</v>
      </c>
      <c r="AD653" t="n">
        <v>119.8142</v>
      </c>
      <c r="AE653" t="n">
        <v>21072.1346</v>
      </c>
      <c r="AF653" t="n">
        <v>0.865</v>
      </c>
      <c r="AG653" t="inlineStr">
        <is>
          <t>Medium</t>
        </is>
      </c>
      <c r="AH653" t="inlineStr">
        <is>
          <t>On Track to Glide Path</t>
        </is>
      </c>
    </row>
    <row r="654">
      <c r="A654" t="inlineStr">
        <is>
          <t>SUP-0041</t>
        </is>
      </c>
      <c r="B654" t="inlineStr">
        <is>
          <t>Logistics Supplier 041</t>
        </is>
      </c>
      <c r="C654" t="inlineStr">
        <is>
          <t>Logistics</t>
        </is>
      </c>
      <c r="D654" t="n">
        <v>2024</v>
      </c>
      <c r="E654" t="n">
        <v>2015</v>
      </c>
      <c r="F654" t="n">
        <v>2040</v>
      </c>
      <c r="G654" t="n">
        <v>2816.2884</v>
      </c>
      <c r="H654" t="n">
        <v>250.739</v>
      </c>
      <c r="I654" t="inlineStr"/>
      <c r="J654" t="n">
        <v>1858.2658</v>
      </c>
      <c r="K654" t="n">
        <v>9757957.09</v>
      </c>
      <c r="L654" t="n">
        <v>23127476.6</v>
      </c>
      <c r="M654" t="n">
        <v>2816.2884</v>
      </c>
      <c r="N654" t="inlineStr">
        <is>
          <t>Supplier Reported Emissions</t>
        </is>
      </c>
      <c r="O654" t="b">
        <v>0</v>
      </c>
      <c r="P654" t="inlineStr">
        <is>
          <t>High</t>
        </is>
      </c>
      <c r="Q654" t="inlineStr">
        <is>
          <t>Scope_Emissions</t>
        </is>
      </c>
      <c r="R654" t="inlineStr">
        <is>
          <t>Valid</t>
        </is>
      </c>
      <c r="S654" t="n">
        <v>2037</v>
      </c>
      <c r="T654" t="inlineStr">
        <is>
          <t>Industry Haircut Pathway</t>
        </is>
      </c>
      <c r="U654" t="n">
        <v>2460.061</v>
      </c>
      <c r="V654" t="n">
        <v>1324.4968</v>
      </c>
      <c r="W654" t="n">
        <v>1460.7645</v>
      </c>
      <c r="X654" t="n">
        <v>1460.7645</v>
      </c>
      <c r="Y654" t="n">
        <v>999.2965</v>
      </c>
      <c r="Z654" t="n">
        <v>0.0001497</v>
      </c>
      <c r="AA654" t="n">
        <v>0.406208</v>
      </c>
      <c r="AB654" t="n">
        <v>136.2677</v>
      </c>
      <c r="AC654" t="n">
        <v>45.4226</v>
      </c>
      <c r="AD654" t="n">
        <v>-1340.9503</v>
      </c>
      <c r="AE654" t="n">
        <v>22532.8991</v>
      </c>
      <c r="AF654" t="n">
        <v>0.865</v>
      </c>
      <c r="AG654" t="inlineStr">
        <is>
          <t>Medium</t>
        </is>
      </c>
      <c r="AH654" t="inlineStr">
        <is>
          <t>On Track to Glide Path</t>
        </is>
      </c>
    </row>
    <row r="655">
      <c r="A655" t="inlineStr">
        <is>
          <t>SUP-0041</t>
        </is>
      </c>
      <c r="B655" t="inlineStr">
        <is>
          <t>Logistics Supplier 041</t>
        </is>
      </c>
      <c r="C655" t="inlineStr">
        <is>
          <t>Logistics</t>
        </is>
      </c>
      <c r="D655" t="n">
        <v>2024</v>
      </c>
      <c r="E655" t="n">
        <v>2015</v>
      </c>
      <c r="F655" t="n">
        <v>2040</v>
      </c>
      <c r="G655" t="n">
        <v>2816.2884</v>
      </c>
      <c r="H655" t="n">
        <v>250.739</v>
      </c>
      <c r="I655" t="inlineStr"/>
      <c r="J655" t="n">
        <v>1858.2658</v>
      </c>
      <c r="K655" t="n">
        <v>9757957.09</v>
      </c>
      <c r="L655" t="n">
        <v>23127476.6</v>
      </c>
      <c r="M655" t="n">
        <v>2816.2884</v>
      </c>
      <c r="N655" t="inlineStr">
        <is>
          <t>Supplier Reported Emissions</t>
        </is>
      </c>
      <c r="O655" t="b">
        <v>0</v>
      </c>
      <c r="P655" t="inlineStr">
        <is>
          <t>High</t>
        </is>
      </c>
      <c r="Q655" t="inlineStr">
        <is>
          <t>Scope_Emissions</t>
        </is>
      </c>
      <c r="R655" t="inlineStr">
        <is>
          <t>Valid</t>
        </is>
      </c>
      <c r="S655" t="n">
        <v>2038</v>
      </c>
      <c r="T655" t="inlineStr">
        <is>
          <t>Industry Haircut Pathway</t>
        </is>
      </c>
      <c r="U655" t="n">
        <v>2460.061</v>
      </c>
      <c r="V655" t="n">
        <v>1324.4968</v>
      </c>
      <c r="W655" t="n">
        <v>1415.342</v>
      </c>
      <c r="X655" t="n">
        <v>1415.342</v>
      </c>
      <c r="Y655" t="n">
        <v>1044.719</v>
      </c>
      <c r="Z655" t="n">
        <v>0.00014504</v>
      </c>
      <c r="AA655" t="n">
        <v>0.424672</v>
      </c>
      <c r="AB655" t="n">
        <v>90.8451</v>
      </c>
      <c r="AC655" t="n">
        <v>45.4226</v>
      </c>
      <c r="AD655" t="n">
        <v>-2756.2923</v>
      </c>
      <c r="AE655" t="n">
        <v>23948.2411</v>
      </c>
      <c r="AF655" t="n">
        <v>0.865</v>
      </c>
      <c r="AG655" t="inlineStr">
        <is>
          <t>Medium</t>
        </is>
      </c>
      <c r="AH655" t="inlineStr">
        <is>
          <t>On Track to Glide Path</t>
        </is>
      </c>
    </row>
    <row r="656">
      <c r="A656" t="inlineStr">
        <is>
          <t>SUP-0041</t>
        </is>
      </c>
      <c r="B656" t="inlineStr">
        <is>
          <t>Logistics Supplier 041</t>
        </is>
      </c>
      <c r="C656" t="inlineStr">
        <is>
          <t>Logistics</t>
        </is>
      </c>
      <c r="D656" t="n">
        <v>2024</v>
      </c>
      <c r="E656" t="n">
        <v>2015</v>
      </c>
      <c r="F656" t="n">
        <v>2040</v>
      </c>
      <c r="G656" t="n">
        <v>2816.2884</v>
      </c>
      <c r="H656" t="n">
        <v>250.739</v>
      </c>
      <c r="I656" t="inlineStr"/>
      <c r="J656" t="n">
        <v>1858.2658</v>
      </c>
      <c r="K656" t="n">
        <v>9757957.09</v>
      </c>
      <c r="L656" t="n">
        <v>23127476.6</v>
      </c>
      <c r="M656" t="n">
        <v>2816.2884</v>
      </c>
      <c r="N656" t="inlineStr">
        <is>
          <t>Supplier Reported Emissions</t>
        </is>
      </c>
      <c r="O656" t="b">
        <v>0</v>
      </c>
      <c r="P656" t="inlineStr">
        <is>
          <t>High</t>
        </is>
      </c>
      <c r="Q656" t="inlineStr">
        <is>
          <t>Scope_Emissions</t>
        </is>
      </c>
      <c r="R656" t="inlineStr">
        <is>
          <t>Valid</t>
        </is>
      </c>
      <c r="S656" t="n">
        <v>2039</v>
      </c>
      <c r="T656" t="inlineStr">
        <is>
          <t>Industry Haircut Pathway</t>
        </is>
      </c>
      <c r="U656" t="n">
        <v>2460.061</v>
      </c>
      <c r="V656" t="n">
        <v>1324.4968</v>
      </c>
      <c r="W656" t="n">
        <v>1369.9194</v>
      </c>
      <c r="X656" t="n">
        <v>1369.9194</v>
      </c>
      <c r="Y656" t="n">
        <v>1090.1416</v>
      </c>
      <c r="Z656" t="n">
        <v>0.00014039</v>
      </c>
      <c r="AA656" t="n">
        <v>0.443136</v>
      </c>
      <c r="AB656" t="n">
        <v>45.4226</v>
      </c>
      <c r="AC656" t="n">
        <v>45.4226</v>
      </c>
      <c r="AD656" t="n">
        <v>-4126.2117</v>
      </c>
      <c r="AE656" t="n">
        <v>25318.1605</v>
      </c>
      <c r="AF656" t="n">
        <v>0.865</v>
      </c>
      <c r="AG656" t="inlineStr">
        <is>
          <t>Medium</t>
        </is>
      </c>
      <c r="AH656" t="inlineStr">
        <is>
          <t>On Track to Glide Path</t>
        </is>
      </c>
    </row>
    <row r="657">
      <c r="A657" t="inlineStr">
        <is>
          <t>SUP-0041</t>
        </is>
      </c>
      <c r="B657" t="inlineStr">
        <is>
          <t>Logistics Supplier 041</t>
        </is>
      </c>
      <c r="C657" t="inlineStr">
        <is>
          <t>Logistics</t>
        </is>
      </c>
      <c r="D657" t="n">
        <v>2024</v>
      </c>
      <c r="E657" t="n">
        <v>2015</v>
      </c>
      <c r="F657" t="n">
        <v>2040</v>
      </c>
      <c r="G657" t="n">
        <v>2816.2884</v>
      </c>
      <c r="H657" t="n">
        <v>250.739</v>
      </c>
      <c r="I657" t="inlineStr"/>
      <c r="J657" t="n">
        <v>1858.2658</v>
      </c>
      <c r="K657" t="n">
        <v>9757957.09</v>
      </c>
      <c r="L657" t="n">
        <v>23127476.6</v>
      </c>
      <c r="M657" t="n">
        <v>2816.2884</v>
      </c>
      <c r="N657" t="inlineStr">
        <is>
          <t>Supplier Reported Emissions</t>
        </is>
      </c>
      <c r="O657" t="b">
        <v>0</v>
      </c>
      <c r="P657" t="inlineStr">
        <is>
          <t>High</t>
        </is>
      </c>
      <c r="Q657" t="inlineStr">
        <is>
          <t>Scope_Emissions</t>
        </is>
      </c>
      <c r="R657" t="inlineStr">
        <is>
          <t>Valid</t>
        </is>
      </c>
      <c r="S657" t="n">
        <v>2040</v>
      </c>
      <c r="T657" t="inlineStr">
        <is>
          <t>Industry Haircut Pathway</t>
        </is>
      </c>
      <c r="U657" t="n">
        <v>2460.061</v>
      </c>
      <c r="V657" t="n">
        <v>1324.4968</v>
      </c>
      <c r="W657" t="n">
        <v>1324.4968</v>
      </c>
      <c r="X657" t="n">
        <v>1324.4968</v>
      </c>
      <c r="Y657" t="n">
        <v>1135.5642</v>
      </c>
      <c r="Z657" t="n">
        <v>0.00013574</v>
      </c>
      <c r="AA657" t="n">
        <v>0.4616</v>
      </c>
      <c r="AB657" t="n">
        <v>0</v>
      </c>
      <c r="AC657" t="n">
        <v>45.4226</v>
      </c>
      <c r="AD657" t="n">
        <v>-5450.7085</v>
      </c>
      <c r="AE657" t="n">
        <v>26642.6573</v>
      </c>
      <c r="AF657" t="n">
        <v>0.865</v>
      </c>
      <c r="AG657" t="inlineStr">
        <is>
          <t>Low</t>
        </is>
      </c>
      <c r="AH657" t="inlineStr">
        <is>
          <t>On Track</t>
        </is>
      </c>
    </row>
    <row r="658">
      <c r="A658" t="inlineStr">
        <is>
          <t>SUP-0042</t>
        </is>
      </c>
      <c r="B658" t="inlineStr">
        <is>
          <t>Chemicals Supplier 042</t>
        </is>
      </c>
      <c r="C658" t="inlineStr">
        <is>
          <t>Chemicals</t>
        </is>
      </c>
      <c r="D658" t="n">
        <v>2024</v>
      </c>
      <c r="E658" t="n">
        <v>2015</v>
      </c>
      <c r="F658" t="n">
        <v>2035</v>
      </c>
      <c r="G658" t="inlineStr"/>
      <c r="H658" t="inlineStr"/>
      <c r="I658" t="n">
        <v>1844.0681</v>
      </c>
      <c r="J658" t="n">
        <v>6628.6754</v>
      </c>
      <c r="K658" t="n">
        <v>10979514.65</v>
      </c>
      <c r="L658" t="n">
        <v>40348544.4</v>
      </c>
      <c r="M658" t="n">
        <v>10995.8741</v>
      </c>
      <c r="N658" t="inlineStr">
        <is>
          <t>Spend-Based Estimate</t>
        </is>
      </c>
      <c r="O658" t="b">
        <v>1</v>
      </c>
      <c r="P658" t="inlineStr">
        <is>
          <t>Medium</t>
        </is>
      </c>
      <c r="Q658" t="inlineStr">
        <is>
          <t>Reported_Emissions; Scope_Emissions</t>
        </is>
      </c>
      <c r="R658" t="inlineStr">
        <is>
          <t>Valid</t>
        </is>
      </c>
      <c r="S658" t="n">
        <v>2025</v>
      </c>
      <c r="T658" t="inlineStr">
        <is>
          <t>Industry Haircut Pathway</t>
        </is>
      </c>
      <c r="U658" t="n">
        <v>10496.8427</v>
      </c>
      <c r="V658" t="n">
        <v>5008.0437</v>
      </c>
      <c r="W658" t="n">
        <v>7752.4432</v>
      </c>
      <c r="X658" t="n">
        <v>7752.4432</v>
      </c>
      <c r="Y658" t="n">
        <v>2744.3995</v>
      </c>
      <c r="Z658" t="n">
        <v>0.00070608</v>
      </c>
      <c r="AA658" t="n">
        <v>0.26145</v>
      </c>
      <c r="AB658" t="n">
        <v>2744.3995</v>
      </c>
      <c r="AC658" t="n">
        <v>274.44</v>
      </c>
      <c r="AD658" t="n">
        <v>47336.0375</v>
      </c>
      <c r="AE658" t="n">
        <v>7752.4432</v>
      </c>
      <c r="AF658" t="n">
        <v>0.911</v>
      </c>
      <c r="AG658" t="inlineStr">
        <is>
          <t>Critical</t>
        </is>
      </c>
      <c r="AH658" t="inlineStr">
        <is>
          <t>On Track to Glide Path</t>
        </is>
      </c>
    </row>
    <row r="659">
      <c r="A659" t="inlineStr">
        <is>
          <t>SUP-0042</t>
        </is>
      </c>
      <c r="B659" t="inlineStr">
        <is>
          <t>Chemicals Supplier 042</t>
        </is>
      </c>
      <c r="C659" t="inlineStr">
        <is>
          <t>Chemicals</t>
        </is>
      </c>
      <c r="D659" t="n">
        <v>2024</v>
      </c>
      <c r="E659" t="n">
        <v>2015</v>
      </c>
      <c r="F659" t="n">
        <v>2035</v>
      </c>
      <c r="G659" t="inlineStr"/>
      <c r="H659" t="inlineStr"/>
      <c r="I659" t="n">
        <v>1844.0681</v>
      </c>
      <c r="J659" t="n">
        <v>6628.6754</v>
      </c>
      <c r="K659" t="n">
        <v>10979514.65</v>
      </c>
      <c r="L659" t="n">
        <v>40348544.4</v>
      </c>
      <c r="M659" t="n">
        <v>10995.8741</v>
      </c>
      <c r="N659" t="inlineStr">
        <is>
          <t>Spend-Based Estimate</t>
        </is>
      </c>
      <c r="O659" t="b">
        <v>1</v>
      </c>
      <c r="P659" t="inlineStr">
        <is>
          <t>Medium</t>
        </is>
      </c>
      <c r="Q659" t="inlineStr">
        <is>
          <t>Reported_Emissions; Scope_Emissions</t>
        </is>
      </c>
      <c r="R659" t="inlineStr">
        <is>
          <t>Valid</t>
        </is>
      </c>
      <c r="S659" t="n">
        <v>2026</v>
      </c>
      <c r="T659" t="inlineStr">
        <is>
          <t>Industry Haircut Pathway</t>
        </is>
      </c>
      <c r="U659" t="n">
        <v>10496.8427</v>
      </c>
      <c r="V659" t="n">
        <v>5008.0437</v>
      </c>
      <c r="W659" t="n">
        <v>7478.0032</v>
      </c>
      <c r="X659" t="n">
        <v>7478.0032</v>
      </c>
      <c r="Y659" t="n">
        <v>3018.8395</v>
      </c>
      <c r="Z659" t="n">
        <v>0.00068109</v>
      </c>
      <c r="AA659" t="n">
        <v>0.287595</v>
      </c>
      <c r="AB659" t="n">
        <v>2469.9596</v>
      </c>
      <c r="AC659" t="n">
        <v>274.44</v>
      </c>
      <c r="AD659" t="n">
        <v>39858.0343</v>
      </c>
      <c r="AE659" t="n">
        <v>15230.4464</v>
      </c>
      <c r="AF659" t="n">
        <v>0.911</v>
      </c>
      <c r="AG659" t="inlineStr">
        <is>
          <t>Critical</t>
        </is>
      </c>
      <c r="AH659" t="inlineStr">
        <is>
          <t>On Track to Glide Path</t>
        </is>
      </c>
    </row>
    <row r="660">
      <c r="A660" t="inlineStr">
        <is>
          <t>SUP-0042</t>
        </is>
      </c>
      <c r="B660" t="inlineStr">
        <is>
          <t>Chemicals Supplier 042</t>
        </is>
      </c>
      <c r="C660" t="inlineStr">
        <is>
          <t>Chemicals</t>
        </is>
      </c>
      <c r="D660" t="n">
        <v>2024</v>
      </c>
      <c r="E660" t="n">
        <v>2015</v>
      </c>
      <c r="F660" t="n">
        <v>2035</v>
      </c>
      <c r="G660" t="inlineStr"/>
      <c r="H660" t="inlineStr"/>
      <c r="I660" t="n">
        <v>1844.0681</v>
      </c>
      <c r="J660" t="n">
        <v>6628.6754</v>
      </c>
      <c r="K660" t="n">
        <v>10979514.65</v>
      </c>
      <c r="L660" t="n">
        <v>40348544.4</v>
      </c>
      <c r="M660" t="n">
        <v>10995.8741</v>
      </c>
      <c r="N660" t="inlineStr">
        <is>
          <t>Spend-Based Estimate</t>
        </is>
      </c>
      <c r="O660" t="b">
        <v>1</v>
      </c>
      <c r="P660" t="inlineStr">
        <is>
          <t>Medium</t>
        </is>
      </c>
      <c r="Q660" t="inlineStr">
        <is>
          <t>Reported_Emissions; Scope_Emissions</t>
        </is>
      </c>
      <c r="R660" t="inlineStr">
        <is>
          <t>Valid</t>
        </is>
      </c>
      <c r="S660" t="n">
        <v>2027</v>
      </c>
      <c r="T660" t="inlineStr">
        <is>
          <t>Industry Haircut Pathway</t>
        </is>
      </c>
      <c r="U660" t="n">
        <v>10496.8427</v>
      </c>
      <c r="V660" t="n">
        <v>5008.0437</v>
      </c>
      <c r="W660" t="n">
        <v>7203.5633</v>
      </c>
      <c r="X660" t="n">
        <v>7203.5633</v>
      </c>
      <c r="Y660" t="n">
        <v>3293.2794</v>
      </c>
      <c r="Z660" t="n">
        <v>0.00065609</v>
      </c>
      <c r="AA660" t="n">
        <v>0.31374</v>
      </c>
      <c r="AB660" t="n">
        <v>2195.5196</v>
      </c>
      <c r="AC660" t="n">
        <v>274.44</v>
      </c>
      <c r="AD660" t="n">
        <v>32654.471</v>
      </c>
      <c r="AE660" t="n">
        <v>22434.0097</v>
      </c>
      <c r="AF660" t="n">
        <v>0.911</v>
      </c>
      <c r="AG660" t="inlineStr">
        <is>
          <t>Critical</t>
        </is>
      </c>
      <c r="AH660" t="inlineStr">
        <is>
          <t>On Track to Glide Path</t>
        </is>
      </c>
    </row>
    <row r="661">
      <c r="A661" t="inlineStr">
        <is>
          <t>SUP-0042</t>
        </is>
      </c>
      <c r="B661" t="inlineStr">
        <is>
          <t>Chemicals Supplier 042</t>
        </is>
      </c>
      <c r="C661" t="inlineStr">
        <is>
          <t>Chemicals</t>
        </is>
      </c>
      <c r="D661" t="n">
        <v>2024</v>
      </c>
      <c r="E661" t="n">
        <v>2015</v>
      </c>
      <c r="F661" t="n">
        <v>2035</v>
      </c>
      <c r="G661" t="inlineStr"/>
      <c r="H661" t="inlineStr"/>
      <c r="I661" t="n">
        <v>1844.0681</v>
      </c>
      <c r="J661" t="n">
        <v>6628.6754</v>
      </c>
      <c r="K661" t="n">
        <v>10979514.65</v>
      </c>
      <c r="L661" t="n">
        <v>40348544.4</v>
      </c>
      <c r="M661" t="n">
        <v>10995.8741</v>
      </c>
      <c r="N661" t="inlineStr">
        <is>
          <t>Spend-Based Estimate</t>
        </is>
      </c>
      <c r="O661" t="b">
        <v>1</v>
      </c>
      <c r="P661" t="inlineStr">
        <is>
          <t>Medium</t>
        </is>
      </c>
      <c r="Q661" t="inlineStr">
        <is>
          <t>Reported_Emissions; Scope_Emissions</t>
        </is>
      </c>
      <c r="R661" t="inlineStr">
        <is>
          <t>Valid</t>
        </is>
      </c>
      <c r="S661" t="n">
        <v>2028</v>
      </c>
      <c r="T661" t="inlineStr">
        <is>
          <t>Industry Haircut Pathway</t>
        </is>
      </c>
      <c r="U661" t="n">
        <v>10496.8427</v>
      </c>
      <c r="V661" t="n">
        <v>5008.0437</v>
      </c>
      <c r="W661" t="n">
        <v>6929.1233</v>
      </c>
      <c r="X661" t="n">
        <v>6929.1233</v>
      </c>
      <c r="Y661" t="n">
        <v>3567.7194</v>
      </c>
      <c r="Z661" t="n">
        <v>0.0006311</v>
      </c>
      <c r="AA661" t="n">
        <v>0.339885</v>
      </c>
      <c r="AB661" t="n">
        <v>1921.0797</v>
      </c>
      <c r="AC661" t="n">
        <v>274.44</v>
      </c>
      <c r="AD661" t="n">
        <v>25725.3477</v>
      </c>
      <c r="AE661" t="n">
        <v>29363.133</v>
      </c>
      <c r="AF661" t="n">
        <v>0.911</v>
      </c>
      <c r="AG661" t="inlineStr">
        <is>
          <t>Critical</t>
        </is>
      </c>
      <c r="AH661" t="inlineStr">
        <is>
          <t>On Track to Glide Path</t>
        </is>
      </c>
    </row>
    <row r="662">
      <c r="A662" t="inlineStr">
        <is>
          <t>SUP-0042</t>
        </is>
      </c>
      <c r="B662" t="inlineStr">
        <is>
          <t>Chemicals Supplier 042</t>
        </is>
      </c>
      <c r="C662" t="inlineStr">
        <is>
          <t>Chemicals</t>
        </is>
      </c>
      <c r="D662" t="n">
        <v>2024</v>
      </c>
      <c r="E662" t="n">
        <v>2015</v>
      </c>
      <c r="F662" t="n">
        <v>2035</v>
      </c>
      <c r="G662" t="inlineStr"/>
      <c r="H662" t="inlineStr"/>
      <c r="I662" t="n">
        <v>1844.0681</v>
      </c>
      <c r="J662" t="n">
        <v>6628.6754</v>
      </c>
      <c r="K662" t="n">
        <v>10979514.65</v>
      </c>
      <c r="L662" t="n">
        <v>40348544.4</v>
      </c>
      <c r="M662" t="n">
        <v>10995.8741</v>
      </c>
      <c r="N662" t="inlineStr">
        <is>
          <t>Spend-Based Estimate</t>
        </is>
      </c>
      <c r="O662" t="b">
        <v>1</v>
      </c>
      <c r="P662" t="inlineStr">
        <is>
          <t>Medium</t>
        </is>
      </c>
      <c r="Q662" t="inlineStr">
        <is>
          <t>Reported_Emissions; Scope_Emissions</t>
        </is>
      </c>
      <c r="R662" t="inlineStr">
        <is>
          <t>Valid</t>
        </is>
      </c>
      <c r="S662" t="n">
        <v>2029</v>
      </c>
      <c r="T662" t="inlineStr">
        <is>
          <t>Industry Haircut Pathway</t>
        </is>
      </c>
      <c r="U662" t="n">
        <v>10496.8427</v>
      </c>
      <c r="V662" t="n">
        <v>5008.0437</v>
      </c>
      <c r="W662" t="n">
        <v>6654.6834</v>
      </c>
      <c r="X662" t="n">
        <v>6654.6834</v>
      </c>
      <c r="Y662" t="n">
        <v>3842.1593</v>
      </c>
      <c r="Z662" t="n">
        <v>0.0006061</v>
      </c>
      <c r="AA662" t="n">
        <v>0.36603</v>
      </c>
      <c r="AB662" t="n">
        <v>1646.6397</v>
      </c>
      <c r="AC662" t="n">
        <v>274.44</v>
      </c>
      <c r="AD662" t="n">
        <v>19070.6643</v>
      </c>
      <c r="AE662" t="n">
        <v>36017.8164</v>
      </c>
      <c r="AF662" t="n">
        <v>0.911</v>
      </c>
      <c r="AG662" t="inlineStr">
        <is>
          <t>High</t>
        </is>
      </c>
      <c r="AH662" t="inlineStr">
        <is>
          <t>On Track to Glide Path</t>
        </is>
      </c>
    </row>
    <row r="663">
      <c r="A663" t="inlineStr">
        <is>
          <t>SUP-0042</t>
        </is>
      </c>
      <c r="B663" t="inlineStr">
        <is>
          <t>Chemicals Supplier 042</t>
        </is>
      </c>
      <c r="C663" t="inlineStr">
        <is>
          <t>Chemicals</t>
        </is>
      </c>
      <c r="D663" t="n">
        <v>2024</v>
      </c>
      <c r="E663" t="n">
        <v>2015</v>
      </c>
      <c r="F663" t="n">
        <v>2035</v>
      </c>
      <c r="G663" t="inlineStr"/>
      <c r="H663" t="inlineStr"/>
      <c r="I663" t="n">
        <v>1844.0681</v>
      </c>
      <c r="J663" t="n">
        <v>6628.6754</v>
      </c>
      <c r="K663" t="n">
        <v>10979514.65</v>
      </c>
      <c r="L663" t="n">
        <v>40348544.4</v>
      </c>
      <c r="M663" t="n">
        <v>10995.8741</v>
      </c>
      <c r="N663" t="inlineStr">
        <is>
          <t>Spend-Based Estimate</t>
        </is>
      </c>
      <c r="O663" t="b">
        <v>1</v>
      </c>
      <c r="P663" t="inlineStr">
        <is>
          <t>Medium</t>
        </is>
      </c>
      <c r="Q663" t="inlineStr">
        <is>
          <t>Reported_Emissions; Scope_Emissions</t>
        </is>
      </c>
      <c r="R663" t="inlineStr">
        <is>
          <t>Valid</t>
        </is>
      </c>
      <c r="S663" t="n">
        <v>2030</v>
      </c>
      <c r="T663" t="inlineStr">
        <is>
          <t>Industry Haircut Pathway</t>
        </is>
      </c>
      <c r="U663" t="n">
        <v>10496.8427</v>
      </c>
      <c r="V663" t="n">
        <v>5008.0437</v>
      </c>
      <c r="W663" t="n">
        <v>6380.2434</v>
      </c>
      <c r="X663" t="n">
        <v>6380.2434</v>
      </c>
      <c r="Y663" t="n">
        <v>4116.5993</v>
      </c>
      <c r="Z663" t="n">
        <v>0.0005811</v>
      </c>
      <c r="AA663" t="n">
        <v>0.392175</v>
      </c>
      <c r="AB663" t="n">
        <v>1372.1998</v>
      </c>
      <c r="AC663" t="n">
        <v>274.44</v>
      </c>
      <c r="AD663" t="n">
        <v>12690.4209</v>
      </c>
      <c r="AE663" t="n">
        <v>42398.0598</v>
      </c>
      <c r="AF663" t="n">
        <v>0.911</v>
      </c>
      <c r="AG663" t="inlineStr">
        <is>
          <t>High</t>
        </is>
      </c>
      <c r="AH663" t="inlineStr">
        <is>
          <t>On Track to Glide Path</t>
        </is>
      </c>
    </row>
    <row r="664">
      <c r="A664" t="inlineStr">
        <is>
          <t>SUP-0042</t>
        </is>
      </c>
      <c r="B664" t="inlineStr">
        <is>
          <t>Chemicals Supplier 042</t>
        </is>
      </c>
      <c r="C664" t="inlineStr">
        <is>
          <t>Chemicals</t>
        </is>
      </c>
      <c r="D664" t="n">
        <v>2024</v>
      </c>
      <c r="E664" t="n">
        <v>2015</v>
      </c>
      <c r="F664" t="n">
        <v>2035</v>
      </c>
      <c r="G664" t="inlineStr"/>
      <c r="H664" t="inlineStr"/>
      <c r="I664" t="n">
        <v>1844.0681</v>
      </c>
      <c r="J664" t="n">
        <v>6628.6754</v>
      </c>
      <c r="K664" t="n">
        <v>10979514.65</v>
      </c>
      <c r="L664" t="n">
        <v>40348544.4</v>
      </c>
      <c r="M664" t="n">
        <v>10995.8741</v>
      </c>
      <c r="N664" t="inlineStr">
        <is>
          <t>Spend-Based Estimate</t>
        </is>
      </c>
      <c r="O664" t="b">
        <v>1</v>
      </c>
      <c r="P664" t="inlineStr">
        <is>
          <t>Medium</t>
        </is>
      </c>
      <c r="Q664" t="inlineStr">
        <is>
          <t>Reported_Emissions; Scope_Emissions</t>
        </is>
      </c>
      <c r="R664" t="inlineStr">
        <is>
          <t>Valid</t>
        </is>
      </c>
      <c r="S664" t="n">
        <v>2031</v>
      </c>
      <c r="T664" t="inlineStr">
        <is>
          <t>Industry Haircut Pathway</t>
        </is>
      </c>
      <c r="U664" t="n">
        <v>10496.8427</v>
      </c>
      <c r="V664" t="n">
        <v>5008.0437</v>
      </c>
      <c r="W664" t="n">
        <v>6105.8035</v>
      </c>
      <c r="X664" t="n">
        <v>6105.8035</v>
      </c>
      <c r="Y664" t="n">
        <v>4391.0392</v>
      </c>
      <c r="Z664" t="n">
        <v>0.00055611</v>
      </c>
      <c r="AA664" t="n">
        <v>0.41832</v>
      </c>
      <c r="AB664" t="n">
        <v>1097.7598</v>
      </c>
      <c r="AC664" t="n">
        <v>274.44</v>
      </c>
      <c r="AD664" t="n">
        <v>6584.6174</v>
      </c>
      <c r="AE664" t="n">
        <v>48503.8633</v>
      </c>
      <c r="AF664" t="n">
        <v>0.911</v>
      </c>
      <c r="AG664" t="inlineStr">
        <is>
          <t>High</t>
        </is>
      </c>
      <c r="AH664" t="inlineStr">
        <is>
          <t>On Track to Glide Path</t>
        </is>
      </c>
    </row>
    <row r="665">
      <c r="A665" t="inlineStr">
        <is>
          <t>SUP-0042</t>
        </is>
      </c>
      <c r="B665" t="inlineStr">
        <is>
          <t>Chemicals Supplier 042</t>
        </is>
      </c>
      <c r="C665" t="inlineStr">
        <is>
          <t>Chemicals</t>
        </is>
      </c>
      <c r="D665" t="n">
        <v>2024</v>
      </c>
      <c r="E665" t="n">
        <v>2015</v>
      </c>
      <c r="F665" t="n">
        <v>2035</v>
      </c>
      <c r="G665" t="inlineStr"/>
      <c r="H665" t="inlineStr"/>
      <c r="I665" t="n">
        <v>1844.0681</v>
      </c>
      <c r="J665" t="n">
        <v>6628.6754</v>
      </c>
      <c r="K665" t="n">
        <v>10979514.65</v>
      </c>
      <c r="L665" t="n">
        <v>40348544.4</v>
      </c>
      <c r="M665" t="n">
        <v>10995.8741</v>
      </c>
      <c r="N665" t="inlineStr">
        <is>
          <t>Spend-Based Estimate</t>
        </is>
      </c>
      <c r="O665" t="b">
        <v>1</v>
      </c>
      <c r="P665" t="inlineStr">
        <is>
          <t>Medium</t>
        </is>
      </c>
      <c r="Q665" t="inlineStr">
        <is>
          <t>Reported_Emissions; Scope_Emissions</t>
        </is>
      </c>
      <c r="R665" t="inlineStr">
        <is>
          <t>Valid</t>
        </is>
      </c>
      <c r="S665" t="n">
        <v>2032</v>
      </c>
      <c r="T665" t="inlineStr">
        <is>
          <t>Industry Haircut Pathway</t>
        </is>
      </c>
      <c r="U665" t="n">
        <v>10496.8427</v>
      </c>
      <c r="V665" t="n">
        <v>5008.0437</v>
      </c>
      <c r="W665" t="n">
        <v>5831.3635</v>
      </c>
      <c r="X665" t="n">
        <v>5831.3635</v>
      </c>
      <c r="Y665" t="n">
        <v>4665.4792</v>
      </c>
      <c r="Z665" t="n">
        <v>0.00053111</v>
      </c>
      <c r="AA665" t="n">
        <v>0.444465</v>
      </c>
      <c r="AB665" t="n">
        <v>823.3199</v>
      </c>
      <c r="AC665" t="n">
        <v>274.44</v>
      </c>
      <c r="AD665" t="n">
        <v>753.2539</v>
      </c>
      <c r="AE665" t="n">
        <v>54335.2268</v>
      </c>
      <c r="AF665" t="n">
        <v>0.911</v>
      </c>
      <c r="AG665" t="inlineStr">
        <is>
          <t>High</t>
        </is>
      </c>
      <c r="AH665" t="inlineStr">
        <is>
          <t>On Track to Glide Path</t>
        </is>
      </c>
    </row>
    <row r="666">
      <c r="A666" t="inlineStr">
        <is>
          <t>SUP-0042</t>
        </is>
      </c>
      <c r="B666" t="inlineStr">
        <is>
          <t>Chemicals Supplier 042</t>
        </is>
      </c>
      <c r="C666" t="inlineStr">
        <is>
          <t>Chemicals</t>
        </is>
      </c>
      <c r="D666" t="n">
        <v>2024</v>
      </c>
      <c r="E666" t="n">
        <v>2015</v>
      </c>
      <c r="F666" t="n">
        <v>2035</v>
      </c>
      <c r="G666" t="inlineStr"/>
      <c r="H666" t="inlineStr"/>
      <c r="I666" t="n">
        <v>1844.0681</v>
      </c>
      <c r="J666" t="n">
        <v>6628.6754</v>
      </c>
      <c r="K666" t="n">
        <v>10979514.65</v>
      </c>
      <c r="L666" t="n">
        <v>40348544.4</v>
      </c>
      <c r="M666" t="n">
        <v>10995.8741</v>
      </c>
      <c r="N666" t="inlineStr">
        <is>
          <t>Spend-Based Estimate</t>
        </is>
      </c>
      <c r="O666" t="b">
        <v>1</v>
      </c>
      <c r="P666" t="inlineStr">
        <is>
          <t>Medium</t>
        </is>
      </c>
      <c r="Q666" t="inlineStr">
        <is>
          <t>Reported_Emissions; Scope_Emissions</t>
        </is>
      </c>
      <c r="R666" t="inlineStr">
        <is>
          <t>Valid</t>
        </is>
      </c>
      <c r="S666" t="n">
        <v>2033</v>
      </c>
      <c r="T666" t="inlineStr">
        <is>
          <t>Industry Haircut Pathway</t>
        </is>
      </c>
      <c r="U666" t="n">
        <v>10496.8427</v>
      </c>
      <c r="V666" t="n">
        <v>5008.0437</v>
      </c>
      <c r="W666" t="n">
        <v>5556.9236</v>
      </c>
      <c r="X666" t="n">
        <v>5556.9236</v>
      </c>
      <c r="Y666" t="n">
        <v>4939.9191</v>
      </c>
      <c r="Z666" t="n">
        <v>0.00050612</v>
      </c>
      <c r="AA666" t="n">
        <v>0.47061</v>
      </c>
      <c r="AB666" t="n">
        <v>548.8799</v>
      </c>
      <c r="AC666" t="n">
        <v>274.44</v>
      </c>
      <c r="AD666" t="n">
        <v>-4803.6697</v>
      </c>
      <c r="AE666" t="n">
        <v>59892.1504</v>
      </c>
      <c r="AF666" t="n">
        <v>0.911</v>
      </c>
      <c r="AG666" t="inlineStr">
        <is>
          <t>Medium</t>
        </is>
      </c>
      <c r="AH666" t="inlineStr">
        <is>
          <t>On Track to Glide Path</t>
        </is>
      </c>
    </row>
    <row r="667">
      <c r="A667" t="inlineStr">
        <is>
          <t>SUP-0042</t>
        </is>
      </c>
      <c r="B667" t="inlineStr">
        <is>
          <t>Chemicals Supplier 042</t>
        </is>
      </c>
      <c r="C667" t="inlineStr">
        <is>
          <t>Chemicals</t>
        </is>
      </c>
      <c r="D667" t="n">
        <v>2024</v>
      </c>
      <c r="E667" t="n">
        <v>2015</v>
      </c>
      <c r="F667" t="n">
        <v>2035</v>
      </c>
      <c r="G667" t="inlineStr"/>
      <c r="H667" t="inlineStr"/>
      <c r="I667" t="n">
        <v>1844.0681</v>
      </c>
      <c r="J667" t="n">
        <v>6628.6754</v>
      </c>
      <c r="K667" t="n">
        <v>10979514.65</v>
      </c>
      <c r="L667" t="n">
        <v>40348544.4</v>
      </c>
      <c r="M667" t="n">
        <v>10995.8741</v>
      </c>
      <c r="N667" t="inlineStr">
        <is>
          <t>Spend-Based Estimate</t>
        </is>
      </c>
      <c r="O667" t="b">
        <v>1</v>
      </c>
      <c r="P667" t="inlineStr">
        <is>
          <t>Medium</t>
        </is>
      </c>
      <c r="Q667" t="inlineStr">
        <is>
          <t>Reported_Emissions; Scope_Emissions</t>
        </is>
      </c>
      <c r="R667" t="inlineStr">
        <is>
          <t>Valid</t>
        </is>
      </c>
      <c r="S667" t="n">
        <v>2034</v>
      </c>
      <c r="T667" t="inlineStr">
        <is>
          <t>Industry Haircut Pathway</t>
        </is>
      </c>
      <c r="U667" t="n">
        <v>10496.8427</v>
      </c>
      <c r="V667" t="n">
        <v>5008.0437</v>
      </c>
      <c r="W667" t="n">
        <v>5282.4836</v>
      </c>
      <c r="X667" t="n">
        <v>5282.4836</v>
      </c>
      <c r="Y667" t="n">
        <v>5214.3591</v>
      </c>
      <c r="Z667" t="n">
        <v>0.00048112</v>
      </c>
      <c r="AA667" t="n">
        <v>0.496755</v>
      </c>
      <c r="AB667" t="n">
        <v>274.44</v>
      </c>
      <c r="AC667" t="n">
        <v>274.44</v>
      </c>
      <c r="AD667" t="n">
        <v>-10086.1533</v>
      </c>
      <c r="AE667" t="n">
        <v>65174.634</v>
      </c>
      <c r="AF667" t="n">
        <v>0.911</v>
      </c>
      <c r="AG667" t="inlineStr">
        <is>
          <t>Medium</t>
        </is>
      </c>
      <c r="AH667" t="inlineStr">
        <is>
          <t>On Track to Glide Path</t>
        </is>
      </c>
    </row>
    <row r="668">
      <c r="A668" t="inlineStr">
        <is>
          <t>SUP-0042</t>
        </is>
      </c>
      <c r="B668" t="inlineStr">
        <is>
          <t>Chemicals Supplier 042</t>
        </is>
      </c>
      <c r="C668" t="inlineStr">
        <is>
          <t>Chemicals</t>
        </is>
      </c>
      <c r="D668" t="n">
        <v>2024</v>
      </c>
      <c r="E668" t="n">
        <v>2015</v>
      </c>
      <c r="F668" t="n">
        <v>2035</v>
      </c>
      <c r="G668" t="inlineStr"/>
      <c r="H668" t="inlineStr"/>
      <c r="I668" t="n">
        <v>1844.0681</v>
      </c>
      <c r="J668" t="n">
        <v>6628.6754</v>
      </c>
      <c r="K668" t="n">
        <v>10979514.65</v>
      </c>
      <c r="L668" t="n">
        <v>40348544.4</v>
      </c>
      <c r="M668" t="n">
        <v>10995.8741</v>
      </c>
      <c r="N668" t="inlineStr">
        <is>
          <t>Spend-Based Estimate</t>
        </is>
      </c>
      <c r="O668" t="b">
        <v>1</v>
      </c>
      <c r="P668" t="inlineStr">
        <is>
          <t>Medium</t>
        </is>
      </c>
      <c r="Q668" t="inlineStr">
        <is>
          <t>Reported_Emissions; Scope_Emissions</t>
        </is>
      </c>
      <c r="R668" t="inlineStr">
        <is>
          <t>Valid</t>
        </is>
      </c>
      <c r="S668" t="n">
        <v>2035</v>
      </c>
      <c r="T668" t="inlineStr">
        <is>
          <t>Industry Haircut Pathway</t>
        </is>
      </c>
      <c r="U668" t="n">
        <v>10496.8427</v>
      </c>
      <c r="V668" t="n">
        <v>5008.0437</v>
      </c>
      <c r="W668" t="n">
        <v>5008.0437</v>
      </c>
      <c r="X668" t="n">
        <v>5008.0437</v>
      </c>
      <c r="Y668" t="n">
        <v>5488.799</v>
      </c>
      <c r="Z668" t="n">
        <v>0.00045613</v>
      </c>
      <c r="AA668" t="n">
        <v>0.5229</v>
      </c>
      <c r="AB668" t="n">
        <v>0</v>
      </c>
      <c r="AC668" t="n">
        <v>274.44</v>
      </c>
      <c r="AD668" t="n">
        <v>-15094.197</v>
      </c>
      <c r="AE668" t="n">
        <v>70182.6777</v>
      </c>
      <c r="AF668" t="n">
        <v>0.911</v>
      </c>
      <c r="AG668" t="inlineStr">
        <is>
          <t>Low</t>
        </is>
      </c>
      <c r="AH668" t="inlineStr">
        <is>
          <t>On Track</t>
        </is>
      </c>
    </row>
    <row r="669">
      <c r="A669" t="inlineStr">
        <is>
          <t>SUP-0042</t>
        </is>
      </c>
      <c r="B669" t="inlineStr">
        <is>
          <t>Chemicals Supplier 042</t>
        </is>
      </c>
      <c r="C669" t="inlineStr">
        <is>
          <t>Chemicals</t>
        </is>
      </c>
      <c r="D669" t="n">
        <v>2024</v>
      </c>
      <c r="E669" t="n">
        <v>2015</v>
      </c>
      <c r="F669" t="n">
        <v>2035</v>
      </c>
      <c r="G669" t="inlineStr"/>
      <c r="H669" t="inlineStr"/>
      <c r="I669" t="n">
        <v>1844.0681</v>
      </c>
      <c r="J669" t="n">
        <v>6628.6754</v>
      </c>
      <c r="K669" t="n">
        <v>10979514.65</v>
      </c>
      <c r="L669" t="n">
        <v>40348544.4</v>
      </c>
      <c r="M669" t="n">
        <v>10995.8741</v>
      </c>
      <c r="N669" t="inlineStr">
        <is>
          <t>Spend-Based Estimate</t>
        </is>
      </c>
      <c r="O669" t="b">
        <v>1</v>
      </c>
      <c r="P669" t="inlineStr">
        <is>
          <t>Medium</t>
        </is>
      </c>
      <c r="Q669" t="inlineStr">
        <is>
          <t>Reported_Emissions; Scope_Emissions</t>
        </is>
      </c>
      <c r="R669" t="inlineStr">
        <is>
          <t>Valid</t>
        </is>
      </c>
      <c r="S669" t="n">
        <v>2036</v>
      </c>
      <c r="T669" t="inlineStr">
        <is>
          <t>Industry Haircut Pathway</t>
        </is>
      </c>
      <c r="U669" t="n">
        <v>10496.8427</v>
      </c>
      <c r="V669" t="n">
        <v>5008.0437</v>
      </c>
      <c r="W669" t="n">
        <v>5008.0437</v>
      </c>
      <c r="X669" t="n">
        <v>5008.0437</v>
      </c>
      <c r="Y669" t="n">
        <v>5488.799</v>
      </c>
      <c r="Z669" t="n">
        <v>0.00045613</v>
      </c>
      <c r="AA669" t="n">
        <v>0.5229</v>
      </c>
      <c r="AB669" t="n">
        <v>0</v>
      </c>
      <c r="AC669" t="n">
        <v>274.44</v>
      </c>
      <c r="AD669" t="n">
        <v>-20102.2407</v>
      </c>
      <c r="AE669" t="n">
        <v>75190.72139999999</v>
      </c>
      <c r="AF669" t="n">
        <v>0.911</v>
      </c>
      <c r="AG669" t="inlineStr">
        <is>
          <t>Low</t>
        </is>
      </c>
      <c r="AH669" t="inlineStr">
        <is>
          <t>On Track</t>
        </is>
      </c>
    </row>
    <row r="670">
      <c r="A670" t="inlineStr">
        <is>
          <t>SUP-0042</t>
        </is>
      </c>
      <c r="B670" t="inlineStr">
        <is>
          <t>Chemicals Supplier 042</t>
        </is>
      </c>
      <c r="C670" t="inlineStr">
        <is>
          <t>Chemicals</t>
        </is>
      </c>
      <c r="D670" t="n">
        <v>2024</v>
      </c>
      <c r="E670" t="n">
        <v>2015</v>
      </c>
      <c r="F670" t="n">
        <v>2035</v>
      </c>
      <c r="G670" t="inlineStr"/>
      <c r="H670" t="inlineStr"/>
      <c r="I670" t="n">
        <v>1844.0681</v>
      </c>
      <c r="J670" t="n">
        <v>6628.6754</v>
      </c>
      <c r="K670" t="n">
        <v>10979514.65</v>
      </c>
      <c r="L670" t="n">
        <v>40348544.4</v>
      </c>
      <c r="M670" t="n">
        <v>10995.8741</v>
      </c>
      <c r="N670" t="inlineStr">
        <is>
          <t>Spend-Based Estimate</t>
        </is>
      </c>
      <c r="O670" t="b">
        <v>1</v>
      </c>
      <c r="P670" t="inlineStr">
        <is>
          <t>Medium</t>
        </is>
      </c>
      <c r="Q670" t="inlineStr">
        <is>
          <t>Reported_Emissions; Scope_Emissions</t>
        </is>
      </c>
      <c r="R670" t="inlineStr">
        <is>
          <t>Valid</t>
        </is>
      </c>
      <c r="S670" t="n">
        <v>2037</v>
      </c>
      <c r="T670" t="inlineStr">
        <is>
          <t>Industry Haircut Pathway</t>
        </is>
      </c>
      <c r="U670" t="n">
        <v>10496.8427</v>
      </c>
      <c r="V670" t="n">
        <v>5008.0437</v>
      </c>
      <c r="W670" t="n">
        <v>5008.0437</v>
      </c>
      <c r="X670" t="n">
        <v>5008.0437</v>
      </c>
      <c r="Y670" t="n">
        <v>5488.799</v>
      </c>
      <c r="Z670" t="n">
        <v>0.00045613</v>
      </c>
      <c r="AA670" t="n">
        <v>0.5229</v>
      </c>
      <c r="AB670" t="n">
        <v>0</v>
      </c>
      <c r="AC670" t="n">
        <v>274.44</v>
      </c>
      <c r="AD670" t="n">
        <v>-25110.2844</v>
      </c>
      <c r="AE670" t="n">
        <v>80198.7651</v>
      </c>
      <c r="AF670" t="n">
        <v>0.911</v>
      </c>
      <c r="AG670" t="inlineStr">
        <is>
          <t>Low</t>
        </is>
      </c>
      <c r="AH670" t="inlineStr">
        <is>
          <t>On Track</t>
        </is>
      </c>
    </row>
    <row r="671">
      <c r="A671" t="inlineStr">
        <is>
          <t>SUP-0042</t>
        </is>
      </c>
      <c r="B671" t="inlineStr">
        <is>
          <t>Chemicals Supplier 042</t>
        </is>
      </c>
      <c r="C671" t="inlineStr">
        <is>
          <t>Chemicals</t>
        </is>
      </c>
      <c r="D671" t="n">
        <v>2024</v>
      </c>
      <c r="E671" t="n">
        <v>2015</v>
      </c>
      <c r="F671" t="n">
        <v>2035</v>
      </c>
      <c r="G671" t="inlineStr"/>
      <c r="H671" t="inlineStr"/>
      <c r="I671" t="n">
        <v>1844.0681</v>
      </c>
      <c r="J671" t="n">
        <v>6628.6754</v>
      </c>
      <c r="K671" t="n">
        <v>10979514.65</v>
      </c>
      <c r="L671" t="n">
        <v>40348544.4</v>
      </c>
      <c r="M671" t="n">
        <v>10995.8741</v>
      </c>
      <c r="N671" t="inlineStr">
        <is>
          <t>Spend-Based Estimate</t>
        </is>
      </c>
      <c r="O671" t="b">
        <v>1</v>
      </c>
      <c r="P671" t="inlineStr">
        <is>
          <t>Medium</t>
        </is>
      </c>
      <c r="Q671" t="inlineStr">
        <is>
          <t>Reported_Emissions; Scope_Emissions</t>
        </is>
      </c>
      <c r="R671" t="inlineStr">
        <is>
          <t>Valid</t>
        </is>
      </c>
      <c r="S671" t="n">
        <v>2038</v>
      </c>
      <c r="T671" t="inlineStr">
        <is>
          <t>Industry Haircut Pathway</t>
        </is>
      </c>
      <c r="U671" t="n">
        <v>10496.8427</v>
      </c>
      <c r="V671" t="n">
        <v>5008.0437</v>
      </c>
      <c r="W671" t="n">
        <v>5008.0437</v>
      </c>
      <c r="X671" t="n">
        <v>5008.0437</v>
      </c>
      <c r="Y671" t="n">
        <v>5488.799</v>
      </c>
      <c r="Z671" t="n">
        <v>0.00045613</v>
      </c>
      <c r="AA671" t="n">
        <v>0.5229</v>
      </c>
      <c r="AB671" t="n">
        <v>0</v>
      </c>
      <c r="AC671" t="n">
        <v>274.44</v>
      </c>
      <c r="AD671" t="n">
        <v>-30118.3281</v>
      </c>
      <c r="AE671" t="n">
        <v>85206.8088</v>
      </c>
      <c r="AF671" t="n">
        <v>0.911</v>
      </c>
      <c r="AG671" t="inlineStr">
        <is>
          <t>Low</t>
        </is>
      </c>
      <c r="AH671" t="inlineStr">
        <is>
          <t>On Track</t>
        </is>
      </c>
    </row>
    <row r="672">
      <c r="A672" t="inlineStr">
        <is>
          <t>SUP-0042</t>
        </is>
      </c>
      <c r="B672" t="inlineStr">
        <is>
          <t>Chemicals Supplier 042</t>
        </is>
      </c>
      <c r="C672" t="inlineStr">
        <is>
          <t>Chemicals</t>
        </is>
      </c>
      <c r="D672" t="n">
        <v>2024</v>
      </c>
      <c r="E672" t="n">
        <v>2015</v>
      </c>
      <c r="F672" t="n">
        <v>2035</v>
      </c>
      <c r="G672" t="inlineStr"/>
      <c r="H672" t="inlineStr"/>
      <c r="I672" t="n">
        <v>1844.0681</v>
      </c>
      <c r="J672" t="n">
        <v>6628.6754</v>
      </c>
      <c r="K672" t="n">
        <v>10979514.65</v>
      </c>
      <c r="L672" t="n">
        <v>40348544.4</v>
      </c>
      <c r="M672" t="n">
        <v>10995.8741</v>
      </c>
      <c r="N672" t="inlineStr">
        <is>
          <t>Spend-Based Estimate</t>
        </is>
      </c>
      <c r="O672" t="b">
        <v>1</v>
      </c>
      <c r="P672" t="inlineStr">
        <is>
          <t>Medium</t>
        </is>
      </c>
      <c r="Q672" t="inlineStr">
        <is>
          <t>Reported_Emissions; Scope_Emissions</t>
        </is>
      </c>
      <c r="R672" t="inlineStr">
        <is>
          <t>Valid</t>
        </is>
      </c>
      <c r="S672" t="n">
        <v>2039</v>
      </c>
      <c r="T672" t="inlineStr">
        <is>
          <t>Industry Haircut Pathway</t>
        </is>
      </c>
      <c r="U672" t="n">
        <v>10496.8427</v>
      </c>
      <c r="V672" t="n">
        <v>5008.0437</v>
      </c>
      <c r="W672" t="n">
        <v>5008.0437</v>
      </c>
      <c r="X672" t="n">
        <v>5008.0437</v>
      </c>
      <c r="Y672" t="n">
        <v>5488.799</v>
      </c>
      <c r="Z672" t="n">
        <v>0.00045613</v>
      </c>
      <c r="AA672" t="n">
        <v>0.5229</v>
      </c>
      <c r="AB672" t="n">
        <v>0</v>
      </c>
      <c r="AC672" t="n">
        <v>274.44</v>
      </c>
      <c r="AD672" t="n">
        <v>-35126.3718</v>
      </c>
      <c r="AE672" t="n">
        <v>90214.85249999999</v>
      </c>
      <c r="AF672" t="n">
        <v>0.911</v>
      </c>
      <c r="AG672" t="inlineStr">
        <is>
          <t>Low</t>
        </is>
      </c>
      <c r="AH672" t="inlineStr">
        <is>
          <t>On Track</t>
        </is>
      </c>
    </row>
    <row r="673">
      <c r="A673" t="inlineStr">
        <is>
          <t>SUP-0042</t>
        </is>
      </c>
      <c r="B673" t="inlineStr">
        <is>
          <t>Chemicals Supplier 042</t>
        </is>
      </c>
      <c r="C673" t="inlineStr">
        <is>
          <t>Chemicals</t>
        </is>
      </c>
      <c r="D673" t="n">
        <v>2024</v>
      </c>
      <c r="E673" t="n">
        <v>2015</v>
      </c>
      <c r="F673" t="n">
        <v>2035</v>
      </c>
      <c r="G673" t="inlineStr"/>
      <c r="H673" t="inlineStr"/>
      <c r="I673" t="n">
        <v>1844.0681</v>
      </c>
      <c r="J673" t="n">
        <v>6628.6754</v>
      </c>
      <c r="K673" t="n">
        <v>10979514.65</v>
      </c>
      <c r="L673" t="n">
        <v>40348544.4</v>
      </c>
      <c r="M673" t="n">
        <v>10995.8741</v>
      </c>
      <c r="N673" t="inlineStr">
        <is>
          <t>Spend-Based Estimate</t>
        </is>
      </c>
      <c r="O673" t="b">
        <v>1</v>
      </c>
      <c r="P673" t="inlineStr">
        <is>
          <t>Medium</t>
        </is>
      </c>
      <c r="Q673" t="inlineStr">
        <is>
          <t>Reported_Emissions; Scope_Emissions</t>
        </is>
      </c>
      <c r="R673" t="inlineStr">
        <is>
          <t>Valid</t>
        </is>
      </c>
      <c r="S673" t="n">
        <v>2040</v>
      </c>
      <c r="T673" t="inlineStr">
        <is>
          <t>Industry Haircut Pathway</t>
        </is>
      </c>
      <c r="U673" t="n">
        <v>10496.8427</v>
      </c>
      <c r="V673" t="n">
        <v>5008.0437</v>
      </c>
      <c r="W673" t="n">
        <v>5008.0437</v>
      </c>
      <c r="X673" t="n">
        <v>5008.0437</v>
      </c>
      <c r="Y673" t="n">
        <v>5488.799</v>
      </c>
      <c r="Z673" t="n">
        <v>0.00045613</v>
      </c>
      <c r="AA673" t="n">
        <v>0.5229</v>
      </c>
      <c r="AB673" t="n">
        <v>0</v>
      </c>
      <c r="AC673" t="n">
        <v>274.44</v>
      </c>
      <c r="AD673" t="n">
        <v>-40134.4155</v>
      </c>
      <c r="AE673" t="n">
        <v>95222.8962</v>
      </c>
      <c r="AF673" t="n">
        <v>0.911</v>
      </c>
      <c r="AG673" t="inlineStr">
        <is>
          <t>Low</t>
        </is>
      </c>
      <c r="AH673" t="inlineStr">
        <is>
          <t>On Track</t>
        </is>
      </c>
    </row>
    <row r="674">
      <c r="A674" t="inlineStr">
        <is>
          <t>SUP-0043</t>
        </is>
      </c>
      <c r="B674" t="inlineStr">
        <is>
          <t>Logistics Supplier 043</t>
        </is>
      </c>
      <c r="C674" t="inlineStr">
        <is>
          <t>Logistics</t>
        </is>
      </c>
      <c r="D674" t="n">
        <v>2024</v>
      </c>
      <c r="E674" t="n">
        <v>2018</v>
      </c>
      <c r="F674" t="n">
        <v>2035</v>
      </c>
      <c r="G674" t="inlineStr"/>
      <c r="H674" t="n">
        <v>34.2647</v>
      </c>
      <c r="I674" t="n">
        <v>37.2644</v>
      </c>
      <c r="J674" t="n">
        <v>147.6296</v>
      </c>
      <c r="K674" t="n">
        <v>1582516.22</v>
      </c>
      <c r="L674" t="n">
        <v>9114745.390000001</v>
      </c>
      <c r="M674" t="n">
        <v>219.1587</v>
      </c>
      <c r="N674" t="inlineStr">
        <is>
          <t>Scope 1 + Scope 2 + Scope 3</t>
        </is>
      </c>
      <c r="O674" t="b">
        <v>1</v>
      </c>
      <c r="P674" t="inlineStr">
        <is>
          <t>High</t>
        </is>
      </c>
      <c r="Q674" t="inlineStr">
        <is>
          <t>Reported_Emissions</t>
        </is>
      </c>
      <c r="R674" t="inlineStr">
        <is>
          <t>Valid</t>
        </is>
      </c>
      <c r="S674" t="n">
        <v>2025</v>
      </c>
      <c r="T674" t="inlineStr">
        <is>
          <t>Supplier Target Pathway</t>
        </is>
      </c>
      <c r="U674" t="n">
        <v>158.9343</v>
      </c>
      <c r="V674" t="n">
        <v>72.633</v>
      </c>
      <c r="W674" t="n">
        <v>123.3985</v>
      </c>
      <c r="X674" t="n">
        <v>123.3985</v>
      </c>
      <c r="Y674" t="n">
        <v>35.5358</v>
      </c>
      <c r="Z674" t="n">
        <v>7.798e-05</v>
      </c>
      <c r="AA674" t="n">
        <v>0.223588</v>
      </c>
      <c r="AB674" t="n">
        <v>50.7655</v>
      </c>
      <c r="AC674" t="n">
        <v>5.0765</v>
      </c>
      <c r="AD674" t="n">
        <v>675.5645</v>
      </c>
      <c r="AE674" t="n">
        <v>123.3985</v>
      </c>
      <c r="AF674" t="n">
        <v>0.99</v>
      </c>
      <c r="AG674" t="inlineStr">
        <is>
          <t>Critical</t>
        </is>
      </c>
      <c r="AH674" t="inlineStr">
        <is>
          <t>On Track to Glide Path</t>
        </is>
      </c>
    </row>
    <row r="675">
      <c r="A675" t="inlineStr">
        <is>
          <t>SUP-0043</t>
        </is>
      </c>
      <c r="B675" t="inlineStr">
        <is>
          <t>Logistics Supplier 043</t>
        </is>
      </c>
      <c r="C675" t="inlineStr">
        <is>
          <t>Logistics</t>
        </is>
      </c>
      <c r="D675" t="n">
        <v>2024</v>
      </c>
      <c r="E675" t="n">
        <v>2018</v>
      </c>
      <c r="F675" t="n">
        <v>2035</v>
      </c>
      <c r="G675" t="inlineStr"/>
      <c r="H675" t="n">
        <v>34.2647</v>
      </c>
      <c r="I675" t="n">
        <v>37.2644</v>
      </c>
      <c r="J675" t="n">
        <v>147.6296</v>
      </c>
      <c r="K675" t="n">
        <v>1582516.22</v>
      </c>
      <c r="L675" t="n">
        <v>9114745.390000001</v>
      </c>
      <c r="M675" t="n">
        <v>219.1587</v>
      </c>
      <c r="N675" t="inlineStr">
        <is>
          <t>Scope 1 + Scope 2 + Scope 3</t>
        </is>
      </c>
      <c r="O675" t="b">
        <v>1</v>
      </c>
      <c r="P675" t="inlineStr">
        <is>
          <t>High</t>
        </is>
      </c>
      <c r="Q675" t="inlineStr">
        <is>
          <t>Reported_Emissions</t>
        </is>
      </c>
      <c r="R675" t="inlineStr">
        <is>
          <t>Valid</t>
        </is>
      </c>
      <c r="S675" t="n">
        <v>2026</v>
      </c>
      <c r="T675" t="inlineStr">
        <is>
          <t>Supplier Target Pathway</t>
        </is>
      </c>
      <c r="U675" t="n">
        <v>158.9343</v>
      </c>
      <c r="V675" t="n">
        <v>72.633</v>
      </c>
      <c r="W675" t="n">
        <v>118.3219</v>
      </c>
      <c r="X675" t="n">
        <v>118.3219</v>
      </c>
      <c r="Y675" t="n">
        <v>40.6124</v>
      </c>
      <c r="Z675" t="n">
        <v>7.477e-05</v>
      </c>
      <c r="AA675" t="n">
        <v>0.255529</v>
      </c>
      <c r="AB675" t="n">
        <v>45.6889</v>
      </c>
      <c r="AC675" t="n">
        <v>5.0765</v>
      </c>
      <c r="AD675" t="n">
        <v>557.2426</v>
      </c>
      <c r="AE675" t="n">
        <v>241.7204</v>
      </c>
      <c r="AF675" t="n">
        <v>0.99</v>
      </c>
      <c r="AG675" t="inlineStr">
        <is>
          <t>Critical</t>
        </is>
      </c>
      <c r="AH675" t="inlineStr">
        <is>
          <t>On Track to Glide Path</t>
        </is>
      </c>
    </row>
    <row r="676">
      <c r="A676" t="inlineStr">
        <is>
          <t>SUP-0043</t>
        </is>
      </c>
      <c r="B676" t="inlineStr">
        <is>
          <t>Logistics Supplier 043</t>
        </is>
      </c>
      <c r="C676" t="inlineStr">
        <is>
          <t>Logistics</t>
        </is>
      </c>
      <c r="D676" t="n">
        <v>2024</v>
      </c>
      <c r="E676" t="n">
        <v>2018</v>
      </c>
      <c r="F676" t="n">
        <v>2035</v>
      </c>
      <c r="G676" t="inlineStr"/>
      <c r="H676" t="n">
        <v>34.2647</v>
      </c>
      <c r="I676" t="n">
        <v>37.2644</v>
      </c>
      <c r="J676" t="n">
        <v>147.6296</v>
      </c>
      <c r="K676" t="n">
        <v>1582516.22</v>
      </c>
      <c r="L676" t="n">
        <v>9114745.390000001</v>
      </c>
      <c r="M676" t="n">
        <v>219.1587</v>
      </c>
      <c r="N676" t="inlineStr">
        <is>
          <t>Scope 1 + Scope 2 + Scope 3</t>
        </is>
      </c>
      <c r="O676" t="b">
        <v>1</v>
      </c>
      <c r="P676" t="inlineStr">
        <is>
          <t>High</t>
        </is>
      </c>
      <c r="Q676" t="inlineStr">
        <is>
          <t>Reported_Emissions</t>
        </is>
      </c>
      <c r="R676" t="inlineStr">
        <is>
          <t>Valid</t>
        </is>
      </c>
      <c r="S676" t="n">
        <v>2027</v>
      </c>
      <c r="T676" t="inlineStr">
        <is>
          <t>Supplier Target Pathway</t>
        </is>
      </c>
      <c r="U676" t="n">
        <v>158.9343</v>
      </c>
      <c r="V676" t="n">
        <v>72.633</v>
      </c>
      <c r="W676" t="n">
        <v>113.2454</v>
      </c>
      <c r="X676" t="n">
        <v>113.2454</v>
      </c>
      <c r="Y676" t="n">
        <v>45.6889</v>
      </c>
      <c r="Z676" t="n">
        <v>7.156e-05</v>
      </c>
      <c r="AA676" t="n">
        <v>0.287471</v>
      </c>
      <c r="AB676" t="n">
        <v>40.6124</v>
      </c>
      <c r="AC676" t="n">
        <v>5.0765</v>
      </c>
      <c r="AD676" t="n">
        <v>443.9972</v>
      </c>
      <c r="AE676" t="n">
        <v>354.9658</v>
      </c>
      <c r="AF676" t="n">
        <v>0.99</v>
      </c>
      <c r="AG676" t="inlineStr">
        <is>
          <t>Critical</t>
        </is>
      </c>
      <c r="AH676" t="inlineStr">
        <is>
          <t>On Track to Glide Path</t>
        </is>
      </c>
    </row>
    <row r="677">
      <c r="A677" t="inlineStr">
        <is>
          <t>SUP-0043</t>
        </is>
      </c>
      <c r="B677" t="inlineStr">
        <is>
          <t>Logistics Supplier 043</t>
        </is>
      </c>
      <c r="C677" t="inlineStr">
        <is>
          <t>Logistics</t>
        </is>
      </c>
      <c r="D677" t="n">
        <v>2024</v>
      </c>
      <c r="E677" t="n">
        <v>2018</v>
      </c>
      <c r="F677" t="n">
        <v>2035</v>
      </c>
      <c r="G677" t="inlineStr"/>
      <c r="H677" t="n">
        <v>34.2647</v>
      </c>
      <c r="I677" t="n">
        <v>37.2644</v>
      </c>
      <c r="J677" t="n">
        <v>147.6296</v>
      </c>
      <c r="K677" t="n">
        <v>1582516.22</v>
      </c>
      <c r="L677" t="n">
        <v>9114745.390000001</v>
      </c>
      <c r="M677" t="n">
        <v>219.1587</v>
      </c>
      <c r="N677" t="inlineStr">
        <is>
          <t>Scope 1 + Scope 2 + Scope 3</t>
        </is>
      </c>
      <c r="O677" t="b">
        <v>1</v>
      </c>
      <c r="P677" t="inlineStr">
        <is>
          <t>High</t>
        </is>
      </c>
      <c r="Q677" t="inlineStr">
        <is>
          <t>Reported_Emissions</t>
        </is>
      </c>
      <c r="R677" t="inlineStr">
        <is>
          <t>Valid</t>
        </is>
      </c>
      <c r="S677" t="n">
        <v>2028</v>
      </c>
      <c r="T677" t="inlineStr">
        <is>
          <t>Supplier Target Pathway</t>
        </is>
      </c>
      <c r="U677" t="n">
        <v>158.9343</v>
      </c>
      <c r="V677" t="n">
        <v>72.633</v>
      </c>
      <c r="W677" t="n">
        <v>108.1688</v>
      </c>
      <c r="X677" t="n">
        <v>108.1688</v>
      </c>
      <c r="Y677" t="n">
        <v>50.7655</v>
      </c>
      <c r="Z677" t="n">
        <v>6.834999999999999e-05</v>
      </c>
      <c r="AA677" t="n">
        <v>0.319412</v>
      </c>
      <c r="AB677" t="n">
        <v>35.5358</v>
      </c>
      <c r="AC677" t="n">
        <v>5.0765</v>
      </c>
      <c r="AD677" t="n">
        <v>335.8284</v>
      </c>
      <c r="AE677" t="n">
        <v>463.1346</v>
      </c>
      <c r="AF677" t="n">
        <v>0.99</v>
      </c>
      <c r="AG677" t="inlineStr">
        <is>
          <t>Critical</t>
        </is>
      </c>
      <c r="AH677" t="inlineStr">
        <is>
          <t>On Track to Glide Path</t>
        </is>
      </c>
    </row>
    <row r="678">
      <c r="A678" t="inlineStr">
        <is>
          <t>SUP-0043</t>
        </is>
      </c>
      <c r="B678" t="inlineStr">
        <is>
          <t>Logistics Supplier 043</t>
        </is>
      </c>
      <c r="C678" t="inlineStr">
        <is>
          <t>Logistics</t>
        </is>
      </c>
      <c r="D678" t="n">
        <v>2024</v>
      </c>
      <c r="E678" t="n">
        <v>2018</v>
      </c>
      <c r="F678" t="n">
        <v>2035</v>
      </c>
      <c r="G678" t="inlineStr"/>
      <c r="H678" t="n">
        <v>34.2647</v>
      </c>
      <c r="I678" t="n">
        <v>37.2644</v>
      </c>
      <c r="J678" t="n">
        <v>147.6296</v>
      </c>
      <c r="K678" t="n">
        <v>1582516.22</v>
      </c>
      <c r="L678" t="n">
        <v>9114745.390000001</v>
      </c>
      <c r="M678" t="n">
        <v>219.1587</v>
      </c>
      <c r="N678" t="inlineStr">
        <is>
          <t>Scope 1 + Scope 2 + Scope 3</t>
        </is>
      </c>
      <c r="O678" t="b">
        <v>1</v>
      </c>
      <c r="P678" t="inlineStr">
        <is>
          <t>High</t>
        </is>
      </c>
      <c r="Q678" t="inlineStr">
        <is>
          <t>Reported_Emissions</t>
        </is>
      </c>
      <c r="R678" t="inlineStr">
        <is>
          <t>Valid</t>
        </is>
      </c>
      <c r="S678" t="n">
        <v>2029</v>
      </c>
      <c r="T678" t="inlineStr">
        <is>
          <t>Supplier Target Pathway</t>
        </is>
      </c>
      <c r="U678" t="n">
        <v>158.9343</v>
      </c>
      <c r="V678" t="n">
        <v>72.633</v>
      </c>
      <c r="W678" t="n">
        <v>103.0923</v>
      </c>
      <c r="X678" t="n">
        <v>103.0923</v>
      </c>
      <c r="Y678" t="n">
        <v>55.842</v>
      </c>
      <c r="Z678" t="n">
        <v>6.514e-05</v>
      </c>
      <c r="AA678" t="n">
        <v>0.351353</v>
      </c>
      <c r="AB678" t="n">
        <v>30.4593</v>
      </c>
      <c r="AC678" t="n">
        <v>5.0765</v>
      </c>
      <c r="AD678" t="n">
        <v>232.7361</v>
      </c>
      <c r="AE678" t="n">
        <v>566.2269</v>
      </c>
      <c r="AF678" t="n">
        <v>0.99</v>
      </c>
      <c r="AG678" t="inlineStr">
        <is>
          <t>Critical</t>
        </is>
      </c>
      <c r="AH678" t="inlineStr">
        <is>
          <t>On Track to Glide Path</t>
        </is>
      </c>
    </row>
    <row r="679">
      <c r="A679" t="inlineStr">
        <is>
          <t>SUP-0043</t>
        </is>
      </c>
      <c r="B679" t="inlineStr">
        <is>
          <t>Logistics Supplier 043</t>
        </is>
      </c>
      <c r="C679" t="inlineStr">
        <is>
          <t>Logistics</t>
        </is>
      </c>
      <c r="D679" t="n">
        <v>2024</v>
      </c>
      <c r="E679" t="n">
        <v>2018</v>
      </c>
      <c r="F679" t="n">
        <v>2035</v>
      </c>
      <c r="G679" t="inlineStr"/>
      <c r="H679" t="n">
        <v>34.2647</v>
      </c>
      <c r="I679" t="n">
        <v>37.2644</v>
      </c>
      <c r="J679" t="n">
        <v>147.6296</v>
      </c>
      <c r="K679" t="n">
        <v>1582516.22</v>
      </c>
      <c r="L679" t="n">
        <v>9114745.390000001</v>
      </c>
      <c r="M679" t="n">
        <v>219.1587</v>
      </c>
      <c r="N679" t="inlineStr">
        <is>
          <t>Scope 1 + Scope 2 + Scope 3</t>
        </is>
      </c>
      <c r="O679" t="b">
        <v>1</v>
      </c>
      <c r="P679" t="inlineStr">
        <is>
          <t>High</t>
        </is>
      </c>
      <c r="Q679" t="inlineStr">
        <is>
          <t>Reported_Emissions</t>
        </is>
      </c>
      <c r="R679" t="inlineStr">
        <is>
          <t>Valid</t>
        </is>
      </c>
      <c r="S679" t="n">
        <v>2030</v>
      </c>
      <c r="T679" t="inlineStr">
        <is>
          <t>Supplier Target Pathway</t>
        </is>
      </c>
      <c r="U679" t="n">
        <v>158.9343</v>
      </c>
      <c r="V679" t="n">
        <v>72.633</v>
      </c>
      <c r="W679" t="n">
        <v>98.0157</v>
      </c>
      <c r="X679" t="n">
        <v>98.0157</v>
      </c>
      <c r="Y679" t="n">
        <v>60.9186</v>
      </c>
      <c r="Z679" t="n">
        <v>6.194000000000001e-05</v>
      </c>
      <c r="AA679" t="n">
        <v>0.383294</v>
      </c>
      <c r="AB679" t="n">
        <v>25.3827</v>
      </c>
      <c r="AC679" t="n">
        <v>5.0765</v>
      </c>
      <c r="AD679" t="n">
        <v>134.7204</v>
      </c>
      <c r="AE679" t="n">
        <v>664.2426</v>
      </c>
      <c r="AF679" t="n">
        <v>0.99</v>
      </c>
      <c r="AG679" t="inlineStr">
        <is>
          <t>High</t>
        </is>
      </c>
      <c r="AH679" t="inlineStr">
        <is>
          <t>On Track to Glide Path</t>
        </is>
      </c>
    </row>
    <row r="680">
      <c r="A680" t="inlineStr">
        <is>
          <t>SUP-0043</t>
        </is>
      </c>
      <c r="B680" t="inlineStr">
        <is>
          <t>Logistics Supplier 043</t>
        </is>
      </c>
      <c r="C680" t="inlineStr">
        <is>
          <t>Logistics</t>
        </is>
      </c>
      <c r="D680" t="n">
        <v>2024</v>
      </c>
      <c r="E680" t="n">
        <v>2018</v>
      </c>
      <c r="F680" t="n">
        <v>2035</v>
      </c>
      <c r="G680" t="inlineStr"/>
      <c r="H680" t="n">
        <v>34.2647</v>
      </c>
      <c r="I680" t="n">
        <v>37.2644</v>
      </c>
      <c r="J680" t="n">
        <v>147.6296</v>
      </c>
      <c r="K680" t="n">
        <v>1582516.22</v>
      </c>
      <c r="L680" t="n">
        <v>9114745.390000001</v>
      </c>
      <c r="M680" t="n">
        <v>219.1587</v>
      </c>
      <c r="N680" t="inlineStr">
        <is>
          <t>Scope 1 + Scope 2 + Scope 3</t>
        </is>
      </c>
      <c r="O680" t="b">
        <v>1</v>
      </c>
      <c r="P680" t="inlineStr">
        <is>
          <t>High</t>
        </is>
      </c>
      <c r="Q680" t="inlineStr">
        <is>
          <t>Reported_Emissions</t>
        </is>
      </c>
      <c r="R680" t="inlineStr">
        <is>
          <t>Valid</t>
        </is>
      </c>
      <c r="S680" t="n">
        <v>2031</v>
      </c>
      <c r="T680" t="inlineStr">
        <is>
          <t>Supplier Target Pathway</t>
        </is>
      </c>
      <c r="U680" t="n">
        <v>158.9343</v>
      </c>
      <c r="V680" t="n">
        <v>72.633</v>
      </c>
      <c r="W680" t="n">
        <v>92.9392</v>
      </c>
      <c r="X680" t="n">
        <v>92.9392</v>
      </c>
      <c r="Y680" t="n">
        <v>65.99509999999999</v>
      </c>
      <c r="Z680" t="n">
        <v>5.873e-05</v>
      </c>
      <c r="AA680" t="n">
        <v>0.415235</v>
      </c>
      <c r="AB680" t="n">
        <v>20.3062</v>
      </c>
      <c r="AC680" t="n">
        <v>5.0765</v>
      </c>
      <c r="AD680" t="n">
        <v>41.7812</v>
      </c>
      <c r="AE680" t="n">
        <v>757.1818</v>
      </c>
      <c r="AF680" t="n">
        <v>0.99</v>
      </c>
      <c r="AG680" t="inlineStr">
        <is>
          <t>High</t>
        </is>
      </c>
      <c r="AH680" t="inlineStr">
        <is>
          <t>On Track to Glide Path</t>
        </is>
      </c>
    </row>
    <row r="681">
      <c r="A681" t="inlineStr">
        <is>
          <t>SUP-0043</t>
        </is>
      </c>
      <c r="B681" t="inlineStr">
        <is>
          <t>Logistics Supplier 043</t>
        </is>
      </c>
      <c r="C681" t="inlineStr">
        <is>
          <t>Logistics</t>
        </is>
      </c>
      <c r="D681" t="n">
        <v>2024</v>
      </c>
      <c r="E681" t="n">
        <v>2018</v>
      </c>
      <c r="F681" t="n">
        <v>2035</v>
      </c>
      <c r="G681" t="inlineStr"/>
      <c r="H681" t="n">
        <v>34.2647</v>
      </c>
      <c r="I681" t="n">
        <v>37.2644</v>
      </c>
      <c r="J681" t="n">
        <v>147.6296</v>
      </c>
      <c r="K681" t="n">
        <v>1582516.22</v>
      </c>
      <c r="L681" t="n">
        <v>9114745.390000001</v>
      </c>
      <c r="M681" t="n">
        <v>219.1587</v>
      </c>
      <c r="N681" t="inlineStr">
        <is>
          <t>Scope 1 + Scope 2 + Scope 3</t>
        </is>
      </c>
      <c r="O681" t="b">
        <v>1</v>
      </c>
      <c r="P681" t="inlineStr">
        <is>
          <t>High</t>
        </is>
      </c>
      <c r="Q681" t="inlineStr">
        <is>
          <t>Reported_Emissions</t>
        </is>
      </c>
      <c r="R681" t="inlineStr">
        <is>
          <t>Valid</t>
        </is>
      </c>
      <c r="S681" t="n">
        <v>2032</v>
      </c>
      <c r="T681" t="inlineStr">
        <is>
          <t>Supplier Target Pathway</t>
        </is>
      </c>
      <c r="U681" t="n">
        <v>158.9343</v>
      </c>
      <c r="V681" t="n">
        <v>72.633</v>
      </c>
      <c r="W681" t="n">
        <v>87.8626</v>
      </c>
      <c r="X681" t="n">
        <v>87.8626</v>
      </c>
      <c r="Y681" t="n">
        <v>71.07170000000001</v>
      </c>
      <c r="Z681" t="n">
        <v>5.552e-05</v>
      </c>
      <c r="AA681" t="n">
        <v>0.447176</v>
      </c>
      <c r="AB681" t="n">
        <v>15.2296</v>
      </c>
      <c r="AC681" t="n">
        <v>5.0765</v>
      </c>
      <c r="AD681" t="n">
        <v>-46.0814</v>
      </c>
      <c r="AE681" t="n">
        <v>845.0444</v>
      </c>
      <c r="AF681" t="n">
        <v>0.99</v>
      </c>
      <c r="AG681" t="inlineStr">
        <is>
          <t>High</t>
        </is>
      </c>
      <c r="AH681" t="inlineStr">
        <is>
          <t>On Track to Glide Path</t>
        </is>
      </c>
    </row>
    <row r="682">
      <c r="A682" t="inlineStr">
        <is>
          <t>SUP-0043</t>
        </is>
      </c>
      <c r="B682" t="inlineStr">
        <is>
          <t>Logistics Supplier 043</t>
        </is>
      </c>
      <c r="C682" t="inlineStr">
        <is>
          <t>Logistics</t>
        </is>
      </c>
      <c r="D682" t="n">
        <v>2024</v>
      </c>
      <c r="E682" t="n">
        <v>2018</v>
      </c>
      <c r="F682" t="n">
        <v>2035</v>
      </c>
      <c r="G682" t="inlineStr"/>
      <c r="H682" t="n">
        <v>34.2647</v>
      </c>
      <c r="I682" t="n">
        <v>37.2644</v>
      </c>
      <c r="J682" t="n">
        <v>147.6296</v>
      </c>
      <c r="K682" t="n">
        <v>1582516.22</v>
      </c>
      <c r="L682" t="n">
        <v>9114745.390000001</v>
      </c>
      <c r="M682" t="n">
        <v>219.1587</v>
      </c>
      <c r="N682" t="inlineStr">
        <is>
          <t>Scope 1 + Scope 2 + Scope 3</t>
        </is>
      </c>
      <c r="O682" t="b">
        <v>1</v>
      </c>
      <c r="P682" t="inlineStr">
        <is>
          <t>High</t>
        </is>
      </c>
      <c r="Q682" t="inlineStr">
        <is>
          <t>Reported_Emissions</t>
        </is>
      </c>
      <c r="R682" t="inlineStr">
        <is>
          <t>Valid</t>
        </is>
      </c>
      <c r="S682" t="n">
        <v>2033</v>
      </c>
      <c r="T682" t="inlineStr">
        <is>
          <t>Supplier Target Pathway</t>
        </is>
      </c>
      <c r="U682" t="n">
        <v>158.9343</v>
      </c>
      <c r="V682" t="n">
        <v>72.633</v>
      </c>
      <c r="W682" t="n">
        <v>82.7861</v>
      </c>
      <c r="X682" t="n">
        <v>82.7861</v>
      </c>
      <c r="Y682" t="n">
        <v>76.1482</v>
      </c>
      <c r="Z682" t="n">
        <v>5.231e-05</v>
      </c>
      <c r="AA682" t="n">
        <v>0.479118</v>
      </c>
      <c r="AB682" t="n">
        <v>10.1531</v>
      </c>
      <c r="AC682" t="n">
        <v>5.0765</v>
      </c>
      <c r="AD682" t="n">
        <v>-128.8675</v>
      </c>
      <c r="AE682" t="n">
        <v>927.8305</v>
      </c>
      <c r="AF682" t="n">
        <v>0.99</v>
      </c>
      <c r="AG682" t="inlineStr">
        <is>
          <t>Medium</t>
        </is>
      </c>
      <c r="AH682" t="inlineStr">
        <is>
          <t>On Track to Glide Path</t>
        </is>
      </c>
    </row>
    <row r="683">
      <c r="A683" t="inlineStr">
        <is>
          <t>SUP-0043</t>
        </is>
      </c>
      <c r="B683" t="inlineStr">
        <is>
          <t>Logistics Supplier 043</t>
        </is>
      </c>
      <c r="C683" t="inlineStr">
        <is>
          <t>Logistics</t>
        </is>
      </c>
      <c r="D683" t="n">
        <v>2024</v>
      </c>
      <c r="E683" t="n">
        <v>2018</v>
      </c>
      <c r="F683" t="n">
        <v>2035</v>
      </c>
      <c r="G683" t="inlineStr"/>
      <c r="H683" t="n">
        <v>34.2647</v>
      </c>
      <c r="I683" t="n">
        <v>37.2644</v>
      </c>
      <c r="J683" t="n">
        <v>147.6296</v>
      </c>
      <c r="K683" t="n">
        <v>1582516.22</v>
      </c>
      <c r="L683" t="n">
        <v>9114745.390000001</v>
      </c>
      <c r="M683" t="n">
        <v>219.1587</v>
      </c>
      <c r="N683" t="inlineStr">
        <is>
          <t>Scope 1 + Scope 2 + Scope 3</t>
        </is>
      </c>
      <c r="O683" t="b">
        <v>1</v>
      </c>
      <c r="P683" t="inlineStr">
        <is>
          <t>High</t>
        </is>
      </c>
      <c r="Q683" t="inlineStr">
        <is>
          <t>Reported_Emissions</t>
        </is>
      </c>
      <c r="R683" t="inlineStr">
        <is>
          <t>Valid</t>
        </is>
      </c>
      <c r="S683" t="n">
        <v>2034</v>
      </c>
      <c r="T683" t="inlineStr">
        <is>
          <t>Supplier Target Pathway</t>
        </is>
      </c>
      <c r="U683" t="n">
        <v>158.9343</v>
      </c>
      <c r="V683" t="n">
        <v>72.633</v>
      </c>
      <c r="W683" t="n">
        <v>77.70950000000001</v>
      </c>
      <c r="X683" t="n">
        <v>77.70950000000001</v>
      </c>
      <c r="Y683" t="n">
        <v>81.2248</v>
      </c>
      <c r="Z683" t="n">
        <v>4.911e-05</v>
      </c>
      <c r="AA683" t="n">
        <v>0.511059</v>
      </c>
      <c r="AB683" t="n">
        <v>5.0765</v>
      </c>
      <c r="AC683" t="n">
        <v>5.0765</v>
      </c>
      <c r="AD683" t="n">
        <v>-206.577</v>
      </c>
      <c r="AE683" t="n">
        <v>1005.54</v>
      </c>
      <c r="AF683" t="n">
        <v>0.99</v>
      </c>
      <c r="AG683" t="inlineStr">
        <is>
          <t>Medium</t>
        </is>
      </c>
      <c r="AH683" t="inlineStr">
        <is>
          <t>On Track to Glide Path</t>
        </is>
      </c>
    </row>
    <row r="684">
      <c r="A684" t="inlineStr">
        <is>
          <t>SUP-0043</t>
        </is>
      </c>
      <c r="B684" t="inlineStr">
        <is>
          <t>Logistics Supplier 043</t>
        </is>
      </c>
      <c r="C684" t="inlineStr">
        <is>
          <t>Logistics</t>
        </is>
      </c>
      <c r="D684" t="n">
        <v>2024</v>
      </c>
      <c r="E684" t="n">
        <v>2018</v>
      </c>
      <c r="F684" t="n">
        <v>2035</v>
      </c>
      <c r="G684" t="inlineStr"/>
      <c r="H684" t="n">
        <v>34.2647</v>
      </c>
      <c r="I684" t="n">
        <v>37.2644</v>
      </c>
      <c r="J684" t="n">
        <v>147.6296</v>
      </c>
      <c r="K684" t="n">
        <v>1582516.22</v>
      </c>
      <c r="L684" t="n">
        <v>9114745.390000001</v>
      </c>
      <c r="M684" t="n">
        <v>219.1587</v>
      </c>
      <c r="N684" t="inlineStr">
        <is>
          <t>Scope 1 + Scope 2 + Scope 3</t>
        </is>
      </c>
      <c r="O684" t="b">
        <v>1</v>
      </c>
      <c r="P684" t="inlineStr">
        <is>
          <t>High</t>
        </is>
      </c>
      <c r="Q684" t="inlineStr">
        <is>
          <t>Reported_Emissions</t>
        </is>
      </c>
      <c r="R684" t="inlineStr">
        <is>
          <t>Valid</t>
        </is>
      </c>
      <c r="S684" t="n">
        <v>2035</v>
      </c>
      <c r="T684" t="inlineStr">
        <is>
          <t>Supplier Target Pathway</t>
        </is>
      </c>
      <c r="U684" t="n">
        <v>158.9343</v>
      </c>
      <c r="V684" t="n">
        <v>72.633</v>
      </c>
      <c r="W684" t="n">
        <v>72.633</v>
      </c>
      <c r="X684" t="n">
        <v>72.633</v>
      </c>
      <c r="Y684" t="n">
        <v>86.3013</v>
      </c>
      <c r="Z684" t="n">
        <v>4.59e-05</v>
      </c>
      <c r="AA684" t="n">
        <v>0.543</v>
      </c>
      <c r="AB684" t="n">
        <v>0</v>
      </c>
      <c r="AC684" t="n">
        <v>5.0765</v>
      </c>
      <c r="AD684" t="n">
        <v>-279.21</v>
      </c>
      <c r="AE684" t="n">
        <v>1078.173</v>
      </c>
      <c r="AF684" t="n">
        <v>0.99</v>
      </c>
      <c r="AG684" t="inlineStr">
        <is>
          <t>Low</t>
        </is>
      </c>
      <c r="AH684" t="inlineStr">
        <is>
          <t>On Track</t>
        </is>
      </c>
    </row>
    <row r="685">
      <c r="A685" t="inlineStr">
        <is>
          <t>SUP-0043</t>
        </is>
      </c>
      <c r="B685" t="inlineStr">
        <is>
          <t>Logistics Supplier 043</t>
        </is>
      </c>
      <c r="C685" t="inlineStr">
        <is>
          <t>Logistics</t>
        </is>
      </c>
      <c r="D685" t="n">
        <v>2024</v>
      </c>
      <c r="E685" t="n">
        <v>2018</v>
      </c>
      <c r="F685" t="n">
        <v>2035</v>
      </c>
      <c r="G685" t="inlineStr"/>
      <c r="H685" t="n">
        <v>34.2647</v>
      </c>
      <c r="I685" t="n">
        <v>37.2644</v>
      </c>
      <c r="J685" t="n">
        <v>147.6296</v>
      </c>
      <c r="K685" t="n">
        <v>1582516.22</v>
      </c>
      <c r="L685" t="n">
        <v>9114745.390000001</v>
      </c>
      <c r="M685" t="n">
        <v>219.1587</v>
      </c>
      <c r="N685" t="inlineStr">
        <is>
          <t>Scope 1 + Scope 2 + Scope 3</t>
        </is>
      </c>
      <c r="O685" t="b">
        <v>1</v>
      </c>
      <c r="P685" t="inlineStr">
        <is>
          <t>High</t>
        </is>
      </c>
      <c r="Q685" t="inlineStr">
        <is>
          <t>Reported_Emissions</t>
        </is>
      </c>
      <c r="R685" t="inlineStr">
        <is>
          <t>Valid</t>
        </is>
      </c>
      <c r="S685" t="n">
        <v>2036</v>
      </c>
      <c r="T685" t="inlineStr">
        <is>
          <t>Supplier Target Pathway</t>
        </is>
      </c>
      <c r="U685" t="n">
        <v>158.9343</v>
      </c>
      <c r="V685" t="n">
        <v>72.633</v>
      </c>
      <c r="W685" t="n">
        <v>72.633</v>
      </c>
      <c r="X685" t="n">
        <v>72.633</v>
      </c>
      <c r="Y685" t="n">
        <v>86.3013</v>
      </c>
      <c r="Z685" t="n">
        <v>4.59e-05</v>
      </c>
      <c r="AA685" t="n">
        <v>0.543</v>
      </c>
      <c r="AB685" t="n">
        <v>0</v>
      </c>
      <c r="AC685" t="n">
        <v>5.0765</v>
      </c>
      <c r="AD685" t="n">
        <v>-351.843</v>
      </c>
      <c r="AE685" t="n">
        <v>1150.806</v>
      </c>
      <c r="AF685" t="n">
        <v>0.99</v>
      </c>
      <c r="AG685" t="inlineStr">
        <is>
          <t>Low</t>
        </is>
      </c>
      <c r="AH685" t="inlineStr">
        <is>
          <t>On Track</t>
        </is>
      </c>
    </row>
    <row r="686">
      <c r="A686" t="inlineStr">
        <is>
          <t>SUP-0043</t>
        </is>
      </c>
      <c r="B686" t="inlineStr">
        <is>
          <t>Logistics Supplier 043</t>
        </is>
      </c>
      <c r="C686" t="inlineStr">
        <is>
          <t>Logistics</t>
        </is>
      </c>
      <c r="D686" t="n">
        <v>2024</v>
      </c>
      <c r="E686" t="n">
        <v>2018</v>
      </c>
      <c r="F686" t="n">
        <v>2035</v>
      </c>
      <c r="G686" t="inlineStr"/>
      <c r="H686" t="n">
        <v>34.2647</v>
      </c>
      <c r="I686" t="n">
        <v>37.2644</v>
      </c>
      <c r="J686" t="n">
        <v>147.6296</v>
      </c>
      <c r="K686" t="n">
        <v>1582516.22</v>
      </c>
      <c r="L686" t="n">
        <v>9114745.390000001</v>
      </c>
      <c r="M686" t="n">
        <v>219.1587</v>
      </c>
      <c r="N686" t="inlineStr">
        <is>
          <t>Scope 1 + Scope 2 + Scope 3</t>
        </is>
      </c>
      <c r="O686" t="b">
        <v>1</v>
      </c>
      <c r="P686" t="inlineStr">
        <is>
          <t>High</t>
        </is>
      </c>
      <c r="Q686" t="inlineStr">
        <is>
          <t>Reported_Emissions</t>
        </is>
      </c>
      <c r="R686" t="inlineStr">
        <is>
          <t>Valid</t>
        </is>
      </c>
      <c r="S686" t="n">
        <v>2037</v>
      </c>
      <c r="T686" t="inlineStr">
        <is>
          <t>Supplier Target Pathway</t>
        </is>
      </c>
      <c r="U686" t="n">
        <v>158.9343</v>
      </c>
      <c r="V686" t="n">
        <v>72.633</v>
      </c>
      <c r="W686" t="n">
        <v>72.633</v>
      </c>
      <c r="X686" t="n">
        <v>72.633</v>
      </c>
      <c r="Y686" t="n">
        <v>86.3013</v>
      </c>
      <c r="Z686" t="n">
        <v>4.59e-05</v>
      </c>
      <c r="AA686" t="n">
        <v>0.543</v>
      </c>
      <c r="AB686" t="n">
        <v>0</v>
      </c>
      <c r="AC686" t="n">
        <v>5.0765</v>
      </c>
      <c r="AD686" t="n">
        <v>-424.476</v>
      </c>
      <c r="AE686" t="n">
        <v>1223.439</v>
      </c>
      <c r="AF686" t="n">
        <v>0.99</v>
      </c>
      <c r="AG686" t="inlineStr">
        <is>
          <t>Low</t>
        </is>
      </c>
      <c r="AH686" t="inlineStr">
        <is>
          <t>On Track</t>
        </is>
      </c>
    </row>
    <row r="687">
      <c r="A687" t="inlineStr">
        <is>
          <t>SUP-0043</t>
        </is>
      </c>
      <c r="B687" t="inlineStr">
        <is>
          <t>Logistics Supplier 043</t>
        </is>
      </c>
      <c r="C687" t="inlineStr">
        <is>
          <t>Logistics</t>
        </is>
      </c>
      <c r="D687" t="n">
        <v>2024</v>
      </c>
      <c r="E687" t="n">
        <v>2018</v>
      </c>
      <c r="F687" t="n">
        <v>2035</v>
      </c>
      <c r="G687" t="inlineStr"/>
      <c r="H687" t="n">
        <v>34.2647</v>
      </c>
      <c r="I687" t="n">
        <v>37.2644</v>
      </c>
      <c r="J687" t="n">
        <v>147.6296</v>
      </c>
      <c r="K687" t="n">
        <v>1582516.22</v>
      </c>
      <c r="L687" t="n">
        <v>9114745.390000001</v>
      </c>
      <c r="M687" t="n">
        <v>219.1587</v>
      </c>
      <c r="N687" t="inlineStr">
        <is>
          <t>Scope 1 + Scope 2 + Scope 3</t>
        </is>
      </c>
      <c r="O687" t="b">
        <v>1</v>
      </c>
      <c r="P687" t="inlineStr">
        <is>
          <t>High</t>
        </is>
      </c>
      <c r="Q687" t="inlineStr">
        <is>
          <t>Reported_Emissions</t>
        </is>
      </c>
      <c r="R687" t="inlineStr">
        <is>
          <t>Valid</t>
        </is>
      </c>
      <c r="S687" t="n">
        <v>2038</v>
      </c>
      <c r="T687" t="inlineStr">
        <is>
          <t>Supplier Target Pathway</t>
        </is>
      </c>
      <c r="U687" t="n">
        <v>158.9343</v>
      </c>
      <c r="V687" t="n">
        <v>72.633</v>
      </c>
      <c r="W687" t="n">
        <v>72.633</v>
      </c>
      <c r="X687" t="n">
        <v>72.633</v>
      </c>
      <c r="Y687" t="n">
        <v>86.3013</v>
      </c>
      <c r="Z687" t="n">
        <v>4.59e-05</v>
      </c>
      <c r="AA687" t="n">
        <v>0.543</v>
      </c>
      <c r="AB687" t="n">
        <v>0</v>
      </c>
      <c r="AC687" t="n">
        <v>5.0765</v>
      </c>
      <c r="AD687" t="n">
        <v>-497.109</v>
      </c>
      <c r="AE687" t="n">
        <v>1296.072</v>
      </c>
      <c r="AF687" t="n">
        <v>0.99</v>
      </c>
      <c r="AG687" t="inlineStr">
        <is>
          <t>Low</t>
        </is>
      </c>
      <c r="AH687" t="inlineStr">
        <is>
          <t>On Track</t>
        </is>
      </c>
    </row>
    <row r="688">
      <c r="A688" t="inlineStr">
        <is>
          <t>SUP-0043</t>
        </is>
      </c>
      <c r="B688" t="inlineStr">
        <is>
          <t>Logistics Supplier 043</t>
        </is>
      </c>
      <c r="C688" t="inlineStr">
        <is>
          <t>Logistics</t>
        </is>
      </c>
      <c r="D688" t="n">
        <v>2024</v>
      </c>
      <c r="E688" t="n">
        <v>2018</v>
      </c>
      <c r="F688" t="n">
        <v>2035</v>
      </c>
      <c r="G688" t="inlineStr"/>
      <c r="H688" t="n">
        <v>34.2647</v>
      </c>
      <c r="I688" t="n">
        <v>37.2644</v>
      </c>
      <c r="J688" t="n">
        <v>147.6296</v>
      </c>
      <c r="K688" t="n">
        <v>1582516.22</v>
      </c>
      <c r="L688" t="n">
        <v>9114745.390000001</v>
      </c>
      <c r="M688" t="n">
        <v>219.1587</v>
      </c>
      <c r="N688" t="inlineStr">
        <is>
          <t>Scope 1 + Scope 2 + Scope 3</t>
        </is>
      </c>
      <c r="O688" t="b">
        <v>1</v>
      </c>
      <c r="P688" t="inlineStr">
        <is>
          <t>High</t>
        </is>
      </c>
      <c r="Q688" t="inlineStr">
        <is>
          <t>Reported_Emissions</t>
        </is>
      </c>
      <c r="R688" t="inlineStr">
        <is>
          <t>Valid</t>
        </is>
      </c>
      <c r="S688" t="n">
        <v>2039</v>
      </c>
      <c r="T688" t="inlineStr">
        <is>
          <t>Supplier Target Pathway</t>
        </is>
      </c>
      <c r="U688" t="n">
        <v>158.9343</v>
      </c>
      <c r="V688" t="n">
        <v>72.633</v>
      </c>
      <c r="W688" t="n">
        <v>72.633</v>
      </c>
      <c r="X688" t="n">
        <v>72.633</v>
      </c>
      <c r="Y688" t="n">
        <v>86.3013</v>
      </c>
      <c r="Z688" t="n">
        <v>4.59e-05</v>
      </c>
      <c r="AA688" t="n">
        <v>0.543</v>
      </c>
      <c r="AB688" t="n">
        <v>0</v>
      </c>
      <c r="AC688" t="n">
        <v>5.0765</v>
      </c>
      <c r="AD688" t="n">
        <v>-569.742</v>
      </c>
      <c r="AE688" t="n">
        <v>1368.705</v>
      </c>
      <c r="AF688" t="n">
        <v>0.99</v>
      </c>
      <c r="AG688" t="inlineStr">
        <is>
          <t>Low</t>
        </is>
      </c>
      <c r="AH688" t="inlineStr">
        <is>
          <t>On Track</t>
        </is>
      </c>
    </row>
    <row r="689">
      <c r="A689" t="inlineStr">
        <is>
          <t>SUP-0043</t>
        </is>
      </c>
      <c r="B689" t="inlineStr">
        <is>
          <t>Logistics Supplier 043</t>
        </is>
      </c>
      <c r="C689" t="inlineStr">
        <is>
          <t>Logistics</t>
        </is>
      </c>
      <c r="D689" t="n">
        <v>2024</v>
      </c>
      <c r="E689" t="n">
        <v>2018</v>
      </c>
      <c r="F689" t="n">
        <v>2035</v>
      </c>
      <c r="G689" t="inlineStr"/>
      <c r="H689" t="n">
        <v>34.2647</v>
      </c>
      <c r="I689" t="n">
        <v>37.2644</v>
      </c>
      <c r="J689" t="n">
        <v>147.6296</v>
      </c>
      <c r="K689" t="n">
        <v>1582516.22</v>
      </c>
      <c r="L689" t="n">
        <v>9114745.390000001</v>
      </c>
      <c r="M689" t="n">
        <v>219.1587</v>
      </c>
      <c r="N689" t="inlineStr">
        <is>
          <t>Scope 1 + Scope 2 + Scope 3</t>
        </is>
      </c>
      <c r="O689" t="b">
        <v>1</v>
      </c>
      <c r="P689" t="inlineStr">
        <is>
          <t>High</t>
        </is>
      </c>
      <c r="Q689" t="inlineStr">
        <is>
          <t>Reported_Emissions</t>
        </is>
      </c>
      <c r="R689" t="inlineStr">
        <is>
          <t>Valid</t>
        </is>
      </c>
      <c r="S689" t="n">
        <v>2040</v>
      </c>
      <c r="T689" t="inlineStr">
        <is>
          <t>Supplier Target Pathway</t>
        </is>
      </c>
      <c r="U689" t="n">
        <v>158.9343</v>
      </c>
      <c r="V689" t="n">
        <v>72.633</v>
      </c>
      <c r="W689" t="n">
        <v>72.633</v>
      </c>
      <c r="X689" t="n">
        <v>72.633</v>
      </c>
      <c r="Y689" t="n">
        <v>86.3013</v>
      </c>
      <c r="Z689" t="n">
        <v>4.59e-05</v>
      </c>
      <c r="AA689" t="n">
        <v>0.543</v>
      </c>
      <c r="AB689" t="n">
        <v>0</v>
      </c>
      <c r="AC689" t="n">
        <v>5.0765</v>
      </c>
      <c r="AD689" t="n">
        <v>-642.375</v>
      </c>
      <c r="AE689" t="n">
        <v>1441.338</v>
      </c>
      <c r="AF689" t="n">
        <v>0.99</v>
      </c>
      <c r="AG689" t="inlineStr">
        <is>
          <t>Low</t>
        </is>
      </c>
      <c r="AH689" t="inlineStr">
        <is>
          <t>On Track</t>
        </is>
      </c>
    </row>
    <row r="690">
      <c r="A690" t="inlineStr">
        <is>
          <t>SUP-0044</t>
        </is>
      </c>
      <c r="B690" t="inlineStr">
        <is>
          <t>Chemicals Supplier 044</t>
        </is>
      </c>
      <c r="C690" t="inlineStr">
        <is>
          <t>Chemicals</t>
        </is>
      </c>
      <c r="D690" t="n">
        <v>2024</v>
      </c>
      <c r="E690" t="n">
        <v>2015</v>
      </c>
      <c r="F690" t="n">
        <v>2035</v>
      </c>
      <c r="G690" t="n">
        <v>30130.7815</v>
      </c>
      <c r="H690" t="n">
        <v>3248.4917</v>
      </c>
      <c r="I690" t="inlineStr"/>
      <c r="J690" t="inlineStr"/>
      <c r="K690" t="n">
        <v>35263210.83</v>
      </c>
      <c r="L690" t="n">
        <v>312085078.23</v>
      </c>
      <c r="M690" t="n">
        <v>30130.7815</v>
      </c>
      <c r="N690" t="inlineStr">
        <is>
          <t>Supplier Reported Emissions</t>
        </is>
      </c>
      <c r="O690" t="b">
        <v>0</v>
      </c>
      <c r="P690" t="inlineStr">
        <is>
          <t>High</t>
        </is>
      </c>
      <c r="Q690" t="inlineStr">
        <is>
          <t>Scope_Emissions</t>
        </is>
      </c>
      <c r="R690" t="inlineStr">
        <is>
          <t>Valid</t>
        </is>
      </c>
      <c r="S690" t="n">
        <v>2025</v>
      </c>
      <c r="T690" t="inlineStr">
        <is>
          <t>Industry Haircut Pathway</t>
        </is>
      </c>
      <c r="U690" t="n">
        <v>15097.8722</v>
      </c>
      <c r="V690" t="n">
        <v>7203.1948</v>
      </c>
      <c r="W690" t="n">
        <v>11150.5335</v>
      </c>
      <c r="X690" t="n">
        <v>11150.5335</v>
      </c>
      <c r="Y690" t="n">
        <v>3947.3387</v>
      </c>
      <c r="Z690" t="n">
        <v>0.00031621</v>
      </c>
      <c r="AA690" t="n">
        <v>0.26145</v>
      </c>
      <c r="AB690" t="n">
        <v>3947.3387</v>
      </c>
      <c r="AC690" t="n">
        <v>394.7339</v>
      </c>
      <c r="AD690" t="n">
        <v>68084.6093</v>
      </c>
      <c r="AE690" t="n">
        <v>11150.5335</v>
      </c>
      <c r="AF690" t="n">
        <v>0.893</v>
      </c>
      <c r="AG690" t="inlineStr">
        <is>
          <t>Critical</t>
        </is>
      </c>
      <c r="AH690" t="inlineStr">
        <is>
          <t>On Track to Glide Path</t>
        </is>
      </c>
    </row>
    <row r="691">
      <c r="A691" t="inlineStr">
        <is>
          <t>SUP-0044</t>
        </is>
      </c>
      <c r="B691" t="inlineStr">
        <is>
          <t>Chemicals Supplier 044</t>
        </is>
      </c>
      <c r="C691" t="inlineStr">
        <is>
          <t>Chemicals</t>
        </is>
      </c>
      <c r="D691" t="n">
        <v>2024</v>
      </c>
      <c r="E691" t="n">
        <v>2015</v>
      </c>
      <c r="F691" t="n">
        <v>2035</v>
      </c>
      <c r="G691" t="n">
        <v>30130.7815</v>
      </c>
      <c r="H691" t="n">
        <v>3248.4917</v>
      </c>
      <c r="I691" t="inlineStr"/>
      <c r="J691" t="inlineStr"/>
      <c r="K691" t="n">
        <v>35263210.83</v>
      </c>
      <c r="L691" t="n">
        <v>312085078.23</v>
      </c>
      <c r="M691" t="n">
        <v>30130.7815</v>
      </c>
      <c r="N691" t="inlineStr">
        <is>
          <t>Supplier Reported Emissions</t>
        </is>
      </c>
      <c r="O691" t="b">
        <v>0</v>
      </c>
      <c r="P691" t="inlineStr">
        <is>
          <t>High</t>
        </is>
      </c>
      <c r="Q691" t="inlineStr">
        <is>
          <t>Scope_Emissions</t>
        </is>
      </c>
      <c r="R691" t="inlineStr">
        <is>
          <t>Valid</t>
        </is>
      </c>
      <c r="S691" t="n">
        <v>2026</v>
      </c>
      <c r="T691" t="inlineStr">
        <is>
          <t>Industry Haircut Pathway</t>
        </is>
      </c>
      <c r="U691" t="n">
        <v>15097.8722</v>
      </c>
      <c r="V691" t="n">
        <v>7203.1948</v>
      </c>
      <c r="W691" t="n">
        <v>10755.7996</v>
      </c>
      <c r="X691" t="n">
        <v>10755.7996</v>
      </c>
      <c r="Y691" t="n">
        <v>4342.0726</v>
      </c>
      <c r="Z691" t="n">
        <v>0.00030501</v>
      </c>
      <c r="AA691" t="n">
        <v>0.287595</v>
      </c>
      <c r="AB691" t="n">
        <v>3552.6048</v>
      </c>
      <c r="AC691" t="n">
        <v>394.7339</v>
      </c>
      <c r="AD691" t="n">
        <v>57328.8097</v>
      </c>
      <c r="AE691" t="n">
        <v>21906.3331</v>
      </c>
      <c r="AF691" t="n">
        <v>0.893</v>
      </c>
      <c r="AG691" t="inlineStr">
        <is>
          <t>Critical</t>
        </is>
      </c>
      <c r="AH691" t="inlineStr">
        <is>
          <t>On Track to Glide Path</t>
        </is>
      </c>
    </row>
    <row r="692">
      <c r="A692" t="inlineStr">
        <is>
          <t>SUP-0044</t>
        </is>
      </c>
      <c r="B692" t="inlineStr">
        <is>
          <t>Chemicals Supplier 044</t>
        </is>
      </c>
      <c r="C692" t="inlineStr">
        <is>
          <t>Chemicals</t>
        </is>
      </c>
      <c r="D692" t="n">
        <v>2024</v>
      </c>
      <c r="E692" t="n">
        <v>2015</v>
      </c>
      <c r="F692" t="n">
        <v>2035</v>
      </c>
      <c r="G692" t="n">
        <v>30130.7815</v>
      </c>
      <c r="H692" t="n">
        <v>3248.4917</v>
      </c>
      <c r="I692" t="inlineStr"/>
      <c r="J692" t="inlineStr"/>
      <c r="K692" t="n">
        <v>35263210.83</v>
      </c>
      <c r="L692" t="n">
        <v>312085078.23</v>
      </c>
      <c r="M692" t="n">
        <v>30130.7815</v>
      </c>
      <c r="N692" t="inlineStr">
        <is>
          <t>Supplier Reported Emissions</t>
        </is>
      </c>
      <c r="O692" t="b">
        <v>0</v>
      </c>
      <c r="P692" t="inlineStr">
        <is>
          <t>High</t>
        </is>
      </c>
      <c r="Q692" t="inlineStr">
        <is>
          <t>Scope_Emissions</t>
        </is>
      </c>
      <c r="R692" t="inlineStr">
        <is>
          <t>Valid</t>
        </is>
      </c>
      <c r="S692" t="n">
        <v>2027</v>
      </c>
      <c r="T692" t="inlineStr">
        <is>
          <t>Industry Haircut Pathway</t>
        </is>
      </c>
      <c r="U692" t="n">
        <v>15097.8722</v>
      </c>
      <c r="V692" t="n">
        <v>7203.1948</v>
      </c>
      <c r="W692" t="n">
        <v>10361.0658</v>
      </c>
      <c r="X692" t="n">
        <v>10361.0658</v>
      </c>
      <c r="Y692" t="n">
        <v>4736.8064</v>
      </c>
      <c r="Z692" t="n">
        <v>0.00029382</v>
      </c>
      <c r="AA692" t="n">
        <v>0.31374</v>
      </c>
      <c r="AB692" t="n">
        <v>3157.8709</v>
      </c>
      <c r="AC692" t="n">
        <v>394.7339</v>
      </c>
      <c r="AD692" t="n">
        <v>46967.7439</v>
      </c>
      <c r="AE692" t="n">
        <v>32267.3989</v>
      </c>
      <c r="AF692" t="n">
        <v>0.893</v>
      </c>
      <c r="AG692" t="inlineStr">
        <is>
          <t>Critical</t>
        </is>
      </c>
      <c r="AH692" t="inlineStr">
        <is>
          <t>On Track to Glide Path</t>
        </is>
      </c>
    </row>
    <row r="693">
      <c r="A693" t="inlineStr">
        <is>
          <t>SUP-0044</t>
        </is>
      </c>
      <c r="B693" t="inlineStr">
        <is>
          <t>Chemicals Supplier 044</t>
        </is>
      </c>
      <c r="C693" t="inlineStr">
        <is>
          <t>Chemicals</t>
        </is>
      </c>
      <c r="D693" t="n">
        <v>2024</v>
      </c>
      <c r="E693" t="n">
        <v>2015</v>
      </c>
      <c r="F693" t="n">
        <v>2035</v>
      </c>
      <c r="G693" t="n">
        <v>30130.7815</v>
      </c>
      <c r="H693" t="n">
        <v>3248.4917</v>
      </c>
      <c r="I693" t="inlineStr"/>
      <c r="J693" t="inlineStr"/>
      <c r="K693" t="n">
        <v>35263210.83</v>
      </c>
      <c r="L693" t="n">
        <v>312085078.23</v>
      </c>
      <c r="M693" t="n">
        <v>30130.7815</v>
      </c>
      <c r="N693" t="inlineStr">
        <is>
          <t>Supplier Reported Emissions</t>
        </is>
      </c>
      <c r="O693" t="b">
        <v>0</v>
      </c>
      <c r="P693" t="inlineStr">
        <is>
          <t>High</t>
        </is>
      </c>
      <c r="Q693" t="inlineStr">
        <is>
          <t>Scope_Emissions</t>
        </is>
      </c>
      <c r="R693" t="inlineStr">
        <is>
          <t>Valid</t>
        </is>
      </c>
      <c r="S693" t="n">
        <v>2028</v>
      </c>
      <c r="T693" t="inlineStr">
        <is>
          <t>Industry Haircut Pathway</t>
        </is>
      </c>
      <c r="U693" t="n">
        <v>15097.8722</v>
      </c>
      <c r="V693" t="n">
        <v>7203.1948</v>
      </c>
      <c r="W693" t="n">
        <v>9966.331899999999</v>
      </c>
      <c r="X693" t="n">
        <v>9966.331899999999</v>
      </c>
      <c r="Y693" t="n">
        <v>5131.5403</v>
      </c>
      <c r="Z693" t="n">
        <v>0.00028263</v>
      </c>
      <c r="AA693" t="n">
        <v>0.339885</v>
      </c>
      <c r="AB693" t="n">
        <v>2763.1371</v>
      </c>
      <c r="AC693" t="n">
        <v>394.7339</v>
      </c>
      <c r="AD693" t="n">
        <v>37001.412</v>
      </c>
      <c r="AE693" t="n">
        <v>42233.7308</v>
      </c>
      <c r="AF693" t="n">
        <v>0.893</v>
      </c>
      <c r="AG693" t="inlineStr">
        <is>
          <t>Critical</t>
        </is>
      </c>
      <c r="AH693" t="inlineStr">
        <is>
          <t>On Track to Glide Path</t>
        </is>
      </c>
    </row>
    <row r="694">
      <c r="A694" t="inlineStr">
        <is>
          <t>SUP-0044</t>
        </is>
      </c>
      <c r="B694" t="inlineStr">
        <is>
          <t>Chemicals Supplier 044</t>
        </is>
      </c>
      <c r="C694" t="inlineStr">
        <is>
          <t>Chemicals</t>
        </is>
      </c>
      <c r="D694" t="n">
        <v>2024</v>
      </c>
      <c r="E694" t="n">
        <v>2015</v>
      </c>
      <c r="F694" t="n">
        <v>2035</v>
      </c>
      <c r="G694" t="n">
        <v>30130.7815</v>
      </c>
      <c r="H694" t="n">
        <v>3248.4917</v>
      </c>
      <c r="I694" t="inlineStr"/>
      <c r="J694" t="inlineStr"/>
      <c r="K694" t="n">
        <v>35263210.83</v>
      </c>
      <c r="L694" t="n">
        <v>312085078.23</v>
      </c>
      <c r="M694" t="n">
        <v>30130.7815</v>
      </c>
      <c r="N694" t="inlineStr">
        <is>
          <t>Supplier Reported Emissions</t>
        </is>
      </c>
      <c r="O694" t="b">
        <v>0</v>
      </c>
      <c r="P694" t="inlineStr">
        <is>
          <t>High</t>
        </is>
      </c>
      <c r="Q694" t="inlineStr">
        <is>
          <t>Scope_Emissions</t>
        </is>
      </c>
      <c r="R694" t="inlineStr">
        <is>
          <t>Valid</t>
        </is>
      </c>
      <c r="S694" t="n">
        <v>2029</v>
      </c>
      <c r="T694" t="inlineStr">
        <is>
          <t>Industry Haircut Pathway</t>
        </is>
      </c>
      <c r="U694" t="n">
        <v>15097.8722</v>
      </c>
      <c r="V694" t="n">
        <v>7203.1948</v>
      </c>
      <c r="W694" t="n">
        <v>9571.598</v>
      </c>
      <c r="X694" t="n">
        <v>9571.598</v>
      </c>
      <c r="Y694" t="n">
        <v>5526.2742</v>
      </c>
      <c r="Z694" t="n">
        <v>0.00027143</v>
      </c>
      <c r="AA694" t="n">
        <v>0.36603</v>
      </c>
      <c r="AB694" t="n">
        <v>2368.4032</v>
      </c>
      <c r="AC694" t="n">
        <v>394.7339</v>
      </c>
      <c r="AD694" t="n">
        <v>27429.814</v>
      </c>
      <c r="AE694" t="n">
        <v>51805.3288</v>
      </c>
      <c r="AF694" t="n">
        <v>0.893</v>
      </c>
      <c r="AG694" t="inlineStr">
        <is>
          <t>High</t>
        </is>
      </c>
      <c r="AH694" t="inlineStr">
        <is>
          <t>On Track to Glide Path</t>
        </is>
      </c>
    </row>
    <row r="695">
      <c r="A695" t="inlineStr">
        <is>
          <t>SUP-0044</t>
        </is>
      </c>
      <c r="B695" t="inlineStr">
        <is>
          <t>Chemicals Supplier 044</t>
        </is>
      </c>
      <c r="C695" t="inlineStr">
        <is>
          <t>Chemicals</t>
        </is>
      </c>
      <c r="D695" t="n">
        <v>2024</v>
      </c>
      <c r="E695" t="n">
        <v>2015</v>
      </c>
      <c r="F695" t="n">
        <v>2035</v>
      </c>
      <c r="G695" t="n">
        <v>30130.7815</v>
      </c>
      <c r="H695" t="n">
        <v>3248.4917</v>
      </c>
      <c r="I695" t="inlineStr"/>
      <c r="J695" t="inlineStr"/>
      <c r="K695" t="n">
        <v>35263210.83</v>
      </c>
      <c r="L695" t="n">
        <v>312085078.23</v>
      </c>
      <c r="M695" t="n">
        <v>30130.7815</v>
      </c>
      <c r="N695" t="inlineStr">
        <is>
          <t>Supplier Reported Emissions</t>
        </is>
      </c>
      <c r="O695" t="b">
        <v>0</v>
      </c>
      <c r="P695" t="inlineStr">
        <is>
          <t>High</t>
        </is>
      </c>
      <c r="Q695" t="inlineStr">
        <is>
          <t>Scope_Emissions</t>
        </is>
      </c>
      <c r="R695" t="inlineStr">
        <is>
          <t>Valid</t>
        </is>
      </c>
      <c r="S695" t="n">
        <v>2030</v>
      </c>
      <c r="T695" t="inlineStr">
        <is>
          <t>Industry Haircut Pathway</t>
        </is>
      </c>
      <c r="U695" t="n">
        <v>15097.8722</v>
      </c>
      <c r="V695" t="n">
        <v>7203.1948</v>
      </c>
      <c r="W695" t="n">
        <v>9176.8642</v>
      </c>
      <c r="X695" t="n">
        <v>9176.8642</v>
      </c>
      <c r="Y695" t="n">
        <v>5921.008</v>
      </c>
      <c r="Z695" t="n">
        <v>0.00026024</v>
      </c>
      <c r="AA695" t="n">
        <v>0.392175</v>
      </c>
      <c r="AB695" t="n">
        <v>1973.6693</v>
      </c>
      <c r="AC695" t="n">
        <v>394.7339</v>
      </c>
      <c r="AD695" t="n">
        <v>18252.9498</v>
      </c>
      <c r="AE695" t="n">
        <v>60982.193</v>
      </c>
      <c r="AF695" t="n">
        <v>0.893</v>
      </c>
      <c r="AG695" t="inlineStr">
        <is>
          <t>High</t>
        </is>
      </c>
      <c r="AH695" t="inlineStr">
        <is>
          <t>On Track to Glide Path</t>
        </is>
      </c>
    </row>
    <row r="696">
      <c r="A696" t="inlineStr">
        <is>
          <t>SUP-0044</t>
        </is>
      </c>
      <c r="B696" t="inlineStr">
        <is>
          <t>Chemicals Supplier 044</t>
        </is>
      </c>
      <c r="C696" t="inlineStr">
        <is>
          <t>Chemicals</t>
        </is>
      </c>
      <c r="D696" t="n">
        <v>2024</v>
      </c>
      <c r="E696" t="n">
        <v>2015</v>
      </c>
      <c r="F696" t="n">
        <v>2035</v>
      </c>
      <c r="G696" t="n">
        <v>30130.7815</v>
      </c>
      <c r="H696" t="n">
        <v>3248.4917</v>
      </c>
      <c r="I696" t="inlineStr"/>
      <c r="J696" t="inlineStr"/>
      <c r="K696" t="n">
        <v>35263210.83</v>
      </c>
      <c r="L696" t="n">
        <v>312085078.23</v>
      </c>
      <c r="M696" t="n">
        <v>30130.7815</v>
      </c>
      <c r="N696" t="inlineStr">
        <is>
          <t>Supplier Reported Emissions</t>
        </is>
      </c>
      <c r="O696" t="b">
        <v>0</v>
      </c>
      <c r="P696" t="inlineStr">
        <is>
          <t>High</t>
        </is>
      </c>
      <c r="Q696" t="inlineStr">
        <is>
          <t>Scope_Emissions</t>
        </is>
      </c>
      <c r="R696" t="inlineStr">
        <is>
          <t>Valid</t>
        </is>
      </c>
      <c r="S696" t="n">
        <v>2031</v>
      </c>
      <c r="T696" t="inlineStr">
        <is>
          <t>Industry Haircut Pathway</t>
        </is>
      </c>
      <c r="U696" t="n">
        <v>15097.8722</v>
      </c>
      <c r="V696" t="n">
        <v>7203.1948</v>
      </c>
      <c r="W696" t="n">
        <v>8782.130300000001</v>
      </c>
      <c r="X696" t="n">
        <v>8782.130300000001</v>
      </c>
      <c r="Y696" t="n">
        <v>6315.7419</v>
      </c>
      <c r="Z696" t="n">
        <v>0.00024905</v>
      </c>
      <c r="AA696" t="n">
        <v>0.41832</v>
      </c>
      <c r="AB696" t="n">
        <v>1578.9355</v>
      </c>
      <c r="AC696" t="n">
        <v>394.7339</v>
      </c>
      <c r="AD696" t="n">
        <v>9470.8195</v>
      </c>
      <c r="AE696" t="n">
        <v>69764.3233</v>
      </c>
      <c r="AF696" t="n">
        <v>0.893</v>
      </c>
      <c r="AG696" t="inlineStr">
        <is>
          <t>High</t>
        </is>
      </c>
      <c r="AH696" t="inlineStr">
        <is>
          <t>On Track to Glide Path</t>
        </is>
      </c>
    </row>
    <row r="697">
      <c r="A697" t="inlineStr">
        <is>
          <t>SUP-0044</t>
        </is>
      </c>
      <c r="B697" t="inlineStr">
        <is>
          <t>Chemicals Supplier 044</t>
        </is>
      </c>
      <c r="C697" t="inlineStr">
        <is>
          <t>Chemicals</t>
        </is>
      </c>
      <c r="D697" t="n">
        <v>2024</v>
      </c>
      <c r="E697" t="n">
        <v>2015</v>
      </c>
      <c r="F697" t="n">
        <v>2035</v>
      </c>
      <c r="G697" t="n">
        <v>30130.7815</v>
      </c>
      <c r="H697" t="n">
        <v>3248.4917</v>
      </c>
      <c r="I697" t="inlineStr"/>
      <c r="J697" t="inlineStr"/>
      <c r="K697" t="n">
        <v>35263210.83</v>
      </c>
      <c r="L697" t="n">
        <v>312085078.23</v>
      </c>
      <c r="M697" t="n">
        <v>30130.7815</v>
      </c>
      <c r="N697" t="inlineStr">
        <is>
          <t>Supplier Reported Emissions</t>
        </is>
      </c>
      <c r="O697" t="b">
        <v>0</v>
      </c>
      <c r="P697" t="inlineStr">
        <is>
          <t>High</t>
        </is>
      </c>
      <c r="Q697" t="inlineStr">
        <is>
          <t>Scope_Emissions</t>
        </is>
      </c>
      <c r="R697" t="inlineStr">
        <is>
          <t>Valid</t>
        </is>
      </c>
      <c r="S697" t="n">
        <v>2032</v>
      </c>
      <c r="T697" t="inlineStr">
        <is>
          <t>Industry Haircut Pathway</t>
        </is>
      </c>
      <c r="U697" t="n">
        <v>15097.8722</v>
      </c>
      <c r="V697" t="n">
        <v>7203.1948</v>
      </c>
      <c r="W697" t="n">
        <v>8387.3964</v>
      </c>
      <c r="X697" t="n">
        <v>8387.3964</v>
      </c>
      <c r="Y697" t="n">
        <v>6710.4758</v>
      </c>
      <c r="Z697" t="n">
        <v>0.00023785</v>
      </c>
      <c r="AA697" t="n">
        <v>0.444465</v>
      </c>
      <c r="AB697" t="n">
        <v>1184.2016</v>
      </c>
      <c r="AC697" t="n">
        <v>394.7339</v>
      </c>
      <c r="AD697" t="n">
        <v>1083.4231</v>
      </c>
      <c r="AE697" t="n">
        <v>78151.7197</v>
      </c>
      <c r="AF697" t="n">
        <v>0.893</v>
      </c>
      <c r="AG697" t="inlineStr">
        <is>
          <t>High</t>
        </is>
      </c>
      <c r="AH697" t="inlineStr">
        <is>
          <t>On Track to Glide Path</t>
        </is>
      </c>
    </row>
    <row r="698">
      <c r="A698" t="inlineStr">
        <is>
          <t>SUP-0044</t>
        </is>
      </c>
      <c r="B698" t="inlineStr">
        <is>
          <t>Chemicals Supplier 044</t>
        </is>
      </c>
      <c r="C698" t="inlineStr">
        <is>
          <t>Chemicals</t>
        </is>
      </c>
      <c r="D698" t="n">
        <v>2024</v>
      </c>
      <c r="E698" t="n">
        <v>2015</v>
      </c>
      <c r="F698" t="n">
        <v>2035</v>
      </c>
      <c r="G698" t="n">
        <v>30130.7815</v>
      </c>
      <c r="H698" t="n">
        <v>3248.4917</v>
      </c>
      <c r="I698" t="inlineStr"/>
      <c r="J698" t="inlineStr"/>
      <c r="K698" t="n">
        <v>35263210.83</v>
      </c>
      <c r="L698" t="n">
        <v>312085078.23</v>
      </c>
      <c r="M698" t="n">
        <v>30130.7815</v>
      </c>
      <c r="N698" t="inlineStr">
        <is>
          <t>Supplier Reported Emissions</t>
        </is>
      </c>
      <c r="O698" t="b">
        <v>0</v>
      </c>
      <c r="P698" t="inlineStr">
        <is>
          <t>High</t>
        </is>
      </c>
      <c r="Q698" t="inlineStr">
        <is>
          <t>Scope_Emissions</t>
        </is>
      </c>
      <c r="R698" t="inlineStr">
        <is>
          <t>Valid</t>
        </is>
      </c>
      <c r="S698" t="n">
        <v>2033</v>
      </c>
      <c r="T698" t="inlineStr">
        <is>
          <t>Industry Haircut Pathway</t>
        </is>
      </c>
      <c r="U698" t="n">
        <v>15097.8722</v>
      </c>
      <c r="V698" t="n">
        <v>7203.1948</v>
      </c>
      <c r="W698" t="n">
        <v>7992.6626</v>
      </c>
      <c r="X698" t="n">
        <v>7992.6626</v>
      </c>
      <c r="Y698" t="n">
        <v>7105.2096</v>
      </c>
      <c r="Z698" t="n">
        <v>0.00022666</v>
      </c>
      <c r="AA698" t="n">
        <v>0.47061</v>
      </c>
      <c r="AB698" t="n">
        <v>789.4677</v>
      </c>
      <c r="AC698" t="n">
        <v>394.7339</v>
      </c>
      <c r="AD698" t="n">
        <v>-6909.2395</v>
      </c>
      <c r="AE698" t="n">
        <v>86144.3823</v>
      </c>
      <c r="AF698" t="n">
        <v>0.893</v>
      </c>
      <c r="AG698" t="inlineStr">
        <is>
          <t>Medium</t>
        </is>
      </c>
      <c r="AH698" t="inlineStr">
        <is>
          <t>On Track to Glide Path</t>
        </is>
      </c>
    </row>
    <row r="699">
      <c r="A699" t="inlineStr">
        <is>
          <t>SUP-0044</t>
        </is>
      </c>
      <c r="B699" t="inlineStr">
        <is>
          <t>Chemicals Supplier 044</t>
        </is>
      </c>
      <c r="C699" t="inlineStr">
        <is>
          <t>Chemicals</t>
        </is>
      </c>
      <c r="D699" t="n">
        <v>2024</v>
      </c>
      <c r="E699" t="n">
        <v>2015</v>
      </c>
      <c r="F699" t="n">
        <v>2035</v>
      </c>
      <c r="G699" t="n">
        <v>30130.7815</v>
      </c>
      <c r="H699" t="n">
        <v>3248.4917</v>
      </c>
      <c r="I699" t="inlineStr"/>
      <c r="J699" t="inlineStr"/>
      <c r="K699" t="n">
        <v>35263210.83</v>
      </c>
      <c r="L699" t="n">
        <v>312085078.23</v>
      </c>
      <c r="M699" t="n">
        <v>30130.7815</v>
      </c>
      <c r="N699" t="inlineStr">
        <is>
          <t>Supplier Reported Emissions</t>
        </is>
      </c>
      <c r="O699" t="b">
        <v>0</v>
      </c>
      <c r="P699" t="inlineStr">
        <is>
          <t>High</t>
        </is>
      </c>
      <c r="Q699" t="inlineStr">
        <is>
          <t>Scope_Emissions</t>
        </is>
      </c>
      <c r="R699" t="inlineStr">
        <is>
          <t>Valid</t>
        </is>
      </c>
      <c r="S699" t="n">
        <v>2034</v>
      </c>
      <c r="T699" t="inlineStr">
        <is>
          <t>Industry Haircut Pathway</t>
        </is>
      </c>
      <c r="U699" t="n">
        <v>15097.8722</v>
      </c>
      <c r="V699" t="n">
        <v>7203.1948</v>
      </c>
      <c r="W699" t="n">
        <v>7597.9287</v>
      </c>
      <c r="X699" t="n">
        <v>7597.9287</v>
      </c>
      <c r="Y699" t="n">
        <v>7499.9435</v>
      </c>
      <c r="Z699" t="n">
        <v>0.00021546</v>
      </c>
      <c r="AA699" t="n">
        <v>0.496755</v>
      </c>
      <c r="AB699" t="n">
        <v>394.7339</v>
      </c>
      <c r="AC699" t="n">
        <v>394.7339</v>
      </c>
      <c r="AD699" t="n">
        <v>-14507.1682</v>
      </c>
      <c r="AE699" t="n">
        <v>93742.311</v>
      </c>
      <c r="AF699" t="n">
        <v>0.893</v>
      </c>
      <c r="AG699" t="inlineStr">
        <is>
          <t>Medium</t>
        </is>
      </c>
      <c r="AH699" t="inlineStr">
        <is>
          <t>On Track to Glide Path</t>
        </is>
      </c>
    </row>
    <row r="700">
      <c r="A700" t="inlineStr">
        <is>
          <t>SUP-0044</t>
        </is>
      </c>
      <c r="B700" t="inlineStr">
        <is>
          <t>Chemicals Supplier 044</t>
        </is>
      </c>
      <c r="C700" t="inlineStr">
        <is>
          <t>Chemicals</t>
        </is>
      </c>
      <c r="D700" t="n">
        <v>2024</v>
      </c>
      <c r="E700" t="n">
        <v>2015</v>
      </c>
      <c r="F700" t="n">
        <v>2035</v>
      </c>
      <c r="G700" t="n">
        <v>30130.7815</v>
      </c>
      <c r="H700" t="n">
        <v>3248.4917</v>
      </c>
      <c r="I700" t="inlineStr"/>
      <c r="J700" t="inlineStr"/>
      <c r="K700" t="n">
        <v>35263210.83</v>
      </c>
      <c r="L700" t="n">
        <v>312085078.23</v>
      </c>
      <c r="M700" t="n">
        <v>30130.7815</v>
      </c>
      <c r="N700" t="inlineStr">
        <is>
          <t>Supplier Reported Emissions</t>
        </is>
      </c>
      <c r="O700" t="b">
        <v>0</v>
      </c>
      <c r="P700" t="inlineStr">
        <is>
          <t>High</t>
        </is>
      </c>
      <c r="Q700" t="inlineStr">
        <is>
          <t>Scope_Emissions</t>
        </is>
      </c>
      <c r="R700" t="inlineStr">
        <is>
          <t>Valid</t>
        </is>
      </c>
      <c r="S700" t="n">
        <v>2035</v>
      </c>
      <c r="T700" t="inlineStr">
        <is>
          <t>Industry Haircut Pathway</t>
        </is>
      </c>
      <c r="U700" t="n">
        <v>15097.8722</v>
      </c>
      <c r="V700" t="n">
        <v>7203.1948</v>
      </c>
      <c r="W700" t="n">
        <v>7203.1948</v>
      </c>
      <c r="X700" t="n">
        <v>7203.1948</v>
      </c>
      <c r="Y700" t="n">
        <v>7894.6774</v>
      </c>
      <c r="Z700" t="n">
        <v>0.00020427</v>
      </c>
      <c r="AA700" t="n">
        <v>0.5229</v>
      </c>
      <c r="AB700" t="n">
        <v>0</v>
      </c>
      <c r="AC700" t="n">
        <v>394.7339</v>
      </c>
      <c r="AD700" t="n">
        <v>-21710.363</v>
      </c>
      <c r="AE700" t="n">
        <v>100945.5058</v>
      </c>
      <c r="AF700" t="n">
        <v>0.893</v>
      </c>
      <c r="AG700" t="inlineStr">
        <is>
          <t>Low</t>
        </is>
      </c>
      <c r="AH700" t="inlineStr">
        <is>
          <t>On Track</t>
        </is>
      </c>
    </row>
    <row r="701">
      <c r="A701" t="inlineStr">
        <is>
          <t>SUP-0044</t>
        </is>
      </c>
      <c r="B701" t="inlineStr">
        <is>
          <t>Chemicals Supplier 044</t>
        </is>
      </c>
      <c r="C701" t="inlineStr">
        <is>
          <t>Chemicals</t>
        </is>
      </c>
      <c r="D701" t="n">
        <v>2024</v>
      </c>
      <c r="E701" t="n">
        <v>2015</v>
      </c>
      <c r="F701" t="n">
        <v>2035</v>
      </c>
      <c r="G701" t="n">
        <v>30130.7815</v>
      </c>
      <c r="H701" t="n">
        <v>3248.4917</v>
      </c>
      <c r="I701" t="inlineStr"/>
      <c r="J701" t="inlineStr"/>
      <c r="K701" t="n">
        <v>35263210.83</v>
      </c>
      <c r="L701" t="n">
        <v>312085078.23</v>
      </c>
      <c r="M701" t="n">
        <v>30130.7815</v>
      </c>
      <c r="N701" t="inlineStr">
        <is>
          <t>Supplier Reported Emissions</t>
        </is>
      </c>
      <c r="O701" t="b">
        <v>0</v>
      </c>
      <c r="P701" t="inlineStr">
        <is>
          <t>High</t>
        </is>
      </c>
      <c r="Q701" t="inlineStr">
        <is>
          <t>Scope_Emissions</t>
        </is>
      </c>
      <c r="R701" t="inlineStr">
        <is>
          <t>Valid</t>
        </is>
      </c>
      <c r="S701" t="n">
        <v>2036</v>
      </c>
      <c r="T701" t="inlineStr">
        <is>
          <t>Industry Haircut Pathway</t>
        </is>
      </c>
      <c r="U701" t="n">
        <v>15097.8722</v>
      </c>
      <c r="V701" t="n">
        <v>7203.1948</v>
      </c>
      <c r="W701" t="n">
        <v>7203.1948</v>
      </c>
      <c r="X701" t="n">
        <v>7203.1948</v>
      </c>
      <c r="Y701" t="n">
        <v>7894.6774</v>
      </c>
      <c r="Z701" t="n">
        <v>0.00020427</v>
      </c>
      <c r="AA701" t="n">
        <v>0.5229</v>
      </c>
      <c r="AB701" t="n">
        <v>0</v>
      </c>
      <c r="AC701" t="n">
        <v>394.7339</v>
      </c>
      <c r="AD701" t="n">
        <v>-28913.5578</v>
      </c>
      <c r="AE701" t="n">
        <v>108148.7006</v>
      </c>
      <c r="AF701" t="n">
        <v>0.893</v>
      </c>
      <c r="AG701" t="inlineStr">
        <is>
          <t>Low</t>
        </is>
      </c>
      <c r="AH701" t="inlineStr">
        <is>
          <t>On Track</t>
        </is>
      </c>
    </row>
    <row r="702">
      <c r="A702" t="inlineStr">
        <is>
          <t>SUP-0044</t>
        </is>
      </c>
      <c r="B702" t="inlineStr">
        <is>
          <t>Chemicals Supplier 044</t>
        </is>
      </c>
      <c r="C702" t="inlineStr">
        <is>
          <t>Chemicals</t>
        </is>
      </c>
      <c r="D702" t="n">
        <v>2024</v>
      </c>
      <c r="E702" t="n">
        <v>2015</v>
      </c>
      <c r="F702" t="n">
        <v>2035</v>
      </c>
      <c r="G702" t="n">
        <v>30130.7815</v>
      </c>
      <c r="H702" t="n">
        <v>3248.4917</v>
      </c>
      <c r="I702" t="inlineStr"/>
      <c r="J702" t="inlineStr"/>
      <c r="K702" t="n">
        <v>35263210.83</v>
      </c>
      <c r="L702" t="n">
        <v>312085078.23</v>
      </c>
      <c r="M702" t="n">
        <v>30130.7815</v>
      </c>
      <c r="N702" t="inlineStr">
        <is>
          <t>Supplier Reported Emissions</t>
        </is>
      </c>
      <c r="O702" t="b">
        <v>0</v>
      </c>
      <c r="P702" t="inlineStr">
        <is>
          <t>High</t>
        </is>
      </c>
      <c r="Q702" t="inlineStr">
        <is>
          <t>Scope_Emissions</t>
        </is>
      </c>
      <c r="R702" t="inlineStr">
        <is>
          <t>Valid</t>
        </is>
      </c>
      <c r="S702" t="n">
        <v>2037</v>
      </c>
      <c r="T702" t="inlineStr">
        <is>
          <t>Industry Haircut Pathway</t>
        </is>
      </c>
      <c r="U702" t="n">
        <v>15097.8722</v>
      </c>
      <c r="V702" t="n">
        <v>7203.1948</v>
      </c>
      <c r="W702" t="n">
        <v>7203.1948</v>
      </c>
      <c r="X702" t="n">
        <v>7203.1948</v>
      </c>
      <c r="Y702" t="n">
        <v>7894.6774</v>
      </c>
      <c r="Z702" t="n">
        <v>0.00020427</v>
      </c>
      <c r="AA702" t="n">
        <v>0.5229</v>
      </c>
      <c r="AB702" t="n">
        <v>0</v>
      </c>
      <c r="AC702" t="n">
        <v>394.7339</v>
      </c>
      <c r="AD702" t="n">
        <v>-36116.7526</v>
      </c>
      <c r="AE702" t="n">
        <v>115351.8954</v>
      </c>
      <c r="AF702" t="n">
        <v>0.893</v>
      </c>
      <c r="AG702" t="inlineStr">
        <is>
          <t>Low</t>
        </is>
      </c>
      <c r="AH702" t="inlineStr">
        <is>
          <t>On Track</t>
        </is>
      </c>
    </row>
    <row r="703">
      <c r="A703" t="inlineStr">
        <is>
          <t>SUP-0044</t>
        </is>
      </c>
      <c r="B703" t="inlineStr">
        <is>
          <t>Chemicals Supplier 044</t>
        </is>
      </c>
      <c r="C703" t="inlineStr">
        <is>
          <t>Chemicals</t>
        </is>
      </c>
      <c r="D703" t="n">
        <v>2024</v>
      </c>
      <c r="E703" t="n">
        <v>2015</v>
      </c>
      <c r="F703" t="n">
        <v>2035</v>
      </c>
      <c r="G703" t="n">
        <v>30130.7815</v>
      </c>
      <c r="H703" t="n">
        <v>3248.4917</v>
      </c>
      <c r="I703" t="inlineStr"/>
      <c r="J703" t="inlineStr"/>
      <c r="K703" t="n">
        <v>35263210.83</v>
      </c>
      <c r="L703" t="n">
        <v>312085078.23</v>
      </c>
      <c r="M703" t="n">
        <v>30130.7815</v>
      </c>
      <c r="N703" t="inlineStr">
        <is>
          <t>Supplier Reported Emissions</t>
        </is>
      </c>
      <c r="O703" t="b">
        <v>0</v>
      </c>
      <c r="P703" t="inlineStr">
        <is>
          <t>High</t>
        </is>
      </c>
      <c r="Q703" t="inlineStr">
        <is>
          <t>Scope_Emissions</t>
        </is>
      </c>
      <c r="R703" t="inlineStr">
        <is>
          <t>Valid</t>
        </is>
      </c>
      <c r="S703" t="n">
        <v>2038</v>
      </c>
      <c r="T703" t="inlineStr">
        <is>
          <t>Industry Haircut Pathway</t>
        </is>
      </c>
      <c r="U703" t="n">
        <v>15097.8722</v>
      </c>
      <c r="V703" t="n">
        <v>7203.1948</v>
      </c>
      <c r="W703" t="n">
        <v>7203.1948</v>
      </c>
      <c r="X703" t="n">
        <v>7203.1948</v>
      </c>
      <c r="Y703" t="n">
        <v>7894.6774</v>
      </c>
      <c r="Z703" t="n">
        <v>0.00020427</v>
      </c>
      <c r="AA703" t="n">
        <v>0.5229</v>
      </c>
      <c r="AB703" t="n">
        <v>0</v>
      </c>
      <c r="AC703" t="n">
        <v>394.7339</v>
      </c>
      <c r="AD703" t="n">
        <v>-43319.9474</v>
      </c>
      <c r="AE703" t="n">
        <v>122555.0902</v>
      </c>
      <c r="AF703" t="n">
        <v>0.893</v>
      </c>
      <c r="AG703" t="inlineStr">
        <is>
          <t>Low</t>
        </is>
      </c>
      <c r="AH703" t="inlineStr">
        <is>
          <t>On Track</t>
        </is>
      </c>
    </row>
    <row r="704">
      <c r="A704" t="inlineStr">
        <is>
          <t>SUP-0044</t>
        </is>
      </c>
      <c r="B704" t="inlineStr">
        <is>
          <t>Chemicals Supplier 044</t>
        </is>
      </c>
      <c r="C704" t="inlineStr">
        <is>
          <t>Chemicals</t>
        </is>
      </c>
      <c r="D704" t="n">
        <v>2024</v>
      </c>
      <c r="E704" t="n">
        <v>2015</v>
      </c>
      <c r="F704" t="n">
        <v>2035</v>
      </c>
      <c r="G704" t="n">
        <v>30130.7815</v>
      </c>
      <c r="H704" t="n">
        <v>3248.4917</v>
      </c>
      <c r="I704" t="inlineStr"/>
      <c r="J704" t="inlineStr"/>
      <c r="K704" t="n">
        <v>35263210.83</v>
      </c>
      <c r="L704" t="n">
        <v>312085078.23</v>
      </c>
      <c r="M704" t="n">
        <v>30130.7815</v>
      </c>
      <c r="N704" t="inlineStr">
        <is>
          <t>Supplier Reported Emissions</t>
        </is>
      </c>
      <c r="O704" t="b">
        <v>0</v>
      </c>
      <c r="P704" t="inlineStr">
        <is>
          <t>High</t>
        </is>
      </c>
      <c r="Q704" t="inlineStr">
        <is>
          <t>Scope_Emissions</t>
        </is>
      </c>
      <c r="R704" t="inlineStr">
        <is>
          <t>Valid</t>
        </is>
      </c>
      <c r="S704" t="n">
        <v>2039</v>
      </c>
      <c r="T704" t="inlineStr">
        <is>
          <t>Industry Haircut Pathway</t>
        </is>
      </c>
      <c r="U704" t="n">
        <v>15097.8722</v>
      </c>
      <c r="V704" t="n">
        <v>7203.1948</v>
      </c>
      <c r="W704" t="n">
        <v>7203.1948</v>
      </c>
      <c r="X704" t="n">
        <v>7203.1948</v>
      </c>
      <c r="Y704" t="n">
        <v>7894.6774</v>
      </c>
      <c r="Z704" t="n">
        <v>0.00020427</v>
      </c>
      <c r="AA704" t="n">
        <v>0.5229</v>
      </c>
      <c r="AB704" t="n">
        <v>0</v>
      </c>
      <c r="AC704" t="n">
        <v>394.7339</v>
      </c>
      <c r="AD704" t="n">
        <v>-50523.1422</v>
      </c>
      <c r="AE704" t="n">
        <v>129758.285</v>
      </c>
      <c r="AF704" t="n">
        <v>0.893</v>
      </c>
      <c r="AG704" t="inlineStr">
        <is>
          <t>Low</t>
        </is>
      </c>
      <c r="AH704" t="inlineStr">
        <is>
          <t>On Track</t>
        </is>
      </c>
    </row>
    <row r="705">
      <c r="A705" t="inlineStr">
        <is>
          <t>SUP-0044</t>
        </is>
      </c>
      <c r="B705" t="inlineStr">
        <is>
          <t>Chemicals Supplier 044</t>
        </is>
      </c>
      <c r="C705" t="inlineStr">
        <is>
          <t>Chemicals</t>
        </is>
      </c>
      <c r="D705" t="n">
        <v>2024</v>
      </c>
      <c r="E705" t="n">
        <v>2015</v>
      </c>
      <c r="F705" t="n">
        <v>2035</v>
      </c>
      <c r="G705" t="n">
        <v>30130.7815</v>
      </c>
      <c r="H705" t="n">
        <v>3248.4917</v>
      </c>
      <c r="I705" t="inlineStr"/>
      <c r="J705" t="inlineStr"/>
      <c r="K705" t="n">
        <v>35263210.83</v>
      </c>
      <c r="L705" t="n">
        <v>312085078.23</v>
      </c>
      <c r="M705" t="n">
        <v>30130.7815</v>
      </c>
      <c r="N705" t="inlineStr">
        <is>
          <t>Supplier Reported Emissions</t>
        </is>
      </c>
      <c r="O705" t="b">
        <v>0</v>
      </c>
      <c r="P705" t="inlineStr">
        <is>
          <t>High</t>
        </is>
      </c>
      <c r="Q705" t="inlineStr">
        <is>
          <t>Scope_Emissions</t>
        </is>
      </c>
      <c r="R705" t="inlineStr">
        <is>
          <t>Valid</t>
        </is>
      </c>
      <c r="S705" t="n">
        <v>2040</v>
      </c>
      <c r="T705" t="inlineStr">
        <is>
          <t>Industry Haircut Pathway</t>
        </is>
      </c>
      <c r="U705" t="n">
        <v>15097.8722</v>
      </c>
      <c r="V705" t="n">
        <v>7203.1948</v>
      </c>
      <c r="W705" t="n">
        <v>7203.1948</v>
      </c>
      <c r="X705" t="n">
        <v>7203.1948</v>
      </c>
      <c r="Y705" t="n">
        <v>7894.6774</v>
      </c>
      <c r="Z705" t="n">
        <v>0.00020427</v>
      </c>
      <c r="AA705" t="n">
        <v>0.5229</v>
      </c>
      <c r="AB705" t="n">
        <v>0</v>
      </c>
      <c r="AC705" t="n">
        <v>394.7339</v>
      </c>
      <c r="AD705" t="n">
        <v>-57726.337</v>
      </c>
      <c r="AE705" t="n">
        <v>136961.4798</v>
      </c>
      <c r="AF705" t="n">
        <v>0.893</v>
      </c>
      <c r="AG705" t="inlineStr">
        <is>
          <t>Low</t>
        </is>
      </c>
      <c r="AH705" t="inlineStr">
        <is>
          <t>On Track</t>
        </is>
      </c>
    </row>
    <row r="706">
      <c r="A706" t="inlineStr">
        <is>
          <t>SUP-0045</t>
        </is>
      </c>
      <c r="B706" t="inlineStr">
        <is>
          <t>Logistics Supplier 045</t>
        </is>
      </c>
      <c r="C706" t="inlineStr">
        <is>
          <t>Logistics</t>
        </is>
      </c>
      <c r="D706" t="n">
        <v>2024</v>
      </c>
      <c r="E706" t="n">
        <v>2019</v>
      </c>
      <c r="F706" t="n">
        <v>2035</v>
      </c>
      <c r="G706" t="n">
        <v>3783.1466</v>
      </c>
      <c r="H706" t="n">
        <v>572.0124</v>
      </c>
      <c r="I706" t="n">
        <v>507.5448</v>
      </c>
      <c r="J706" t="n">
        <v>2729.1452</v>
      </c>
      <c r="K706" t="n">
        <v>21874586.79</v>
      </c>
      <c r="L706" t="n">
        <v>36553728.54</v>
      </c>
      <c r="M706" t="n">
        <v>3783.1466</v>
      </c>
      <c r="N706" t="inlineStr">
        <is>
          <t>Supplier Reported Emissions</t>
        </is>
      </c>
      <c r="O706" t="b">
        <v>0</v>
      </c>
      <c r="P706" t="inlineStr">
        <is>
          <t>High</t>
        </is>
      </c>
      <c r="Q706" t="inlineStr">
        <is>
          <t>None</t>
        </is>
      </c>
      <c r="R706" t="inlineStr">
        <is>
          <t>Valid</t>
        </is>
      </c>
      <c r="S706" t="n">
        <v>2025</v>
      </c>
      <c r="T706" t="inlineStr">
        <is>
          <t>Supplier Target Pathway</t>
        </is>
      </c>
      <c r="U706" t="n">
        <v>4029.6726</v>
      </c>
      <c r="V706" t="n">
        <v>1649.748</v>
      </c>
      <c r="W706" t="n">
        <v>3137.2009</v>
      </c>
      <c r="X706" t="n">
        <v>3137.2009</v>
      </c>
      <c r="Y706" t="n">
        <v>892.4717000000001</v>
      </c>
      <c r="Z706" t="n">
        <v>0.00014342</v>
      </c>
      <c r="AA706" t="n">
        <v>0.221475</v>
      </c>
      <c r="AB706" t="n">
        <v>1487.4529</v>
      </c>
      <c r="AC706" t="n">
        <v>148.7453</v>
      </c>
      <c r="AD706" t="n">
        <v>15010.0271</v>
      </c>
      <c r="AE706" t="n">
        <v>3137.2009</v>
      </c>
      <c r="AF706" t="n">
        <v>0.99</v>
      </c>
      <c r="AG706" t="inlineStr">
        <is>
          <t>Critical</t>
        </is>
      </c>
      <c r="AH706" t="inlineStr">
        <is>
          <t>On Track to Glide Path</t>
        </is>
      </c>
    </row>
    <row r="707">
      <c r="A707" t="inlineStr">
        <is>
          <t>SUP-0045</t>
        </is>
      </c>
      <c r="B707" t="inlineStr">
        <is>
          <t>Logistics Supplier 045</t>
        </is>
      </c>
      <c r="C707" t="inlineStr">
        <is>
          <t>Logistics</t>
        </is>
      </c>
      <c r="D707" t="n">
        <v>2024</v>
      </c>
      <c r="E707" t="n">
        <v>2019</v>
      </c>
      <c r="F707" t="n">
        <v>2035</v>
      </c>
      <c r="G707" t="n">
        <v>3783.1466</v>
      </c>
      <c r="H707" t="n">
        <v>572.0124</v>
      </c>
      <c r="I707" t="n">
        <v>507.5448</v>
      </c>
      <c r="J707" t="n">
        <v>2729.1452</v>
      </c>
      <c r="K707" t="n">
        <v>21874586.79</v>
      </c>
      <c r="L707" t="n">
        <v>36553728.54</v>
      </c>
      <c r="M707" t="n">
        <v>3783.1466</v>
      </c>
      <c r="N707" t="inlineStr">
        <is>
          <t>Supplier Reported Emissions</t>
        </is>
      </c>
      <c r="O707" t="b">
        <v>0</v>
      </c>
      <c r="P707" t="inlineStr">
        <is>
          <t>High</t>
        </is>
      </c>
      <c r="Q707" t="inlineStr">
        <is>
          <t>None</t>
        </is>
      </c>
      <c r="R707" t="inlineStr">
        <is>
          <t>Valid</t>
        </is>
      </c>
      <c r="S707" t="n">
        <v>2026</v>
      </c>
      <c r="T707" t="inlineStr">
        <is>
          <t>Supplier Target Pathway</t>
        </is>
      </c>
      <c r="U707" t="n">
        <v>4029.6726</v>
      </c>
      <c r="V707" t="n">
        <v>1649.748</v>
      </c>
      <c r="W707" t="n">
        <v>2988.4556</v>
      </c>
      <c r="X707" t="n">
        <v>2988.4556</v>
      </c>
      <c r="Y707" t="n">
        <v>1041.217</v>
      </c>
      <c r="Z707" t="n">
        <v>0.00013662</v>
      </c>
      <c r="AA707" t="n">
        <v>0.258388</v>
      </c>
      <c r="AB707" t="n">
        <v>1338.7076</v>
      </c>
      <c r="AC707" t="n">
        <v>148.7453</v>
      </c>
      <c r="AD707" t="n">
        <v>12021.5715</v>
      </c>
      <c r="AE707" t="n">
        <v>6125.6565</v>
      </c>
      <c r="AF707" t="n">
        <v>0.99</v>
      </c>
      <c r="AG707" t="inlineStr">
        <is>
          <t>Critical</t>
        </is>
      </c>
      <c r="AH707" t="inlineStr">
        <is>
          <t>On Track to Glide Path</t>
        </is>
      </c>
    </row>
    <row r="708">
      <c r="A708" t="inlineStr">
        <is>
          <t>SUP-0045</t>
        </is>
      </c>
      <c r="B708" t="inlineStr">
        <is>
          <t>Logistics Supplier 045</t>
        </is>
      </c>
      <c r="C708" t="inlineStr">
        <is>
          <t>Logistics</t>
        </is>
      </c>
      <c r="D708" t="n">
        <v>2024</v>
      </c>
      <c r="E708" t="n">
        <v>2019</v>
      </c>
      <c r="F708" t="n">
        <v>2035</v>
      </c>
      <c r="G708" t="n">
        <v>3783.1466</v>
      </c>
      <c r="H708" t="n">
        <v>572.0124</v>
      </c>
      <c r="I708" t="n">
        <v>507.5448</v>
      </c>
      <c r="J708" t="n">
        <v>2729.1452</v>
      </c>
      <c r="K708" t="n">
        <v>21874586.79</v>
      </c>
      <c r="L708" t="n">
        <v>36553728.54</v>
      </c>
      <c r="M708" t="n">
        <v>3783.1466</v>
      </c>
      <c r="N708" t="inlineStr">
        <is>
          <t>Supplier Reported Emissions</t>
        </is>
      </c>
      <c r="O708" t="b">
        <v>0</v>
      </c>
      <c r="P708" t="inlineStr">
        <is>
          <t>High</t>
        </is>
      </c>
      <c r="Q708" t="inlineStr">
        <is>
          <t>None</t>
        </is>
      </c>
      <c r="R708" t="inlineStr">
        <is>
          <t>Valid</t>
        </is>
      </c>
      <c r="S708" t="n">
        <v>2027</v>
      </c>
      <c r="T708" t="inlineStr">
        <is>
          <t>Supplier Target Pathway</t>
        </is>
      </c>
      <c r="U708" t="n">
        <v>4029.6726</v>
      </c>
      <c r="V708" t="n">
        <v>1649.748</v>
      </c>
      <c r="W708" t="n">
        <v>2839.7103</v>
      </c>
      <c r="X708" t="n">
        <v>2839.7103</v>
      </c>
      <c r="Y708" t="n">
        <v>1189.9623</v>
      </c>
      <c r="Z708" t="n">
        <v>0.00012982</v>
      </c>
      <c r="AA708" t="n">
        <v>0.2953</v>
      </c>
      <c r="AB708" t="n">
        <v>1189.9623</v>
      </c>
      <c r="AC708" t="n">
        <v>148.7453</v>
      </c>
      <c r="AD708" t="n">
        <v>9181.861199999999</v>
      </c>
      <c r="AE708" t="n">
        <v>8965.3668</v>
      </c>
      <c r="AF708" t="n">
        <v>0.99</v>
      </c>
      <c r="AG708" t="inlineStr">
        <is>
          <t>Critical</t>
        </is>
      </c>
      <c r="AH708" t="inlineStr">
        <is>
          <t>On Track to Glide Path</t>
        </is>
      </c>
    </row>
    <row r="709">
      <c r="A709" t="inlineStr">
        <is>
          <t>SUP-0045</t>
        </is>
      </c>
      <c r="B709" t="inlineStr">
        <is>
          <t>Logistics Supplier 045</t>
        </is>
      </c>
      <c r="C709" t="inlineStr">
        <is>
          <t>Logistics</t>
        </is>
      </c>
      <c r="D709" t="n">
        <v>2024</v>
      </c>
      <c r="E709" t="n">
        <v>2019</v>
      </c>
      <c r="F709" t="n">
        <v>2035</v>
      </c>
      <c r="G709" t="n">
        <v>3783.1466</v>
      </c>
      <c r="H709" t="n">
        <v>572.0124</v>
      </c>
      <c r="I709" t="n">
        <v>507.5448</v>
      </c>
      <c r="J709" t="n">
        <v>2729.1452</v>
      </c>
      <c r="K709" t="n">
        <v>21874586.79</v>
      </c>
      <c r="L709" t="n">
        <v>36553728.54</v>
      </c>
      <c r="M709" t="n">
        <v>3783.1466</v>
      </c>
      <c r="N709" t="inlineStr">
        <is>
          <t>Supplier Reported Emissions</t>
        </is>
      </c>
      <c r="O709" t="b">
        <v>0</v>
      </c>
      <c r="P709" t="inlineStr">
        <is>
          <t>High</t>
        </is>
      </c>
      <c r="Q709" t="inlineStr">
        <is>
          <t>None</t>
        </is>
      </c>
      <c r="R709" t="inlineStr">
        <is>
          <t>Valid</t>
        </is>
      </c>
      <c r="S709" t="n">
        <v>2028</v>
      </c>
      <c r="T709" t="inlineStr">
        <is>
          <t>Supplier Target Pathway</t>
        </is>
      </c>
      <c r="U709" t="n">
        <v>4029.6726</v>
      </c>
      <c r="V709" t="n">
        <v>1649.748</v>
      </c>
      <c r="W709" t="n">
        <v>2690.965</v>
      </c>
      <c r="X709" t="n">
        <v>2690.965</v>
      </c>
      <c r="Y709" t="n">
        <v>1338.7076</v>
      </c>
      <c r="Z709" t="n">
        <v>0.00012302</v>
      </c>
      <c r="AA709" t="n">
        <v>0.332213</v>
      </c>
      <c r="AB709" t="n">
        <v>1041.217</v>
      </c>
      <c r="AC709" t="n">
        <v>148.7453</v>
      </c>
      <c r="AD709" t="n">
        <v>6490.8962</v>
      </c>
      <c r="AE709" t="n">
        <v>11656.3318</v>
      </c>
      <c r="AF709" t="n">
        <v>0.99</v>
      </c>
      <c r="AG709" t="inlineStr">
        <is>
          <t>Critical</t>
        </is>
      </c>
      <c r="AH709" t="inlineStr">
        <is>
          <t>On Track to Glide Path</t>
        </is>
      </c>
    </row>
    <row r="710">
      <c r="A710" t="inlineStr">
        <is>
          <t>SUP-0045</t>
        </is>
      </c>
      <c r="B710" t="inlineStr">
        <is>
          <t>Logistics Supplier 045</t>
        </is>
      </c>
      <c r="C710" t="inlineStr">
        <is>
          <t>Logistics</t>
        </is>
      </c>
      <c r="D710" t="n">
        <v>2024</v>
      </c>
      <c r="E710" t="n">
        <v>2019</v>
      </c>
      <c r="F710" t="n">
        <v>2035</v>
      </c>
      <c r="G710" t="n">
        <v>3783.1466</v>
      </c>
      <c r="H710" t="n">
        <v>572.0124</v>
      </c>
      <c r="I710" t="n">
        <v>507.5448</v>
      </c>
      <c r="J710" t="n">
        <v>2729.1452</v>
      </c>
      <c r="K710" t="n">
        <v>21874586.79</v>
      </c>
      <c r="L710" t="n">
        <v>36553728.54</v>
      </c>
      <c r="M710" t="n">
        <v>3783.1466</v>
      </c>
      <c r="N710" t="inlineStr">
        <is>
          <t>Supplier Reported Emissions</t>
        </is>
      </c>
      <c r="O710" t="b">
        <v>0</v>
      </c>
      <c r="P710" t="inlineStr">
        <is>
          <t>High</t>
        </is>
      </c>
      <c r="Q710" t="inlineStr">
        <is>
          <t>None</t>
        </is>
      </c>
      <c r="R710" t="inlineStr">
        <is>
          <t>Valid</t>
        </is>
      </c>
      <c r="S710" t="n">
        <v>2029</v>
      </c>
      <c r="T710" t="inlineStr">
        <is>
          <t>Supplier Target Pathway</t>
        </is>
      </c>
      <c r="U710" t="n">
        <v>4029.6726</v>
      </c>
      <c r="V710" t="n">
        <v>1649.748</v>
      </c>
      <c r="W710" t="n">
        <v>2542.2197</v>
      </c>
      <c r="X710" t="n">
        <v>2542.2197</v>
      </c>
      <c r="Y710" t="n">
        <v>1487.4529</v>
      </c>
      <c r="Z710" t="n">
        <v>0.00011622</v>
      </c>
      <c r="AA710" t="n">
        <v>0.369125</v>
      </c>
      <c r="AB710" t="n">
        <v>892.4717000000001</v>
      </c>
      <c r="AC710" t="n">
        <v>148.7453</v>
      </c>
      <c r="AD710" t="n">
        <v>3948.6765</v>
      </c>
      <c r="AE710" t="n">
        <v>14198.5515</v>
      </c>
      <c r="AF710" t="n">
        <v>0.99</v>
      </c>
      <c r="AG710" t="inlineStr">
        <is>
          <t>Critical</t>
        </is>
      </c>
      <c r="AH710" t="inlineStr">
        <is>
          <t>On Track to Glide Path</t>
        </is>
      </c>
    </row>
    <row r="711">
      <c r="A711" t="inlineStr">
        <is>
          <t>SUP-0045</t>
        </is>
      </c>
      <c r="B711" t="inlineStr">
        <is>
          <t>Logistics Supplier 045</t>
        </is>
      </c>
      <c r="C711" t="inlineStr">
        <is>
          <t>Logistics</t>
        </is>
      </c>
      <c r="D711" t="n">
        <v>2024</v>
      </c>
      <c r="E711" t="n">
        <v>2019</v>
      </c>
      <c r="F711" t="n">
        <v>2035</v>
      </c>
      <c r="G711" t="n">
        <v>3783.1466</v>
      </c>
      <c r="H711" t="n">
        <v>572.0124</v>
      </c>
      <c r="I711" t="n">
        <v>507.5448</v>
      </c>
      <c r="J711" t="n">
        <v>2729.1452</v>
      </c>
      <c r="K711" t="n">
        <v>21874586.79</v>
      </c>
      <c r="L711" t="n">
        <v>36553728.54</v>
      </c>
      <c r="M711" t="n">
        <v>3783.1466</v>
      </c>
      <c r="N711" t="inlineStr">
        <is>
          <t>Supplier Reported Emissions</t>
        </is>
      </c>
      <c r="O711" t="b">
        <v>0</v>
      </c>
      <c r="P711" t="inlineStr">
        <is>
          <t>High</t>
        </is>
      </c>
      <c r="Q711" t="inlineStr">
        <is>
          <t>None</t>
        </is>
      </c>
      <c r="R711" t="inlineStr">
        <is>
          <t>Valid</t>
        </is>
      </c>
      <c r="S711" t="n">
        <v>2030</v>
      </c>
      <c r="T711" t="inlineStr">
        <is>
          <t>Supplier Target Pathway</t>
        </is>
      </c>
      <c r="U711" t="n">
        <v>4029.6726</v>
      </c>
      <c r="V711" t="n">
        <v>1649.748</v>
      </c>
      <c r="W711" t="n">
        <v>2393.4744</v>
      </c>
      <c r="X711" t="n">
        <v>2393.4744</v>
      </c>
      <c r="Y711" t="n">
        <v>1636.1982</v>
      </c>
      <c r="Z711" t="n">
        <v>0.00010942</v>
      </c>
      <c r="AA711" t="n">
        <v>0.406037</v>
      </c>
      <c r="AB711" t="n">
        <v>743.7264</v>
      </c>
      <c r="AC711" t="n">
        <v>148.7453</v>
      </c>
      <c r="AD711" t="n">
        <v>1555.2021</v>
      </c>
      <c r="AE711" t="n">
        <v>16592.0259</v>
      </c>
      <c r="AF711" t="n">
        <v>0.99</v>
      </c>
      <c r="AG711" t="inlineStr">
        <is>
          <t>Critical</t>
        </is>
      </c>
      <c r="AH711" t="inlineStr">
        <is>
          <t>On Track to Glide Path</t>
        </is>
      </c>
    </row>
    <row r="712">
      <c r="A712" t="inlineStr">
        <is>
          <t>SUP-0045</t>
        </is>
      </c>
      <c r="B712" t="inlineStr">
        <is>
          <t>Logistics Supplier 045</t>
        </is>
      </c>
      <c r="C712" t="inlineStr">
        <is>
          <t>Logistics</t>
        </is>
      </c>
      <c r="D712" t="n">
        <v>2024</v>
      </c>
      <c r="E712" t="n">
        <v>2019</v>
      </c>
      <c r="F712" t="n">
        <v>2035</v>
      </c>
      <c r="G712" t="n">
        <v>3783.1466</v>
      </c>
      <c r="H712" t="n">
        <v>572.0124</v>
      </c>
      <c r="I712" t="n">
        <v>507.5448</v>
      </c>
      <c r="J712" t="n">
        <v>2729.1452</v>
      </c>
      <c r="K712" t="n">
        <v>21874586.79</v>
      </c>
      <c r="L712" t="n">
        <v>36553728.54</v>
      </c>
      <c r="M712" t="n">
        <v>3783.1466</v>
      </c>
      <c r="N712" t="inlineStr">
        <is>
          <t>Supplier Reported Emissions</t>
        </is>
      </c>
      <c r="O712" t="b">
        <v>0</v>
      </c>
      <c r="P712" t="inlineStr">
        <is>
          <t>High</t>
        </is>
      </c>
      <c r="Q712" t="inlineStr">
        <is>
          <t>None</t>
        </is>
      </c>
      <c r="R712" t="inlineStr">
        <is>
          <t>Valid</t>
        </is>
      </c>
      <c r="S712" t="n">
        <v>2031</v>
      </c>
      <c r="T712" t="inlineStr">
        <is>
          <t>Supplier Target Pathway</t>
        </is>
      </c>
      <c r="U712" t="n">
        <v>4029.6726</v>
      </c>
      <c r="V712" t="n">
        <v>1649.748</v>
      </c>
      <c r="W712" t="n">
        <v>2244.7291</v>
      </c>
      <c r="X712" t="n">
        <v>2244.7291</v>
      </c>
      <c r="Y712" t="n">
        <v>1784.9435</v>
      </c>
      <c r="Z712" t="n">
        <v>0.00010262</v>
      </c>
      <c r="AA712" t="n">
        <v>0.44295</v>
      </c>
      <c r="AB712" t="n">
        <v>594.9811999999999</v>
      </c>
      <c r="AC712" t="n">
        <v>148.7453</v>
      </c>
      <c r="AD712" t="n">
        <v>-689.527</v>
      </c>
      <c r="AE712" t="n">
        <v>18836.755</v>
      </c>
      <c r="AF712" t="n">
        <v>0.99</v>
      </c>
      <c r="AG712" t="inlineStr">
        <is>
          <t>Critical</t>
        </is>
      </c>
      <c r="AH712" t="inlineStr">
        <is>
          <t>On Track to Glide Path</t>
        </is>
      </c>
    </row>
    <row r="713">
      <c r="A713" t="inlineStr">
        <is>
          <t>SUP-0045</t>
        </is>
      </c>
      <c r="B713" t="inlineStr">
        <is>
          <t>Logistics Supplier 045</t>
        </is>
      </c>
      <c r="C713" t="inlineStr">
        <is>
          <t>Logistics</t>
        </is>
      </c>
      <c r="D713" t="n">
        <v>2024</v>
      </c>
      <c r="E713" t="n">
        <v>2019</v>
      </c>
      <c r="F713" t="n">
        <v>2035</v>
      </c>
      <c r="G713" t="n">
        <v>3783.1466</v>
      </c>
      <c r="H713" t="n">
        <v>572.0124</v>
      </c>
      <c r="I713" t="n">
        <v>507.5448</v>
      </c>
      <c r="J713" t="n">
        <v>2729.1452</v>
      </c>
      <c r="K713" t="n">
        <v>21874586.79</v>
      </c>
      <c r="L713" t="n">
        <v>36553728.54</v>
      </c>
      <c r="M713" t="n">
        <v>3783.1466</v>
      </c>
      <c r="N713" t="inlineStr">
        <is>
          <t>Supplier Reported Emissions</t>
        </is>
      </c>
      <c r="O713" t="b">
        <v>0</v>
      </c>
      <c r="P713" t="inlineStr">
        <is>
          <t>High</t>
        </is>
      </c>
      <c r="Q713" t="inlineStr">
        <is>
          <t>None</t>
        </is>
      </c>
      <c r="R713" t="inlineStr">
        <is>
          <t>Valid</t>
        </is>
      </c>
      <c r="S713" t="n">
        <v>2032</v>
      </c>
      <c r="T713" t="inlineStr">
        <is>
          <t>Supplier Target Pathway</t>
        </is>
      </c>
      <c r="U713" t="n">
        <v>4029.6726</v>
      </c>
      <c r="V713" t="n">
        <v>1649.748</v>
      </c>
      <c r="W713" t="n">
        <v>2095.9838</v>
      </c>
      <c r="X713" t="n">
        <v>2095.9838</v>
      </c>
      <c r="Y713" t="n">
        <v>1933.6888</v>
      </c>
      <c r="Z713" t="n">
        <v>9.582e-05</v>
      </c>
      <c r="AA713" t="n">
        <v>0.479863</v>
      </c>
      <c r="AB713" t="n">
        <v>446.2359</v>
      </c>
      <c r="AC713" t="n">
        <v>148.7453</v>
      </c>
      <c r="AD713" t="n">
        <v>-2785.5108</v>
      </c>
      <c r="AE713" t="n">
        <v>20932.7388</v>
      </c>
      <c r="AF713" t="n">
        <v>0.99</v>
      </c>
      <c r="AG713" t="inlineStr">
        <is>
          <t>High</t>
        </is>
      </c>
      <c r="AH713" t="inlineStr">
        <is>
          <t>On Track to Glide Path</t>
        </is>
      </c>
    </row>
    <row r="714">
      <c r="A714" t="inlineStr">
        <is>
          <t>SUP-0045</t>
        </is>
      </c>
      <c r="B714" t="inlineStr">
        <is>
          <t>Logistics Supplier 045</t>
        </is>
      </c>
      <c r="C714" t="inlineStr">
        <is>
          <t>Logistics</t>
        </is>
      </c>
      <c r="D714" t="n">
        <v>2024</v>
      </c>
      <c r="E714" t="n">
        <v>2019</v>
      </c>
      <c r="F714" t="n">
        <v>2035</v>
      </c>
      <c r="G714" t="n">
        <v>3783.1466</v>
      </c>
      <c r="H714" t="n">
        <v>572.0124</v>
      </c>
      <c r="I714" t="n">
        <v>507.5448</v>
      </c>
      <c r="J714" t="n">
        <v>2729.1452</v>
      </c>
      <c r="K714" t="n">
        <v>21874586.79</v>
      </c>
      <c r="L714" t="n">
        <v>36553728.54</v>
      </c>
      <c r="M714" t="n">
        <v>3783.1466</v>
      </c>
      <c r="N714" t="inlineStr">
        <is>
          <t>Supplier Reported Emissions</t>
        </is>
      </c>
      <c r="O714" t="b">
        <v>0</v>
      </c>
      <c r="P714" t="inlineStr">
        <is>
          <t>High</t>
        </is>
      </c>
      <c r="Q714" t="inlineStr">
        <is>
          <t>None</t>
        </is>
      </c>
      <c r="R714" t="inlineStr">
        <is>
          <t>Valid</t>
        </is>
      </c>
      <c r="S714" t="n">
        <v>2033</v>
      </c>
      <c r="T714" t="inlineStr">
        <is>
          <t>Supplier Target Pathway</t>
        </is>
      </c>
      <c r="U714" t="n">
        <v>4029.6726</v>
      </c>
      <c r="V714" t="n">
        <v>1649.748</v>
      </c>
      <c r="W714" t="n">
        <v>1947.2385</v>
      </c>
      <c r="X714" t="n">
        <v>1947.2385</v>
      </c>
      <c r="Y714" t="n">
        <v>2082.4341</v>
      </c>
      <c r="Z714" t="n">
        <v>8.902e-05</v>
      </c>
      <c r="AA714" t="n">
        <v>0.516775</v>
      </c>
      <c r="AB714" t="n">
        <v>297.4906</v>
      </c>
      <c r="AC714" t="n">
        <v>148.7453</v>
      </c>
      <c r="AD714" t="n">
        <v>-4732.7493</v>
      </c>
      <c r="AE714" t="n">
        <v>22879.9773</v>
      </c>
      <c r="AF714" t="n">
        <v>0.99</v>
      </c>
      <c r="AG714" t="inlineStr">
        <is>
          <t>High</t>
        </is>
      </c>
      <c r="AH714" t="inlineStr">
        <is>
          <t>On Track to Glide Path</t>
        </is>
      </c>
    </row>
    <row r="715">
      <c r="A715" t="inlineStr">
        <is>
          <t>SUP-0045</t>
        </is>
      </c>
      <c r="B715" t="inlineStr">
        <is>
          <t>Logistics Supplier 045</t>
        </is>
      </c>
      <c r="C715" t="inlineStr">
        <is>
          <t>Logistics</t>
        </is>
      </c>
      <c r="D715" t="n">
        <v>2024</v>
      </c>
      <c r="E715" t="n">
        <v>2019</v>
      </c>
      <c r="F715" t="n">
        <v>2035</v>
      </c>
      <c r="G715" t="n">
        <v>3783.1466</v>
      </c>
      <c r="H715" t="n">
        <v>572.0124</v>
      </c>
      <c r="I715" t="n">
        <v>507.5448</v>
      </c>
      <c r="J715" t="n">
        <v>2729.1452</v>
      </c>
      <c r="K715" t="n">
        <v>21874586.79</v>
      </c>
      <c r="L715" t="n">
        <v>36553728.54</v>
      </c>
      <c r="M715" t="n">
        <v>3783.1466</v>
      </c>
      <c r="N715" t="inlineStr">
        <is>
          <t>Supplier Reported Emissions</t>
        </is>
      </c>
      <c r="O715" t="b">
        <v>0</v>
      </c>
      <c r="P715" t="inlineStr">
        <is>
          <t>High</t>
        </is>
      </c>
      <c r="Q715" t="inlineStr">
        <is>
          <t>None</t>
        </is>
      </c>
      <c r="R715" t="inlineStr">
        <is>
          <t>Valid</t>
        </is>
      </c>
      <c r="S715" t="n">
        <v>2034</v>
      </c>
      <c r="T715" t="inlineStr">
        <is>
          <t>Supplier Target Pathway</t>
        </is>
      </c>
      <c r="U715" t="n">
        <v>4029.6726</v>
      </c>
      <c r="V715" t="n">
        <v>1649.748</v>
      </c>
      <c r="W715" t="n">
        <v>1798.4933</v>
      </c>
      <c r="X715" t="n">
        <v>1798.4933</v>
      </c>
      <c r="Y715" t="n">
        <v>2231.1793</v>
      </c>
      <c r="Z715" t="n">
        <v>8.222e-05</v>
      </c>
      <c r="AA715" t="n">
        <v>0.553688</v>
      </c>
      <c r="AB715" t="n">
        <v>148.7453</v>
      </c>
      <c r="AC715" t="n">
        <v>148.7453</v>
      </c>
      <c r="AD715" t="n">
        <v>-6531.2426</v>
      </c>
      <c r="AE715" t="n">
        <v>24678.4706</v>
      </c>
      <c r="AF715" t="n">
        <v>0.99</v>
      </c>
      <c r="AG715" t="inlineStr">
        <is>
          <t>Medium</t>
        </is>
      </c>
      <c r="AH715" t="inlineStr">
        <is>
          <t>On Track to Glide Path</t>
        </is>
      </c>
    </row>
    <row r="716">
      <c r="A716" t="inlineStr">
        <is>
          <t>SUP-0045</t>
        </is>
      </c>
      <c r="B716" t="inlineStr">
        <is>
          <t>Logistics Supplier 045</t>
        </is>
      </c>
      <c r="C716" t="inlineStr">
        <is>
          <t>Logistics</t>
        </is>
      </c>
      <c r="D716" t="n">
        <v>2024</v>
      </c>
      <c r="E716" t="n">
        <v>2019</v>
      </c>
      <c r="F716" t="n">
        <v>2035</v>
      </c>
      <c r="G716" t="n">
        <v>3783.1466</v>
      </c>
      <c r="H716" t="n">
        <v>572.0124</v>
      </c>
      <c r="I716" t="n">
        <v>507.5448</v>
      </c>
      <c r="J716" t="n">
        <v>2729.1452</v>
      </c>
      <c r="K716" t="n">
        <v>21874586.79</v>
      </c>
      <c r="L716" t="n">
        <v>36553728.54</v>
      </c>
      <c r="M716" t="n">
        <v>3783.1466</v>
      </c>
      <c r="N716" t="inlineStr">
        <is>
          <t>Supplier Reported Emissions</t>
        </is>
      </c>
      <c r="O716" t="b">
        <v>0</v>
      </c>
      <c r="P716" t="inlineStr">
        <is>
          <t>High</t>
        </is>
      </c>
      <c r="Q716" t="inlineStr">
        <is>
          <t>None</t>
        </is>
      </c>
      <c r="R716" t="inlineStr">
        <is>
          <t>Valid</t>
        </is>
      </c>
      <c r="S716" t="n">
        <v>2035</v>
      </c>
      <c r="T716" t="inlineStr">
        <is>
          <t>Supplier Target Pathway</t>
        </is>
      </c>
      <c r="U716" t="n">
        <v>4029.6726</v>
      </c>
      <c r="V716" t="n">
        <v>1649.748</v>
      </c>
      <c r="W716" t="n">
        <v>1649.748</v>
      </c>
      <c r="X716" t="n">
        <v>1649.748</v>
      </c>
      <c r="Y716" t="n">
        <v>2379.9246</v>
      </c>
      <c r="Z716" t="n">
        <v>7.542000000000001e-05</v>
      </c>
      <c r="AA716" t="n">
        <v>0.5906</v>
      </c>
      <c r="AB716" t="n">
        <v>0</v>
      </c>
      <c r="AC716" t="n">
        <v>148.7453</v>
      </c>
      <c r="AD716" t="n">
        <v>-8180.9906</v>
      </c>
      <c r="AE716" t="n">
        <v>26328.2186</v>
      </c>
      <c r="AF716" t="n">
        <v>0.99</v>
      </c>
      <c r="AG716" t="inlineStr">
        <is>
          <t>Low</t>
        </is>
      </c>
      <c r="AH716" t="inlineStr">
        <is>
          <t>On Track</t>
        </is>
      </c>
    </row>
    <row r="717">
      <c r="A717" t="inlineStr">
        <is>
          <t>SUP-0045</t>
        </is>
      </c>
      <c r="B717" t="inlineStr">
        <is>
          <t>Logistics Supplier 045</t>
        </is>
      </c>
      <c r="C717" t="inlineStr">
        <is>
          <t>Logistics</t>
        </is>
      </c>
      <c r="D717" t="n">
        <v>2024</v>
      </c>
      <c r="E717" t="n">
        <v>2019</v>
      </c>
      <c r="F717" t="n">
        <v>2035</v>
      </c>
      <c r="G717" t="n">
        <v>3783.1466</v>
      </c>
      <c r="H717" t="n">
        <v>572.0124</v>
      </c>
      <c r="I717" t="n">
        <v>507.5448</v>
      </c>
      <c r="J717" t="n">
        <v>2729.1452</v>
      </c>
      <c r="K717" t="n">
        <v>21874586.79</v>
      </c>
      <c r="L717" t="n">
        <v>36553728.54</v>
      </c>
      <c r="M717" t="n">
        <v>3783.1466</v>
      </c>
      <c r="N717" t="inlineStr">
        <is>
          <t>Supplier Reported Emissions</t>
        </is>
      </c>
      <c r="O717" t="b">
        <v>0</v>
      </c>
      <c r="P717" t="inlineStr">
        <is>
          <t>High</t>
        </is>
      </c>
      <c r="Q717" t="inlineStr">
        <is>
          <t>None</t>
        </is>
      </c>
      <c r="R717" t="inlineStr">
        <is>
          <t>Valid</t>
        </is>
      </c>
      <c r="S717" t="n">
        <v>2036</v>
      </c>
      <c r="T717" t="inlineStr">
        <is>
          <t>Supplier Target Pathway</t>
        </is>
      </c>
      <c r="U717" t="n">
        <v>4029.6726</v>
      </c>
      <c r="V717" t="n">
        <v>1649.748</v>
      </c>
      <c r="W717" t="n">
        <v>1649.748</v>
      </c>
      <c r="X717" t="n">
        <v>1649.748</v>
      </c>
      <c r="Y717" t="n">
        <v>2379.9246</v>
      </c>
      <c r="Z717" t="n">
        <v>7.542000000000001e-05</v>
      </c>
      <c r="AA717" t="n">
        <v>0.5906</v>
      </c>
      <c r="AB717" t="n">
        <v>0</v>
      </c>
      <c r="AC717" t="n">
        <v>148.7453</v>
      </c>
      <c r="AD717" t="n">
        <v>-9830.738600000001</v>
      </c>
      <c r="AE717" t="n">
        <v>27977.9666</v>
      </c>
      <c r="AF717" t="n">
        <v>0.99</v>
      </c>
      <c r="AG717" t="inlineStr">
        <is>
          <t>Low</t>
        </is>
      </c>
      <c r="AH717" t="inlineStr">
        <is>
          <t>On Track</t>
        </is>
      </c>
    </row>
    <row r="718">
      <c r="A718" t="inlineStr">
        <is>
          <t>SUP-0045</t>
        </is>
      </c>
      <c r="B718" t="inlineStr">
        <is>
          <t>Logistics Supplier 045</t>
        </is>
      </c>
      <c r="C718" t="inlineStr">
        <is>
          <t>Logistics</t>
        </is>
      </c>
      <c r="D718" t="n">
        <v>2024</v>
      </c>
      <c r="E718" t="n">
        <v>2019</v>
      </c>
      <c r="F718" t="n">
        <v>2035</v>
      </c>
      <c r="G718" t="n">
        <v>3783.1466</v>
      </c>
      <c r="H718" t="n">
        <v>572.0124</v>
      </c>
      <c r="I718" t="n">
        <v>507.5448</v>
      </c>
      <c r="J718" t="n">
        <v>2729.1452</v>
      </c>
      <c r="K718" t="n">
        <v>21874586.79</v>
      </c>
      <c r="L718" t="n">
        <v>36553728.54</v>
      </c>
      <c r="M718" t="n">
        <v>3783.1466</v>
      </c>
      <c r="N718" t="inlineStr">
        <is>
          <t>Supplier Reported Emissions</t>
        </is>
      </c>
      <c r="O718" t="b">
        <v>0</v>
      </c>
      <c r="P718" t="inlineStr">
        <is>
          <t>High</t>
        </is>
      </c>
      <c r="Q718" t="inlineStr">
        <is>
          <t>None</t>
        </is>
      </c>
      <c r="R718" t="inlineStr">
        <is>
          <t>Valid</t>
        </is>
      </c>
      <c r="S718" t="n">
        <v>2037</v>
      </c>
      <c r="T718" t="inlineStr">
        <is>
          <t>Supplier Target Pathway</t>
        </is>
      </c>
      <c r="U718" t="n">
        <v>4029.6726</v>
      </c>
      <c r="V718" t="n">
        <v>1649.748</v>
      </c>
      <c r="W718" t="n">
        <v>1649.748</v>
      </c>
      <c r="X718" t="n">
        <v>1649.748</v>
      </c>
      <c r="Y718" t="n">
        <v>2379.9246</v>
      </c>
      <c r="Z718" t="n">
        <v>7.542000000000001e-05</v>
      </c>
      <c r="AA718" t="n">
        <v>0.5906</v>
      </c>
      <c r="AB718" t="n">
        <v>0</v>
      </c>
      <c r="AC718" t="n">
        <v>148.7453</v>
      </c>
      <c r="AD718" t="n">
        <v>-11480.4866</v>
      </c>
      <c r="AE718" t="n">
        <v>29627.7146</v>
      </c>
      <c r="AF718" t="n">
        <v>0.99</v>
      </c>
      <c r="AG718" t="inlineStr">
        <is>
          <t>Low</t>
        </is>
      </c>
      <c r="AH718" t="inlineStr">
        <is>
          <t>On Track</t>
        </is>
      </c>
    </row>
    <row r="719">
      <c r="A719" t="inlineStr">
        <is>
          <t>SUP-0045</t>
        </is>
      </c>
      <c r="B719" t="inlineStr">
        <is>
          <t>Logistics Supplier 045</t>
        </is>
      </c>
      <c r="C719" t="inlineStr">
        <is>
          <t>Logistics</t>
        </is>
      </c>
      <c r="D719" t="n">
        <v>2024</v>
      </c>
      <c r="E719" t="n">
        <v>2019</v>
      </c>
      <c r="F719" t="n">
        <v>2035</v>
      </c>
      <c r="G719" t="n">
        <v>3783.1466</v>
      </c>
      <c r="H719" t="n">
        <v>572.0124</v>
      </c>
      <c r="I719" t="n">
        <v>507.5448</v>
      </c>
      <c r="J719" t="n">
        <v>2729.1452</v>
      </c>
      <c r="K719" t="n">
        <v>21874586.79</v>
      </c>
      <c r="L719" t="n">
        <v>36553728.54</v>
      </c>
      <c r="M719" t="n">
        <v>3783.1466</v>
      </c>
      <c r="N719" t="inlineStr">
        <is>
          <t>Supplier Reported Emissions</t>
        </is>
      </c>
      <c r="O719" t="b">
        <v>0</v>
      </c>
      <c r="P719" t="inlineStr">
        <is>
          <t>High</t>
        </is>
      </c>
      <c r="Q719" t="inlineStr">
        <is>
          <t>None</t>
        </is>
      </c>
      <c r="R719" t="inlineStr">
        <is>
          <t>Valid</t>
        </is>
      </c>
      <c r="S719" t="n">
        <v>2038</v>
      </c>
      <c r="T719" t="inlineStr">
        <is>
          <t>Supplier Target Pathway</t>
        </is>
      </c>
      <c r="U719" t="n">
        <v>4029.6726</v>
      </c>
      <c r="V719" t="n">
        <v>1649.748</v>
      </c>
      <c r="W719" t="n">
        <v>1649.748</v>
      </c>
      <c r="X719" t="n">
        <v>1649.748</v>
      </c>
      <c r="Y719" t="n">
        <v>2379.9246</v>
      </c>
      <c r="Z719" t="n">
        <v>7.542000000000001e-05</v>
      </c>
      <c r="AA719" t="n">
        <v>0.5906</v>
      </c>
      <c r="AB719" t="n">
        <v>0</v>
      </c>
      <c r="AC719" t="n">
        <v>148.7453</v>
      </c>
      <c r="AD719" t="n">
        <v>-13130.2346</v>
      </c>
      <c r="AE719" t="n">
        <v>31277.4626</v>
      </c>
      <c r="AF719" t="n">
        <v>0.99</v>
      </c>
      <c r="AG719" t="inlineStr">
        <is>
          <t>Low</t>
        </is>
      </c>
      <c r="AH719" t="inlineStr">
        <is>
          <t>On Track</t>
        </is>
      </c>
    </row>
    <row r="720">
      <c r="A720" t="inlineStr">
        <is>
          <t>SUP-0045</t>
        </is>
      </c>
      <c r="B720" t="inlineStr">
        <is>
          <t>Logistics Supplier 045</t>
        </is>
      </c>
      <c r="C720" t="inlineStr">
        <is>
          <t>Logistics</t>
        </is>
      </c>
      <c r="D720" t="n">
        <v>2024</v>
      </c>
      <c r="E720" t="n">
        <v>2019</v>
      </c>
      <c r="F720" t="n">
        <v>2035</v>
      </c>
      <c r="G720" t="n">
        <v>3783.1466</v>
      </c>
      <c r="H720" t="n">
        <v>572.0124</v>
      </c>
      <c r="I720" t="n">
        <v>507.5448</v>
      </c>
      <c r="J720" t="n">
        <v>2729.1452</v>
      </c>
      <c r="K720" t="n">
        <v>21874586.79</v>
      </c>
      <c r="L720" t="n">
        <v>36553728.54</v>
      </c>
      <c r="M720" t="n">
        <v>3783.1466</v>
      </c>
      <c r="N720" t="inlineStr">
        <is>
          <t>Supplier Reported Emissions</t>
        </is>
      </c>
      <c r="O720" t="b">
        <v>0</v>
      </c>
      <c r="P720" t="inlineStr">
        <is>
          <t>High</t>
        </is>
      </c>
      <c r="Q720" t="inlineStr">
        <is>
          <t>None</t>
        </is>
      </c>
      <c r="R720" t="inlineStr">
        <is>
          <t>Valid</t>
        </is>
      </c>
      <c r="S720" t="n">
        <v>2039</v>
      </c>
      <c r="T720" t="inlineStr">
        <is>
          <t>Supplier Target Pathway</t>
        </is>
      </c>
      <c r="U720" t="n">
        <v>4029.6726</v>
      </c>
      <c r="V720" t="n">
        <v>1649.748</v>
      </c>
      <c r="W720" t="n">
        <v>1649.748</v>
      </c>
      <c r="X720" t="n">
        <v>1649.748</v>
      </c>
      <c r="Y720" t="n">
        <v>2379.9246</v>
      </c>
      <c r="Z720" t="n">
        <v>7.542000000000001e-05</v>
      </c>
      <c r="AA720" t="n">
        <v>0.5906</v>
      </c>
      <c r="AB720" t="n">
        <v>0</v>
      </c>
      <c r="AC720" t="n">
        <v>148.7453</v>
      </c>
      <c r="AD720" t="n">
        <v>-14779.9826</v>
      </c>
      <c r="AE720" t="n">
        <v>32927.2106</v>
      </c>
      <c r="AF720" t="n">
        <v>0.99</v>
      </c>
      <c r="AG720" t="inlineStr">
        <is>
          <t>Low</t>
        </is>
      </c>
      <c r="AH720" t="inlineStr">
        <is>
          <t>On Track</t>
        </is>
      </c>
    </row>
    <row r="721">
      <c r="A721" t="inlineStr">
        <is>
          <t>SUP-0045</t>
        </is>
      </c>
      <c r="B721" t="inlineStr">
        <is>
          <t>Logistics Supplier 045</t>
        </is>
      </c>
      <c r="C721" t="inlineStr">
        <is>
          <t>Logistics</t>
        </is>
      </c>
      <c r="D721" t="n">
        <v>2024</v>
      </c>
      <c r="E721" t="n">
        <v>2019</v>
      </c>
      <c r="F721" t="n">
        <v>2035</v>
      </c>
      <c r="G721" t="n">
        <v>3783.1466</v>
      </c>
      <c r="H721" t="n">
        <v>572.0124</v>
      </c>
      <c r="I721" t="n">
        <v>507.5448</v>
      </c>
      <c r="J721" t="n">
        <v>2729.1452</v>
      </c>
      <c r="K721" t="n">
        <v>21874586.79</v>
      </c>
      <c r="L721" t="n">
        <v>36553728.54</v>
      </c>
      <c r="M721" t="n">
        <v>3783.1466</v>
      </c>
      <c r="N721" t="inlineStr">
        <is>
          <t>Supplier Reported Emissions</t>
        </is>
      </c>
      <c r="O721" t="b">
        <v>0</v>
      </c>
      <c r="P721" t="inlineStr">
        <is>
          <t>High</t>
        </is>
      </c>
      <c r="Q721" t="inlineStr">
        <is>
          <t>None</t>
        </is>
      </c>
      <c r="R721" t="inlineStr">
        <is>
          <t>Valid</t>
        </is>
      </c>
      <c r="S721" t="n">
        <v>2040</v>
      </c>
      <c r="T721" t="inlineStr">
        <is>
          <t>Supplier Target Pathway</t>
        </is>
      </c>
      <c r="U721" t="n">
        <v>4029.6726</v>
      </c>
      <c r="V721" t="n">
        <v>1649.748</v>
      </c>
      <c r="W721" t="n">
        <v>1649.748</v>
      </c>
      <c r="X721" t="n">
        <v>1649.748</v>
      </c>
      <c r="Y721" t="n">
        <v>2379.9246</v>
      </c>
      <c r="Z721" t="n">
        <v>7.542000000000001e-05</v>
      </c>
      <c r="AA721" t="n">
        <v>0.5906</v>
      </c>
      <c r="AB721" t="n">
        <v>0</v>
      </c>
      <c r="AC721" t="n">
        <v>148.7453</v>
      </c>
      <c r="AD721" t="n">
        <v>-16429.7306</v>
      </c>
      <c r="AE721" t="n">
        <v>34576.9586</v>
      </c>
      <c r="AF721" t="n">
        <v>0.99</v>
      </c>
      <c r="AG721" t="inlineStr">
        <is>
          <t>Low</t>
        </is>
      </c>
      <c r="AH721" t="inlineStr">
        <is>
          <t>On Track</t>
        </is>
      </c>
    </row>
    <row r="722">
      <c r="A722" t="inlineStr">
        <is>
          <t>SUP-0046</t>
        </is>
      </c>
      <c r="B722" t="inlineStr">
        <is>
          <t>Textiles Supplier 046</t>
        </is>
      </c>
      <c r="C722" t="inlineStr">
        <is>
          <t>Textiles</t>
        </is>
      </c>
      <c r="D722" t="n">
        <v>2024</v>
      </c>
      <c r="E722" t="n">
        <v>2015</v>
      </c>
      <c r="F722" t="n">
        <v>2030</v>
      </c>
      <c r="G722" t="n">
        <v>301.8451</v>
      </c>
      <c r="H722" t="n">
        <v>46.1148</v>
      </c>
      <c r="I722" t="n">
        <v>48.2149</v>
      </c>
      <c r="J722" t="n">
        <v>202.6606</v>
      </c>
      <c r="K722" t="n">
        <v>1364268.71</v>
      </c>
      <c r="L722" t="n">
        <v>16401506.49</v>
      </c>
      <c r="M722" t="n">
        <v>301.8451</v>
      </c>
      <c r="N722" t="inlineStr">
        <is>
          <t>Supplier Reported Emissions</t>
        </is>
      </c>
      <c r="O722" t="b">
        <v>0</v>
      </c>
      <c r="P722" t="inlineStr">
        <is>
          <t>High</t>
        </is>
      </c>
      <c r="Q722" t="inlineStr">
        <is>
          <t>None</t>
        </is>
      </c>
      <c r="R722" t="inlineStr">
        <is>
          <t>Valid</t>
        </is>
      </c>
      <c r="S722" t="n">
        <v>2025</v>
      </c>
      <c r="T722" t="inlineStr">
        <is>
          <t>Industry Haircut Pathway</t>
        </is>
      </c>
      <c r="U722" t="n">
        <v>443.2574</v>
      </c>
      <c r="V722" t="n">
        <v>302.7005</v>
      </c>
      <c r="W722" t="n">
        <v>349.5528</v>
      </c>
      <c r="X722" t="n">
        <v>349.5528</v>
      </c>
      <c r="Y722" t="n">
        <v>93.7046</v>
      </c>
      <c r="Z722" t="n">
        <v>0.00025622</v>
      </c>
      <c r="AA722" t="n">
        <v>0.2114</v>
      </c>
      <c r="AB722" t="n">
        <v>46.8523</v>
      </c>
      <c r="AC722" t="n">
        <v>9.3705</v>
      </c>
      <c r="AD722" t="n">
        <v>1466.6502</v>
      </c>
      <c r="AE722" t="n">
        <v>349.5528</v>
      </c>
      <c r="AF722" t="n">
        <v>0.911</v>
      </c>
      <c r="AG722" t="inlineStr">
        <is>
          <t>High</t>
        </is>
      </c>
      <c r="AH722" t="inlineStr">
        <is>
          <t>On Track to Glide Path</t>
        </is>
      </c>
    </row>
    <row r="723">
      <c r="A723" t="inlineStr">
        <is>
          <t>SUP-0046</t>
        </is>
      </c>
      <c r="B723" t="inlineStr">
        <is>
          <t>Textiles Supplier 046</t>
        </is>
      </c>
      <c r="C723" t="inlineStr">
        <is>
          <t>Textiles</t>
        </is>
      </c>
      <c r="D723" t="n">
        <v>2024</v>
      </c>
      <c r="E723" t="n">
        <v>2015</v>
      </c>
      <c r="F723" t="n">
        <v>2030</v>
      </c>
      <c r="G723" t="n">
        <v>301.8451</v>
      </c>
      <c r="H723" t="n">
        <v>46.1148</v>
      </c>
      <c r="I723" t="n">
        <v>48.2149</v>
      </c>
      <c r="J723" t="n">
        <v>202.6606</v>
      </c>
      <c r="K723" t="n">
        <v>1364268.71</v>
      </c>
      <c r="L723" t="n">
        <v>16401506.49</v>
      </c>
      <c r="M723" t="n">
        <v>301.8451</v>
      </c>
      <c r="N723" t="inlineStr">
        <is>
          <t>Supplier Reported Emissions</t>
        </is>
      </c>
      <c r="O723" t="b">
        <v>0</v>
      </c>
      <c r="P723" t="inlineStr">
        <is>
          <t>High</t>
        </is>
      </c>
      <c r="Q723" t="inlineStr">
        <is>
          <t>None</t>
        </is>
      </c>
      <c r="R723" t="inlineStr">
        <is>
          <t>Valid</t>
        </is>
      </c>
      <c r="S723" t="n">
        <v>2026</v>
      </c>
      <c r="T723" t="inlineStr">
        <is>
          <t>Industry Haircut Pathway</t>
        </is>
      </c>
      <c r="U723" t="n">
        <v>443.2574</v>
      </c>
      <c r="V723" t="n">
        <v>302.7005</v>
      </c>
      <c r="W723" t="n">
        <v>340.1823</v>
      </c>
      <c r="X723" t="n">
        <v>340.1823</v>
      </c>
      <c r="Y723" t="n">
        <v>103.0751</v>
      </c>
      <c r="Z723" t="n">
        <v>0.00024935</v>
      </c>
      <c r="AA723" t="n">
        <v>0.23254</v>
      </c>
      <c r="AB723" t="n">
        <v>37.4818</v>
      </c>
      <c r="AC723" t="n">
        <v>9.3705</v>
      </c>
      <c r="AD723" t="n">
        <v>1126.4679</v>
      </c>
      <c r="AE723" t="n">
        <v>689.7351</v>
      </c>
      <c r="AF723" t="n">
        <v>0.911</v>
      </c>
      <c r="AG723" t="inlineStr">
        <is>
          <t>Medium</t>
        </is>
      </c>
      <c r="AH723" t="inlineStr">
        <is>
          <t>On Track to Glide Path</t>
        </is>
      </c>
    </row>
    <row r="724">
      <c r="A724" t="inlineStr">
        <is>
          <t>SUP-0046</t>
        </is>
      </c>
      <c r="B724" t="inlineStr">
        <is>
          <t>Textiles Supplier 046</t>
        </is>
      </c>
      <c r="C724" t="inlineStr">
        <is>
          <t>Textiles</t>
        </is>
      </c>
      <c r="D724" t="n">
        <v>2024</v>
      </c>
      <c r="E724" t="n">
        <v>2015</v>
      </c>
      <c r="F724" t="n">
        <v>2030</v>
      </c>
      <c r="G724" t="n">
        <v>301.8451</v>
      </c>
      <c r="H724" t="n">
        <v>46.1148</v>
      </c>
      <c r="I724" t="n">
        <v>48.2149</v>
      </c>
      <c r="J724" t="n">
        <v>202.6606</v>
      </c>
      <c r="K724" t="n">
        <v>1364268.71</v>
      </c>
      <c r="L724" t="n">
        <v>16401506.49</v>
      </c>
      <c r="M724" t="n">
        <v>301.8451</v>
      </c>
      <c r="N724" t="inlineStr">
        <is>
          <t>Supplier Reported Emissions</t>
        </is>
      </c>
      <c r="O724" t="b">
        <v>0</v>
      </c>
      <c r="P724" t="inlineStr">
        <is>
          <t>High</t>
        </is>
      </c>
      <c r="Q724" t="inlineStr">
        <is>
          <t>None</t>
        </is>
      </c>
      <c r="R724" t="inlineStr">
        <is>
          <t>Valid</t>
        </is>
      </c>
      <c r="S724" t="n">
        <v>2027</v>
      </c>
      <c r="T724" t="inlineStr">
        <is>
          <t>Industry Haircut Pathway</t>
        </is>
      </c>
      <c r="U724" t="n">
        <v>443.2574</v>
      </c>
      <c r="V724" t="n">
        <v>302.7005</v>
      </c>
      <c r="W724" t="n">
        <v>330.8119</v>
      </c>
      <c r="X724" t="n">
        <v>330.8119</v>
      </c>
      <c r="Y724" t="n">
        <v>112.4455</v>
      </c>
      <c r="Z724" t="n">
        <v>0.00024248</v>
      </c>
      <c r="AA724" t="n">
        <v>0.25368</v>
      </c>
      <c r="AB724" t="n">
        <v>28.1114</v>
      </c>
      <c r="AC724" t="n">
        <v>9.3705</v>
      </c>
      <c r="AD724" t="n">
        <v>795.6559999999999</v>
      </c>
      <c r="AE724" t="n">
        <v>1020.547</v>
      </c>
      <c r="AF724" t="n">
        <v>0.911</v>
      </c>
      <c r="AG724" t="inlineStr">
        <is>
          <t>Medium</t>
        </is>
      </c>
      <c r="AH724" t="inlineStr">
        <is>
          <t>On Track to Glide Path</t>
        </is>
      </c>
    </row>
    <row r="725">
      <c r="A725" t="inlineStr">
        <is>
          <t>SUP-0046</t>
        </is>
      </c>
      <c r="B725" t="inlineStr">
        <is>
          <t>Textiles Supplier 046</t>
        </is>
      </c>
      <c r="C725" t="inlineStr">
        <is>
          <t>Textiles</t>
        </is>
      </c>
      <c r="D725" t="n">
        <v>2024</v>
      </c>
      <c r="E725" t="n">
        <v>2015</v>
      </c>
      <c r="F725" t="n">
        <v>2030</v>
      </c>
      <c r="G725" t="n">
        <v>301.8451</v>
      </c>
      <c r="H725" t="n">
        <v>46.1148</v>
      </c>
      <c r="I725" t="n">
        <v>48.2149</v>
      </c>
      <c r="J725" t="n">
        <v>202.6606</v>
      </c>
      <c r="K725" t="n">
        <v>1364268.71</v>
      </c>
      <c r="L725" t="n">
        <v>16401506.49</v>
      </c>
      <c r="M725" t="n">
        <v>301.8451</v>
      </c>
      <c r="N725" t="inlineStr">
        <is>
          <t>Supplier Reported Emissions</t>
        </is>
      </c>
      <c r="O725" t="b">
        <v>0</v>
      </c>
      <c r="P725" t="inlineStr">
        <is>
          <t>High</t>
        </is>
      </c>
      <c r="Q725" t="inlineStr">
        <is>
          <t>None</t>
        </is>
      </c>
      <c r="R725" t="inlineStr">
        <is>
          <t>Valid</t>
        </is>
      </c>
      <c r="S725" t="n">
        <v>2028</v>
      </c>
      <c r="T725" t="inlineStr">
        <is>
          <t>Industry Haircut Pathway</t>
        </is>
      </c>
      <c r="U725" t="n">
        <v>443.2574</v>
      </c>
      <c r="V725" t="n">
        <v>302.7005</v>
      </c>
      <c r="W725" t="n">
        <v>321.4414</v>
      </c>
      <c r="X725" t="n">
        <v>321.4414</v>
      </c>
      <c r="Y725" t="n">
        <v>121.816</v>
      </c>
      <c r="Z725" t="n">
        <v>0.00023561</v>
      </c>
      <c r="AA725" t="n">
        <v>0.27482</v>
      </c>
      <c r="AB725" t="n">
        <v>18.7409</v>
      </c>
      <c r="AC725" t="n">
        <v>9.3705</v>
      </c>
      <c r="AD725" t="n">
        <v>474.2146</v>
      </c>
      <c r="AE725" t="n">
        <v>1341.9884</v>
      </c>
      <c r="AF725" t="n">
        <v>0.911</v>
      </c>
      <c r="AG725" t="inlineStr">
        <is>
          <t>Medium</t>
        </is>
      </c>
      <c r="AH725" t="inlineStr">
        <is>
          <t>On Track to Glide Path</t>
        </is>
      </c>
    </row>
    <row r="726">
      <c r="A726" t="inlineStr">
        <is>
          <t>SUP-0046</t>
        </is>
      </c>
      <c r="B726" t="inlineStr">
        <is>
          <t>Textiles Supplier 046</t>
        </is>
      </c>
      <c r="C726" t="inlineStr">
        <is>
          <t>Textiles</t>
        </is>
      </c>
      <c r="D726" t="n">
        <v>2024</v>
      </c>
      <c r="E726" t="n">
        <v>2015</v>
      </c>
      <c r="F726" t="n">
        <v>2030</v>
      </c>
      <c r="G726" t="n">
        <v>301.8451</v>
      </c>
      <c r="H726" t="n">
        <v>46.1148</v>
      </c>
      <c r="I726" t="n">
        <v>48.2149</v>
      </c>
      <c r="J726" t="n">
        <v>202.6606</v>
      </c>
      <c r="K726" t="n">
        <v>1364268.71</v>
      </c>
      <c r="L726" t="n">
        <v>16401506.49</v>
      </c>
      <c r="M726" t="n">
        <v>301.8451</v>
      </c>
      <c r="N726" t="inlineStr">
        <is>
          <t>Supplier Reported Emissions</t>
        </is>
      </c>
      <c r="O726" t="b">
        <v>0</v>
      </c>
      <c r="P726" t="inlineStr">
        <is>
          <t>High</t>
        </is>
      </c>
      <c r="Q726" t="inlineStr">
        <is>
          <t>None</t>
        </is>
      </c>
      <c r="R726" t="inlineStr">
        <is>
          <t>Valid</t>
        </is>
      </c>
      <c r="S726" t="n">
        <v>2029</v>
      </c>
      <c r="T726" t="inlineStr">
        <is>
          <t>Industry Haircut Pathway</t>
        </is>
      </c>
      <c r="U726" t="n">
        <v>443.2574</v>
      </c>
      <c r="V726" t="n">
        <v>302.7005</v>
      </c>
      <c r="W726" t="n">
        <v>312.0709</v>
      </c>
      <c r="X726" t="n">
        <v>312.0709</v>
      </c>
      <c r="Y726" t="n">
        <v>131.1865</v>
      </c>
      <c r="Z726" t="n">
        <v>0.00022875</v>
      </c>
      <c r="AA726" t="n">
        <v>0.29596</v>
      </c>
      <c r="AB726" t="n">
        <v>9.3705</v>
      </c>
      <c r="AC726" t="n">
        <v>9.3705</v>
      </c>
      <c r="AD726" t="n">
        <v>162.1437</v>
      </c>
      <c r="AE726" t="n">
        <v>1654.0593</v>
      </c>
      <c r="AF726" t="n">
        <v>0.911</v>
      </c>
      <c r="AG726" t="inlineStr">
        <is>
          <t>Medium</t>
        </is>
      </c>
      <c r="AH726" t="inlineStr">
        <is>
          <t>On Track to Glide Path</t>
        </is>
      </c>
    </row>
    <row r="727">
      <c r="A727" t="inlineStr">
        <is>
          <t>SUP-0046</t>
        </is>
      </c>
      <c r="B727" t="inlineStr">
        <is>
          <t>Textiles Supplier 046</t>
        </is>
      </c>
      <c r="C727" t="inlineStr">
        <is>
          <t>Textiles</t>
        </is>
      </c>
      <c r="D727" t="n">
        <v>2024</v>
      </c>
      <c r="E727" t="n">
        <v>2015</v>
      </c>
      <c r="F727" t="n">
        <v>2030</v>
      </c>
      <c r="G727" t="n">
        <v>301.8451</v>
      </c>
      <c r="H727" t="n">
        <v>46.1148</v>
      </c>
      <c r="I727" t="n">
        <v>48.2149</v>
      </c>
      <c r="J727" t="n">
        <v>202.6606</v>
      </c>
      <c r="K727" t="n">
        <v>1364268.71</v>
      </c>
      <c r="L727" t="n">
        <v>16401506.49</v>
      </c>
      <c r="M727" t="n">
        <v>301.8451</v>
      </c>
      <c r="N727" t="inlineStr">
        <is>
          <t>Supplier Reported Emissions</t>
        </is>
      </c>
      <c r="O727" t="b">
        <v>0</v>
      </c>
      <c r="P727" t="inlineStr">
        <is>
          <t>High</t>
        </is>
      </c>
      <c r="Q727" t="inlineStr">
        <is>
          <t>None</t>
        </is>
      </c>
      <c r="R727" t="inlineStr">
        <is>
          <t>Valid</t>
        </is>
      </c>
      <c r="S727" t="n">
        <v>2030</v>
      </c>
      <c r="T727" t="inlineStr">
        <is>
          <t>Industry Haircut Pathway</t>
        </is>
      </c>
      <c r="U727" t="n">
        <v>443.2574</v>
      </c>
      <c r="V727" t="n">
        <v>302.7005</v>
      </c>
      <c r="W727" t="n">
        <v>302.7005</v>
      </c>
      <c r="X727" t="n">
        <v>302.7005</v>
      </c>
      <c r="Y727" t="n">
        <v>140.5569</v>
      </c>
      <c r="Z727" t="n">
        <v>0.00022188</v>
      </c>
      <c r="AA727" t="n">
        <v>0.3171</v>
      </c>
      <c r="AB727" t="n">
        <v>0</v>
      </c>
      <c r="AC727" t="n">
        <v>9.3705</v>
      </c>
      <c r="AD727" t="n">
        <v>-140.5568</v>
      </c>
      <c r="AE727" t="n">
        <v>1956.7598</v>
      </c>
      <c r="AF727" t="n">
        <v>0.911</v>
      </c>
      <c r="AG727" t="inlineStr">
        <is>
          <t>Low</t>
        </is>
      </c>
      <c r="AH727" t="inlineStr">
        <is>
          <t>On Track</t>
        </is>
      </c>
    </row>
    <row r="728">
      <c r="A728" t="inlineStr">
        <is>
          <t>SUP-0046</t>
        </is>
      </c>
      <c r="B728" t="inlineStr">
        <is>
          <t>Textiles Supplier 046</t>
        </is>
      </c>
      <c r="C728" t="inlineStr">
        <is>
          <t>Textiles</t>
        </is>
      </c>
      <c r="D728" t="n">
        <v>2024</v>
      </c>
      <c r="E728" t="n">
        <v>2015</v>
      </c>
      <c r="F728" t="n">
        <v>2030</v>
      </c>
      <c r="G728" t="n">
        <v>301.8451</v>
      </c>
      <c r="H728" t="n">
        <v>46.1148</v>
      </c>
      <c r="I728" t="n">
        <v>48.2149</v>
      </c>
      <c r="J728" t="n">
        <v>202.6606</v>
      </c>
      <c r="K728" t="n">
        <v>1364268.71</v>
      </c>
      <c r="L728" t="n">
        <v>16401506.49</v>
      </c>
      <c r="M728" t="n">
        <v>301.8451</v>
      </c>
      <c r="N728" t="inlineStr">
        <is>
          <t>Supplier Reported Emissions</t>
        </is>
      </c>
      <c r="O728" t="b">
        <v>0</v>
      </c>
      <c r="P728" t="inlineStr">
        <is>
          <t>High</t>
        </is>
      </c>
      <c r="Q728" t="inlineStr">
        <is>
          <t>None</t>
        </is>
      </c>
      <c r="R728" t="inlineStr">
        <is>
          <t>Valid</t>
        </is>
      </c>
      <c r="S728" t="n">
        <v>2031</v>
      </c>
      <c r="T728" t="inlineStr">
        <is>
          <t>Industry Haircut Pathway</t>
        </is>
      </c>
      <c r="U728" t="n">
        <v>443.2574</v>
      </c>
      <c r="V728" t="n">
        <v>302.7005</v>
      </c>
      <c r="W728" t="n">
        <v>302.7005</v>
      </c>
      <c r="X728" t="n">
        <v>302.7005</v>
      </c>
      <c r="Y728" t="n">
        <v>140.5569</v>
      </c>
      <c r="Z728" t="n">
        <v>0.00022188</v>
      </c>
      <c r="AA728" t="n">
        <v>0.3171</v>
      </c>
      <c r="AB728" t="n">
        <v>0</v>
      </c>
      <c r="AC728" t="n">
        <v>9.3705</v>
      </c>
      <c r="AD728" t="n">
        <v>-443.2573</v>
      </c>
      <c r="AE728" t="n">
        <v>2259.4603</v>
      </c>
      <c r="AF728" t="n">
        <v>0.911</v>
      </c>
      <c r="AG728" t="inlineStr">
        <is>
          <t>Low</t>
        </is>
      </c>
      <c r="AH728" t="inlineStr">
        <is>
          <t>On Track</t>
        </is>
      </c>
    </row>
    <row r="729">
      <c r="A729" t="inlineStr">
        <is>
          <t>SUP-0046</t>
        </is>
      </c>
      <c r="B729" t="inlineStr">
        <is>
          <t>Textiles Supplier 046</t>
        </is>
      </c>
      <c r="C729" t="inlineStr">
        <is>
          <t>Textiles</t>
        </is>
      </c>
      <c r="D729" t="n">
        <v>2024</v>
      </c>
      <c r="E729" t="n">
        <v>2015</v>
      </c>
      <c r="F729" t="n">
        <v>2030</v>
      </c>
      <c r="G729" t="n">
        <v>301.8451</v>
      </c>
      <c r="H729" t="n">
        <v>46.1148</v>
      </c>
      <c r="I729" t="n">
        <v>48.2149</v>
      </c>
      <c r="J729" t="n">
        <v>202.6606</v>
      </c>
      <c r="K729" t="n">
        <v>1364268.71</v>
      </c>
      <c r="L729" t="n">
        <v>16401506.49</v>
      </c>
      <c r="M729" t="n">
        <v>301.8451</v>
      </c>
      <c r="N729" t="inlineStr">
        <is>
          <t>Supplier Reported Emissions</t>
        </is>
      </c>
      <c r="O729" t="b">
        <v>0</v>
      </c>
      <c r="P729" t="inlineStr">
        <is>
          <t>High</t>
        </is>
      </c>
      <c r="Q729" t="inlineStr">
        <is>
          <t>None</t>
        </is>
      </c>
      <c r="R729" t="inlineStr">
        <is>
          <t>Valid</t>
        </is>
      </c>
      <c r="S729" t="n">
        <v>2032</v>
      </c>
      <c r="T729" t="inlineStr">
        <is>
          <t>Industry Haircut Pathway</t>
        </is>
      </c>
      <c r="U729" t="n">
        <v>443.2574</v>
      </c>
      <c r="V729" t="n">
        <v>302.7005</v>
      </c>
      <c r="W729" t="n">
        <v>302.7005</v>
      </c>
      <c r="X729" t="n">
        <v>302.7005</v>
      </c>
      <c r="Y729" t="n">
        <v>140.5569</v>
      </c>
      <c r="Z729" t="n">
        <v>0.00022188</v>
      </c>
      <c r="AA729" t="n">
        <v>0.3171</v>
      </c>
      <c r="AB729" t="n">
        <v>0</v>
      </c>
      <c r="AC729" t="n">
        <v>9.3705</v>
      </c>
      <c r="AD729" t="n">
        <v>-745.9578</v>
      </c>
      <c r="AE729" t="n">
        <v>2562.1608</v>
      </c>
      <c r="AF729" t="n">
        <v>0.911</v>
      </c>
      <c r="AG729" t="inlineStr">
        <is>
          <t>Low</t>
        </is>
      </c>
      <c r="AH729" t="inlineStr">
        <is>
          <t>On Track</t>
        </is>
      </c>
    </row>
    <row r="730">
      <c r="A730" t="inlineStr">
        <is>
          <t>SUP-0046</t>
        </is>
      </c>
      <c r="B730" t="inlineStr">
        <is>
          <t>Textiles Supplier 046</t>
        </is>
      </c>
      <c r="C730" t="inlineStr">
        <is>
          <t>Textiles</t>
        </is>
      </c>
      <c r="D730" t="n">
        <v>2024</v>
      </c>
      <c r="E730" t="n">
        <v>2015</v>
      </c>
      <c r="F730" t="n">
        <v>2030</v>
      </c>
      <c r="G730" t="n">
        <v>301.8451</v>
      </c>
      <c r="H730" t="n">
        <v>46.1148</v>
      </c>
      <c r="I730" t="n">
        <v>48.2149</v>
      </c>
      <c r="J730" t="n">
        <v>202.6606</v>
      </c>
      <c r="K730" t="n">
        <v>1364268.71</v>
      </c>
      <c r="L730" t="n">
        <v>16401506.49</v>
      </c>
      <c r="M730" t="n">
        <v>301.8451</v>
      </c>
      <c r="N730" t="inlineStr">
        <is>
          <t>Supplier Reported Emissions</t>
        </is>
      </c>
      <c r="O730" t="b">
        <v>0</v>
      </c>
      <c r="P730" t="inlineStr">
        <is>
          <t>High</t>
        </is>
      </c>
      <c r="Q730" t="inlineStr">
        <is>
          <t>None</t>
        </is>
      </c>
      <c r="R730" t="inlineStr">
        <is>
          <t>Valid</t>
        </is>
      </c>
      <c r="S730" t="n">
        <v>2033</v>
      </c>
      <c r="T730" t="inlineStr">
        <is>
          <t>Industry Haircut Pathway</t>
        </is>
      </c>
      <c r="U730" t="n">
        <v>443.2574</v>
      </c>
      <c r="V730" t="n">
        <v>302.7005</v>
      </c>
      <c r="W730" t="n">
        <v>302.7005</v>
      </c>
      <c r="X730" t="n">
        <v>302.7005</v>
      </c>
      <c r="Y730" t="n">
        <v>140.5569</v>
      </c>
      <c r="Z730" t="n">
        <v>0.00022188</v>
      </c>
      <c r="AA730" t="n">
        <v>0.3171</v>
      </c>
      <c r="AB730" t="n">
        <v>0</v>
      </c>
      <c r="AC730" t="n">
        <v>9.3705</v>
      </c>
      <c r="AD730" t="n">
        <v>-1048.6583</v>
      </c>
      <c r="AE730" t="n">
        <v>2864.8613</v>
      </c>
      <c r="AF730" t="n">
        <v>0.911</v>
      </c>
      <c r="AG730" t="inlineStr">
        <is>
          <t>Low</t>
        </is>
      </c>
      <c r="AH730" t="inlineStr">
        <is>
          <t>On Track</t>
        </is>
      </c>
    </row>
    <row r="731">
      <c r="A731" t="inlineStr">
        <is>
          <t>SUP-0046</t>
        </is>
      </c>
      <c r="B731" t="inlineStr">
        <is>
          <t>Textiles Supplier 046</t>
        </is>
      </c>
      <c r="C731" t="inlineStr">
        <is>
          <t>Textiles</t>
        </is>
      </c>
      <c r="D731" t="n">
        <v>2024</v>
      </c>
      <c r="E731" t="n">
        <v>2015</v>
      </c>
      <c r="F731" t="n">
        <v>2030</v>
      </c>
      <c r="G731" t="n">
        <v>301.8451</v>
      </c>
      <c r="H731" t="n">
        <v>46.1148</v>
      </c>
      <c r="I731" t="n">
        <v>48.2149</v>
      </c>
      <c r="J731" t="n">
        <v>202.6606</v>
      </c>
      <c r="K731" t="n">
        <v>1364268.71</v>
      </c>
      <c r="L731" t="n">
        <v>16401506.49</v>
      </c>
      <c r="M731" t="n">
        <v>301.8451</v>
      </c>
      <c r="N731" t="inlineStr">
        <is>
          <t>Supplier Reported Emissions</t>
        </is>
      </c>
      <c r="O731" t="b">
        <v>0</v>
      </c>
      <c r="P731" t="inlineStr">
        <is>
          <t>High</t>
        </is>
      </c>
      <c r="Q731" t="inlineStr">
        <is>
          <t>None</t>
        </is>
      </c>
      <c r="R731" t="inlineStr">
        <is>
          <t>Valid</t>
        </is>
      </c>
      <c r="S731" t="n">
        <v>2034</v>
      </c>
      <c r="T731" t="inlineStr">
        <is>
          <t>Industry Haircut Pathway</t>
        </is>
      </c>
      <c r="U731" t="n">
        <v>443.2574</v>
      </c>
      <c r="V731" t="n">
        <v>302.7005</v>
      </c>
      <c r="W731" t="n">
        <v>302.7005</v>
      </c>
      <c r="X731" t="n">
        <v>302.7005</v>
      </c>
      <c r="Y731" t="n">
        <v>140.5569</v>
      </c>
      <c r="Z731" t="n">
        <v>0.00022188</v>
      </c>
      <c r="AA731" t="n">
        <v>0.3171</v>
      </c>
      <c r="AB731" t="n">
        <v>0</v>
      </c>
      <c r="AC731" t="n">
        <v>9.3705</v>
      </c>
      <c r="AD731" t="n">
        <v>-1351.3588</v>
      </c>
      <c r="AE731" t="n">
        <v>3167.5618</v>
      </c>
      <c r="AF731" t="n">
        <v>0.911</v>
      </c>
      <c r="AG731" t="inlineStr">
        <is>
          <t>Low</t>
        </is>
      </c>
      <c r="AH731" t="inlineStr">
        <is>
          <t>On Track</t>
        </is>
      </c>
    </row>
    <row r="732">
      <c r="A732" t="inlineStr">
        <is>
          <t>SUP-0046</t>
        </is>
      </c>
      <c r="B732" t="inlineStr">
        <is>
          <t>Textiles Supplier 046</t>
        </is>
      </c>
      <c r="C732" t="inlineStr">
        <is>
          <t>Textiles</t>
        </is>
      </c>
      <c r="D732" t="n">
        <v>2024</v>
      </c>
      <c r="E732" t="n">
        <v>2015</v>
      </c>
      <c r="F732" t="n">
        <v>2030</v>
      </c>
      <c r="G732" t="n">
        <v>301.8451</v>
      </c>
      <c r="H732" t="n">
        <v>46.1148</v>
      </c>
      <c r="I732" t="n">
        <v>48.2149</v>
      </c>
      <c r="J732" t="n">
        <v>202.6606</v>
      </c>
      <c r="K732" t="n">
        <v>1364268.71</v>
      </c>
      <c r="L732" t="n">
        <v>16401506.49</v>
      </c>
      <c r="M732" t="n">
        <v>301.8451</v>
      </c>
      <c r="N732" t="inlineStr">
        <is>
          <t>Supplier Reported Emissions</t>
        </is>
      </c>
      <c r="O732" t="b">
        <v>0</v>
      </c>
      <c r="P732" t="inlineStr">
        <is>
          <t>High</t>
        </is>
      </c>
      <c r="Q732" t="inlineStr">
        <is>
          <t>None</t>
        </is>
      </c>
      <c r="R732" t="inlineStr">
        <is>
          <t>Valid</t>
        </is>
      </c>
      <c r="S732" t="n">
        <v>2035</v>
      </c>
      <c r="T732" t="inlineStr">
        <is>
          <t>Industry Haircut Pathway</t>
        </is>
      </c>
      <c r="U732" t="n">
        <v>443.2574</v>
      </c>
      <c r="V732" t="n">
        <v>302.7005</v>
      </c>
      <c r="W732" t="n">
        <v>302.7005</v>
      </c>
      <c r="X732" t="n">
        <v>302.7005</v>
      </c>
      <c r="Y732" t="n">
        <v>140.5569</v>
      </c>
      <c r="Z732" t="n">
        <v>0.00022188</v>
      </c>
      <c r="AA732" t="n">
        <v>0.3171</v>
      </c>
      <c r="AB732" t="n">
        <v>0</v>
      </c>
      <c r="AC732" t="n">
        <v>9.3705</v>
      </c>
      <c r="AD732" t="n">
        <v>-1654.0593</v>
      </c>
      <c r="AE732" t="n">
        <v>3470.2623</v>
      </c>
      <c r="AF732" t="n">
        <v>0.911</v>
      </c>
      <c r="AG732" t="inlineStr">
        <is>
          <t>Low</t>
        </is>
      </c>
      <c r="AH732" t="inlineStr">
        <is>
          <t>On Track</t>
        </is>
      </c>
    </row>
    <row r="733">
      <c r="A733" t="inlineStr">
        <is>
          <t>SUP-0046</t>
        </is>
      </c>
      <c r="B733" t="inlineStr">
        <is>
          <t>Textiles Supplier 046</t>
        </is>
      </c>
      <c r="C733" t="inlineStr">
        <is>
          <t>Textiles</t>
        </is>
      </c>
      <c r="D733" t="n">
        <v>2024</v>
      </c>
      <c r="E733" t="n">
        <v>2015</v>
      </c>
      <c r="F733" t="n">
        <v>2030</v>
      </c>
      <c r="G733" t="n">
        <v>301.8451</v>
      </c>
      <c r="H733" t="n">
        <v>46.1148</v>
      </c>
      <c r="I733" t="n">
        <v>48.2149</v>
      </c>
      <c r="J733" t="n">
        <v>202.6606</v>
      </c>
      <c r="K733" t="n">
        <v>1364268.71</v>
      </c>
      <c r="L733" t="n">
        <v>16401506.49</v>
      </c>
      <c r="M733" t="n">
        <v>301.8451</v>
      </c>
      <c r="N733" t="inlineStr">
        <is>
          <t>Supplier Reported Emissions</t>
        </is>
      </c>
      <c r="O733" t="b">
        <v>0</v>
      </c>
      <c r="P733" t="inlineStr">
        <is>
          <t>High</t>
        </is>
      </c>
      <c r="Q733" t="inlineStr">
        <is>
          <t>None</t>
        </is>
      </c>
      <c r="R733" t="inlineStr">
        <is>
          <t>Valid</t>
        </is>
      </c>
      <c r="S733" t="n">
        <v>2036</v>
      </c>
      <c r="T733" t="inlineStr">
        <is>
          <t>Industry Haircut Pathway</t>
        </is>
      </c>
      <c r="U733" t="n">
        <v>443.2574</v>
      </c>
      <c r="V733" t="n">
        <v>302.7005</v>
      </c>
      <c r="W733" t="n">
        <v>302.7005</v>
      </c>
      <c r="X733" t="n">
        <v>302.7005</v>
      </c>
      <c r="Y733" t="n">
        <v>140.5569</v>
      </c>
      <c r="Z733" t="n">
        <v>0.00022188</v>
      </c>
      <c r="AA733" t="n">
        <v>0.3171</v>
      </c>
      <c r="AB733" t="n">
        <v>0</v>
      </c>
      <c r="AC733" t="n">
        <v>9.3705</v>
      </c>
      <c r="AD733" t="n">
        <v>-1956.7598</v>
      </c>
      <c r="AE733" t="n">
        <v>3772.9628</v>
      </c>
      <c r="AF733" t="n">
        <v>0.911</v>
      </c>
      <c r="AG733" t="inlineStr">
        <is>
          <t>Low</t>
        </is>
      </c>
      <c r="AH733" t="inlineStr">
        <is>
          <t>On Track</t>
        </is>
      </c>
    </row>
    <row r="734">
      <c r="A734" t="inlineStr">
        <is>
          <t>SUP-0046</t>
        </is>
      </c>
      <c r="B734" t="inlineStr">
        <is>
          <t>Textiles Supplier 046</t>
        </is>
      </c>
      <c r="C734" t="inlineStr">
        <is>
          <t>Textiles</t>
        </is>
      </c>
      <c r="D734" t="n">
        <v>2024</v>
      </c>
      <c r="E734" t="n">
        <v>2015</v>
      </c>
      <c r="F734" t="n">
        <v>2030</v>
      </c>
      <c r="G734" t="n">
        <v>301.8451</v>
      </c>
      <c r="H734" t="n">
        <v>46.1148</v>
      </c>
      <c r="I734" t="n">
        <v>48.2149</v>
      </c>
      <c r="J734" t="n">
        <v>202.6606</v>
      </c>
      <c r="K734" t="n">
        <v>1364268.71</v>
      </c>
      <c r="L734" t="n">
        <v>16401506.49</v>
      </c>
      <c r="M734" t="n">
        <v>301.8451</v>
      </c>
      <c r="N734" t="inlineStr">
        <is>
          <t>Supplier Reported Emissions</t>
        </is>
      </c>
      <c r="O734" t="b">
        <v>0</v>
      </c>
      <c r="P734" t="inlineStr">
        <is>
          <t>High</t>
        </is>
      </c>
      <c r="Q734" t="inlineStr">
        <is>
          <t>None</t>
        </is>
      </c>
      <c r="R734" t="inlineStr">
        <is>
          <t>Valid</t>
        </is>
      </c>
      <c r="S734" t="n">
        <v>2037</v>
      </c>
      <c r="T734" t="inlineStr">
        <is>
          <t>Industry Haircut Pathway</t>
        </is>
      </c>
      <c r="U734" t="n">
        <v>443.2574</v>
      </c>
      <c r="V734" t="n">
        <v>302.7005</v>
      </c>
      <c r="W734" t="n">
        <v>302.7005</v>
      </c>
      <c r="X734" t="n">
        <v>302.7005</v>
      </c>
      <c r="Y734" t="n">
        <v>140.5569</v>
      </c>
      <c r="Z734" t="n">
        <v>0.00022188</v>
      </c>
      <c r="AA734" t="n">
        <v>0.3171</v>
      </c>
      <c r="AB734" t="n">
        <v>0</v>
      </c>
      <c r="AC734" t="n">
        <v>9.3705</v>
      </c>
      <c r="AD734" t="n">
        <v>-2259.4603</v>
      </c>
      <c r="AE734" t="n">
        <v>4075.6633</v>
      </c>
      <c r="AF734" t="n">
        <v>0.911</v>
      </c>
      <c r="AG734" t="inlineStr">
        <is>
          <t>Low</t>
        </is>
      </c>
      <c r="AH734" t="inlineStr">
        <is>
          <t>On Track</t>
        </is>
      </c>
    </row>
    <row r="735">
      <c r="A735" t="inlineStr">
        <is>
          <t>SUP-0046</t>
        </is>
      </c>
      <c r="B735" t="inlineStr">
        <is>
          <t>Textiles Supplier 046</t>
        </is>
      </c>
      <c r="C735" t="inlineStr">
        <is>
          <t>Textiles</t>
        </is>
      </c>
      <c r="D735" t="n">
        <v>2024</v>
      </c>
      <c r="E735" t="n">
        <v>2015</v>
      </c>
      <c r="F735" t="n">
        <v>2030</v>
      </c>
      <c r="G735" t="n">
        <v>301.8451</v>
      </c>
      <c r="H735" t="n">
        <v>46.1148</v>
      </c>
      <c r="I735" t="n">
        <v>48.2149</v>
      </c>
      <c r="J735" t="n">
        <v>202.6606</v>
      </c>
      <c r="K735" t="n">
        <v>1364268.71</v>
      </c>
      <c r="L735" t="n">
        <v>16401506.49</v>
      </c>
      <c r="M735" t="n">
        <v>301.8451</v>
      </c>
      <c r="N735" t="inlineStr">
        <is>
          <t>Supplier Reported Emissions</t>
        </is>
      </c>
      <c r="O735" t="b">
        <v>0</v>
      </c>
      <c r="P735" t="inlineStr">
        <is>
          <t>High</t>
        </is>
      </c>
      <c r="Q735" t="inlineStr">
        <is>
          <t>None</t>
        </is>
      </c>
      <c r="R735" t="inlineStr">
        <is>
          <t>Valid</t>
        </is>
      </c>
      <c r="S735" t="n">
        <v>2038</v>
      </c>
      <c r="T735" t="inlineStr">
        <is>
          <t>Industry Haircut Pathway</t>
        </is>
      </c>
      <c r="U735" t="n">
        <v>443.2574</v>
      </c>
      <c r="V735" t="n">
        <v>302.7005</v>
      </c>
      <c r="W735" t="n">
        <v>302.7005</v>
      </c>
      <c r="X735" t="n">
        <v>302.7005</v>
      </c>
      <c r="Y735" t="n">
        <v>140.5569</v>
      </c>
      <c r="Z735" t="n">
        <v>0.00022188</v>
      </c>
      <c r="AA735" t="n">
        <v>0.3171</v>
      </c>
      <c r="AB735" t="n">
        <v>0</v>
      </c>
      <c r="AC735" t="n">
        <v>9.3705</v>
      </c>
      <c r="AD735" t="n">
        <v>-2562.1608</v>
      </c>
      <c r="AE735" t="n">
        <v>4378.3638</v>
      </c>
      <c r="AF735" t="n">
        <v>0.911</v>
      </c>
      <c r="AG735" t="inlineStr">
        <is>
          <t>Low</t>
        </is>
      </c>
      <c r="AH735" t="inlineStr">
        <is>
          <t>On Track</t>
        </is>
      </c>
    </row>
    <row r="736">
      <c r="A736" t="inlineStr">
        <is>
          <t>SUP-0046</t>
        </is>
      </c>
      <c r="B736" t="inlineStr">
        <is>
          <t>Textiles Supplier 046</t>
        </is>
      </c>
      <c r="C736" t="inlineStr">
        <is>
          <t>Textiles</t>
        </is>
      </c>
      <c r="D736" t="n">
        <v>2024</v>
      </c>
      <c r="E736" t="n">
        <v>2015</v>
      </c>
      <c r="F736" t="n">
        <v>2030</v>
      </c>
      <c r="G736" t="n">
        <v>301.8451</v>
      </c>
      <c r="H736" t="n">
        <v>46.1148</v>
      </c>
      <c r="I736" t="n">
        <v>48.2149</v>
      </c>
      <c r="J736" t="n">
        <v>202.6606</v>
      </c>
      <c r="K736" t="n">
        <v>1364268.71</v>
      </c>
      <c r="L736" t="n">
        <v>16401506.49</v>
      </c>
      <c r="M736" t="n">
        <v>301.8451</v>
      </c>
      <c r="N736" t="inlineStr">
        <is>
          <t>Supplier Reported Emissions</t>
        </is>
      </c>
      <c r="O736" t="b">
        <v>0</v>
      </c>
      <c r="P736" t="inlineStr">
        <is>
          <t>High</t>
        </is>
      </c>
      <c r="Q736" t="inlineStr">
        <is>
          <t>None</t>
        </is>
      </c>
      <c r="R736" t="inlineStr">
        <is>
          <t>Valid</t>
        </is>
      </c>
      <c r="S736" t="n">
        <v>2039</v>
      </c>
      <c r="T736" t="inlineStr">
        <is>
          <t>Industry Haircut Pathway</t>
        </is>
      </c>
      <c r="U736" t="n">
        <v>443.2574</v>
      </c>
      <c r="V736" t="n">
        <v>302.7005</v>
      </c>
      <c r="W736" t="n">
        <v>302.7005</v>
      </c>
      <c r="X736" t="n">
        <v>302.7005</v>
      </c>
      <c r="Y736" t="n">
        <v>140.5569</v>
      </c>
      <c r="Z736" t="n">
        <v>0.00022188</v>
      </c>
      <c r="AA736" t="n">
        <v>0.3171</v>
      </c>
      <c r="AB736" t="n">
        <v>0</v>
      </c>
      <c r="AC736" t="n">
        <v>9.3705</v>
      </c>
      <c r="AD736" t="n">
        <v>-2864.8613</v>
      </c>
      <c r="AE736" t="n">
        <v>4681.0643</v>
      </c>
      <c r="AF736" t="n">
        <v>0.911</v>
      </c>
      <c r="AG736" t="inlineStr">
        <is>
          <t>Low</t>
        </is>
      </c>
      <c r="AH736" t="inlineStr">
        <is>
          <t>On Track</t>
        </is>
      </c>
    </row>
    <row r="737">
      <c r="A737" t="inlineStr">
        <is>
          <t>SUP-0046</t>
        </is>
      </c>
      <c r="B737" t="inlineStr">
        <is>
          <t>Textiles Supplier 046</t>
        </is>
      </c>
      <c r="C737" t="inlineStr">
        <is>
          <t>Textiles</t>
        </is>
      </c>
      <c r="D737" t="n">
        <v>2024</v>
      </c>
      <c r="E737" t="n">
        <v>2015</v>
      </c>
      <c r="F737" t="n">
        <v>2030</v>
      </c>
      <c r="G737" t="n">
        <v>301.8451</v>
      </c>
      <c r="H737" t="n">
        <v>46.1148</v>
      </c>
      <c r="I737" t="n">
        <v>48.2149</v>
      </c>
      <c r="J737" t="n">
        <v>202.6606</v>
      </c>
      <c r="K737" t="n">
        <v>1364268.71</v>
      </c>
      <c r="L737" t="n">
        <v>16401506.49</v>
      </c>
      <c r="M737" t="n">
        <v>301.8451</v>
      </c>
      <c r="N737" t="inlineStr">
        <is>
          <t>Supplier Reported Emissions</t>
        </is>
      </c>
      <c r="O737" t="b">
        <v>0</v>
      </c>
      <c r="P737" t="inlineStr">
        <is>
          <t>High</t>
        </is>
      </c>
      <c r="Q737" t="inlineStr">
        <is>
          <t>None</t>
        </is>
      </c>
      <c r="R737" t="inlineStr">
        <is>
          <t>Valid</t>
        </is>
      </c>
      <c r="S737" t="n">
        <v>2040</v>
      </c>
      <c r="T737" t="inlineStr">
        <is>
          <t>Industry Haircut Pathway</t>
        </is>
      </c>
      <c r="U737" t="n">
        <v>443.2574</v>
      </c>
      <c r="V737" t="n">
        <v>302.7005</v>
      </c>
      <c r="W737" t="n">
        <v>302.7005</v>
      </c>
      <c r="X737" t="n">
        <v>302.7005</v>
      </c>
      <c r="Y737" t="n">
        <v>140.5569</v>
      </c>
      <c r="Z737" t="n">
        <v>0.00022188</v>
      </c>
      <c r="AA737" t="n">
        <v>0.3171</v>
      </c>
      <c r="AB737" t="n">
        <v>0</v>
      </c>
      <c r="AC737" t="n">
        <v>9.3705</v>
      </c>
      <c r="AD737" t="n">
        <v>-3167.5618</v>
      </c>
      <c r="AE737" t="n">
        <v>4983.7648</v>
      </c>
      <c r="AF737" t="n">
        <v>0.911</v>
      </c>
      <c r="AG737" t="inlineStr">
        <is>
          <t>Low</t>
        </is>
      </c>
      <c r="AH737" t="inlineStr">
        <is>
          <t>On Track</t>
        </is>
      </c>
    </row>
    <row r="738">
      <c r="A738" t="inlineStr">
        <is>
          <t>SUP-0047</t>
        </is>
      </c>
      <c r="B738" t="inlineStr">
        <is>
          <t>Packaging Supplier 047</t>
        </is>
      </c>
      <c r="C738" t="inlineStr">
        <is>
          <t>Packaging</t>
        </is>
      </c>
      <c r="D738" t="n">
        <v>2024</v>
      </c>
      <c r="E738" t="n">
        <v>2018</v>
      </c>
      <c r="F738" t="n">
        <v>2040</v>
      </c>
      <c r="G738" t="n">
        <v>49116.488</v>
      </c>
      <c r="H738" t="n">
        <v>10460.8548</v>
      </c>
      <c r="I738" t="n">
        <v>9550.4494</v>
      </c>
      <c r="J738" t="n">
        <v>29214.3236</v>
      </c>
      <c r="K738" t="n">
        <v>34224773.76</v>
      </c>
      <c r="L738" t="inlineStr"/>
      <c r="M738" t="n">
        <v>49116.488</v>
      </c>
      <c r="N738" t="inlineStr">
        <is>
          <t>Supplier Reported Emissions</t>
        </is>
      </c>
      <c r="O738" t="b">
        <v>0</v>
      </c>
      <c r="P738" t="inlineStr">
        <is>
          <t>High</t>
        </is>
      </c>
      <c r="Q738" t="inlineStr">
        <is>
          <t>Revenue</t>
        </is>
      </c>
      <c r="R738" t="inlineStr">
        <is>
          <t>Valid</t>
        </is>
      </c>
      <c r="S738" t="n">
        <v>2025</v>
      </c>
      <c r="T738" t="inlineStr">
        <is>
          <t>Supplier Target Pathway</t>
        </is>
      </c>
      <c r="U738" t="n">
        <v>24264.6494</v>
      </c>
      <c r="V738" t="n">
        <v>14706.804</v>
      </c>
      <c r="W738" t="n">
        <v>21223.5168</v>
      </c>
      <c r="X738" t="n">
        <v>21223.5168</v>
      </c>
      <c r="Y738" t="n">
        <v>3041.1326</v>
      </c>
      <c r="Z738" t="n">
        <v>0.00062012</v>
      </c>
      <c r="AA738" t="n">
        <v>0.125332</v>
      </c>
      <c r="AB738" t="n">
        <v>6516.7128</v>
      </c>
      <c r="AC738" t="n">
        <v>434.4475</v>
      </c>
      <c r="AD738" t="n">
        <v>214085.3472</v>
      </c>
      <c r="AE738" t="n">
        <v>21223.5168</v>
      </c>
      <c r="AF738" t="n">
        <v>0.99</v>
      </c>
      <c r="AG738" t="inlineStr">
        <is>
          <t>Critical</t>
        </is>
      </c>
      <c r="AH738" t="inlineStr">
        <is>
          <t>On Track to Glide Path</t>
        </is>
      </c>
    </row>
    <row r="739">
      <c r="A739" t="inlineStr">
        <is>
          <t>SUP-0047</t>
        </is>
      </c>
      <c r="B739" t="inlineStr">
        <is>
          <t>Packaging Supplier 047</t>
        </is>
      </c>
      <c r="C739" t="inlineStr">
        <is>
          <t>Packaging</t>
        </is>
      </c>
      <c r="D739" t="n">
        <v>2024</v>
      </c>
      <c r="E739" t="n">
        <v>2018</v>
      </c>
      <c r="F739" t="n">
        <v>2040</v>
      </c>
      <c r="G739" t="n">
        <v>49116.488</v>
      </c>
      <c r="H739" t="n">
        <v>10460.8548</v>
      </c>
      <c r="I739" t="n">
        <v>9550.4494</v>
      </c>
      <c r="J739" t="n">
        <v>29214.3236</v>
      </c>
      <c r="K739" t="n">
        <v>34224773.76</v>
      </c>
      <c r="L739" t="inlineStr"/>
      <c r="M739" t="n">
        <v>49116.488</v>
      </c>
      <c r="N739" t="inlineStr">
        <is>
          <t>Supplier Reported Emissions</t>
        </is>
      </c>
      <c r="O739" t="b">
        <v>0</v>
      </c>
      <c r="P739" t="inlineStr">
        <is>
          <t>High</t>
        </is>
      </c>
      <c r="Q739" t="inlineStr">
        <is>
          <t>Revenue</t>
        </is>
      </c>
      <c r="R739" t="inlineStr">
        <is>
          <t>Valid</t>
        </is>
      </c>
      <c r="S739" t="n">
        <v>2026</v>
      </c>
      <c r="T739" t="inlineStr">
        <is>
          <t>Supplier Target Pathway</t>
        </is>
      </c>
      <c r="U739" t="n">
        <v>24264.6494</v>
      </c>
      <c r="V739" t="n">
        <v>14706.804</v>
      </c>
      <c r="W739" t="n">
        <v>20789.0693</v>
      </c>
      <c r="X739" t="n">
        <v>20789.0693</v>
      </c>
      <c r="Y739" t="n">
        <v>3475.5801</v>
      </c>
      <c r="Z739" t="n">
        <v>0.0006074299999999999</v>
      </c>
      <c r="AA739" t="n">
        <v>0.143236</v>
      </c>
      <c r="AB739" t="n">
        <v>6082.2653</v>
      </c>
      <c r="AC739" t="n">
        <v>434.4475</v>
      </c>
      <c r="AD739" t="n">
        <v>193296.2779</v>
      </c>
      <c r="AE739" t="n">
        <v>42012.5861</v>
      </c>
      <c r="AF739" t="n">
        <v>0.99</v>
      </c>
      <c r="AG739" t="inlineStr">
        <is>
          <t>Critical</t>
        </is>
      </c>
      <c r="AH739" t="inlineStr">
        <is>
          <t>On Track to Glide Path</t>
        </is>
      </c>
    </row>
    <row r="740">
      <c r="A740" t="inlineStr">
        <is>
          <t>SUP-0047</t>
        </is>
      </c>
      <c r="B740" t="inlineStr">
        <is>
          <t>Packaging Supplier 047</t>
        </is>
      </c>
      <c r="C740" t="inlineStr">
        <is>
          <t>Packaging</t>
        </is>
      </c>
      <c r="D740" t="n">
        <v>2024</v>
      </c>
      <c r="E740" t="n">
        <v>2018</v>
      </c>
      <c r="F740" t="n">
        <v>2040</v>
      </c>
      <c r="G740" t="n">
        <v>49116.488</v>
      </c>
      <c r="H740" t="n">
        <v>10460.8548</v>
      </c>
      <c r="I740" t="n">
        <v>9550.4494</v>
      </c>
      <c r="J740" t="n">
        <v>29214.3236</v>
      </c>
      <c r="K740" t="n">
        <v>34224773.76</v>
      </c>
      <c r="L740" t="inlineStr"/>
      <c r="M740" t="n">
        <v>49116.488</v>
      </c>
      <c r="N740" t="inlineStr">
        <is>
          <t>Supplier Reported Emissions</t>
        </is>
      </c>
      <c r="O740" t="b">
        <v>0</v>
      </c>
      <c r="P740" t="inlineStr">
        <is>
          <t>High</t>
        </is>
      </c>
      <c r="Q740" t="inlineStr">
        <is>
          <t>Revenue</t>
        </is>
      </c>
      <c r="R740" t="inlineStr">
        <is>
          <t>Valid</t>
        </is>
      </c>
      <c r="S740" t="n">
        <v>2027</v>
      </c>
      <c r="T740" t="inlineStr">
        <is>
          <t>Supplier Target Pathway</t>
        </is>
      </c>
      <c r="U740" t="n">
        <v>24264.6494</v>
      </c>
      <c r="V740" t="n">
        <v>14706.804</v>
      </c>
      <c r="W740" t="n">
        <v>20354.6217</v>
      </c>
      <c r="X740" t="n">
        <v>20354.6217</v>
      </c>
      <c r="Y740" t="n">
        <v>3910.0277</v>
      </c>
      <c r="Z740" t="n">
        <v>0.00059473</v>
      </c>
      <c r="AA740" t="n">
        <v>0.161141</v>
      </c>
      <c r="AB740" t="n">
        <v>5647.8177</v>
      </c>
      <c r="AC740" t="n">
        <v>434.4475</v>
      </c>
      <c r="AD740" t="n">
        <v>172941.6562</v>
      </c>
      <c r="AE740" t="n">
        <v>62367.2078</v>
      </c>
      <c r="AF740" t="n">
        <v>0.99</v>
      </c>
      <c r="AG740" t="inlineStr">
        <is>
          <t>Critical</t>
        </is>
      </c>
      <c r="AH740" t="inlineStr">
        <is>
          <t>On Track to Glide Path</t>
        </is>
      </c>
    </row>
    <row r="741">
      <c r="A741" t="inlineStr">
        <is>
          <t>SUP-0047</t>
        </is>
      </c>
      <c r="B741" t="inlineStr">
        <is>
          <t>Packaging Supplier 047</t>
        </is>
      </c>
      <c r="C741" t="inlineStr">
        <is>
          <t>Packaging</t>
        </is>
      </c>
      <c r="D741" t="n">
        <v>2024</v>
      </c>
      <c r="E741" t="n">
        <v>2018</v>
      </c>
      <c r="F741" t="n">
        <v>2040</v>
      </c>
      <c r="G741" t="n">
        <v>49116.488</v>
      </c>
      <c r="H741" t="n">
        <v>10460.8548</v>
      </c>
      <c r="I741" t="n">
        <v>9550.4494</v>
      </c>
      <c r="J741" t="n">
        <v>29214.3236</v>
      </c>
      <c r="K741" t="n">
        <v>34224773.76</v>
      </c>
      <c r="L741" t="inlineStr"/>
      <c r="M741" t="n">
        <v>49116.488</v>
      </c>
      <c r="N741" t="inlineStr">
        <is>
          <t>Supplier Reported Emissions</t>
        </is>
      </c>
      <c r="O741" t="b">
        <v>0</v>
      </c>
      <c r="P741" t="inlineStr">
        <is>
          <t>High</t>
        </is>
      </c>
      <c r="Q741" t="inlineStr">
        <is>
          <t>Revenue</t>
        </is>
      </c>
      <c r="R741" t="inlineStr">
        <is>
          <t>Valid</t>
        </is>
      </c>
      <c r="S741" t="n">
        <v>2028</v>
      </c>
      <c r="T741" t="inlineStr">
        <is>
          <t>Supplier Target Pathway</t>
        </is>
      </c>
      <c r="U741" t="n">
        <v>24264.6494</v>
      </c>
      <c r="V741" t="n">
        <v>14706.804</v>
      </c>
      <c r="W741" t="n">
        <v>19920.1742</v>
      </c>
      <c r="X741" t="n">
        <v>19920.1742</v>
      </c>
      <c r="Y741" t="n">
        <v>4344.4752</v>
      </c>
      <c r="Z741" t="n">
        <v>0.00058204</v>
      </c>
      <c r="AA741" t="n">
        <v>0.179045</v>
      </c>
      <c r="AB741" t="n">
        <v>5213.3702</v>
      </c>
      <c r="AC741" t="n">
        <v>434.4475</v>
      </c>
      <c r="AD741" t="n">
        <v>153021.482</v>
      </c>
      <c r="AE741" t="n">
        <v>82287.382</v>
      </c>
      <c r="AF741" t="n">
        <v>0.99</v>
      </c>
      <c r="AG741" t="inlineStr">
        <is>
          <t>Critical</t>
        </is>
      </c>
      <c r="AH741" t="inlineStr">
        <is>
          <t>On Track to Glide Path</t>
        </is>
      </c>
    </row>
    <row r="742">
      <c r="A742" t="inlineStr">
        <is>
          <t>SUP-0047</t>
        </is>
      </c>
      <c r="B742" t="inlineStr">
        <is>
          <t>Packaging Supplier 047</t>
        </is>
      </c>
      <c r="C742" t="inlineStr">
        <is>
          <t>Packaging</t>
        </is>
      </c>
      <c r="D742" t="n">
        <v>2024</v>
      </c>
      <c r="E742" t="n">
        <v>2018</v>
      </c>
      <c r="F742" t="n">
        <v>2040</v>
      </c>
      <c r="G742" t="n">
        <v>49116.488</v>
      </c>
      <c r="H742" t="n">
        <v>10460.8548</v>
      </c>
      <c r="I742" t="n">
        <v>9550.4494</v>
      </c>
      <c r="J742" t="n">
        <v>29214.3236</v>
      </c>
      <c r="K742" t="n">
        <v>34224773.76</v>
      </c>
      <c r="L742" t="inlineStr"/>
      <c r="M742" t="n">
        <v>49116.488</v>
      </c>
      <c r="N742" t="inlineStr">
        <is>
          <t>Supplier Reported Emissions</t>
        </is>
      </c>
      <c r="O742" t="b">
        <v>0</v>
      </c>
      <c r="P742" t="inlineStr">
        <is>
          <t>High</t>
        </is>
      </c>
      <c r="Q742" t="inlineStr">
        <is>
          <t>Revenue</t>
        </is>
      </c>
      <c r="R742" t="inlineStr">
        <is>
          <t>Valid</t>
        </is>
      </c>
      <c r="S742" t="n">
        <v>2029</v>
      </c>
      <c r="T742" t="inlineStr">
        <is>
          <t>Supplier Target Pathway</t>
        </is>
      </c>
      <c r="U742" t="n">
        <v>24264.6494</v>
      </c>
      <c r="V742" t="n">
        <v>14706.804</v>
      </c>
      <c r="W742" t="n">
        <v>19485.7267</v>
      </c>
      <c r="X742" t="n">
        <v>19485.7267</v>
      </c>
      <c r="Y742" t="n">
        <v>4778.9227</v>
      </c>
      <c r="Z742" t="n">
        <v>0.00056935</v>
      </c>
      <c r="AA742" t="n">
        <v>0.19695</v>
      </c>
      <c r="AB742" t="n">
        <v>4778.9227</v>
      </c>
      <c r="AC742" t="n">
        <v>434.4475</v>
      </c>
      <c r="AD742" t="n">
        <v>133535.7553</v>
      </c>
      <c r="AE742" t="n">
        <v>101773.1087</v>
      </c>
      <c r="AF742" t="n">
        <v>0.99</v>
      </c>
      <c r="AG742" t="inlineStr">
        <is>
          <t>High</t>
        </is>
      </c>
      <c r="AH742" t="inlineStr">
        <is>
          <t>On Track to Glide Path</t>
        </is>
      </c>
    </row>
    <row r="743">
      <c r="A743" t="inlineStr">
        <is>
          <t>SUP-0047</t>
        </is>
      </c>
      <c r="B743" t="inlineStr">
        <is>
          <t>Packaging Supplier 047</t>
        </is>
      </c>
      <c r="C743" t="inlineStr">
        <is>
          <t>Packaging</t>
        </is>
      </c>
      <c r="D743" t="n">
        <v>2024</v>
      </c>
      <c r="E743" t="n">
        <v>2018</v>
      </c>
      <c r="F743" t="n">
        <v>2040</v>
      </c>
      <c r="G743" t="n">
        <v>49116.488</v>
      </c>
      <c r="H743" t="n">
        <v>10460.8548</v>
      </c>
      <c r="I743" t="n">
        <v>9550.4494</v>
      </c>
      <c r="J743" t="n">
        <v>29214.3236</v>
      </c>
      <c r="K743" t="n">
        <v>34224773.76</v>
      </c>
      <c r="L743" t="inlineStr"/>
      <c r="M743" t="n">
        <v>49116.488</v>
      </c>
      <c r="N743" t="inlineStr">
        <is>
          <t>Supplier Reported Emissions</t>
        </is>
      </c>
      <c r="O743" t="b">
        <v>0</v>
      </c>
      <c r="P743" t="inlineStr">
        <is>
          <t>High</t>
        </is>
      </c>
      <c r="Q743" t="inlineStr">
        <is>
          <t>Revenue</t>
        </is>
      </c>
      <c r="R743" t="inlineStr">
        <is>
          <t>Valid</t>
        </is>
      </c>
      <c r="S743" t="n">
        <v>2030</v>
      </c>
      <c r="T743" t="inlineStr">
        <is>
          <t>Supplier Target Pathway</t>
        </is>
      </c>
      <c r="U743" t="n">
        <v>24264.6494</v>
      </c>
      <c r="V743" t="n">
        <v>14706.804</v>
      </c>
      <c r="W743" t="n">
        <v>19051.2792</v>
      </c>
      <c r="X743" t="n">
        <v>19051.2792</v>
      </c>
      <c r="Y743" t="n">
        <v>5213.3702</v>
      </c>
      <c r="Z743" t="n">
        <v>0.00055665</v>
      </c>
      <c r="AA743" t="n">
        <v>0.214855</v>
      </c>
      <c r="AB743" t="n">
        <v>4344.4752</v>
      </c>
      <c r="AC743" t="n">
        <v>434.4475</v>
      </c>
      <c r="AD743" t="n">
        <v>114484.4761</v>
      </c>
      <c r="AE743" t="n">
        <v>120824.3879</v>
      </c>
      <c r="AF743" t="n">
        <v>0.99</v>
      </c>
      <c r="AG743" t="inlineStr">
        <is>
          <t>High</t>
        </is>
      </c>
      <c r="AH743" t="inlineStr">
        <is>
          <t>On Track to Glide Path</t>
        </is>
      </c>
    </row>
    <row r="744">
      <c r="A744" t="inlineStr">
        <is>
          <t>SUP-0047</t>
        </is>
      </c>
      <c r="B744" t="inlineStr">
        <is>
          <t>Packaging Supplier 047</t>
        </is>
      </c>
      <c r="C744" t="inlineStr">
        <is>
          <t>Packaging</t>
        </is>
      </c>
      <c r="D744" t="n">
        <v>2024</v>
      </c>
      <c r="E744" t="n">
        <v>2018</v>
      </c>
      <c r="F744" t="n">
        <v>2040</v>
      </c>
      <c r="G744" t="n">
        <v>49116.488</v>
      </c>
      <c r="H744" t="n">
        <v>10460.8548</v>
      </c>
      <c r="I744" t="n">
        <v>9550.4494</v>
      </c>
      <c r="J744" t="n">
        <v>29214.3236</v>
      </c>
      <c r="K744" t="n">
        <v>34224773.76</v>
      </c>
      <c r="L744" t="inlineStr"/>
      <c r="M744" t="n">
        <v>49116.488</v>
      </c>
      <c r="N744" t="inlineStr">
        <is>
          <t>Supplier Reported Emissions</t>
        </is>
      </c>
      <c r="O744" t="b">
        <v>0</v>
      </c>
      <c r="P744" t="inlineStr">
        <is>
          <t>High</t>
        </is>
      </c>
      <c r="Q744" t="inlineStr">
        <is>
          <t>Revenue</t>
        </is>
      </c>
      <c r="R744" t="inlineStr">
        <is>
          <t>Valid</t>
        </is>
      </c>
      <c r="S744" t="n">
        <v>2031</v>
      </c>
      <c r="T744" t="inlineStr">
        <is>
          <t>Supplier Target Pathway</t>
        </is>
      </c>
      <c r="U744" t="n">
        <v>24264.6494</v>
      </c>
      <c r="V744" t="n">
        <v>14706.804</v>
      </c>
      <c r="W744" t="n">
        <v>18616.8317</v>
      </c>
      <c r="X744" t="n">
        <v>18616.8317</v>
      </c>
      <c r="Y744" t="n">
        <v>5647.8177</v>
      </c>
      <c r="Z744" t="n">
        <v>0.00054396</v>
      </c>
      <c r="AA744" t="n">
        <v>0.232759</v>
      </c>
      <c r="AB744" t="n">
        <v>3910.0277</v>
      </c>
      <c r="AC744" t="n">
        <v>434.4475</v>
      </c>
      <c r="AD744" t="n">
        <v>95867.6444</v>
      </c>
      <c r="AE744" t="n">
        <v>139441.2196</v>
      </c>
      <c r="AF744" t="n">
        <v>0.99</v>
      </c>
      <c r="AG744" t="inlineStr">
        <is>
          <t>High</t>
        </is>
      </c>
      <c r="AH744" t="inlineStr">
        <is>
          <t>On Track to Glide Path</t>
        </is>
      </c>
    </row>
    <row r="745">
      <c r="A745" t="inlineStr">
        <is>
          <t>SUP-0047</t>
        </is>
      </c>
      <c r="B745" t="inlineStr">
        <is>
          <t>Packaging Supplier 047</t>
        </is>
      </c>
      <c r="C745" t="inlineStr">
        <is>
          <t>Packaging</t>
        </is>
      </c>
      <c r="D745" t="n">
        <v>2024</v>
      </c>
      <c r="E745" t="n">
        <v>2018</v>
      </c>
      <c r="F745" t="n">
        <v>2040</v>
      </c>
      <c r="G745" t="n">
        <v>49116.488</v>
      </c>
      <c r="H745" t="n">
        <v>10460.8548</v>
      </c>
      <c r="I745" t="n">
        <v>9550.4494</v>
      </c>
      <c r="J745" t="n">
        <v>29214.3236</v>
      </c>
      <c r="K745" t="n">
        <v>34224773.76</v>
      </c>
      <c r="L745" t="inlineStr"/>
      <c r="M745" t="n">
        <v>49116.488</v>
      </c>
      <c r="N745" t="inlineStr">
        <is>
          <t>Supplier Reported Emissions</t>
        </is>
      </c>
      <c r="O745" t="b">
        <v>0</v>
      </c>
      <c r="P745" t="inlineStr">
        <is>
          <t>High</t>
        </is>
      </c>
      <c r="Q745" t="inlineStr">
        <is>
          <t>Revenue</t>
        </is>
      </c>
      <c r="R745" t="inlineStr">
        <is>
          <t>Valid</t>
        </is>
      </c>
      <c r="S745" t="n">
        <v>2032</v>
      </c>
      <c r="T745" t="inlineStr">
        <is>
          <t>Supplier Target Pathway</t>
        </is>
      </c>
      <c r="U745" t="n">
        <v>24264.6494</v>
      </c>
      <c r="V745" t="n">
        <v>14706.804</v>
      </c>
      <c r="W745" t="n">
        <v>18182.3841</v>
      </c>
      <c r="X745" t="n">
        <v>18182.3841</v>
      </c>
      <c r="Y745" t="n">
        <v>6082.2653</v>
      </c>
      <c r="Z745" t="n">
        <v>0.00053126</v>
      </c>
      <c r="AA745" t="n">
        <v>0.250664</v>
      </c>
      <c r="AB745" t="n">
        <v>3475.5801</v>
      </c>
      <c r="AC745" t="n">
        <v>434.4475</v>
      </c>
      <c r="AD745" t="n">
        <v>77685.26029999999</v>
      </c>
      <c r="AE745" t="n">
        <v>157623.6037</v>
      </c>
      <c r="AF745" t="n">
        <v>0.99</v>
      </c>
      <c r="AG745" t="inlineStr">
        <is>
          <t>High</t>
        </is>
      </c>
      <c r="AH745" t="inlineStr">
        <is>
          <t>On Track to Glide Path</t>
        </is>
      </c>
    </row>
    <row r="746">
      <c r="A746" t="inlineStr">
        <is>
          <t>SUP-0047</t>
        </is>
      </c>
      <c r="B746" t="inlineStr">
        <is>
          <t>Packaging Supplier 047</t>
        </is>
      </c>
      <c r="C746" t="inlineStr">
        <is>
          <t>Packaging</t>
        </is>
      </c>
      <c r="D746" t="n">
        <v>2024</v>
      </c>
      <c r="E746" t="n">
        <v>2018</v>
      </c>
      <c r="F746" t="n">
        <v>2040</v>
      </c>
      <c r="G746" t="n">
        <v>49116.488</v>
      </c>
      <c r="H746" t="n">
        <v>10460.8548</v>
      </c>
      <c r="I746" t="n">
        <v>9550.4494</v>
      </c>
      <c r="J746" t="n">
        <v>29214.3236</v>
      </c>
      <c r="K746" t="n">
        <v>34224773.76</v>
      </c>
      <c r="L746" t="inlineStr"/>
      <c r="M746" t="n">
        <v>49116.488</v>
      </c>
      <c r="N746" t="inlineStr">
        <is>
          <t>Supplier Reported Emissions</t>
        </is>
      </c>
      <c r="O746" t="b">
        <v>0</v>
      </c>
      <c r="P746" t="inlineStr">
        <is>
          <t>High</t>
        </is>
      </c>
      <c r="Q746" t="inlineStr">
        <is>
          <t>Revenue</t>
        </is>
      </c>
      <c r="R746" t="inlineStr">
        <is>
          <t>Valid</t>
        </is>
      </c>
      <c r="S746" t="n">
        <v>2033</v>
      </c>
      <c r="T746" t="inlineStr">
        <is>
          <t>Supplier Target Pathway</t>
        </is>
      </c>
      <c r="U746" t="n">
        <v>24264.6494</v>
      </c>
      <c r="V746" t="n">
        <v>14706.804</v>
      </c>
      <c r="W746" t="n">
        <v>17747.9366</v>
      </c>
      <c r="X746" t="n">
        <v>17747.9366</v>
      </c>
      <c r="Y746" t="n">
        <v>6516.7128</v>
      </c>
      <c r="Z746" t="n">
        <v>0.00051857</v>
      </c>
      <c r="AA746" t="n">
        <v>0.268568</v>
      </c>
      <c r="AB746" t="n">
        <v>3041.1326</v>
      </c>
      <c r="AC746" t="n">
        <v>434.4475</v>
      </c>
      <c r="AD746" t="n">
        <v>59937.3237</v>
      </c>
      <c r="AE746" t="n">
        <v>175371.5403</v>
      </c>
      <c r="AF746" t="n">
        <v>0.99</v>
      </c>
      <c r="AG746" t="inlineStr">
        <is>
          <t>High</t>
        </is>
      </c>
      <c r="AH746" t="inlineStr">
        <is>
          <t>On Track to Glide Path</t>
        </is>
      </c>
    </row>
    <row r="747">
      <c r="A747" t="inlineStr">
        <is>
          <t>SUP-0047</t>
        </is>
      </c>
      <c r="B747" t="inlineStr">
        <is>
          <t>Packaging Supplier 047</t>
        </is>
      </c>
      <c r="C747" t="inlineStr">
        <is>
          <t>Packaging</t>
        </is>
      </c>
      <c r="D747" t="n">
        <v>2024</v>
      </c>
      <c r="E747" t="n">
        <v>2018</v>
      </c>
      <c r="F747" t="n">
        <v>2040</v>
      </c>
      <c r="G747" t="n">
        <v>49116.488</v>
      </c>
      <c r="H747" t="n">
        <v>10460.8548</v>
      </c>
      <c r="I747" t="n">
        <v>9550.4494</v>
      </c>
      <c r="J747" t="n">
        <v>29214.3236</v>
      </c>
      <c r="K747" t="n">
        <v>34224773.76</v>
      </c>
      <c r="L747" t="inlineStr"/>
      <c r="M747" t="n">
        <v>49116.488</v>
      </c>
      <c r="N747" t="inlineStr">
        <is>
          <t>Supplier Reported Emissions</t>
        </is>
      </c>
      <c r="O747" t="b">
        <v>0</v>
      </c>
      <c r="P747" t="inlineStr">
        <is>
          <t>High</t>
        </is>
      </c>
      <c r="Q747" t="inlineStr">
        <is>
          <t>Revenue</t>
        </is>
      </c>
      <c r="R747" t="inlineStr">
        <is>
          <t>Valid</t>
        </is>
      </c>
      <c r="S747" t="n">
        <v>2034</v>
      </c>
      <c r="T747" t="inlineStr">
        <is>
          <t>Supplier Target Pathway</t>
        </is>
      </c>
      <c r="U747" t="n">
        <v>24264.6494</v>
      </c>
      <c r="V747" t="n">
        <v>14706.804</v>
      </c>
      <c r="W747" t="n">
        <v>17313.4891</v>
      </c>
      <c r="X747" t="n">
        <v>17313.4891</v>
      </c>
      <c r="Y747" t="n">
        <v>6951.1603</v>
      </c>
      <c r="Z747" t="n">
        <v>0.00050588</v>
      </c>
      <c r="AA747" t="n">
        <v>0.286473</v>
      </c>
      <c r="AB747" t="n">
        <v>2606.6851</v>
      </c>
      <c r="AC747" t="n">
        <v>434.4475</v>
      </c>
      <c r="AD747" t="n">
        <v>42623.8346</v>
      </c>
      <c r="AE747" t="n">
        <v>192685.0294</v>
      </c>
      <c r="AF747" t="n">
        <v>0.99</v>
      </c>
      <c r="AG747" t="inlineStr">
        <is>
          <t>High</t>
        </is>
      </c>
      <c r="AH747" t="inlineStr">
        <is>
          <t>On Track to Glide Path</t>
        </is>
      </c>
    </row>
    <row r="748">
      <c r="A748" t="inlineStr">
        <is>
          <t>SUP-0047</t>
        </is>
      </c>
      <c r="B748" t="inlineStr">
        <is>
          <t>Packaging Supplier 047</t>
        </is>
      </c>
      <c r="C748" t="inlineStr">
        <is>
          <t>Packaging</t>
        </is>
      </c>
      <c r="D748" t="n">
        <v>2024</v>
      </c>
      <c r="E748" t="n">
        <v>2018</v>
      </c>
      <c r="F748" t="n">
        <v>2040</v>
      </c>
      <c r="G748" t="n">
        <v>49116.488</v>
      </c>
      <c r="H748" t="n">
        <v>10460.8548</v>
      </c>
      <c r="I748" t="n">
        <v>9550.4494</v>
      </c>
      <c r="J748" t="n">
        <v>29214.3236</v>
      </c>
      <c r="K748" t="n">
        <v>34224773.76</v>
      </c>
      <c r="L748" t="inlineStr"/>
      <c r="M748" t="n">
        <v>49116.488</v>
      </c>
      <c r="N748" t="inlineStr">
        <is>
          <t>Supplier Reported Emissions</t>
        </is>
      </c>
      <c r="O748" t="b">
        <v>0</v>
      </c>
      <c r="P748" t="inlineStr">
        <is>
          <t>High</t>
        </is>
      </c>
      <c r="Q748" t="inlineStr">
        <is>
          <t>Revenue</t>
        </is>
      </c>
      <c r="R748" t="inlineStr">
        <is>
          <t>Valid</t>
        </is>
      </c>
      <c r="S748" t="n">
        <v>2035</v>
      </c>
      <c r="T748" t="inlineStr">
        <is>
          <t>Supplier Target Pathway</t>
        </is>
      </c>
      <c r="U748" t="n">
        <v>24264.6494</v>
      </c>
      <c r="V748" t="n">
        <v>14706.804</v>
      </c>
      <c r="W748" t="n">
        <v>16879.0416</v>
      </c>
      <c r="X748" t="n">
        <v>16879.0416</v>
      </c>
      <c r="Y748" t="n">
        <v>7385.6078</v>
      </c>
      <c r="Z748" t="n">
        <v>0.00049318</v>
      </c>
      <c r="AA748" t="n">
        <v>0.304377</v>
      </c>
      <c r="AB748" t="n">
        <v>2172.2376</v>
      </c>
      <c r="AC748" t="n">
        <v>434.4475</v>
      </c>
      <c r="AD748" t="n">
        <v>25744.793</v>
      </c>
      <c r="AE748" t="n">
        <v>209564.071</v>
      </c>
      <c r="AF748" t="n">
        <v>0.99</v>
      </c>
      <c r="AG748" t="inlineStr">
        <is>
          <t>Medium</t>
        </is>
      </c>
      <c r="AH748" t="inlineStr">
        <is>
          <t>On Track to Glide Path</t>
        </is>
      </c>
    </row>
    <row r="749">
      <c r="A749" t="inlineStr">
        <is>
          <t>SUP-0047</t>
        </is>
      </c>
      <c r="B749" t="inlineStr">
        <is>
          <t>Packaging Supplier 047</t>
        </is>
      </c>
      <c r="C749" t="inlineStr">
        <is>
          <t>Packaging</t>
        </is>
      </c>
      <c r="D749" t="n">
        <v>2024</v>
      </c>
      <c r="E749" t="n">
        <v>2018</v>
      </c>
      <c r="F749" t="n">
        <v>2040</v>
      </c>
      <c r="G749" t="n">
        <v>49116.488</v>
      </c>
      <c r="H749" t="n">
        <v>10460.8548</v>
      </c>
      <c r="I749" t="n">
        <v>9550.4494</v>
      </c>
      <c r="J749" t="n">
        <v>29214.3236</v>
      </c>
      <c r="K749" t="n">
        <v>34224773.76</v>
      </c>
      <c r="L749" t="inlineStr"/>
      <c r="M749" t="n">
        <v>49116.488</v>
      </c>
      <c r="N749" t="inlineStr">
        <is>
          <t>Supplier Reported Emissions</t>
        </is>
      </c>
      <c r="O749" t="b">
        <v>0</v>
      </c>
      <c r="P749" t="inlineStr">
        <is>
          <t>High</t>
        </is>
      </c>
      <c r="Q749" t="inlineStr">
        <is>
          <t>Revenue</t>
        </is>
      </c>
      <c r="R749" t="inlineStr">
        <is>
          <t>Valid</t>
        </is>
      </c>
      <c r="S749" t="n">
        <v>2036</v>
      </c>
      <c r="T749" t="inlineStr">
        <is>
          <t>Supplier Target Pathway</t>
        </is>
      </c>
      <c r="U749" t="n">
        <v>24264.6494</v>
      </c>
      <c r="V749" t="n">
        <v>14706.804</v>
      </c>
      <c r="W749" t="n">
        <v>16444.5941</v>
      </c>
      <c r="X749" t="n">
        <v>16444.5941</v>
      </c>
      <c r="Y749" t="n">
        <v>7820.0553</v>
      </c>
      <c r="Z749" t="n">
        <v>0.00048049</v>
      </c>
      <c r="AA749" t="n">
        <v>0.322282</v>
      </c>
      <c r="AB749" t="n">
        <v>1737.7901</v>
      </c>
      <c r="AC749" t="n">
        <v>434.4475</v>
      </c>
      <c r="AD749" t="n">
        <v>9300.198899999999</v>
      </c>
      <c r="AE749" t="n">
        <v>226008.6651</v>
      </c>
      <c r="AF749" t="n">
        <v>0.99</v>
      </c>
      <c r="AG749" t="inlineStr">
        <is>
          <t>Medium</t>
        </is>
      </c>
      <c r="AH749" t="inlineStr">
        <is>
          <t>On Track to Glide Path</t>
        </is>
      </c>
    </row>
    <row r="750">
      <c r="A750" t="inlineStr">
        <is>
          <t>SUP-0047</t>
        </is>
      </c>
      <c r="B750" t="inlineStr">
        <is>
          <t>Packaging Supplier 047</t>
        </is>
      </c>
      <c r="C750" t="inlineStr">
        <is>
          <t>Packaging</t>
        </is>
      </c>
      <c r="D750" t="n">
        <v>2024</v>
      </c>
      <c r="E750" t="n">
        <v>2018</v>
      </c>
      <c r="F750" t="n">
        <v>2040</v>
      </c>
      <c r="G750" t="n">
        <v>49116.488</v>
      </c>
      <c r="H750" t="n">
        <v>10460.8548</v>
      </c>
      <c r="I750" t="n">
        <v>9550.4494</v>
      </c>
      <c r="J750" t="n">
        <v>29214.3236</v>
      </c>
      <c r="K750" t="n">
        <v>34224773.76</v>
      </c>
      <c r="L750" t="inlineStr"/>
      <c r="M750" t="n">
        <v>49116.488</v>
      </c>
      <c r="N750" t="inlineStr">
        <is>
          <t>Supplier Reported Emissions</t>
        </is>
      </c>
      <c r="O750" t="b">
        <v>0</v>
      </c>
      <c r="P750" t="inlineStr">
        <is>
          <t>High</t>
        </is>
      </c>
      <c r="Q750" t="inlineStr">
        <is>
          <t>Revenue</t>
        </is>
      </c>
      <c r="R750" t="inlineStr">
        <is>
          <t>Valid</t>
        </is>
      </c>
      <c r="S750" t="n">
        <v>2037</v>
      </c>
      <c r="T750" t="inlineStr">
        <is>
          <t>Supplier Target Pathway</t>
        </is>
      </c>
      <c r="U750" t="n">
        <v>24264.6494</v>
      </c>
      <c r="V750" t="n">
        <v>14706.804</v>
      </c>
      <c r="W750" t="n">
        <v>16010.1466</v>
      </c>
      <c r="X750" t="n">
        <v>16010.1466</v>
      </c>
      <c r="Y750" t="n">
        <v>8254.5028</v>
      </c>
      <c r="Z750" t="n">
        <v>0.00046779</v>
      </c>
      <c r="AA750" t="n">
        <v>0.340186</v>
      </c>
      <c r="AB750" t="n">
        <v>1303.3426</v>
      </c>
      <c r="AC750" t="n">
        <v>434.4475</v>
      </c>
      <c r="AD750" t="n">
        <v>-6709.9477</v>
      </c>
      <c r="AE750" t="n">
        <v>242018.8117</v>
      </c>
      <c r="AF750" t="n">
        <v>0.99</v>
      </c>
      <c r="AG750" t="inlineStr">
        <is>
          <t>Medium</t>
        </is>
      </c>
      <c r="AH750" t="inlineStr">
        <is>
          <t>On Track to Glide Path</t>
        </is>
      </c>
    </row>
    <row r="751">
      <c r="A751" t="inlineStr">
        <is>
          <t>SUP-0047</t>
        </is>
      </c>
      <c r="B751" t="inlineStr">
        <is>
          <t>Packaging Supplier 047</t>
        </is>
      </c>
      <c r="C751" t="inlineStr">
        <is>
          <t>Packaging</t>
        </is>
      </c>
      <c r="D751" t="n">
        <v>2024</v>
      </c>
      <c r="E751" t="n">
        <v>2018</v>
      </c>
      <c r="F751" t="n">
        <v>2040</v>
      </c>
      <c r="G751" t="n">
        <v>49116.488</v>
      </c>
      <c r="H751" t="n">
        <v>10460.8548</v>
      </c>
      <c r="I751" t="n">
        <v>9550.4494</v>
      </c>
      <c r="J751" t="n">
        <v>29214.3236</v>
      </c>
      <c r="K751" t="n">
        <v>34224773.76</v>
      </c>
      <c r="L751" t="inlineStr"/>
      <c r="M751" t="n">
        <v>49116.488</v>
      </c>
      <c r="N751" t="inlineStr">
        <is>
          <t>Supplier Reported Emissions</t>
        </is>
      </c>
      <c r="O751" t="b">
        <v>0</v>
      </c>
      <c r="P751" t="inlineStr">
        <is>
          <t>High</t>
        </is>
      </c>
      <c r="Q751" t="inlineStr">
        <is>
          <t>Revenue</t>
        </is>
      </c>
      <c r="R751" t="inlineStr">
        <is>
          <t>Valid</t>
        </is>
      </c>
      <c r="S751" t="n">
        <v>2038</v>
      </c>
      <c r="T751" t="inlineStr">
        <is>
          <t>Supplier Target Pathway</t>
        </is>
      </c>
      <c r="U751" t="n">
        <v>24264.6494</v>
      </c>
      <c r="V751" t="n">
        <v>14706.804</v>
      </c>
      <c r="W751" t="n">
        <v>15575.699</v>
      </c>
      <c r="X751" t="n">
        <v>15575.699</v>
      </c>
      <c r="Y751" t="n">
        <v>8688.9504</v>
      </c>
      <c r="Z751" t="n">
        <v>0.0004551</v>
      </c>
      <c r="AA751" t="n">
        <v>0.358091</v>
      </c>
      <c r="AB751" t="n">
        <v>868.895</v>
      </c>
      <c r="AC751" t="n">
        <v>434.4475</v>
      </c>
      <c r="AD751" t="n">
        <v>-22285.6467</v>
      </c>
      <c r="AE751" t="n">
        <v>257594.5107</v>
      </c>
      <c r="AF751" t="n">
        <v>0.99</v>
      </c>
      <c r="AG751" t="inlineStr">
        <is>
          <t>Medium</t>
        </is>
      </c>
      <c r="AH751" t="inlineStr">
        <is>
          <t>On Track to Glide Path</t>
        </is>
      </c>
    </row>
    <row r="752">
      <c r="A752" t="inlineStr">
        <is>
          <t>SUP-0047</t>
        </is>
      </c>
      <c r="B752" t="inlineStr">
        <is>
          <t>Packaging Supplier 047</t>
        </is>
      </c>
      <c r="C752" t="inlineStr">
        <is>
          <t>Packaging</t>
        </is>
      </c>
      <c r="D752" t="n">
        <v>2024</v>
      </c>
      <c r="E752" t="n">
        <v>2018</v>
      </c>
      <c r="F752" t="n">
        <v>2040</v>
      </c>
      <c r="G752" t="n">
        <v>49116.488</v>
      </c>
      <c r="H752" t="n">
        <v>10460.8548</v>
      </c>
      <c r="I752" t="n">
        <v>9550.4494</v>
      </c>
      <c r="J752" t="n">
        <v>29214.3236</v>
      </c>
      <c r="K752" t="n">
        <v>34224773.76</v>
      </c>
      <c r="L752" t="inlineStr"/>
      <c r="M752" t="n">
        <v>49116.488</v>
      </c>
      <c r="N752" t="inlineStr">
        <is>
          <t>Supplier Reported Emissions</t>
        </is>
      </c>
      <c r="O752" t="b">
        <v>0</v>
      </c>
      <c r="P752" t="inlineStr">
        <is>
          <t>High</t>
        </is>
      </c>
      <c r="Q752" t="inlineStr">
        <is>
          <t>Revenue</t>
        </is>
      </c>
      <c r="R752" t="inlineStr">
        <is>
          <t>Valid</t>
        </is>
      </c>
      <c r="S752" t="n">
        <v>2039</v>
      </c>
      <c r="T752" t="inlineStr">
        <is>
          <t>Supplier Target Pathway</t>
        </is>
      </c>
      <c r="U752" t="n">
        <v>24264.6494</v>
      </c>
      <c r="V752" t="n">
        <v>14706.804</v>
      </c>
      <c r="W752" t="n">
        <v>15141.2515</v>
      </c>
      <c r="X752" t="n">
        <v>15141.2515</v>
      </c>
      <c r="Y752" t="n">
        <v>9123.3979</v>
      </c>
      <c r="Z752" t="n">
        <v>0.00044241</v>
      </c>
      <c r="AA752" t="n">
        <v>0.375995</v>
      </c>
      <c r="AB752" t="n">
        <v>434.4475</v>
      </c>
      <c r="AC752" t="n">
        <v>434.4475</v>
      </c>
      <c r="AD752" t="n">
        <v>-37426.8982</v>
      </c>
      <c r="AE752" t="n">
        <v>272735.7622</v>
      </c>
      <c r="AF752" t="n">
        <v>0.99</v>
      </c>
      <c r="AG752" t="inlineStr">
        <is>
          <t>Medium</t>
        </is>
      </c>
      <c r="AH752" t="inlineStr">
        <is>
          <t>On Track to Glide Path</t>
        </is>
      </c>
    </row>
    <row r="753">
      <c r="A753" t="inlineStr">
        <is>
          <t>SUP-0047</t>
        </is>
      </c>
      <c r="B753" t="inlineStr">
        <is>
          <t>Packaging Supplier 047</t>
        </is>
      </c>
      <c r="C753" t="inlineStr">
        <is>
          <t>Packaging</t>
        </is>
      </c>
      <c r="D753" t="n">
        <v>2024</v>
      </c>
      <c r="E753" t="n">
        <v>2018</v>
      </c>
      <c r="F753" t="n">
        <v>2040</v>
      </c>
      <c r="G753" t="n">
        <v>49116.488</v>
      </c>
      <c r="H753" t="n">
        <v>10460.8548</v>
      </c>
      <c r="I753" t="n">
        <v>9550.4494</v>
      </c>
      <c r="J753" t="n">
        <v>29214.3236</v>
      </c>
      <c r="K753" t="n">
        <v>34224773.76</v>
      </c>
      <c r="L753" t="inlineStr"/>
      <c r="M753" t="n">
        <v>49116.488</v>
      </c>
      <c r="N753" t="inlineStr">
        <is>
          <t>Supplier Reported Emissions</t>
        </is>
      </c>
      <c r="O753" t="b">
        <v>0</v>
      </c>
      <c r="P753" t="inlineStr">
        <is>
          <t>High</t>
        </is>
      </c>
      <c r="Q753" t="inlineStr">
        <is>
          <t>Revenue</t>
        </is>
      </c>
      <c r="R753" t="inlineStr">
        <is>
          <t>Valid</t>
        </is>
      </c>
      <c r="S753" t="n">
        <v>2040</v>
      </c>
      <c r="T753" t="inlineStr">
        <is>
          <t>Supplier Target Pathway</t>
        </is>
      </c>
      <c r="U753" t="n">
        <v>24264.6494</v>
      </c>
      <c r="V753" t="n">
        <v>14706.804</v>
      </c>
      <c r="W753" t="n">
        <v>14706.804</v>
      </c>
      <c r="X753" t="n">
        <v>14706.804</v>
      </c>
      <c r="Y753" t="n">
        <v>9557.8454</v>
      </c>
      <c r="Z753" t="n">
        <v>0.00042971</v>
      </c>
      <c r="AA753" t="n">
        <v>0.3939</v>
      </c>
      <c r="AB753" t="n">
        <v>0</v>
      </c>
      <c r="AC753" t="n">
        <v>434.4475</v>
      </c>
      <c r="AD753" t="n">
        <v>-52133.7022</v>
      </c>
      <c r="AE753" t="n">
        <v>287442.5662</v>
      </c>
      <c r="AF753" t="n">
        <v>0.99</v>
      </c>
      <c r="AG753" t="inlineStr">
        <is>
          <t>Low</t>
        </is>
      </c>
      <c r="AH753" t="inlineStr">
        <is>
          <t>On Track</t>
        </is>
      </c>
    </row>
    <row r="754">
      <c r="A754" t="inlineStr">
        <is>
          <t>SUP-0048</t>
        </is>
      </c>
      <c r="B754" t="inlineStr">
        <is>
          <t>Logistics Supplier 048</t>
        </is>
      </c>
      <c r="C754" t="inlineStr">
        <is>
          <t>Logistics</t>
        </is>
      </c>
      <c r="D754" t="n">
        <v>2024</v>
      </c>
      <c r="E754" t="n">
        <v>2015</v>
      </c>
      <c r="F754" t="n">
        <v>2040</v>
      </c>
      <c r="G754" t="inlineStr"/>
      <c r="H754" t="n">
        <v>378.8577</v>
      </c>
      <c r="I754" t="n">
        <v>471.3549</v>
      </c>
      <c r="J754" t="n">
        <v>1497.791</v>
      </c>
      <c r="K754" t="n">
        <v>9186435.67</v>
      </c>
      <c r="L754" t="inlineStr"/>
      <c r="M754" t="n">
        <v>2348.0036</v>
      </c>
      <c r="N754" t="inlineStr">
        <is>
          <t>Scope 1 + Scope 2 + Scope 3</t>
        </is>
      </c>
      <c r="O754" t="b">
        <v>1</v>
      </c>
      <c r="P754" t="inlineStr">
        <is>
          <t>High</t>
        </is>
      </c>
      <c r="Q754" t="inlineStr">
        <is>
          <t>Reported_Emissions; Revenue</t>
        </is>
      </c>
      <c r="R754" t="inlineStr">
        <is>
          <t>Valid</t>
        </is>
      </c>
      <c r="S754" t="n">
        <v>2025</v>
      </c>
      <c r="T754" t="inlineStr">
        <is>
          <t>Industry Haircut Pathway</t>
        </is>
      </c>
      <c r="U754" t="n">
        <v>2179.8608</v>
      </c>
      <c r="V754" t="n">
        <v>1173.6371</v>
      </c>
      <c r="W754" t="n">
        <v>1777.3713</v>
      </c>
      <c r="X754" t="n">
        <v>1777.3713</v>
      </c>
      <c r="Y754" t="n">
        <v>402.4895</v>
      </c>
      <c r="Z754" t="n">
        <v>0.00019348</v>
      </c>
      <c r="AA754" t="n">
        <v>0.18464</v>
      </c>
      <c r="AB754" t="n">
        <v>603.7342</v>
      </c>
      <c r="AC754" t="n">
        <v>40.2489</v>
      </c>
      <c r="AD754" t="n">
        <v>17000.8223</v>
      </c>
      <c r="AE754" t="n">
        <v>1777.3713</v>
      </c>
      <c r="AF754" t="n">
        <v>0.897</v>
      </c>
      <c r="AG754" t="inlineStr">
        <is>
          <t>Critical</t>
        </is>
      </c>
      <c r="AH754" t="inlineStr">
        <is>
          <t>On Track to Glide Path</t>
        </is>
      </c>
    </row>
    <row r="755">
      <c r="A755" t="inlineStr">
        <is>
          <t>SUP-0048</t>
        </is>
      </c>
      <c r="B755" t="inlineStr">
        <is>
          <t>Logistics Supplier 048</t>
        </is>
      </c>
      <c r="C755" t="inlineStr">
        <is>
          <t>Logistics</t>
        </is>
      </c>
      <c r="D755" t="n">
        <v>2024</v>
      </c>
      <c r="E755" t="n">
        <v>2015</v>
      </c>
      <c r="F755" t="n">
        <v>2040</v>
      </c>
      <c r="G755" t="inlineStr"/>
      <c r="H755" t="n">
        <v>378.8577</v>
      </c>
      <c r="I755" t="n">
        <v>471.3549</v>
      </c>
      <c r="J755" t="n">
        <v>1497.791</v>
      </c>
      <c r="K755" t="n">
        <v>9186435.67</v>
      </c>
      <c r="L755" t="inlineStr"/>
      <c r="M755" t="n">
        <v>2348.0036</v>
      </c>
      <c r="N755" t="inlineStr">
        <is>
          <t>Scope 1 + Scope 2 + Scope 3</t>
        </is>
      </c>
      <c r="O755" t="b">
        <v>1</v>
      </c>
      <c r="P755" t="inlineStr">
        <is>
          <t>High</t>
        </is>
      </c>
      <c r="Q755" t="inlineStr">
        <is>
          <t>Reported_Emissions; Revenue</t>
        </is>
      </c>
      <c r="R755" t="inlineStr">
        <is>
          <t>Valid</t>
        </is>
      </c>
      <c r="S755" t="n">
        <v>2026</v>
      </c>
      <c r="T755" t="inlineStr">
        <is>
          <t>Industry Haircut Pathway</t>
        </is>
      </c>
      <c r="U755" t="n">
        <v>2179.8608</v>
      </c>
      <c r="V755" t="n">
        <v>1173.6371</v>
      </c>
      <c r="W755" t="n">
        <v>1737.1224</v>
      </c>
      <c r="X755" t="n">
        <v>1737.1224</v>
      </c>
      <c r="Y755" t="n">
        <v>442.7384</v>
      </c>
      <c r="Z755" t="n">
        <v>0.0001891</v>
      </c>
      <c r="AA755" t="n">
        <v>0.203104</v>
      </c>
      <c r="AB755" t="n">
        <v>563.4853000000001</v>
      </c>
      <c r="AC755" t="n">
        <v>40.2489</v>
      </c>
      <c r="AD755" t="n">
        <v>15263.6999</v>
      </c>
      <c r="AE755" t="n">
        <v>3514.4937</v>
      </c>
      <c r="AF755" t="n">
        <v>0.897</v>
      </c>
      <c r="AG755" t="inlineStr">
        <is>
          <t>Critical</t>
        </is>
      </c>
      <c r="AH755" t="inlineStr">
        <is>
          <t>On Track to Glide Path</t>
        </is>
      </c>
    </row>
    <row r="756">
      <c r="A756" t="inlineStr">
        <is>
          <t>SUP-0048</t>
        </is>
      </c>
      <c r="B756" t="inlineStr">
        <is>
          <t>Logistics Supplier 048</t>
        </is>
      </c>
      <c r="C756" t="inlineStr">
        <is>
          <t>Logistics</t>
        </is>
      </c>
      <c r="D756" t="n">
        <v>2024</v>
      </c>
      <c r="E756" t="n">
        <v>2015</v>
      </c>
      <c r="F756" t="n">
        <v>2040</v>
      </c>
      <c r="G756" t="inlineStr"/>
      <c r="H756" t="n">
        <v>378.8577</v>
      </c>
      <c r="I756" t="n">
        <v>471.3549</v>
      </c>
      <c r="J756" t="n">
        <v>1497.791</v>
      </c>
      <c r="K756" t="n">
        <v>9186435.67</v>
      </c>
      <c r="L756" t="inlineStr"/>
      <c r="M756" t="n">
        <v>2348.0036</v>
      </c>
      <c r="N756" t="inlineStr">
        <is>
          <t>Scope 1 + Scope 2 + Scope 3</t>
        </is>
      </c>
      <c r="O756" t="b">
        <v>1</v>
      </c>
      <c r="P756" t="inlineStr">
        <is>
          <t>High</t>
        </is>
      </c>
      <c r="Q756" t="inlineStr">
        <is>
          <t>Reported_Emissions; Revenue</t>
        </is>
      </c>
      <c r="R756" t="inlineStr">
        <is>
          <t>Valid</t>
        </is>
      </c>
      <c r="S756" t="n">
        <v>2027</v>
      </c>
      <c r="T756" t="inlineStr">
        <is>
          <t>Industry Haircut Pathway</t>
        </is>
      </c>
      <c r="U756" t="n">
        <v>2179.8608</v>
      </c>
      <c r="V756" t="n">
        <v>1173.6371</v>
      </c>
      <c r="W756" t="n">
        <v>1696.8734</v>
      </c>
      <c r="X756" t="n">
        <v>1696.8734</v>
      </c>
      <c r="Y756" t="n">
        <v>482.9874</v>
      </c>
      <c r="Z756" t="n">
        <v>0.00018472</v>
      </c>
      <c r="AA756" t="n">
        <v>0.221568</v>
      </c>
      <c r="AB756" t="n">
        <v>523.2363</v>
      </c>
      <c r="AC756" t="n">
        <v>40.2489</v>
      </c>
      <c r="AD756" t="n">
        <v>13566.8265</v>
      </c>
      <c r="AE756" t="n">
        <v>5211.3671</v>
      </c>
      <c r="AF756" t="n">
        <v>0.897</v>
      </c>
      <c r="AG756" t="inlineStr">
        <is>
          <t>Critical</t>
        </is>
      </c>
      <c r="AH756" t="inlineStr">
        <is>
          <t>On Track to Glide Path</t>
        </is>
      </c>
    </row>
    <row r="757">
      <c r="A757" t="inlineStr">
        <is>
          <t>SUP-0048</t>
        </is>
      </c>
      <c r="B757" t="inlineStr">
        <is>
          <t>Logistics Supplier 048</t>
        </is>
      </c>
      <c r="C757" t="inlineStr">
        <is>
          <t>Logistics</t>
        </is>
      </c>
      <c r="D757" t="n">
        <v>2024</v>
      </c>
      <c r="E757" t="n">
        <v>2015</v>
      </c>
      <c r="F757" t="n">
        <v>2040</v>
      </c>
      <c r="G757" t="inlineStr"/>
      <c r="H757" t="n">
        <v>378.8577</v>
      </c>
      <c r="I757" t="n">
        <v>471.3549</v>
      </c>
      <c r="J757" t="n">
        <v>1497.791</v>
      </c>
      <c r="K757" t="n">
        <v>9186435.67</v>
      </c>
      <c r="L757" t="inlineStr"/>
      <c r="M757" t="n">
        <v>2348.0036</v>
      </c>
      <c r="N757" t="inlineStr">
        <is>
          <t>Scope 1 + Scope 2 + Scope 3</t>
        </is>
      </c>
      <c r="O757" t="b">
        <v>1</v>
      </c>
      <c r="P757" t="inlineStr">
        <is>
          <t>High</t>
        </is>
      </c>
      <c r="Q757" t="inlineStr">
        <is>
          <t>Reported_Emissions; Revenue</t>
        </is>
      </c>
      <c r="R757" t="inlineStr">
        <is>
          <t>Valid</t>
        </is>
      </c>
      <c r="S757" t="n">
        <v>2028</v>
      </c>
      <c r="T757" t="inlineStr">
        <is>
          <t>Industry Haircut Pathway</t>
        </is>
      </c>
      <c r="U757" t="n">
        <v>2179.8608</v>
      </c>
      <c r="V757" t="n">
        <v>1173.6371</v>
      </c>
      <c r="W757" t="n">
        <v>1656.6245</v>
      </c>
      <c r="X757" t="n">
        <v>1656.6245</v>
      </c>
      <c r="Y757" t="n">
        <v>523.2363</v>
      </c>
      <c r="Z757" t="n">
        <v>0.00018033</v>
      </c>
      <c r="AA757" t="n">
        <v>0.240032</v>
      </c>
      <c r="AB757" t="n">
        <v>482.9874</v>
      </c>
      <c r="AC757" t="n">
        <v>40.2489</v>
      </c>
      <c r="AD757" t="n">
        <v>11910.202</v>
      </c>
      <c r="AE757" t="n">
        <v>6867.9916</v>
      </c>
      <c r="AF757" t="n">
        <v>0.897</v>
      </c>
      <c r="AG757" t="inlineStr">
        <is>
          <t>Critical</t>
        </is>
      </c>
      <c r="AH757" t="inlineStr">
        <is>
          <t>On Track to Glide Path</t>
        </is>
      </c>
    </row>
    <row r="758">
      <c r="A758" t="inlineStr">
        <is>
          <t>SUP-0048</t>
        </is>
      </c>
      <c r="B758" t="inlineStr">
        <is>
          <t>Logistics Supplier 048</t>
        </is>
      </c>
      <c r="C758" t="inlineStr">
        <is>
          <t>Logistics</t>
        </is>
      </c>
      <c r="D758" t="n">
        <v>2024</v>
      </c>
      <c r="E758" t="n">
        <v>2015</v>
      </c>
      <c r="F758" t="n">
        <v>2040</v>
      </c>
      <c r="G758" t="inlineStr"/>
      <c r="H758" t="n">
        <v>378.8577</v>
      </c>
      <c r="I758" t="n">
        <v>471.3549</v>
      </c>
      <c r="J758" t="n">
        <v>1497.791</v>
      </c>
      <c r="K758" t="n">
        <v>9186435.67</v>
      </c>
      <c r="L758" t="inlineStr"/>
      <c r="M758" t="n">
        <v>2348.0036</v>
      </c>
      <c r="N758" t="inlineStr">
        <is>
          <t>Scope 1 + Scope 2 + Scope 3</t>
        </is>
      </c>
      <c r="O758" t="b">
        <v>1</v>
      </c>
      <c r="P758" t="inlineStr">
        <is>
          <t>High</t>
        </is>
      </c>
      <c r="Q758" t="inlineStr">
        <is>
          <t>Reported_Emissions; Revenue</t>
        </is>
      </c>
      <c r="R758" t="inlineStr">
        <is>
          <t>Valid</t>
        </is>
      </c>
      <c r="S758" t="n">
        <v>2029</v>
      </c>
      <c r="T758" t="inlineStr">
        <is>
          <t>Industry Haircut Pathway</t>
        </is>
      </c>
      <c r="U758" t="n">
        <v>2179.8608</v>
      </c>
      <c r="V758" t="n">
        <v>1173.6371</v>
      </c>
      <c r="W758" t="n">
        <v>1616.3755</v>
      </c>
      <c r="X758" t="n">
        <v>1616.3755</v>
      </c>
      <c r="Y758" t="n">
        <v>563.4853000000001</v>
      </c>
      <c r="Z758" t="n">
        <v>0.00017595</v>
      </c>
      <c r="AA758" t="n">
        <v>0.258496</v>
      </c>
      <c r="AB758" t="n">
        <v>442.7384</v>
      </c>
      <c r="AC758" t="n">
        <v>40.2489</v>
      </c>
      <c r="AD758" t="n">
        <v>10293.8265</v>
      </c>
      <c r="AE758" t="n">
        <v>8484.367099999999</v>
      </c>
      <c r="AF758" t="n">
        <v>0.897</v>
      </c>
      <c r="AG758" t="inlineStr">
        <is>
          <t>Critical</t>
        </is>
      </c>
      <c r="AH758" t="inlineStr">
        <is>
          <t>On Track to Glide Path</t>
        </is>
      </c>
    </row>
    <row r="759">
      <c r="A759" t="inlineStr">
        <is>
          <t>SUP-0048</t>
        </is>
      </c>
      <c r="B759" t="inlineStr">
        <is>
          <t>Logistics Supplier 048</t>
        </is>
      </c>
      <c r="C759" t="inlineStr">
        <is>
          <t>Logistics</t>
        </is>
      </c>
      <c r="D759" t="n">
        <v>2024</v>
      </c>
      <c r="E759" t="n">
        <v>2015</v>
      </c>
      <c r="F759" t="n">
        <v>2040</v>
      </c>
      <c r="G759" t="inlineStr"/>
      <c r="H759" t="n">
        <v>378.8577</v>
      </c>
      <c r="I759" t="n">
        <v>471.3549</v>
      </c>
      <c r="J759" t="n">
        <v>1497.791</v>
      </c>
      <c r="K759" t="n">
        <v>9186435.67</v>
      </c>
      <c r="L759" t="inlineStr"/>
      <c r="M759" t="n">
        <v>2348.0036</v>
      </c>
      <c r="N759" t="inlineStr">
        <is>
          <t>Scope 1 + Scope 2 + Scope 3</t>
        </is>
      </c>
      <c r="O759" t="b">
        <v>1</v>
      </c>
      <c r="P759" t="inlineStr">
        <is>
          <t>High</t>
        </is>
      </c>
      <c r="Q759" t="inlineStr">
        <is>
          <t>Reported_Emissions; Revenue</t>
        </is>
      </c>
      <c r="R759" t="inlineStr">
        <is>
          <t>Valid</t>
        </is>
      </c>
      <c r="S759" t="n">
        <v>2030</v>
      </c>
      <c r="T759" t="inlineStr">
        <is>
          <t>Industry Haircut Pathway</t>
        </is>
      </c>
      <c r="U759" t="n">
        <v>2179.8608</v>
      </c>
      <c r="V759" t="n">
        <v>1173.6371</v>
      </c>
      <c r="W759" t="n">
        <v>1576.1266</v>
      </c>
      <c r="X759" t="n">
        <v>1576.1266</v>
      </c>
      <c r="Y759" t="n">
        <v>603.7342</v>
      </c>
      <c r="Z759" t="n">
        <v>0.00017157</v>
      </c>
      <c r="AA759" t="n">
        <v>0.27696</v>
      </c>
      <c r="AB759" t="n">
        <v>402.4895</v>
      </c>
      <c r="AC759" t="n">
        <v>40.2489</v>
      </c>
      <c r="AD759" t="n">
        <v>8717.6999</v>
      </c>
      <c r="AE759" t="n">
        <v>10060.4937</v>
      </c>
      <c r="AF759" t="n">
        <v>0.897</v>
      </c>
      <c r="AG759" t="inlineStr">
        <is>
          <t>High</t>
        </is>
      </c>
      <c r="AH759" t="inlineStr">
        <is>
          <t>On Track to Glide Path</t>
        </is>
      </c>
    </row>
    <row r="760">
      <c r="A760" t="inlineStr">
        <is>
          <t>SUP-0048</t>
        </is>
      </c>
      <c r="B760" t="inlineStr">
        <is>
          <t>Logistics Supplier 048</t>
        </is>
      </c>
      <c r="C760" t="inlineStr">
        <is>
          <t>Logistics</t>
        </is>
      </c>
      <c r="D760" t="n">
        <v>2024</v>
      </c>
      <c r="E760" t="n">
        <v>2015</v>
      </c>
      <c r="F760" t="n">
        <v>2040</v>
      </c>
      <c r="G760" t="inlineStr"/>
      <c r="H760" t="n">
        <v>378.8577</v>
      </c>
      <c r="I760" t="n">
        <v>471.3549</v>
      </c>
      <c r="J760" t="n">
        <v>1497.791</v>
      </c>
      <c r="K760" t="n">
        <v>9186435.67</v>
      </c>
      <c r="L760" t="inlineStr"/>
      <c r="M760" t="n">
        <v>2348.0036</v>
      </c>
      <c r="N760" t="inlineStr">
        <is>
          <t>Scope 1 + Scope 2 + Scope 3</t>
        </is>
      </c>
      <c r="O760" t="b">
        <v>1</v>
      </c>
      <c r="P760" t="inlineStr">
        <is>
          <t>High</t>
        </is>
      </c>
      <c r="Q760" t="inlineStr">
        <is>
          <t>Reported_Emissions; Revenue</t>
        </is>
      </c>
      <c r="R760" t="inlineStr">
        <is>
          <t>Valid</t>
        </is>
      </c>
      <c r="S760" t="n">
        <v>2031</v>
      </c>
      <c r="T760" t="inlineStr">
        <is>
          <t>Industry Haircut Pathway</t>
        </is>
      </c>
      <c r="U760" t="n">
        <v>2179.8608</v>
      </c>
      <c r="V760" t="n">
        <v>1173.6371</v>
      </c>
      <c r="W760" t="n">
        <v>1535.8776</v>
      </c>
      <c r="X760" t="n">
        <v>1535.8776</v>
      </c>
      <c r="Y760" t="n">
        <v>643.9832</v>
      </c>
      <c r="Z760" t="n">
        <v>0.00016719</v>
      </c>
      <c r="AA760" t="n">
        <v>0.295424</v>
      </c>
      <c r="AB760" t="n">
        <v>362.2405</v>
      </c>
      <c r="AC760" t="n">
        <v>40.2489</v>
      </c>
      <c r="AD760" t="n">
        <v>7181.8223</v>
      </c>
      <c r="AE760" t="n">
        <v>11596.3713</v>
      </c>
      <c r="AF760" t="n">
        <v>0.897</v>
      </c>
      <c r="AG760" t="inlineStr">
        <is>
          <t>High</t>
        </is>
      </c>
      <c r="AH760" t="inlineStr">
        <is>
          <t>On Track to Glide Path</t>
        </is>
      </c>
    </row>
    <row r="761">
      <c r="A761" t="inlineStr">
        <is>
          <t>SUP-0048</t>
        </is>
      </c>
      <c r="B761" t="inlineStr">
        <is>
          <t>Logistics Supplier 048</t>
        </is>
      </c>
      <c r="C761" t="inlineStr">
        <is>
          <t>Logistics</t>
        </is>
      </c>
      <c r="D761" t="n">
        <v>2024</v>
      </c>
      <c r="E761" t="n">
        <v>2015</v>
      </c>
      <c r="F761" t="n">
        <v>2040</v>
      </c>
      <c r="G761" t="inlineStr"/>
      <c r="H761" t="n">
        <v>378.8577</v>
      </c>
      <c r="I761" t="n">
        <v>471.3549</v>
      </c>
      <c r="J761" t="n">
        <v>1497.791</v>
      </c>
      <c r="K761" t="n">
        <v>9186435.67</v>
      </c>
      <c r="L761" t="inlineStr"/>
      <c r="M761" t="n">
        <v>2348.0036</v>
      </c>
      <c r="N761" t="inlineStr">
        <is>
          <t>Scope 1 + Scope 2 + Scope 3</t>
        </is>
      </c>
      <c r="O761" t="b">
        <v>1</v>
      </c>
      <c r="P761" t="inlineStr">
        <is>
          <t>High</t>
        </is>
      </c>
      <c r="Q761" t="inlineStr">
        <is>
          <t>Reported_Emissions; Revenue</t>
        </is>
      </c>
      <c r="R761" t="inlineStr">
        <is>
          <t>Valid</t>
        </is>
      </c>
      <c r="S761" t="n">
        <v>2032</v>
      </c>
      <c r="T761" t="inlineStr">
        <is>
          <t>Industry Haircut Pathway</t>
        </is>
      </c>
      <c r="U761" t="n">
        <v>2179.8608</v>
      </c>
      <c r="V761" t="n">
        <v>1173.6371</v>
      </c>
      <c r="W761" t="n">
        <v>1495.6287</v>
      </c>
      <c r="X761" t="n">
        <v>1495.6287</v>
      </c>
      <c r="Y761" t="n">
        <v>684.2320999999999</v>
      </c>
      <c r="Z761" t="n">
        <v>0.00016281</v>
      </c>
      <c r="AA761" t="n">
        <v>0.313888</v>
      </c>
      <c r="AB761" t="n">
        <v>321.9916</v>
      </c>
      <c r="AC761" t="n">
        <v>40.2489</v>
      </c>
      <c r="AD761" t="n">
        <v>5686.1936</v>
      </c>
      <c r="AE761" t="n">
        <v>13092</v>
      </c>
      <c r="AF761" t="n">
        <v>0.897</v>
      </c>
      <c r="AG761" t="inlineStr">
        <is>
          <t>High</t>
        </is>
      </c>
      <c r="AH761" t="inlineStr">
        <is>
          <t>On Track to Glide Path</t>
        </is>
      </c>
    </row>
    <row r="762">
      <c r="A762" t="inlineStr">
        <is>
          <t>SUP-0048</t>
        </is>
      </c>
      <c r="B762" t="inlineStr">
        <is>
          <t>Logistics Supplier 048</t>
        </is>
      </c>
      <c r="C762" t="inlineStr">
        <is>
          <t>Logistics</t>
        </is>
      </c>
      <c r="D762" t="n">
        <v>2024</v>
      </c>
      <c r="E762" t="n">
        <v>2015</v>
      </c>
      <c r="F762" t="n">
        <v>2040</v>
      </c>
      <c r="G762" t="inlineStr"/>
      <c r="H762" t="n">
        <v>378.8577</v>
      </c>
      <c r="I762" t="n">
        <v>471.3549</v>
      </c>
      <c r="J762" t="n">
        <v>1497.791</v>
      </c>
      <c r="K762" t="n">
        <v>9186435.67</v>
      </c>
      <c r="L762" t="inlineStr"/>
      <c r="M762" t="n">
        <v>2348.0036</v>
      </c>
      <c r="N762" t="inlineStr">
        <is>
          <t>Scope 1 + Scope 2 + Scope 3</t>
        </is>
      </c>
      <c r="O762" t="b">
        <v>1</v>
      </c>
      <c r="P762" t="inlineStr">
        <is>
          <t>High</t>
        </is>
      </c>
      <c r="Q762" t="inlineStr">
        <is>
          <t>Reported_Emissions; Revenue</t>
        </is>
      </c>
      <c r="R762" t="inlineStr">
        <is>
          <t>Valid</t>
        </is>
      </c>
      <c r="S762" t="n">
        <v>2033</v>
      </c>
      <c r="T762" t="inlineStr">
        <is>
          <t>Industry Haircut Pathway</t>
        </is>
      </c>
      <c r="U762" t="n">
        <v>2179.8608</v>
      </c>
      <c r="V762" t="n">
        <v>1173.6371</v>
      </c>
      <c r="W762" t="n">
        <v>1455.3797</v>
      </c>
      <c r="X762" t="n">
        <v>1455.3797</v>
      </c>
      <c r="Y762" t="n">
        <v>724.4811</v>
      </c>
      <c r="Z762" t="n">
        <v>0.00015843</v>
      </c>
      <c r="AA762" t="n">
        <v>0.332352</v>
      </c>
      <c r="AB762" t="n">
        <v>281.7426</v>
      </c>
      <c r="AC762" t="n">
        <v>40.2489</v>
      </c>
      <c r="AD762" t="n">
        <v>4230.8139</v>
      </c>
      <c r="AE762" t="n">
        <v>14547.3797</v>
      </c>
      <c r="AF762" t="n">
        <v>0.897</v>
      </c>
      <c r="AG762" t="inlineStr">
        <is>
          <t>High</t>
        </is>
      </c>
      <c r="AH762" t="inlineStr">
        <is>
          <t>On Track to Glide Path</t>
        </is>
      </c>
    </row>
    <row r="763">
      <c r="A763" t="inlineStr">
        <is>
          <t>SUP-0048</t>
        </is>
      </c>
      <c r="B763" t="inlineStr">
        <is>
          <t>Logistics Supplier 048</t>
        </is>
      </c>
      <c r="C763" t="inlineStr">
        <is>
          <t>Logistics</t>
        </is>
      </c>
      <c r="D763" t="n">
        <v>2024</v>
      </c>
      <c r="E763" t="n">
        <v>2015</v>
      </c>
      <c r="F763" t="n">
        <v>2040</v>
      </c>
      <c r="G763" t="inlineStr"/>
      <c r="H763" t="n">
        <v>378.8577</v>
      </c>
      <c r="I763" t="n">
        <v>471.3549</v>
      </c>
      <c r="J763" t="n">
        <v>1497.791</v>
      </c>
      <c r="K763" t="n">
        <v>9186435.67</v>
      </c>
      <c r="L763" t="inlineStr"/>
      <c r="M763" t="n">
        <v>2348.0036</v>
      </c>
      <c r="N763" t="inlineStr">
        <is>
          <t>Scope 1 + Scope 2 + Scope 3</t>
        </is>
      </c>
      <c r="O763" t="b">
        <v>1</v>
      </c>
      <c r="P763" t="inlineStr">
        <is>
          <t>High</t>
        </is>
      </c>
      <c r="Q763" t="inlineStr">
        <is>
          <t>Reported_Emissions; Revenue</t>
        </is>
      </c>
      <c r="R763" t="inlineStr">
        <is>
          <t>Valid</t>
        </is>
      </c>
      <c r="S763" t="n">
        <v>2034</v>
      </c>
      <c r="T763" t="inlineStr">
        <is>
          <t>Industry Haircut Pathway</t>
        </is>
      </c>
      <c r="U763" t="n">
        <v>2179.8608</v>
      </c>
      <c r="V763" t="n">
        <v>1173.6371</v>
      </c>
      <c r="W763" t="n">
        <v>1415.1308</v>
      </c>
      <c r="X763" t="n">
        <v>1415.1308</v>
      </c>
      <c r="Y763" t="n">
        <v>764.73</v>
      </c>
      <c r="Z763" t="n">
        <v>0.00015405</v>
      </c>
      <c r="AA763" t="n">
        <v>0.350816</v>
      </c>
      <c r="AB763" t="n">
        <v>241.4937</v>
      </c>
      <c r="AC763" t="n">
        <v>40.2489</v>
      </c>
      <c r="AD763" t="n">
        <v>2815.6831</v>
      </c>
      <c r="AE763" t="n">
        <v>15962.5105</v>
      </c>
      <c r="AF763" t="n">
        <v>0.897</v>
      </c>
      <c r="AG763" t="inlineStr">
        <is>
          <t>High</t>
        </is>
      </c>
      <c r="AH763" t="inlineStr">
        <is>
          <t>On Track to Glide Path</t>
        </is>
      </c>
    </row>
    <row r="764">
      <c r="A764" t="inlineStr">
        <is>
          <t>SUP-0048</t>
        </is>
      </c>
      <c r="B764" t="inlineStr">
        <is>
          <t>Logistics Supplier 048</t>
        </is>
      </c>
      <c r="C764" t="inlineStr">
        <is>
          <t>Logistics</t>
        </is>
      </c>
      <c r="D764" t="n">
        <v>2024</v>
      </c>
      <c r="E764" t="n">
        <v>2015</v>
      </c>
      <c r="F764" t="n">
        <v>2040</v>
      </c>
      <c r="G764" t="inlineStr"/>
      <c r="H764" t="n">
        <v>378.8577</v>
      </c>
      <c r="I764" t="n">
        <v>471.3549</v>
      </c>
      <c r="J764" t="n">
        <v>1497.791</v>
      </c>
      <c r="K764" t="n">
        <v>9186435.67</v>
      </c>
      <c r="L764" t="inlineStr"/>
      <c r="M764" t="n">
        <v>2348.0036</v>
      </c>
      <c r="N764" t="inlineStr">
        <is>
          <t>Scope 1 + Scope 2 + Scope 3</t>
        </is>
      </c>
      <c r="O764" t="b">
        <v>1</v>
      </c>
      <c r="P764" t="inlineStr">
        <is>
          <t>High</t>
        </is>
      </c>
      <c r="Q764" t="inlineStr">
        <is>
          <t>Reported_Emissions; Revenue</t>
        </is>
      </c>
      <c r="R764" t="inlineStr">
        <is>
          <t>Valid</t>
        </is>
      </c>
      <c r="S764" t="n">
        <v>2035</v>
      </c>
      <c r="T764" t="inlineStr">
        <is>
          <t>Industry Haircut Pathway</t>
        </is>
      </c>
      <c r="U764" t="n">
        <v>2179.8608</v>
      </c>
      <c r="V764" t="n">
        <v>1173.6371</v>
      </c>
      <c r="W764" t="n">
        <v>1374.8818</v>
      </c>
      <c r="X764" t="n">
        <v>1374.8818</v>
      </c>
      <c r="Y764" t="n">
        <v>804.979</v>
      </c>
      <c r="Z764" t="n">
        <v>0.00014966</v>
      </c>
      <c r="AA764" t="n">
        <v>0.36928</v>
      </c>
      <c r="AB764" t="n">
        <v>201.2447</v>
      </c>
      <c r="AC764" t="n">
        <v>40.2489</v>
      </c>
      <c r="AD764" t="n">
        <v>1440.8013</v>
      </c>
      <c r="AE764" t="n">
        <v>17337.3923</v>
      </c>
      <c r="AF764" t="n">
        <v>0.897</v>
      </c>
      <c r="AG764" t="inlineStr">
        <is>
          <t>High</t>
        </is>
      </c>
      <c r="AH764" t="inlineStr">
        <is>
          <t>On Track to Glide Path</t>
        </is>
      </c>
    </row>
    <row r="765">
      <c r="A765" t="inlineStr">
        <is>
          <t>SUP-0048</t>
        </is>
      </c>
      <c r="B765" t="inlineStr">
        <is>
          <t>Logistics Supplier 048</t>
        </is>
      </c>
      <c r="C765" t="inlineStr">
        <is>
          <t>Logistics</t>
        </is>
      </c>
      <c r="D765" t="n">
        <v>2024</v>
      </c>
      <c r="E765" t="n">
        <v>2015</v>
      </c>
      <c r="F765" t="n">
        <v>2040</v>
      </c>
      <c r="G765" t="inlineStr"/>
      <c r="H765" t="n">
        <v>378.8577</v>
      </c>
      <c r="I765" t="n">
        <v>471.3549</v>
      </c>
      <c r="J765" t="n">
        <v>1497.791</v>
      </c>
      <c r="K765" t="n">
        <v>9186435.67</v>
      </c>
      <c r="L765" t="inlineStr"/>
      <c r="M765" t="n">
        <v>2348.0036</v>
      </c>
      <c r="N765" t="inlineStr">
        <is>
          <t>Scope 1 + Scope 2 + Scope 3</t>
        </is>
      </c>
      <c r="O765" t="b">
        <v>1</v>
      </c>
      <c r="P765" t="inlineStr">
        <is>
          <t>High</t>
        </is>
      </c>
      <c r="Q765" t="inlineStr">
        <is>
          <t>Reported_Emissions; Revenue</t>
        </is>
      </c>
      <c r="R765" t="inlineStr">
        <is>
          <t>Valid</t>
        </is>
      </c>
      <c r="S765" t="n">
        <v>2036</v>
      </c>
      <c r="T765" t="inlineStr">
        <is>
          <t>Industry Haircut Pathway</t>
        </is>
      </c>
      <c r="U765" t="n">
        <v>2179.8608</v>
      </c>
      <c r="V765" t="n">
        <v>1173.6371</v>
      </c>
      <c r="W765" t="n">
        <v>1334.6329</v>
      </c>
      <c r="X765" t="n">
        <v>1334.6329</v>
      </c>
      <c r="Y765" t="n">
        <v>845.2279</v>
      </c>
      <c r="Z765" t="n">
        <v>0.00014528</v>
      </c>
      <c r="AA765" t="n">
        <v>0.387744</v>
      </c>
      <c r="AB765" t="n">
        <v>160.9958</v>
      </c>
      <c r="AC765" t="n">
        <v>40.2489</v>
      </c>
      <c r="AD765" t="n">
        <v>106.1684</v>
      </c>
      <c r="AE765" t="n">
        <v>18672.0252</v>
      </c>
      <c r="AF765" t="n">
        <v>0.897</v>
      </c>
      <c r="AG765" t="inlineStr">
        <is>
          <t>Medium</t>
        </is>
      </c>
      <c r="AH765" t="inlineStr">
        <is>
          <t>On Track to Glide Path</t>
        </is>
      </c>
    </row>
    <row r="766">
      <c r="A766" t="inlineStr">
        <is>
          <t>SUP-0048</t>
        </is>
      </c>
      <c r="B766" t="inlineStr">
        <is>
          <t>Logistics Supplier 048</t>
        </is>
      </c>
      <c r="C766" t="inlineStr">
        <is>
          <t>Logistics</t>
        </is>
      </c>
      <c r="D766" t="n">
        <v>2024</v>
      </c>
      <c r="E766" t="n">
        <v>2015</v>
      </c>
      <c r="F766" t="n">
        <v>2040</v>
      </c>
      <c r="G766" t="inlineStr"/>
      <c r="H766" t="n">
        <v>378.8577</v>
      </c>
      <c r="I766" t="n">
        <v>471.3549</v>
      </c>
      <c r="J766" t="n">
        <v>1497.791</v>
      </c>
      <c r="K766" t="n">
        <v>9186435.67</v>
      </c>
      <c r="L766" t="inlineStr"/>
      <c r="M766" t="n">
        <v>2348.0036</v>
      </c>
      <c r="N766" t="inlineStr">
        <is>
          <t>Scope 1 + Scope 2 + Scope 3</t>
        </is>
      </c>
      <c r="O766" t="b">
        <v>1</v>
      </c>
      <c r="P766" t="inlineStr">
        <is>
          <t>High</t>
        </is>
      </c>
      <c r="Q766" t="inlineStr">
        <is>
          <t>Reported_Emissions; Revenue</t>
        </is>
      </c>
      <c r="R766" t="inlineStr">
        <is>
          <t>Valid</t>
        </is>
      </c>
      <c r="S766" t="n">
        <v>2037</v>
      </c>
      <c r="T766" t="inlineStr">
        <is>
          <t>Industry Haircut Pathway</t>
        </is>
      </c>
      <c r="U766" t="n">
        <v>2179.8608</v>
      </c>
      <c r="V766" t="n">
        <v>1173.6371</v>
      </c>
      <c r="W766" t="n">
        <v>1294.3839</v>
      </c>
      <c r="X766" t="n">
        <v>1294.3839</v>
      </c>
      <c r="Y766" t="n">
        <v>885.4769</v>
      </c>
      <c r="Z766" t="n">
        <v>0.0001409</v>
      </c>
      <c r="AA766" t="n">
        <v>0.406208</v>
      </c>
      <c r="AB766" t="n">
        <v>120.7468</v>
      </c>
      <c r="AC766" t="n">
        <v>40.2489</v>
      </c>
      <c r="AD766" t="n">
        <v>-1188.2155</v>
      </c>
      <c r="AE766" t="n">
        <v>19966.4091</v>
      </c>
      <c r="AF766" t="n">
        <v>0.897</v>
      </c>
      <c r="AG766" t="inlineStr">
        <is>
          <t>Medium</t>
        </is>
      </c>
      <c r="AH766" t="inlineStr">
        <is>
          <t>On Track to Glide Path</t>
        </is>
      </c>
    </row>
    <row r="767">
      <c r="A767" t="inlineStr">
        <is>
          <t>SUP-0048</t>
        </is>
      </c>
      <c r="B767" t="inlineStr">
        <is>
          <t>Logistics Supplier 048</t>
        </is>
      </c>
      <c r="C767" t="inlineStr">
        <is>
          <t>Logistics</t>
        </is>
      </c>
      <c r="D767" t="n">
        <v>2024</v>
      </c>
      <c r="E767" t="n">
        <v>2015</v>
      </c>
      <c r="F767" t="n">
        <v>2040</v>
      </c>
      <c r="G767" t="inlineStr"/>
      <c r="H767" t="n">
        <v>378.8577</v>
      </c>
      <c r="I767" t="n">
        <v>471.3549</v>
      </c>
      <c r="J767" t="n">
        <v>1497.791</v>
      </c>
      <c r="K767" t="n">
        <v>9186435.67</v>
      </c>
      <c r="L767" t="inlineStr"/>
      <c r="M767" t="n">
        <v>2348.0036</v>
      </c>
      <c r="N767" t="inlineStr">
        <is>
          <t>Scope 1 + Scope 2 + Scope 3</t>
        </is>
      </c>
      <c r="O767" t="b">
        <v>1</v>
      </c>
      <c r="P767" t="inlineStr">
        <is>
          <t>High</t>
        </is>
      </c>
      <c r="Q767" t="inlineStr">
        <is>
          <t>Reported_Emissions; Revenue</t>
        </is>
      </c>
      <c r="R767" t="inlineStr">
        <is>
          <t>Valid</t>
        </is>
      </c>
      <c r="S767" t="n">
        <v>2038</v>
      </c>
      <c r="T767" t="inlineStr">
        <is>
          <t>Industry Haircut Pathway</t>
        </is>
      </c>
      <c r="U767" t="n">
        <v>2179.8608</v>
      </c>
      <c r="V767" t="n">
        <v>1173.6371</v>
      </c>
      <c r="W767" t="n">
        <v>1254.135</v>
      </c>
      <c r="X767" t="n">
        <v>1254.135</v>
      </c>
      <c r="Y767" t="n">
        <v>925.7258</v>
      </c>
      <c r="Z767" t="n">
        <v>0.00013652</v>
      </c>
      <c r="AA767" t="n">
        <v>0.424672</v>
      </c>
      <c r="AB767" t="n">
        <v>80.4979</v>
      </c>
      <c r="AC767" t="n">
        <v>40.2489</v>
      </c>
      <c r="AD767" t="n">
        <v>-2442.3505</v>
      </c>
      <c r="AE767" t="n">
        <v>21220.5441</v>
      </c>
      <c r="AF767" t="n">
        <v>0.897</v>
      </c>
      <c r="AG767" t="inlineStr">
        <is>
          <t>Medium</t>
        </is>
      </c>
      <c r="AH767" t="inlineStr">
        <is>
          <t>On Track to Glide Path</t>
        </is>
      </c>
    </row>
    <row r="768">
      <c r="A768" t="inlineStr">
        <is>
          <t>SUP-0048</t>
        </is>
      </c>
      <c r="B768" t="inlineStr">
        <is>
          <t>Logistics Supplier 048</t>
        </is>
      </c>
      <c r="C768" t="inlineStr">
        <is>
          <t>Logistics</t>
        </is>
      </c>
      <c r="D768" t="n">
        <v>2024</v>
      </c>
      <c r="E768" t="n">
        <v>2015</v>
      </c>
      <c r="F768" t="n">
        <v>2040</v>
      </c>
      <c r="G768" t="inlineStr"/>
      <c r="H768" t="n">
        <v>378.8577</v>
      </c>
      <c r="I768" t="n">
        <v>471.3549</v>
      </c>
      <c r="J768" t="n">
        <v>1497.791</v>
      </c>
      <c r="K768" t="n">
        <v>9186435.67</v>
      </c>
      <c r="L768" t="inlineStr"/>
      <c r="M768" t="n">
        <v>2348.0036</v>
      </c>
      <c r="N768" t="inlineStr">
        <is>
          <t>Scope 1 + Scope 2 + Scope 3</t>
        </is>
      </c>
      <c r="O768" t="b">
        <v>1</v>
      </c>
      <c r="P768" t="inlineStr">
        <is>
          <t>High</t>
        </is>
      </c>
      <c r="Q768" t="inlineStr">
        <is>
          <t>Reported_Emissions; Revenue</t>
        </is>
      </c>
      <c r="R768" t="inlineStr">
        <is>
          <t>Valid</t>
        </is>
      </c>
      <c r="S768" t="n">
        <v>2039</v>
      </c>
      <c r="T768" t="inlineStr">
        <is>
          <t>Industry Haircut Pathway</t>
        </is>
      </c>
      <c r="U768" t="n">
        <v>2179.8608</v>
      </c>
      <c r="V768" t="n">
        <v>1173.6371</v>
      </c>
      <c r="W768" t="n">
        <v>1213.886</v>
      </c>
      <c r="X768" t="n">
        <v>1213.886</v>
      </c>
      <c r="Y768" t="n">
        <v>965.9748</v>
      </c>
      <c r="Z768" t="n">
        <v>0.00013214</v>
      </c>
      <c r="AA768" t="n">
        <v>0.443136</v>
      </c>
      <c r="AB768" t="n">
        <v>40.2489</v>
      </c>
      <c r="AC768" t="n">
        <v>40.2489</v>
      </c>
      <c r="AD768" t="n">
        <v>-3656.2365</v>
      </c>
      <c r="AE768" t="n">
        <v>22434.4301</v>
      </c>
      <c r="AF768" t="n">
        <v>0.897</v>
      </c>
      <c r="AG768" t="inlineStr">
        <is>
          <t>Medium</t>
        </is>
      </c>
      <c r="AH768" t="inlineStr">
        <is>
          <t>On Track to Glide Path</t>
        </is>
      </c>
    </row>
    <row r="769">
      <c r="A769" t="inlineStr">
        <is>
          <t>SUP-0048</t>
        </is>
      </c>
      <c r="B769" t="inlineStr">
        <is>
          <t>Logistics Supplier 048</t>
        </is>
      </c>
      <c r="C769" t="inlineStr">
        <is>
          <t>Logistics</t>
        </is>
      </c>
      <c r="D769" t="n">
        <v>2024</v>
      </c>
      <c r="E769" t="n">
        <v>2015</v>
      </c>
      <c r="F769" t="n">
        <v>2040</v>
      </c>
      <c r="G769" t="inlineStr"/>
      <c r="H769" t="n">
        <v>378.8577</v>
      </c>
      <c r="I769" t="n">
        <v>471.3549</v>
      </c>
      <c r="J769" t="n">
        <v>1497.791</v>
      </c>
      <c r="K769" t="n">
        <v>9186435.67</v>
      </c>
      <c r="L769" t="inlineStr"/>
      <c r="M769" t="n">
        <v>2348.0036</v>
      </c>
      <c r="N769" t="inlineStr">
        <is>
          <t>Scope 1 + Scope 2 + Scope 3</t>
        </is>
      </c>
      <c r="O769" t="b">
        <v>1</v>
      </c>
      <c r="P769" t="inlineStr">
        <is>
          <t>High</t>
        </is>
      </c>
      <c r="Q769" t="inlineStr">
        <is>
          <t>Reported_Emissions; Revenue</t>
        </is>
      </c>
      <c r="R769" t="inlineStr">
        <is>
          <t>Valid</t>
        </is>
      </c>
      <c r="S769" t="n">
        <v>2040</v>
      </c>
      <c r="T769" t="inlineStr">
        <is>
          <t>Industry Haircut Pathway</t>
        </is>
      </c>
      <c r="U769" t="n">
        <v>2179.8608</v>
      </c>
      <c r="V769" t="n">
        <v>1173.6371</v>
      </c>
      <c r="W769" t="n">
        <v>1173.6371</v>
      </c>
      <c r="X769" t="n">
        <v>1173.6371</v>
      </c>
      <c r="Y769" t="n">
        <v>1006.2237</v>
      </c>
      <c r="Z769" t="n">
        <v>0.00012776</v>
      </c>
      <c r="AA769" t="n">
        <v>0.4616</v>
      </c>
      <c r="AB769" t="n">
        <v>0</v>
      </c>
      <c r="AC769" t="n">
        <v>40.2489</v>
      </c>
      <c r="AD769" t="n">
        <v>-4829.8736</v>
      </c>
      <c r="AE769" t="n">
        <v>23608.0672</v>
      </c>
      <c r="AF769" t="n">
        <v>0.897</v>
      </c>
      <c r="AG769" t="inlineStr">
        <is>
          <t>Low</t>
        </is>
      </c>
      <c r="AH769" t="inlineStr">
        <is>
          <t>On Track</t>
        </is>
      </c>
    </row>
    <row r="770">
      <c r="A770" t="inlineStr">
        <is>
          <t>SUP-0049</t>
        </is>
      </c>
      <c r="B770" t="inlineStr">
        <is>
          <t>Logistics Supplier 049</t>
        </is>
      </c>
      <c r="C770" t="inlineStr">
        <is>
          <t>Logistics</t>
        </is>
      </c>
      <c r="D770" t="n">
        <v>2024</v>
      </c>
      <c r="E770" t="n">
        <v>2019</v>
      </c>
      <c r="F770" t="n">
        <v>2030</v>
      </c>
      <c r="G770" t="n">
        <v>1168.5577</v>
      </c>
      <c r="H770" t="inlineStr"/>
      <c r="I770" t="n">
        <v>170.241</v>
      </c>
      <c r="J770" t="inlineStr"/>
      <c r="K770" t="n">
        <v>7710892.64</v>
      </c>
      <c r="L770" t="n">
        <v>59733845.05</v>
      </c>
      <c r="M770" t="n">
        <v>1168.5577</v>
      </c>
      <c r="N770" t="inlineStr">
        <is>
          <t>Supplier Reported Emissions</t>
        </is>
      </c>
      <c r="O770" t="b">
        <v>0</v>
      </c>
      <c r="P770" t="inlineStr">
        <is>
          <t>High</t>
        </is>
      </c>
      <c r="Q770" t="inlineStr">
        <is>
          <t>Scope_Emissions</t>
        </is>
      </c>
      <c r="R770" t="inlineStr">
        <is>
          <t>Valid</t>
        </is>
      </c>
      <c r="S770" t="n">
        <v>2025</v>
      </c>
      <c r="T770" t="inlineStr">
        <is>
          <t>Supplier Target Pathway</t>
        </is>
      </c>
      <c r="U770" t="n">
        <v>963.811</v>
      </c>
      <c r="V770" t="n">
        <v>736.3516</v>
      </c>
      <c r="W770" t="n">
        <v>839.7422</v>
      </c>
      <c r="X770" t="n">
        <v>839.7422</v>
      </c>
      <c r="Y770" t="n">
        <v>124.0688</v>
      </c>
      <c r="Z770" t="n">
        <v>0.0001089</v>
      </c>
      <c r="AA770" t="n">
        <v>0.128727</v>
      </c>
      <c r="AB770" t="n">
        <v>103.3906</v>
      </c>
      <c r="AC770" t="n">
        <v>20.6781</v>
      </c>
      <c r="AD770" t="n">
        <v>3578.3674</v>
      </c>
      <c r="AE770" t="n">
        <v>839.7422</v>
      </c>
      <c r="AF770" t="n">
        <v>0.99</v>
      </c>
      <c r="AG770" t="inlineStr">
        <is>
          <t>Medium</t>
        </is>
      </c>
      <c r="AH770" t="inlineStr">
        <is>
          <t>On Track to Glide Path</t>
        </is>
      </c>
    </row>
    <row r="771">
      <c r="A771" t="inlineStr">
        <is>
          <t>SUP-0049</t>
        </is>
      </c>
      <c r="B771" t="inlineStr">
        <is>
          <t>Logistics Supplier 049</t>
        </is>
      </c>
      <c r="C771" t="inlineStr">
        <is>
          <t>Logistics</t>
        </is>
      </c>
      <c r="D771" t="n">
        <v>2024</v>
      </c>
      <c r="E771" t="n">
        <v>2019</v>
      </c>
      <c r="F771" t="n">
        <v>2030</v>
      </c>
      <c r="G771" t="n">
        <v>1168.5577</v>
      </c>
      <c r="H771" t="inlineStr"/>
      <c r="I771" t="n">
        <v>170.241</v>
      </c>
      <c r="J771" t="inlineStr"/>
      <c r="K771" t="n">
        <v>7710892.64</v>
      </c>
      <c r="L771" t="n">
        <v>59733845.05</v>
      </c>
      <c r="M771" t="n">
        <v>1168.5577</v>
      </c>
      <c r="N771" t="inlineStr">
        <is>
          <t>Supplier Reported Emissions</t>
        </is>
      </c>
      <c r="O771" t="b">
        <v>0</v>
      </c>
      <c r="P771" t="inlineStr">
        <is>
          <t>High</t>
        </is>
      </c>
      <c r="Q771" t="inlineStr">
        <is>
          <t>Scope_Emissions</t>
        </is>
      </c>
      <c r="R771" t="inlineStr">
        <is>
          <t>Valid</t>
        </is>
      </c>
      <c r="S771" t="n">
        <v>2026</v>
      </c>
      <c r="T771" t="inlineStr">
        <is>
          <t>Supplier Target Pathway</t>
        </is>
      </c>
      <c r="U771" t="n">
        <v>963.811</v>
      </c>
      <c r="V771" t="n">
        <v>736.3516</v>
      </c>
      <c r="W771" t="n">
        <v>819.0641000000001</v>
      </c>
      <c r="X771" t="n">
        <v>819.0641000000001</v>
      </c>
      <c r="Y771" t="n">
        <v>144.7469</v>
      </c>
      <c r="Z771" t="n">
        <v>0.00010622</v>
      </c>
      <c r="AA771" t="n">
        <v>0.150182</v>
      </c>
      <c r="AB771" t="n">
        <v>82.71250000000001</v>
      </c>
      <c r="AC771" t="n">
        <v>20.6781</v>
      </c>
      <c r="AD771" t="n">
        <v>2759.3033</v>
      </c>
      <c r="AE771" t="n">
        <v>1658.8063</v>
      </c>
      <c r="AF771" t="n">
        <v>0.99</v>
      </c>
      <c r="AG771" t="inlineStr">
        <is>
          <t>Medium</t>
        </is>
      </c>
      <c r="AH771" t="inlineStr">
        <is>
          <t>On Track to Glide Path</t>
        </is>
      </c>
    </row>
    <row r="772">
      <c r="A772" t="inlineStr">
        <is>
          <t>SUP-0049</t>
        </is>
      </c>
      <c r="B772" t="inlineStr">
        <is>
          <t>Logistics Supplier 049</t>
        </is>
      </c>
      <c r="C772" t="inlineStr">
        <is>
          <t>Logistics</t>
        </is>
      </c>
      <c r="D772" t="n">
        <v>2024</v>
      </c>
      <c r="E772" t="n">
        <v>2019</v>
      </c>
      <c r="F772" t="n">
        <v>2030</v>
      </c>
      <c r="G772" t="n">
        <v>1168.5577</v>
      </c>
      <c r="H772" t="inlineStr"/>
      <c r="I772" t="n">
        <v>170.241</v>
      </c>
      <c r="J772" t="inlineStr"/>
      <c r="K772" t="n">
        <v>7710892.64</v>
      </c>
      <c r="L772" t="n">
        <v>59733845.05</v>
      </c>
      <c r="M772" t="n">
        <v>1168.5577</v>
      </c>
      <c r="N772" t="inlineStr">
        <is>
          <t>Supplier Reported Emissions</t>
        </is>
      </c>
      <c r="O772" t="b">
        <v>0</v>
      </c>
      <c r="P772" t="inlineStr">
        <is>
          <t>High</t>
        </is>
      </c>
      <c r="Q772" t="inlineStr">
        <is>
          <t>Scope_Emissions</t>
        </is>
      </c>
      <c r="R772" t="inlineStr">
        <is>
          <t>Valid</t>
        </is>
      </c>
      <c r="S772" t="n">
        <v>2027</v>
      </c>
      <c r="T772" t="inlineStr">
        <is>
          <t>Supplier Target Pathway</t>
        </is>
      </c>
      <c r="U772" t="n">
        <v>963.811</v>
      </c>
      <c r="V772" t="n">
        <v>736.3516</v>
      </c>
      <c r="W772" t="n">
        <v>798.386</v>
      </c>
      <c r="X772" t="n">
        <v>798.386</v>
      </c>
      <c r="Y772" t="n">
        <v>165.425</v>
      </c>
      <c r="Z772" t="n">
        <v>0.00010354</v>
      </c>
      <c r="AA772" t="n">
        <v>0.171636</v>
      </c>
      <c r="AB772" t="n">
        <v>62.0344</v>
      </c>
      <c r="AC772" t="n">
        <v>20.6781</v>
      </c>
      <c r="AD772" t="n">
        <v>1960.9173</v>
      </c>
      <c r="AE772" t="n">
        <v>2457.1923</v>
      </c>
      <c r="AF772" t="n">
        <v>0.99</v>
      </c>
      <c r="AG772" t="inlineStr">
        <is>
          <t>Medium</t>
        </is>
      </c>
      <c r="AH772" t="inlineStr">
        <is>
          <t>On Track to Glide Path</t>
        </is>
      </c>
    </row>
    <row r="773">
      <c r="A773" t="inlineStr">
        <is>
          <t>SUP-0049</t>
        </is>
      </c>
      <c r="B773" t="inlineStr">
        <is>
          <t>Logistics Supplier 049</t>
        </is>
      </c>
      <c r="C773" t="inlineStr">
        <is>
          <t>Logistics</t>
        </is>
      </c>
      <c r="D773" t="n">
        <v>2024</v>
      </c>
      <c r="E773" t="n">
        <v>2019</v>
      </c>
      <c r="F773" t="n">
        <v>2030</v>
      </c>
      <c r="G773" t="n">
        <v>1168.5577</v>
      </c>
      <c r="H773" t="inlineStr"/>
      <c r="I773" t="n">
        <v>170.241</v>
      </c>
      <c r="J773" t="inlineStr"/>
      <c r="K773" t="n">
        <v>7710892.64</v>
      </c>
      <c r="L773" t="n">
        <v>59733845.05</v>
      </c>
      <c r="M773" t="n">
        <v>1168.5577</v>
      </c>
      <c r="N773" t="inlineStr">
        <is>
          <t>Supplier Reported Emissions</t>
        </is>
      </c>
      <c r="O773" t="b">
        <v>0</v>
      </c>
      <c r="P773" t="inlineStr">
        <is>
          <t>High</t>
        </is>
      </c>
      <c r="Q773" t="inlineStr">
        <is>
          <t>Scope_Emissions</t>
        </is>
      </c>
      <c r="R773" t="inlineStr">
        <is>
          <t>Valid</t>
        </is>
      </c>
      <c r="S773" t="n">
        <v>2028</v>
      </c>
      <c r="T773" t="inlineStr">
        <is>
          <t>Supplier Target Pathway</t>
        </is>
      </c>
      <c r="U773" t="n">
        <v>963.811</v>
      </c>
      <c r="V773" t="n">
        <v>736.3516</v>
      </c>
      <c r="W773" t="n">
        <v>777.7079</v>
      </c>
      <c r="X773" t="n">
        <v>777.7079</v>
      </c>
      <c r="Y773" t="n">
        <v>186.1031</v>
      </c>
      <c r="Z773" t="n">
        <v>0.00010086</v>
      </c>
      <c r="AA773" t="n">
        <v>0.193091</v>
      </c>
      <c r="AB773" t="n">
        <v>41.3563</v>
      </c>
      <c r="AC773" t="n">
        <v>20.6781</v>
      </c>
      <c r="AD773" t="n">
        <v>1183.2094</v>
      </c>
      <c r="AE773" t="n">
        <v>3234.9002</v>
      </c>
      <c r="AF773" t="n">
        <v>0.99</v>
      </c>
      <c r="AG773" t="inlineStr">
        <is>
          <t>Medium</t>
        </is>
      </c>
      <c r="AH773" t="inlineStr">
        <is>
          <t>On Track to Glide Path</t>
        </is>
      </c>
    </row>
    <row r="774">
      <c r="A774" t="inlineStr">
        <is>
          <t>SUP-0049</t>
        </is>
      </c>
      <c r="B774" t="inlineStr">
        <is>
          <t>Logistics Supplier 049</t>
        </is>
      </c>
      <c r="C774" t="inlineStr">
        <is>
          <t>Logistics</t>
        </is>
      </c>
      <c r="D774" t="n">
        <v>2024</v>
      </c>
      <c r="E774" t="n">
        <v>2019</v>
      </c>
      <c r="F774" t="n">
        <v>2030</v>
      </c>
      <c r="G774" t="n">
        <v>1168.5577</v>
      </c>
      <c r="H774" t="inlineStr"/>
      <c r="I774" t="n">
        <v>170.241</v>
      </c>
      <c r="J774" t="inlineStr"/>
      <c r="K774" t="n">
        <v>7710892.64</v>
      </c>
      <c r="L774" t="n">
        <v>59733845.05</v>
      </c>
      <c r="M774" t="n">
        <v>1168.5577</v>
      </c>
      <c r="N774" t="inlineStr">
        <is>
          <t>Supplier Reported Emissions</t>
        </is>
      </c>
      <c r="O774" t="b">
        <v>0</v>
      </c>
      <c r="P774" t="inlineStr">
        <is>
          <t>High</t>
        </is>
      </c>
      <c r="Q774" t="inlineStr">
        <is>
          <t>Scope_Emissions</t>
        </is>
      </c>
      <c r="R774" t="inlineStr">
        <is>
          <t>Valid</t>
        </is>
      </c>
      <c r="S774" t="n">
        <v>2029</v>
      </c>
      <c r="T774" t="inlineStr">
        <is>
          <t>Supplier Target Pathway</t>
        </is>
      </c>
      <c r="U774" t="n">
        <v>963.811</v>
      </c>
      <c r="V774" t="n">
        <v>736.3516</v>
      </c>
      <c r="W774" t="n">
        <v>757.0297</v>
      </c>
      <c r="X774" t="n">
        <v>757.0297</v>
      </c>
      <c r="Y774" t="n">
        <v>206.7813</v>
      </c>
      <c r="Z774" t="n">
        <v>9.818e-05</v>
      </c>
      <c r="AA774" t="n">
        <v>0.214545</v>
      </c>
      <c r="AB774" t="n">
        <v>20.6781</v>
      </c>
      <c r="AC774" t="n">
        <v>20.6781</v>
      </c>
      <c r="AD774" t="n">
        <v>426.1797</v>
      </c>
      <c r="AE774" t="n">
        <v>3991.9299</v>
      </c>
      <c r="AF774" t="n">
        <v>0.99</v>
      </c>
      <c r="AG774" t="inlineStr">
        <is>
          <t>Medium</t>
        </is>
      </c>
      <c r="AH774" t="inlineStr">
        <is>
          <t>On Track to Glide Path</t>
        </is>
      </c>
    </row>
    <row r="775">
      <c r="A775" t="inlineStr">
        <is>
          <t>SUP-0049</t>
        </is>
      </c>
      <c r="B775" t="inlineStr">
        <is>
          <t>Logistics Supplier 049</t>
        </is>
      </c>
      <c r="C775" t="inlineStr">
        <is>
          <t>Logistics</t>
        </is>
      </c>
      <c r="D775" t="n">
        <v>2024</v>
      </c>
      <c r="E775" t="n">
        <v>2019</v>
      </c>
      <c r="F775" t="n">
        <v>2030</v>
      </c>
      <c r="G775" t="n">
        <v>1168.5577</v>
      </c>
      <c r="H775" t="inlineStr"/>
      <c r="I775" t="n">
        <v>170.241</v>
      </c>
      <c r="J775" t="inlineStr"/>
      <c r="K775" t="n">
        <v>7710892.64</v>
      </c>
      <c r="L775" t="n">
        <v>59733845.05</v>
      </c>
      <c r="M775" t="n">
        <v>1168.5577</v>
      </c>
      <c r="N775" t="inlineStr">
        <is>
          <t>Supplier Reported Emissions</t>
        </is>
      </c>
      <c r="O775" t="b">
        <v>0</v>
      </c>
      <c r="P775" t="inlineStr">
        <is>
          <t>High</t>
        </is>
      </c>
      <c r="Q775" t="inlineStr">
        <is>
          <t>Scope_Emissions</t>
        </is>
      </c>
      <c r="R775" t="inlineStr">
        <is>
          <t>Valid</t>
        </is>
      </c>
      <c r="S775" t="n">
        <v>2030</v>
      </c>
      <c r="T775" t="inlineStr">
        <is>
          <t>Supplier Target Pathway</t>
        </is>
      </c>
      <c r="U775" t="n">
        <v>963.811</v>
      </c>
      <c r="V775" t="n">
        <v>736.3516</v>
      </c>
      <c r="W775" t="n">
        <v>736.3516</v>
      </c>
      <c r="X775" t="n">
        <v>736.3516</v>
      </c>
      <c r="Y775" t="n">
        <v>227.4594</v>
      </c>
      <c r="Z775" t="n">
        <v>9.549e-05</v>
      </c>
      <c r="AA775" t="n">
        <v>0.236</v>
      </c>
      <c r="AB775" t="n">
        <v>0</v>
      </c>
      <c r="AC775" t="n">
        <v>20.6781</v>
      </c>
      <c r="AD775" t="n">
        <v>-310.1719</v>
      </c>
      <c r="AE775" t="n">
        <v>4728.2815</v>
      </c>
      <c r="AF775" t="n">
        <v>0.99</v>
      </c>
      <c r="AG775" t="inlineStr">
        <is>
          <t>Low</t>
        </is>
      </c>
      <c r="AH775" t="inlineStr">
        <is>
          <t>On Track</t>
        </is>
      </c>
    </row>
    <row r="776">
      <c r="A776" t="inlineStr">
        <is>
          <t>SUP-0049</t>
        </is>
      </c>
      <c r="B776" t="inlineStr">
        <is>
          <t>Logistics Supplier 049</t>
        </is>
      </c>
      <c r="C776" t="inlineStr">
        <is>
          <t>Logistics</t>
        </is>
      </c>
      <c r="D776" t="n">
        <v>2024</v>
      </c>
      <c r="E776" t="n">
        <v>2019</v>
      </c>
      <c r="F776" t="n">
        <v>2030</v>
      </c>
      <c r="G776" t="n">
        <v>1168.5577</v>
      </c>
      <c r="H776" t="inlineStr"/>
      <c r="I776" t="n">
        <v>170.241</v>
      </c>
      <c r="J776" t="inlineStr"/>
      <c r="K776" t="n">
        <v>7710892.64</v>
      </c>
      <c r="L776" t="n">
        <v>59733845.05</v>
      </c>
      <c r="M776" t="n">
        <v>1168.5577</v>
      </c>
      <c r="N776" t="inlineStr">
        <is>
          <t>Supplier Reported Emissions</t>
        </is>
      </c>
      <c r="O776" t="b">
        <v>0</v>
      </c>
      <c r="P776" t="inlineStr">
        <is>
          <t>High</t>
        </is>
      </c>
      <c r="Q776" t="inlineStr">
        <is>
          <t>Scope_Emissions</t>
        </is>
      </c>
      <c r="R776" t="inlineStr">
        <is>
          <t>Valid</t>
        </is>
      </c>
      <c r="S776" t="n">
        <v>2031</v>
      </c>
      <c r="T776" t="inlineStr">
        <is>
          <t>Supplier Target Pathway</t>
        </is>
      </c>
      <c r="U776" t="n">
        <v>963.811</v>
      </c>
      <c r="V776" t="n">
        <v>736.3516</v>
      </c>
      <c r="W776" t="n">
        <v>736.3516</v>
      </c>
      <c r="X776" t="n">
        <v>736.3516</v>
      </c>
      <c r="Y776" t="n">
        <v>227.4594</v>
      </c>
      <c r="Z776" t="n">
        <v>9.549e-05</v>
      </c>
      <c r="AA776" t="n">
        <v>0.236</v>
      </c>
      <c r="AB776" t="n">
        <v>0</v>
      </c>
      <c r="AC776" t="n">
        <v>20.6781</v>
      </c>
      <c r="AD776" t="n">
        <v>-1046.5235</v>
      </c>
      <c r="AE776" t="n">
        <v>5464.6331</v>
      </c>
      <c r="AF776" t="n">
        <v>0.99</v>
      </c>
      <c r="AG776" t="inlineStr">
        <is>
          <t>Low</t>
        </is>
      </c>
      <c r="AH776" t="inlineStr">
        <is>
          <t>On Track</t>
        </is>
      </c>
    </row>
    <row r="777">
      <c r="A777" t="inlineStr">
        <is>
          <t>SUP-0049</t>
        </is>
      </c>
      <c r="B777" t="inlineStr">
        <is>
          <t>Logistics Supplier 049</t>
        </is>
      </c>
      <c r="C777" t="inlineStr">
        <is>
          <t>Logistics</t>
        </is>
      </c>
      <c r="D777" t="n">
        <v>2024</v>
      </c>
      <c r="E777" t="n">
        <v>2019</v>
      </c>
      <c r="F777" t="n">
        <v>2030</v>
      </c>
      <c r="G777" t="n">
        <v>1168.5577</v>
      </c>
      <c r="H777" t="inlineStr"/>
      <c r="I777" t="n">
        <v>170.241</v>
      </c>
      <c r="J777" t="inlineStr"/>
      <c r="K777" t="n">
        <v>7710892.64</v>
      </c>
      <c r="L777" t="n">
        <v>59733845.05</v>
      </c>
      <c r="M777" t="n">
        <v>1168.5577</v>
      </c>
      <c r="N777" t="inlineStr">
        <is>
          <t>Supplier Reported Emissions</t>
        </is>
      </c>
      <c r="O777" t="b">
        <v>0</v>
      </c>
      <c r="P777" t="inlineStr">
        <is>
          <t>High</t>
        </is>
      </c>
      <c r="Q777" t="inlineStr">
        <is>
          <t>Scope_Emissions</t>
        </is>
      </c>
      <c r="R777" t="inlineStr">
        <is>
          <t>Valid</t>
        </is>
      </c>
      <c r="S777" t="n">
        <v>2032</v>
      </c>
      <c r="T777" t="inlineStr">
        <is>
          <t>Supplier Target Pathway</t>
        </is>
      </c>
      <c r="U777" t="n">
        <v>963.811</v>
      </c>
      <c r="V777" t="n">
        <v>736.3516</v>
      </c>
      <c r="W777" t="n">
        <v>736.3516</v>
      </c>
      <c r="X777" t="n">
        <v>736.3516</v>
      </c>
      <c r="Y777" t="n">
        <v>227.4594</v>
      </c>
      <c r="Z777" t="n">
        <v>9.549e-05</v>
      </c>
      <c r="AA777" t="n">
        <v>0.236</v>
      </c>
      <c r="AB777" t="n">
        <v>0</v>
      </c>
      <c r="AC777" t="n">
        <v>20.6781</v>
      </c>
      <c r="AD777" t="n">
        <v>-1782.8751</v>
      </c>
      <c r="AE777" t="n">
        <v>6200.9847</v>
      </c>
      <c r="AF777" t="n">
        <v>0.99</v>
      </c>
      <c r="AG777" t="inlineStr">
        <is>
          <t>Low</t>
        </is>
      </c>
      <c r="AH777" t="inlineStr">
        <is>
          <t>On Track</t>
        </is>
      </c>
    </row>
    <row r="778">
      <c r="A778" t="inlineStr">
        <is>
          <t>SUP-0049</t>
        </is>
      </c>
      <c r="B778" t="inlineStr">
        <is>
          <t>Logistics Supplier 049</t>
        </is>
      </c>
      <c r="C778" t="inlineStr">
        <is>
          <t>Logistics</t>
        </is>
      </c>
      <c r="D778" t="n">
        <v>2024</v>
      </c>
      <c r="E778" t="n">
        <v>2019</v>
      </c>
      <c r="F778" t="n">
        <v>2030</v>
      </c>
      <c r="G778" t="n">
        <v>1168.5577</v>
      </c>
      <c r="H778" t="inlineStr"/>
      <c r="I778" t="n">
        <v>170.241</v>
      </c>
      <c r="J778" t="inlineStr"/>
      <c r="K778" t="n">
        <v>7710892.64</v>
      </c>
      <c r="L778" t="n">
        <v>59733845.05</v>
      </c>
      <c r="M778" t="n">
        <v>1168.5577</v>
      </c>
      <c r="N778" t="inlineStr">
        <is>
          <t>Supplier Reported Emissions</t>
        </is>
      </c>
      <c r="O778" t="b">
        <v>0</v>
      </c>
      <c r="P778" t="inlineStr">
        <is>
          <t>High</t>
        </is>
      </c>
      <c r="Q778" t="inlineStr">
        <is>
          <t>Scope_Emissions</t>
        </is>
      </c>
      <c r="R778" t="inlineStr">
        <is>
          <t>Valid</t>
        </is>
      </c>
      <c r="S778" t="n">
        <v>2033</v>
      </c>
      <c r="T778" t="inlineStr">
        <is>
          <t>Supplier Target Pathway</t>
        </is>
      </c>
      <c r="U778" t="n">
        <v>963.811</v>
      </c>
      <c r="V778" t="n">
        <v>736.3516</v>
      </c>
      <c r="W778" t="n">
        <v>736.3516</v>
      </c>
      <c r="X778" t="n">
        <v>736.3516</v>
      </c>
      <c r="Y778" t="n">
        <v>227.4594</v>
      </c>
      <c r="Z778" t="n">
        <v>9.549e-05</v>
      </c>
      <c r="AA778" t="n">
        <v>0.236</v>
      </c>
      <c r="AB778" t="n">
        <v>0</v>
      </c>
      <c r="AC778" t="n">
        <v>20.6781</v>
      </c>
      <c r="AD778" t="n">
        <v>-2519.2267</v>
      </c>
      <c r="AE778" t="n">
        <v>6937.3363</v>
      </c>
      <c r="AF778" t="n">
        <v>0.99</v>
      </c>
      <c r="AG778" t="inlineStr">
        <is>
          <t>Low</t>
        </is>
      </c>
      <c r="AH778" t="inlineStr">
        <is>
          <t>On Track</t>
        </is>
      </c>
    </row>
    <row r="779">
      <c r="A779" t="inlineStr">
        <is>
          <t>SUP-0049</t>
        </is>
      </c>
      <c r="B779" t="inlineStr">
        <is>
          <t>Logistics Supplier 049</t>
        </is>
      </c>
      <c r="C779" t="inlineStr">
        <is>
          <t>Logistics</t>
        </is>
      </c>
      <c r="D779" t="n">
        <v>2024</v>
      </c>
      <c r="E779" t="n">
        <v>2019</v>
      </c>
      <c r="F779" t="n">
        <v>2030</v>
      </c>
      <c r="G779" t="n">
        <v>1168.5577</v>
      </c>
      <c r="H779" t="inlineStr"/>
      <c r="I779" t="n">
        <v>170.241</v>
      </c>
      <c r="J779" t="inlineStr"/>
      <c r="K779" t="n">
        <v>7710892.64</v>
      </c>
      <c r="L779" t="n">
        <v>59733845.05</v>
      </c>
      <c r="M779" t="n">
        <v>1168.5577</v>
      </c>
      <c r="N779" t="inlineStr">
        <is>
          <t>Supplier Reported Emissions</t>
        </is>
      </c>
      <c r="O779" t="b">
        <v>0</v>
      </c>
      <c r="P779" t="inlineStr">
        <is>
          <t>High</t>
        </is>
      </c>
      <c r="Q779" t="inlineStr">
        <is>
          <t>Scope_Emissions</t>
        </is>
      </c>
      <c r="R779" t="inlineStr">
        <is>
          <t>Valid</t>
        </is>
      </c>
      <c r="S779" t="n">
        <v>2034</v>
      </c>
      <c r="T779" t="inlineStr">
        <is>
          <t>Supplier Target Pathway</t>
        </is>
      </c>
      <c r="U779" t="n">
        <v>963.811</v>
      </c>
      <c r="V779" t="n">
        <v>736.3516</v>
      </c>
      <c r="W779" t="n">
        <v>736.3516</v>
      </c>
      <c r="X779" t="n">
        <v>736.3516</v>
      </c>
      <c r="Y779" t="n">
        <v>227.4594</v>
      </c>
      <c r="Z779" t="n">
        <v>9.549e-05</v>
      </c>
      <c r="AA779" t="n">
        <v>0.236</v>
      </c>
      <c r="AB779" t="n">
        <v>0</v>
      </c>
      <c r="AC779" t="n">
        <v>20.6781</v>
      </c>
      <c r="AD779" t="n">
        <v>-3255.5783</v>
      </c>
      <c r="AE779" t="n">
        <v>7673.6879</v>
      </c>
      <c r="AF779" t="n">
        <v>0.99</v>
      </c>
      <c r="AG779" t="inlineStr">
        <is>
          <t>Low</t>
        </is>
      </c>
      <c r="AH779" t="inlineStr">
        <is>
          <t>On Track</t>
        </is>
      </c>
    </row>
    <row r="780">
      <c r="A780" t="inlineStr">
        <is>
          <t>SUP-0049</t>
        </is>
      </c>
      <c r="B780" t="inlineStr">
        <is>
          <t>Logistics Supplier 049</t>
        </is>
      </c>
      <c r="C780" t="inlineStr">
        <is>
          <t>Logistics</t>
        </is>
      </c>
      <c r="D780" t="n">
        <v>2024</v>
      </c>
      <c r="E780" t="n">
        <v>2019</v>
      </c>
      <c r="F780" t="n">
        <v>2030</v>
      </c>
      <c r="G780" t="n">
        <v>1168.5577</v>
      </c>
      <c r="H780" t="inlineStr"/>
      <c r="I780" t="n">
        <v>170.241</v>
      </c>
      <c r="J780" t="inlineStr"/>
      <c r="K780" t="n">
        <v>7710892.64</v>
      </c>
      <c r="L780" t="n">
        <v>59733845.05</v>
      </c>
      <c r="M780" t="n">
        <v>1168.5577</v>
      </c>
      <c r="N780" t="inlineStr">
        <is>
          <t>Supplier Reported Emissions</t>
        </is>
      </c>
      <c r="O780" t="b">
        <v>0</v>
      </c>
      <c r="P780" t="inlineStr">
        <is>
          <t>High</t>
        </is>
      </c>
      <c r="Q780" t="inlineStr">
        <is>
          <t>Scope_Emissions</t>
        </is>
      </c>
      <c r="R780" t="inlineStr">
        <is>
          <t>Valid</t>
        </is>
      </c>
      <c r="S780" t="n">
        <v>2035</v>
      </c>
      <c r="T780" t="inlineStr">
        <is>
          <t>Supplier Target Pathway</t>
        </is>
      </c>
      <c r="U780" t="n">
        <v>963.811</v>
      </c>
      <c r="V780" t="n">
        <v>736.3516</v>
      </c>
      <c r="W780" t="n">
        <v>736.3516</v>
      </c>
      <c r="X780" t="n">
        <v>736.3516</v>
      </c>
      <c r="Y780" t="n">
        <v>227.4594</v>
      </c>
      <c r="Z780" t="n">
        <v>9.549e-05</v>
      </c>
      <c r="AA780" t="n">
        <v>0.236</v>
      </c>
      <c r="AB780" t="n">
        <v>0</v>
      </c>
      <c r="AC780" t="n">
        <v>20.6781</v>
      </c>
      <c r="AD780" t="n">
        <v>-3991.9299</v>
      </c>
      <c r="AE780" t="n">
        <v>8410.039500000001</v>
      </c>
      <c r="AF780" t="n">
        <v>0.99</v>
      </c>
      <c r="AG780" t="inlineStr">
        <is>
          <t>Low</t>
        </is>
      </c>
      <c r="AH780" t="inlineStr">
        <is>
          <t>On Track</t>
        </is>
      </c>
    </row>
    <row r="781">
      <c r="A781" t="inlineStr">
        <is>
          <t>SUP-0049</t>
        </is>
      </c>
      <c r="B781" t="inlineStr">
        <is>
          <t>Logistics Supplier 049</t>
        </is>
      </c>
      <c r="C781" t="inlineStr">
        <is>
          <t>Logistics</t>
        </is>
      </c>
      <c r="D781" t="n">
        <v>2024</v>
      </c>
      <c r="E781" t="n">
        <v>2019</v>
      </c>
      <c r="F781" t="n">
        <v>2030</v>
      </c>
      <c r="G781" t="n">
        <v>1168.5577</v>
      </c>
      <c r="H781" t="inlineStr"/>
      <c r="I781" t="n">
        <v>170.241</v>
      </c>
      <c r="J781" t="inlineStr"/>
      <c r="K781" t="n">
        <v>7710892.64</v>
      </c>
      <c r="L781" t="n">
        <v>59733845.05</v>
      </c>
      <c r="M781" t="n">
        <v>1168.5577</v>
      </c>
      <c r="N781" t="inlineStr">
        <is>
          <t>Supplier Reported Emissions</t>
        </is>
      </c>
      <c r="O781" t="b">
        <v>0</v>
      </c>
      <c r="P781" t="inlineStr">
        <is>
          <t>High</t>
        </is>
      </c>
      <c r="Q781" t="inlineStr">
        <is>
          <t>Scope_Emissions</t>
        </is>
      </c>
      <c r="R781" t="inlineStr">
        <is>
          <t>Valid</t>
        </is>
      </c>
      <c r="S781" t="n">
        <v>2036</v>
      </c>
      <c r="T781" t="inlineStr">
        <is>
          <t>Supplier Target Pathway</t>
        </is>
      </c>
      <c r="U781" t="n">
        <v>963.811</v>
      </c>
      <c r="V781" t="n">
        <v>736.3516</v>
      </c>
      <c r="W781" t="n">
        <v>736.3516</v>
      </c>
      <c r="X781" t="n">
        <v>736.3516</v>
      </c>
      <c r="Y781" t="n">
        <v>227.4594</v>
      </c>
      <c r="Z781" t="n">
        <v>9.549e-05</v>
      </c>
      <c r="AA781" t="n">
        <v>0.236</v>
      </c>
      <c r="AB781" t="n">
        <v>0</v>
      </c>
      <c r="AC781" t="n">
        <v>20.6781</v>
      </c>
      <c r="AD781" t="n">
        <v>-4728.2815</v>
      </c>
      <c r="AE781" t="n">
        <v>9146.391100000001</v>
      </c>
      <c r="AF781" t="n">
        <v>0.99</v>
      </c>
      <c r="AG781" t="inlineStr">
        <is>
          <t>Low</t>
        </is>
      </c>
      <c r="AH781" t="inlineStr">
        <is>
          <t>On Track</t>
        </is>
      </c>
    </row>
    <row r="782">
      <c r="A782" t="inlineStr">
        <is>
          <t>SUP-0049</t>
        </is>
      </c>
      <c r="B782" t="inlineStr">
        <is>
          <t>Logistics Supplier 049</t>
        </is>
      </c>
      <c r="C782" t="inlineStr">
        <is>
          <t>Logistics</t>
        </is>
      </c>
      <c r="D782" t="n">
        <v>2024</v>
      </c>
      <c r="E782" t="n">
        <v>2019</v>
      </c>
      <c r="F782" t="n">
        <v>2030</v>
      </c>
      <c r="G782" t="n">
        <v>1168.5577</v>
      </c>
      <c r="H782" t="inlineStr"/>
      <c r="I782" t="n">
        <v>170.241</v>
      </c>
      <c r="J782" t="inlineStr"/>
      <c r="K782" t="n">
        <v>7710892.64</v>
      </c>
      <c r="L782" t="n">
        <v>59733845.05</v>
      </c>
      <c r="M782" t="n">
        <v>1168.5577</v>
      </c>
      <c r="N782" t="inlineStr">
        <is>
          <t>Supplier Reported Emissions</t>
        </is>
      </c>
      <c r="O782" t="b">
        <v>0</v>
      </c>
      <c r="P782" t="inlineStr">
        <is>
          <t>High</t>
        </is>
      </c>
      <c r="Q782" t="inlineStr">
        <is>
          <t>Scope_Emissions</t>
        </is>
      </c>
      <c r="R782" t="inlineStr">
        <is>
          <t>Valid</t>
        </is>
      </c>
      <c r="S782" t="n">
        <v>2037</v>
      </c>
      <c r="T782" t="inlineStr">
        <is>
          <t>Supplier Target Pathway</t>
        </is>
      </c>
      <c r="U782" t="n">
        <v>963.811</v>
      </c>
      <c r="V782" t="n">
        <v>736.3516</v>
      </c>
      <c r="W782" t="n">
        <v>736.3516</v>
      </c>
      <c r="X782" t="n">
        <v>736.3516</v>
      </c>
      <c r="Y782" t="n">
        <v>227.4594</v>
      </c>
      <c r="Z782" t="n">
        <v>9.549e-05</v>
      </c>
      <c r="AA782" t="n">
        <v>0.236</v>
      </c>
      <c r="AB782" t="n">
        <v>0</v>
      </c>
      <c r="AC782" t="n">
        <v>20.6781</v>
      </c>
      <c r="AD782" t="n">
        <v>-5464.6331</v>
      </c>
      <c r="AE782" t="n">
        <v>9882.742700000001</v>
      </c>
      <c r="AF782" t="n">
        <v>0.99</v>
      </c>
      <c r="AG782" t="inlineStr">
        <is>
          <t>Low</t>
        </is>
      </c>
      <c r="AH782" t="inlineStr">
        <is>
          <t>On Track</t>
        </is>
      </c>
    </row>
    <row r="783">
      <c r="A783" t="inlineStr">
        <is>
          <t>SUP-0049</t>
        </is>
      </c>
      <c r="B783" t="inlineStr">
        <is>
          <t>Logistics Supplier 049</t>
        </is>
      </c>
      <c r="C783" t="inlineStr">
        <is>
          <t>Logistics</t>
        </is>
      </c>
      <c r="D783" t="n">
        <v>2024</v>
      </c>
      <c r="E783" t="n">
        <v>2019</v>
      </c>
      <c r="F783" t="n">
        <v>2030</v>
      </c>
      <c r="G783" t="n">
        <v>1168.5577</v>
      </c>
      <c r="H783" t="inlineStr"/>
      <c r="I783" t="n">
        <v>170.241</v>
      </c>
      <c r="J783" t="inlineStr"/>
      <c r="K783" t="n">
        <v>7710892.64</v>
      </c>
      <c r="L783" t="n">
        <v>59733845.05</v>
      </c>
      <c r="M783" t="n">
        <v>1168.5577</v>
      </c>
      <c r="N783" t="inlineStr">
        <is>
          <t>Supplier Reported Emissions</t>
        </is>
      </c>
      <c r="O783" t="b">
        <v>0</v>
      </c>
      <c r="P783" t="inlineStr">
        <is>
          <t>High</t>
        </is>
      </c>
      <c r="Q783" t="inlineStr">
        <is>
          <t>Scope_Emissions</t>
        </is>
      </c>
      <c r="R783" t="inlineStr">
        <is>
          <t>Valid</t>
        </is>
      </c>
      <c r="S783" t="n">
        <v>2038</v>
      </c>
      <c r="T783" t="inlineStr">
        <is>
          <t>Supplier Target Pathway</t>
        </is>
      </c>
      <c r="U783" t="n">
        <v>963.811</v>
      </c>
      <c r="V783" t="n">
        <v>736.3516</v>
      </c>
      <c r="W783" t="n">
        <v>736.3516</v>
      </c>
      <c r="X783" t="n">
        <v>736.3516</v>
      </c>
      <c r="Y783" t="n">
        <v>227.4594</v>
      </c>
      <c r="Z783" t="n">
        <v>9.549e-05</v>
      </c>
      <c r="AA783" t="n">
        <v>0.236</v>
      </c>
      <c r="AB783" t="n">
        <v>0</v>
      </c>
      <c r="AC783" t="n">
        <v>20.6781</v>
      </c>
      <c r="AD783" t="n">
        <v>-6200.9847</v>
      </c>
      <c r="AE783" t="n">
        <v>10619.0943</v>
      </c>
      <c r="AF783" t="n">
        <v>0.99</v>
      </c>
      <c r="AG783" t="inlineStr">
        <is>
          <t>Low</t>
        </is>
      </c>
      <c r="AH783" t="inlineStr">
        <is>
          <t>On Track</t>
        </is>
      </c>
    </row>
    <row r="784">
      <c r="A784" t="inlineStr">
        <is>
          <t>SUP-0049</t>
        </is>
      </c>
      <c r="B784" t="inlineStr">
        <is>
          <t>Logistics Supplier 049</t>
        </is>
      </c>
      <c r="C784" t="inlineStr">
        <is>
          <t>Logistics</t>
        </is>
      </c>
      <c r="D784" t="n">
        <v>2024</v>
      </c>
      <c r="E784" t="n">
        <v>2019</v>
      </c>
      <c r="F784" t="n">
        <v>2030</v>
      </c>
      <c r="G784" t="n">
        <v>1168.5577</v>
      </c>
      <c r="H784" t="inlineStr"/>
      <c r="I784" t="n">
        <v>170.241</v>
      </c>
      <c r="J784" t="inlineStr"/>
      <c r="K784" t="n">
        <v>7710892.64</v>
      </c>
      <c r="L784" t="n">
        <v>59733845.05</v>
      </c>
      <c r="M784" t="n">
        <v>1168.5577</v>
      </c>
      <c r="N784" t="inlineStr">
        <is>
          <t>Supplier Reported Emissions</t>
        </is>
      </c>
      <c r="O784" t="b">
        <v>0</v>
      </c>
      <c r="P784" t="inlineStr">
        <is>
          <t>High</t>
        </is>
      </c>
      <c r="Q784" t="inlineStr">
        <is>
          <t>Scope_Emissions</t>
        </is>
      </c>
      <c r="R784" t="inlineStr">
        <is>
          <t>Valid</t>
        </is>
      </c>
      <c r="S784" t="n">
        <v>2039</v>
      </c>
      <c r="T784" t="inlineStr">
        <is>
          <t>Supplier Target Pathway</t>
        </is>
      </c>
      <c r="U784" t="n">
        <v>963.811</v>
      </c>
      <c r="V784" t="n">
        <v>736.3516</v>
      </c>
      <c r="W784" t="n">
        <v>736.3516</v>
      </c>
      <c r="X784" t="n">
        <v>736.3516</v>
      </c>
      <c r="Y784" t="n">
        <v>227.4594</v>
      </c>
      <c r="Z784" t="n">
        <v>9.549e-05</v>
      </c>
      <c r="AA784" t="n">
        <v>0.236</v>
      </c>
      <c r="AB784" t="n">
        <v>0</v>
      </c>
      <c r="AC784" t="n">
        <v>20.6781</v>
      </c>
      <c r="AD784" t="n">
        <v>-6937.3363</v>
      </c>
      <c r="AE784" t="n">
        <v>11355.4459</v>
      </c>
      <c r="AF784" t="n">
        <v>0.99</v>
      </c>
      <c r="AG784" t="inlineStr">
        <is>
          <t>Low</t>
        </is>
      </c>
      <c r="AH784" t="inlineStr">
        <is>
          <t>On Track</t>
        </is>
      </c>
    </row>
    <row r="785">
      <c r="A785" t="inlineStr">
        <is>
          <t>SUP-0049</t>
        </is>
      </c>
      <c r="B785" t="inlineStr">
        <is>
          <t>Logistics Supplier 049</t>
        </is>
      </c>
      <c r="C785" t="inlineStr">
        <is>
          <t>Logistics</t>
        </is>
      </c>
      <c r="D785" t="n">
        <v>2024</v>
      </c>
      <c r="E785" t="n">
        <v>2019</v>
      </c>
      <c r="F785" t="n">
        <v>2030</v>
      </c>
      <c r="G785" t="n">
        <v>1168.5577</v>
      </c>
      <c r="H785" t="inlineStr"/>
      <c r="I785" t="n">
        <v>170.241</v>
      </c>
      <c r="J785" t="inlineStr"/>
      <c r="K785" t="n">
        <v>7710892.64</v>
      </c>
      <c r="L785" t="n">
        <v>59733845.05</v>
      </c>
      <c r="M785" t="n">
        <v>1168.5577</v>
      </c>
      <c r="N785" t="inlineStr">
        <is>
          <t>Supplier Reported Emissions</t>
        </is>
      </c>
      <c r="O785" t="b">
        <v>0</v>
      </c>
      <c r="P785" t="inlineStr">
        <is>
          <t>High</t>
        </is>
      </c>
      <c r="Q785" t="inlineStr">
        <is>
          <t>Scope_Emissions</t>
        </is>
      </c>
      <c r="R785" t="inlineStr">
        <is>
          <t>Valid</t>
        </is>
      </c>
      <c r="S785" t="n">
        <v>2040</v>
      </c>
      <c r="T785" t="inlineStr">
        <is>
          <t>Supplier Target Pathway</t>
        </is>
      </c>
      <c r="U785" t="n">
        <v>963.811</v>
      </c>
      <c r="V785" t="n">
        <v>736.3516</v>
      </c>
      <c r="W785" t="n">
        <v>736.3516</v>
      </c>
      <c r="X785" t="n">
        <v>736.3516</v>
      </c>
      <c r="Y785" t="n">
        <v>227.4594</v>
      </c>
      <c r="Z785" t="n">
        <v>9.549e-05</v>
      </c>
      <c r="AA785" t="n">
        <v>0.236</v>
      </c>
      <c r="AB785" t="n">
        <v>0</v>
      </c>
      <c r="AC785" t="n">
        <v>20.6781</v>
      </c>
      <c r="AD785" t="n">
        <v>-7673.6879</v>
      </c>
      <c r="AE785" t="n">
        <v>12091.7975</v>
      </c>
      <c r="AF785" t="n">
        <v>0.99</v>
      </c>
      <c r="AG785" t="inlineStr">
        <is>
          <t>Low</t>
        </is>
      </c>
      <c r="AH785" t="inlineStr">
        <is>
          <t>On Track</t>
        </is>
      </c>
    </row>
    <row r="786">
      <c r="A786" t="inlineStr">
        <is>
          <t>SUP-0050</t>
        </is>
      </c>
      <c r="B786" t="inlineStr">
        <is>
          <t>Electronics Supplier 050</t>
        </is>
      </c>
      <c r="C786" t="inlineStr">
        <is>
          <t>Electronics</t>
        </is>
      </c>
      <c r="D786" t="n">
        <v>2024</v>
      </c>
      <c r="E786" t="n">
        <v>2015</v>
      </c>
      <c r="F786" t="n">
        <v>2040</v>
      </c>
      <c r="G786" t="inlineStr"/>
      <c r="H786" t="n">
        <v>4417.1932</v>
      </c>
      <c r="I786" t="n">
        <v>2273.9902</v>
      </c>
      <c r="J786" t="n">
        <v>14805.3566</v>
      </c>
      <c r="K786" t="n">
        <v>30503082.57</v>
      </c>
      <c r="L786" t="n">
        <v>29119757.53</v>
      </c>
      <c r="M786" t="n">
        <v>21496.54</v>
      </c>
      <c r="N786" t="inlineStr">
        <is>
          <t>Scope 1 + Scope 2 + Scope 3</t>
        </is>
      </c>
      <c r="O786" t="b">
        <v>1</v>
      </c>
      <c r="P786" t="inlineStr">
        <is>
          <t>High</t>
        </is>
      </c>
      <c r="Q786" t="inlineStr">
        <is>
          <t>Reported_Emissions</t>
        </is>
      </c>
      <c r="R786" t="inlineStr">
        <is>
          <t>Valid</t>
        </is>
      </c>
      <c r="S786" t="n">
        <v>2025</v>
      </c>
      <c r="T786" t="inlineStr">
        <is>
          <t>Industry Haircut Pathway</t>
        </is>
      </c>
      <c r="U786" t="n">
        <v>11485.1549</v>
      </c>
      <c r="V786" t="n">
        <v>7552.6379</v>
      </c>
      <c r="W786" t="n">
        <v>9912.1481</v>
      </c>
      <c r="X786" t="n">
        <v>9912.1481</v>
      </c>
      <c r="Y786" t="n">
        <v>1573.0068</v>
      </c>
      <c r="Z786" t="n">
        <v>0.00032496</v>
      </c>
      <c r="AA786" t="n">
        <v>0.13696</v>
      </c>
      <c r="AB786" t="n">
        <v>2359.5102</v>
      </c>
      <c r="AC786" t="n">
        <v>157.3007</v>
      </c>
      <c r="AD786" t="n">
        <v>110930.0583</v>
      </c>
      <c r="AE786" t="n">
        <v>9912.1481</v>
      </c>
      <c r="AF786" t="n">
        <v>0.897</v>
      </c>
      <c r="AG786" t="inlineStr">
        <is>
          <t>High</t>
        </is>
      </c>
      <c r="AH786" t="inlineStr">
        <is>
          <t>On Track to Glide Path</t>
        </is>
      </c>
    </row>
    <row r="787">
      <c r="A787" t="inlineStr">
        <is>
          <t>SUP-0050</t>
        </is>
      </c>
      <c r="B787" t="inlineStr">
        <is>
          <t>Electronics Supplier 050</t>
        </is>
      </c>
      <c r="C787" t="inlineStr">
        <is>
          <t>Electronics</t>
        </is>
      </c>
      <c r="D787" t="n">
        <v>2024</v>
      </c>
      <c r="E787" t="n">
        <v>2015</v>
      </c>
      <c r="F787" t="n">
        <v>2040</v>
      </c>
      <c r="G787" t="inlineStr"/>
      <c r="H787" t="n">
        <v>4417.1932</v>
      </c>
      <c r="I787" t="n">
        <v>2273.9902</v>
      </c>
      <c r="J787" t="n">
        <v>14805.3566</v>
      </c>
      <c r="K787" t="n">
        <v>30503082.57</v>
      </c>
      <c r="L787" t="n">
        <v>29119757.53</v>
      </c>
      <c r="M787" t="n">
        <v>21496.54</v>
      </c>
      <c r="N787" t="inlineStr">
        <is>
          <t>Scope 1 + Scope 2 + Scope 3</t>
        </is>
      </c>
      <c r="O787" t="b">
        <v>1</v>
      </c>
      <c r="P787" t="inlineStr">
        <is>
          <t>High</t>
        </is>
      </c>
      <c r="Q787" t="inlineStr">
        <is>
          <t>Reported_Emissions</t>
        </is>
      </c>
      <c r="R787" t="inlineStr">
        <is>
          <t>Valid</t>
        </is>
      </c>
      <c r="S787" t="n">
        <v>2026</v>
      </c>
      <c r="T787" t="inlineStr">
        <is>
          <t>Industry Haircut Pathway</t>
        </is>
      </c>
      <c r="U787" t="n">
        <v>11485.1549</v>
      </c>
      <c r="V787" t="n">
        <v>7552.6379</v>
      </c>
      <c r="W787" t="n">
        <v>9754.847400000001</v>
      </c>
      <c r="X787" t="n">
        <v>9754.847400000001</v>
      </c>
      <c r="Y787" t="n">
        <v>1730.3075</v>
      </c>
      <c r="Z787" t="n">
        <v>0.0003198</v>
      </c>
      <c r="AA787" t="n">
        <v>0.150656</v>
      </c>
      <c r="AB787" t="n">
        <v>2202.2095</v>
      </c>
      <c r="AC787" t="n">
        <v>157.3007</v>
      </c>
      <c r="AD787" t="n">
        <v>101175.2109</v>
      </c>
      <c r="AE787" t="n">
        <v>19666.9955</v>
      </c>
      <c r="AF787" t="n">
        <v>0.897</v>
      </c>
      <c r="AG787" t="inlineStr">
        <is>
          <t>High</t>
        </is>
      </c>
      <c r="AH787" t="inlineStr">
        <is>
          <t>On Track to Glide Path</t>
        </is>
      </c>
    </row>
    <row r="788">
      <c r="A788" t="inlineStr">
        <is>
          <t>SUP-0050</t>
        </is>
      </c>
      <c r="B788" t="inlineStr">
        <is>
          <t>Electronics Supplier 050</t>
        </is>
      </c>
      <c r="C788" t="inlineStr">
        <is>
          <t>Electronics</t>
        </is>
      </c>
      <c r="D788" t="n">
        <v>2024</v>
      </c>
      <c r="E788" t="n">
        <v>2015</v>
      </c>
      <c r="F788" t="n">
        <v>2040</v>
      </c>
      <c r="G788" t="inlineStr"/>
      <c r="H788" t="n">
        <v>4417.1932</v>
      </c>
      <c r="I788" t="n">
        <v>2273.9902</v>
      </c>
      <c r="J788" t="n">
        <v>14805.3566</v>
      </c>
      <c r="K788" t="n">
        <v>30503082.57</v>
      </c>
      <c r="L788" t="n">
        <v>29119757.53</v>
      </c>
      <c r="M788" t="n">
        <v>21496.54</v>
      </c>
      <c r="N788" t="inlineStr">
        <is>
          <t>Scope 1 + Scope 2 + Scope 3</t>
        </is>
      </c>
      <c r="O788" t="b">
        <v>1</v>
      </c>
      <c r="P788" t="inlineStr">
        <is>
          <t>High</t>
        </is>
      </c>
      <c r="Q788" t="inlineStr">
        <is>
          <t>Reported_Emissions</t>
        </is>
      </c>
      <c r="R788" t="inlineStr">
        <is>
          <t>Valid</t>
        </is>
      </c>
      <c r="S788" t="n">
        <v>2027</v>
      </c>
      <c r="T788" t="inlineStr">
        <is>
          <t>Industry Haircut Pathway</t>
        </is>
      </c>
      <c r="U788" t="n">
        <v>11485.1549</v>
      </c>
      <c r="V788" t="n">
        <v>7552.6379</v>
      </c>
      <c r="W788" t="n">
        <v>9597.546700000001</v>
      </c>
      <c r="X788" t="n">
        <v>9597.546700000001</v>
      </c>
      <c r="Y788" t="n">
        <v>1887.6082</v>
      </c>
      <c r="Z788" t="n">
        <v>0.00031464</v>
      </c>
      <c r="AA788" t="n">
        <v>0.164352</v>
      </c>
      <c r="AB788" t="n">
        <v>2044.9089</v>
      </c>
      <c r="AC788" t="n">
        <v>157.3007</v>
      </c>
      <c r="AD788" t="n">
        <v>91577.6642</v>
      </c>
      <c r="AE788" t="n">
        <v>29264.5422</v>
      </c>
      <c r="AF788" t="n">
        <v>0.897</v>
      </c>
      <c r="AG788" t="inlineStr">
        <is>
          <t>High</t>
        </is>
      </c>
      <c r="AH788" t="inlineStr">
        <is>
          <t>On Track to Glide Path</t>
        </is>
      </c>
    </row>
    <row r="789">
      <c r="A789" t="inlineStr">
        <is>
          <t>SUP-0050</t>
        </is>
      </c>
      <c r="B789" t="inlineStr">
        <is>
          <t>Electronics Supplier 050</t>
        </is>
      </c>
      <c r="C789" t="inlineStr">
        <is>
          <t>Electronics</t>
        </is>
      </c>
      <c r="D789" t="n">
        <v>2024</v>
      </c>
      <c r="E789" t="n">
        <v>2015</v>
      </c>
      <c r="F789" t="n">
        <v>2040</v>
      </c>
      <c r="G789" t="inlineStr"/>
      <c r="H789" t="n">
        <v>4417.1932</v>
      </c>
      <c r="I789" t="n">
        <v>2273.9902</v>
      </c>
      <c r="J789" t="n">
        <v>14805.3566</v>
      </c>
      <c r="K789" t="n">
        <v>30503082.57</v>
      </c>
      <c r="L789" t="n">
        <v>29119757.53</v>
      </c>
      <c r="M789" t="n">
        <v>21496.54</v>
      </c>
      <c r="N789" t="inlineStr">
        <is>
          <t>Scope 1 + Scope 2 + Scope 3</t>
        </is>
      </c>
      <c r="O789" t="b">
        <v>1</v>
      </c>
      <c r="P789" t="inlineStr">
        <is>
          <t>High</t>
        </is>
      </c>
      <c r="Q789" t="inlineStr">
        <is>
          <t>Reported_Emissions</t>
        </is>
      </c>
      <c r="R789" t="inlineStr">
        <is>
          <t>Valid</t>
        </is>
      </c>
      <c r="S789" t="n">
        <v>2028</v>
      </c>
      <c r="T789" t="inlineStr">
        <is>
          <t>Industry Haircut Pathway</t>
        </is>
      </c>
      <c r="U789" t="n">
        <v>11485.1549</v>
      </c>
      <c r="V789" t="n">
        <v>7552.6379</v>
      </c>
      <c r="W789" t="n">
        <v>9440.245999999999</v>
      </c>
      <c r="X789" t="n">
        <v>9440.245999999999</v>
      </c>
      <c r="Y789" t="n">
        <v>2044.9089</v>
      </c>
      <c r="Z789" t="n">
        <v>0.00030948</v>
      </c>
      <c r="AA789" t="n">
        <v>0.178048</v>
      </c>
      <c r="AB789" t="n">
        <v>1887.6082</v>
      </c>
      <c r="AC789" t="n">
        <v>157.3007</v>
      </c>
      <c r="AD789" t="n">
        <v>82137.4182</v>
      </c>
      <c r="AE789" t="n">
        <v>38704.7882</v>
      </c>
      <c r="AF789" t="n">
        <v>0.897</v>
      </c>
      <c r="AG789" t="inlineStr">
        <is>
          <t>High</t>
        </is>
      </c>
      <c r="AH789" t="inlineStr">
        <is>
          <t>On Track to Glide Path</t>
        </is>
      </c>
    </row>
    <row r="790">
      <c r="A790" t="inlineStr">
        <is>
          <t>SUP-0050</t>
        </is>
      </c>
      <c r="B790" t="inlineStr">
        <is>
          <t>Electronics Supplier 050</t>
        </is>
      </c>
      <c r="C790" t="inlineStr">
        <is>
          <t>Electronics</t>
        </is>
      </c>
      <c r="D790" t="n">
        <v>2024</v>
      </c>
      <c r="E790" t="n">
        <v>2015</v>
      </c>
      <c r="F790" t="n">
        <v>2040</v>
      </c>
      <c r="G790" t="inlineStr"/>
      <c r="H790" t="n">
        <v>4417.1932</v>
      </c>
      <c r="I790" t="n">
        <v>2273.9902</v>
      </c>
      <c r="J790" t="n">
        <v>14805.3566</v>
      </c>
      <c r="K790" t="n">
        <v>30503082.57</v>
      </c>
      <c r="L790" t="n">
        <v>29119757.53</v>
      </c>
      <c r="M790" t="n">
        <v>21496.54</v>
      </c>
      <c r="N790" t="inlineStr">
        <is>
          <t>Scope 1 + Scope 2 + Scope 3</t>
        </is>
      </c>
      <c r="O790" t="b">
        <v>1</v>
      </c>
      <c r="P790" t="inlineStr">
        <is>
          <t>High</t>
        </is>
      </c>
      <c r="Q790" t="inlineStr">
        <is>
          <t>Reported_Emissions</t>
        </is>
      </c>
      <c r="R790" t="inlineStr">
        <is>
          <t>Valid</t>
        </is>
      </c>
      <c r="S790" t="n">
        <v>2029</v>
      </c>
      <c r="T790" t="inlineStr">
        <is>
          <t>Industry Haircut Pathway</t>
        </is>
      </c>
      <c r="U790" t="n">
        <v>11485.1549</v>
      </c>
      <c r="V790" t="n">
        <v>7552.6379</v>
      </c>
      <c r="W790" t="n">
        <v>9282.945400000001</v>
      </c>
      <c r="X790" t="n">
        <v>9282.945400000001</v>
      </c>
      <c r="Y790" t="n">
        <v>2202.2095</v>
      </c>
      <c r="Z790" t="n">
        <v>0.00030433</v>
      </c>
      <c r="AA790" t="n">
        <v>0.191744</v>
      </c>
      <c r="AB790" t="n">
        <v>1730.3075</v>
      </c>
      <c r="AC790" t="n">
        <v>157.3007</v>
      </c>
      <c r="AD790" t="n">
        <v>72854.4728</v>
      </c>
      <c r="AE790" t="n">
        <v>47987.7336</v>
      </c>
      <c r="AF790" t="n">
        <v>0.897</v>
      </c>
      <c r="AG790" t="inlineStr">
        <is>
          <t>High</t>
        </is>
      </c>
      <c r="AH790" t="inlineStr">
        <is>
          <t>On Track to Glide Path</t>
        </is>
      </c>
    </row>
    <row r="791">
      <c r="A791" t="inlineStr">
        <is>
          <t>SUP-0050</t>
        </is>
      </c>
      <c r="B791" t="inlineStr">
        <is>
          <t>Electronics Supplier 050</t>
        </is>
      </c>
      <c r="C791" t="inlineStr">
        <is>
          <t>Electronics</t>
        </is>
      </c>
      <c r="D791" t="n">
        <v>2024</v>
      </c>
      <c r="E791" t="n">
        <v>2015</v>
      </c>
      <c r="F791" t="n">
        <v>2040</v>
      </c>
      <c r="G791" t="inlineStr"/>
      <c r="H791" t="n">
        <v>4417.1932</v>
      </c>
      <c r="I791" t="n">
        <v>2273.9902</v>
      </c>
      <c r="J791" t="n">
        <v>14805.3566</v>
      </c>
      <c r="K791" t="n">
        <v>30503082.57</v>
      </c>
      <c r="L791" t="n">
        <v>29119757.53</v>
      </c>
      <c r="M791" t="n">
        <v>21496.54</v>
      </c>
      <c r="N791" t="inlineStr">
        <is>
          <t>Scope 1 + Scope 2 + Scope 3</t>
        </is>
      </c>
      <c r="O791" t="b">
        <v>1</v>
      </c>
      <c r="P791" t="inlineStr">
        <is>
          <t>High</t>
        </is>
      </c>
      <c r="Q791" t="inlineStr">
        <is>
          <t>Reported_Emissions</t>
        </is>
      </c>
      <c r="R791" t="inlineStr">
        <is>
          <t>Valid</t>
        </is>
      </c>
      <c r="S791" t="n">
        <v>2030</v>
      </c>
      <c r="T791" t="inlineStr">
        <is>
          <t>Industry Haircut Pathway</t>
        </is>
      </c>
      <c r="U791" t="n">
        <v>11485.1549</v>
      </c>
      <c r="V791" t="n">
        <v>7552.6379</v>
      </c>
      <c r="W791" t="n">
        <v>9125.644700000001</v>
      </c>
      <c r="X791" t="n">
        <v>9125.644700000001</v>
      </c>
      <c r="Y791" t="n">
        <v>2359.5102</v>
      </c>
      <c r="Z791" t="n">
        <v>0.00029917</v>
      </c>
      <c r="AA791" t="n">
        <v>0.20544</v>
      </c>
      <c r="AB791" t="n">
        <v>1573.0068</v>
      </c>
      <c r="AC791" t="n">
        <v>157.3007</v>
      </c>
      <c r="AD791" t="n">
        <v>63728.8281</v>
      </c>
      <c r="AE791" t="n">
        <v>57113.3783</v>
      </c>
      <c r="AF791" t="n">
        <v>0.897</v>
      </c>
      <c r="AG791" t="inlineStr">
        <is>
          <t>High</t>
        </is>
      </c>
      <c r="AH791" t="inlineStr">
        <is>
          <t>On Track to Glide Path</t>
        </is>
      </c>
    </row>
    <row r="792">
      <c r="A792" t="inlineStr">
        <is>
          <t>SUP-0050</t>
        </is>
      </c>
      <c r="B792" t="inlineStr">
        <is>
          <t>Electronics Supplier 050</t>
        </is>
      </c>
      <c r="C792" t="inlineStr">
        <is>
          <t>Electronics</t>
        </is>
      </c>
      <c r="D792" t="n">
        <v>2024</v>
      </c>
      <c r="E792" t="n">
        <v>2015</v>
      </c>
      <c r="F792" t="n">
        <v>2040</v>
      </c>
      <c r="G792" t="inlineStr"/>
      <c r="H792" t="n">
        <v>4417.1932</v>
      </c>
      <c r="I792" t="n">
        <v>2273.9902</v>
      </c>
      <c r="J792" t="n">
        <v>14805.3566</v>
      </c>
      <c r="K792" t="n">
        <v>30503082.57</v>
      </c>
      <c r="L792" t="n">
        <v>29119757.53</v>
      </c>
      <c r="M792" t="n">
        <v>21496.54</v>
      </c>
      <c r="N792" t="inlineStr">
        <is>
          <t>Scope 1 + Scope 2 + Scope 3</t>
        </is>
      </c>
      <c r="O792" t="b">
        <v>1</v>
      </c>
      <c r="P792" t="inlineStr">
        <is>
          <t>High</t>
        </is>
      </c>
      <c r="Q792" t="inlineStr">
        <is>
          <t>Reported_Emissions</t>
        </is>
      </c>
      <c r="R792" t="inlineStr">
        <is>
          <t>Valid</t>
        </is>
      </c>
      <c r="S792" t="n">
        <v>2031</v>
      </c>
      <c r="T792" t="inlineStr">
        <is>
          <t>Industry Haircut Pathway</t>
        </is>
      </c>
      <c r="U792" t="n">
        <v>11485.1549</v>
      </c>
      <c r="V792" t="n">
        <v>7552.6379</v>
      </c>
      <c r="W792" t="n">
        <v>8968.343999999999</v>
      </c>
      <c r="X792" t="n">
        <v>8968.343999999999</v>
      </c>
      <c r="Y792" t="n">
        <v>2516.8109</v>
      </c>
      <c r="Z792" t="n">
        <v>0.00029401</v>
      </c>
      <c r="AA792" t="n">
        <v>0.219136</v>
      </c>
      <c r="AB792" t="n">
        <v>1415.7061</v>
      </c>
      <c r="AC792" t="n">
        <v>157.3007</v>
      </c>
      <c r="AD792" t="n">
        <v>54760.4841</v>
      </c>
      <c r="AE792" t="n">
        <v>66081.72229999999</v>
      </c>
      <c r="AF792" t="n">
        <v>0.897</v>
      </c>
      <c r="AG792" t="inlineStr">
        <is>
          <t>High</t>
        </is>
      </c>
      <c r="AH792" t="inlineStr">
        <is>
          <t>On Track to Glide Path</t>
        </is>
      </c>
    </row>
    <row r="793">
      <c r="A793" t="inlineStr">
        <is>
          <t>SUP-0050</t>
        </is>
      </c>
      <c r="B793" t="inlineStr">
        <is>
          <t>Electronics Supplier 050</t>
        </is>
      </c>
      <c r="C793" t="inlineStr">
        <is>
          <t>Electronics</t>
        </is>
      </c>
      <c r="D793" t="n">
        <v>2024</v>
      </c>
      <c r="E793" t="n">
        <v>2015</v>
      </c>
      <c r="F793" t="n">
        <v>2040</v>
      </c>
      <c r="G793" t="inlineStr"/>
      <c r="H793" t="n">
        <v>4417.1932</v>
      </c>
      <c r="I793" t="n">
        <v>2273.9902</v>
      </c>
      <c r="J793" t="n">
        <v>14805.3566</v>
      </c>
      <c r="K793" t="n">
        <v>30503082.57</v>
      </c>
      <c r="L793" t="n">
        <v>29119757.53</v>
      </c>
      <c r="M793" t="n">
        <v>21496.54</v>
      </c>
      <c r="N793" t="inlineStr">
        <is>
          <t>Scope 1 + Scope 2 + Scope 3</t>
        </is>
      </c>
      <c r="O793" t="b">
        <v>1</v>
      </c>
      <c r="P793" t="inlineStr">
        <is>
          <t>High</t>
        </is>
      </c>
      <c r="Q793" t="inlineStr">
        <is>
          <t>Reported_Emissions</t>
        </is>
      </c>
      <c r="R793" t="inlineStr">
        <is>
          <t>Valid</t>
        </is>
      </c>
      <c r="S793" t="n">
        <v>2032</v>
      </c>
      <c r="T793" t="inlineStr">
        <is>
          <t>Industry Haircut Pathway</t>
        </is>
      </c>
      <c r="U793" t="n">
        <v>11485.1549</v>
      </c>
      <c r="V793" t="n">
        <v>7552.6379</v>
      </c>
      <c r="W793" t="n">
        <v>8811.043299999999</v>
      </c>
      <c r="X793" t="n">
        <v>8811.043299999999</v>
      </c>
      <c r="Y793" t="n">
        <v>2674.1116</v>
      </c>
      <c r="Z793" t="n">
        <v>0.00028886</v>
      </c>
      <c r="AA793" t="n">
        <v>0.232832</v>
      </c>
      <c r="AB793" t="n">
        <v>1258.4055</v>
      </c>
      <c r="AC793" t="n">
        <v>157.3007</v>
      </c>
      <c r="AD793" t="n">
        <v>45949.4408</v>
      </c>
      <c r="AE793" t="n">
        <v>74892.7656</v>
      </c>
      <c r="AF793" t="n">
        <v>0.897</v>
      </c>
      <c r="AG793" t="inlineStr">
        <is>
          <t>High</t>
        </is>
      </c>
      <c r="AH793" t="inlineStr">
        <is>
          <t>On Track to Glide Path</t>
        </is>
      </c>
    </row>
    <row r="794">
      <c r="A794" t="inlineStr">
        <is>
          <t>SUP-0050</t>
        </is>
      </c>
      <c r="B794" t="inlineStr">
        <is>
          <t>Electronics Supplier 050</t>
        </is>
      </c>
      <c r="C794" t="inlineStr">
        <is>
          <t>Electronics</t>
        </is>
      </c>
      <c r="D794" t="n">
        <v>2024</v>
      </c>
      <c r="E794" t="n">
        <v>2015</v>
      </c>
      <c r="F794" t="n">
        <v>2040</v>
      </c>
      <c r="G794" t="inlineStr"/>
      <c r="H794" t="n">
        <v>4417.1932</v>
      </c>
      <c r="I794" t="n">
        <v>2273.9902</v>
      </c>
      <c r="J794" t="n">
        <v>14805.3566</v>
      </c>
      <c r="K794" t="n">
        <v>30503082.57</v>
      </c>
      <c r="L794" t="n">
        <v>29119757.53</v>
      </c>
      <c r="M794" t="n">
        <v>21496.54</v>
      </c>
      <c r="N794" t="inlineStr">
        <is>
          <t>Scope 1 + Scope 2 + Scope 3</t>
        </is>
      </c>
      <c r="O794" t="b">
        <v>1</v>
      </c>
      <c r="P794" t="inlineStr">
        <is>
          <t>High</t>
        </is>
      </c>
      <c r="Q794" t="inlineStr">
        <is>
          <t>Reported_Emissions</t>
        </is>
      </c>
      <c r="R794" t="inlineStr">
        <is>
          <t>Valid</t>
        </is>
      </c>
      <c r="S794" t="n">
        <v>2033</v>
      </c>
      <c r="T794" t="inlineStr">
        <is>
          <t>Industry Haircut Pathway</t>
        </is>
      </c>
      <c r="U794" t="n">
        <v>11485.1549</v>
      </c>
      <c r="V794" t="n">
        <v>7552.6379</v>
      </c>
      <c r="W794" t="n">
        <v>8653.7426</v>
      </c>
      <c r="X794" t="n">
        <v>8653.7426</v>
      </c>
      <c r="Y794" t="n">
        <v>2831.4123</v>
      </c>
      <c r="Z794" t="n">
        <v>0.0002837</v>
      </c>
      <c r="AA794" t="n">
        <v>0.246528</v>
      </c>
      <c r="AB794" t="n">
        <v>1101.1048</v>
      </c>
      <c r="AC794" t="n">
        <v>157.3007</v>
      </c>
      <c r="AD794" t="n">
        <v>37295.6982</v>
      </c>
      <c r="AE794" t="n">
        <v>83546.5082</v>
      </c>
      <c r="AF794" t="n">
        <v>0.897</v>
      </c>
      <c r="AG794" t="inlineStr">
        <is>
          <t>Medium</t>
        </is>
      </c>
      <c r="AH794" t="inlineStr">
        <is>
          <t>On Track to Glide Path</t>
        </is>
      </c>
    </row>
    <row r="795">
      <c r="A795" t="inlineStr">
        <is>
          <t>SUP-0050</t>
        </is>
      </c>
      <c r="B795" t="inlineStr">
        <is>
          <t>Electronics Supplier 050</t>
        </is>
      </c>
      <c r="C795" t="inlineStr">
        <is>
          <t>Electronics</t>
        </is>
      </c>
      <c r="D795" t="n">
        <v>2024</v>
      </c>
      <c r="E795" t="n">
        <v>2015</v>
      </c>
      <c r="F795" t="n">
        <v>2040</v>
      </c>
      <c r="G795" t="inlineStr"/>
      <c r="H795" t="n">
        <v>4417.1932</v>
      </c>
      <c r="I795" t="n">
        <v>2273.9902</v>
      </c>
      <c r="J795" t="n">
        <v>14805.3566</v>
      </c>
      <c r="K795" t="n">
        <v>30503082.57</v>
      </c>
      <c r="L795" t="n">
        <v>29119757.53</v>
      </c>
      <c r="M795" t="n">
        <v>21496.54</v>
      </c>
      <c r="N795" t="inlineStr">
        <is>
          <t>Scope 1 + Scope 2 + Scope 3</t>
        </is>
      </c>
      <c r="O795" t="b">
        <v>1</v>
      </c>
      <c r="P795" t="inlineStr">
        <is>
          <t>High</t>
        </is>
      </c>
      <c r="Q795" t="inlineStr">
        <is>
          <t>Reported_Emissions</t>
        </is>
      </c>
      <c r="R795" t="inlineStr">
        <is>
          <t>Valid</t>
        </is>
      </c>
      <c r="S795" t="n">
        <v>2034</v>
      </c>
      <c r="T795" t="inlineStr">
        <is>
          <t>Industry Haircut Pathway</t>
        </is>
      </c>
      <c r="U795" t="n">
        <v>11485.1549</v>
      </c>
      <c r="V795" t="n">
        <v>7552.6379</v>
      </c>
      <c r="W795" t="n">
        <v>8496.441999999999</v>
      </c>
      <c r="X795" t="n">
        <v>8496.441999999999</v>
      </c>
      <c r="Y795" t="n">
        <v>2988.7129</v>
      </c>
      <c r="Z795" t="n">
        <v>0.00027854</v>
      </c>
      <c r="AA795" t="n">
        <v>0.260224</v>
      </c>
      <c r="AB795" t="n">
        <v>943.8040999999999</v>
      </c>
      <c r="AC795" t="n">
        <v>157.3007</v>
      </c>
      <c r="AD795" t="n">
        <v>28799.2562</v>
      </c>
      <c r="AE795" t="n">
        <v>92042.95020000001</v>
      </c>
      <c r="AF795" t="n">
        <v>0.897</v>
      </c>
      <c r="AG795" t="inlineStr">
        <is>
          <t>Medium</t>
        </is>
      </c>
      <c r="AH795" t="inlineStr">
        <is>
          <t>On Track to Glide Path</t>
        </is>
      </c>
    </row>
    <row r="796">
      <c r="A796" t="inlineStr">
        <is>
          <t>SUP-0050</t>
        </is>
      </c>
      <c r="B796" t="inlineStr">
        <is>
          <t>Electronics Supplier 050</t>
        </is>
      </c>
      <c r="C796" t="inlineStr">
        <is>
          <t>Electronics</t>
        </is>
      </c>
      <c r="D796" t="n">
        <v>2024</v>
      </c>
      <c r="E796" t="n">
        <v>2015</v>
      </c>
      <c r="F796" t="n">
        <v>2040</v>
      </c>
      <c r="G796" t="inlineStr"/>
      <c r="H796" t="n">
        <v>4417.1932</v>
      </c>
      <c r="I796" t="n">
        <v>2273.9902</v>
      </c>
      <c r="J796" t="n">
        <v>14805.3566</v>
      </c>
      <c r="K796" t="n">
        <v>30503082.57</v>
      </c>
      <c r="L796" t="n">
        <v>29119757.53</v>
      </c>
      <c r="M796" t="n">
        <v>21496.54</v>
      </c>
      <c r="N796" t="inlineStr">
        <is>
          <t>Scope 1 + Scope 2 + Scope 3</t>
        </is>
      </c>
      <c r="O796" t="b">
        <v>1</v>
      </c>
      <c r="P796" t="inlineStr">
        <is>
          <t>High</t>
        </is>
      </c>
      <c r="Q796" t="inlineStr">
        <is>
          <t>Reported_Emissions</t>
        </is>
      </c>
      <c r="R796" t="inlineStr">
        <is>
          <t>Valid</t>
        </is>
      </c>
      <c r="S796" t="n">
        <v>2035</v>
      </c>
      <c r="T796" t="inlineStr">
        <is>
          <t>Industry Haircut Pathway</t>
        </is>
      </c>
      <c r="U796" t="n">
        <v>11485.1549</v>
      </c>
      <c r="V796" t="n">
        <v>7552.6379</v>
      </c>
      <c r="W796" t="n">
        <v>8339.141299999999</v>
      </c>
      <c r="X796" t="n">
        <v>8339.141299999999</v>
      </c>
      <c r="Y796" t="n">
        <v>3146.0136</v>
      </c>
      <c r="Z796" t="n">
        <v>0.00027339</v>
      </c>
      <c r="AA796" t="n">
        <v>0.27392</v>
      </c>
      <c r="AB796" t="n">
        <v>786.5034000000001</v>
      </c>
      <c r="AC796" t="n">
        <v>157.3007</v>
      </c>
      <c r="AD796" t="n">
        <v>20460.1149</v>
      </c>
      <c r="AE796" t="n">
        <v>100382.0915</v>
      </c>
      <c r="AF796" t="n">
        <v>0.897</v>
      </c>
      <c r="AG796" t="inlineStr">
        <is>
          <t>Medium</t>
        </is>
      </c>
      <c r="AH796" t="inlineStr">
        <is>
          <t>On Track to Glide Path</t>
        </is>
      </c>
    </row>
    <row r="797">
      <c r="A797" t="inlineStr">
        <is>
          <t>SUP-0050</t>
        </is>
      </c>
      <c r="B797" t="inlineStr">
        <is>
          <t>Electronics Supplier 050</t>
        </is>
      </c>
      <c r="C797" t="inlineStr">
        <is>
          <t>Electronics</t>
        </is>
      </c>
      <c r="D797" t="n">
        <v>2024</v>
      </c>
      <c r="E797" t="n">
        <v>2015</v>
      </c>
      <c r="F797" t="n">
        <v>2040</v>
      </c>
      <c r="G797" t="inlineStr"/>
      <c r="H797" t="n">
        <v>4417.1932</v>
      </c>
      <c r="I797" t="n">
        <v>2273.9902</v>
      </c>
      <c r="J797" t="n">
        <v>14805.3566</v>
      </c>
      <c r="K797" t="n">
        <v>30503082.57</v>
      </c>
      <c r="L797" t="n">
        <v>29119757.53</v>
      </c>
      <c r="M797" t="n">
        <v>21496.54</v>
      </c>
      <c r="N797" t="inlineStr">
        <is>
          <t>Scope 1 + Scope 2 + Scope 3</t>
        </is>
      </c>
      <c r="O797" t="b">
        <v>1</v>
      </c>
      <c r="P797" t="inlineStr">
        <is>
          <t>High</t>
        </is>
      </c>
      <c r="Q797" t="inlineStr">
        <is>
          <t>Reported_Emissions</t>
        </is>
      </c>
      <c r="R797" t="inlineStr">
        <is>
          <t>Valid</t>
        </is>
      </c>
      <c r="S797" t="n">
        <v>2036</v>
      </c>
      <c r="T797" t="inlineStr">
        <is>
          <t>Industry Haircut Pathway</t>
        </is>
      </c>
      <c r="U797" t="n">
        <v>11485.1549</v>
      </c>
      <c r="V797" t="n">
        <v>7552.6379</v>
      </c>
      <c r="W797" t="n">
        <v>8181.8406</v>
      </c>
      <c r="X797" t="n">
        <v>8181.8406</v>
      </c>
      <c r="Y797" t="n">
        <v>3303.3143</v>
      </c>
      <c r="Z797" t="n">
        <v>0.00026823</v>
      </c>
      <c r="AA797" t="n">
        <v>0.287616</v>
      </c>
      <c r="AB797" t="n">
        <v>629.2027</v>
      </c>
      <c r="AC797" t="n">
        <v>157.3007</v>
      </c>
      <c r="AD797" t="n">
        <v>12278.2743</v>
      </c>
      <c r="AE797" t="n">
        <v>108563.9321</v>
      </c>
      <c r="AF797" t="n">
        <v>0.897</v>
      </c>
      <c r="AG797" t="inlineStr">
        <is>
          <t>Medium</t>
        </is>
      </c>
      <c r="AH797" t="inlineStr">
        <is>
          <t>On Track to Glide Path</t>
        </is>
      </c>
    </row>
    <row r="798">
      <c r="A798" t="inlineStr">
        <is>
          <t>SUP-0050</t>
        </is>
      </c>
      <c r="B798" t="inlineStr">
        <is>
          <t>Electronics Supplier 050</t>
        </is>
      </c>
      <c r="C798" t="inlineStr">
        <is>
          <t>Electronics</t>
        </is>
      </c>
      <c r="D798" t="n">
        <v>2024</v>
      </c>
      <c r="E798" t="n">
        <v>2015</v>
      </c>
      <c r="F798" t="n">
        <v>2040</v>
      </c>
      <c r="G798" t="inlineStr"/>
      <c r="H798" t="n">
        <v>4417.1932</v>
      </c>
      <c r="I798" t="n">
        <v>2273.9902</v>
      </c>
      <c r="J798" t="n">
        <v>14805.3566</v>
      </c>
      <c r="K798" t="n">
        <v>30503082.57</v>
      </c>
      <c r="L798" t="n">
        <v>29119757.53</v>
      </c>
      <c r="M798" t="n">
        <v>21496.54</v>
      </c>
      <c r="N798" t="inlineStr">
        <is>
          <t>Scope 1 + Scope 2 + Scope 3</t>
        </is>
      </c>
      <c r="O798" t="b">
        <v>1</v>
      </c>
      <c r="P798" t="inlineStr">
        <is>
          <t>High</t>
        </is>
      </c>
      <c r="Q798" t="inlineStr">
        <is>
          <t>Reported_Emissions</t>
        </is>
      </c>
      <c r="R798" t="inlineStr">
        <is>
          <t>Valid</t>
        </is>
      </c>
      <c r="S798" t="n">
        <v>2037</v>
      </c>
      <c r="T798" t="inlineStr">
        <is>
          <t>Industry Haircut Pathway</t>
        </is>
      </c>
      <c r="U798" t="n">
        <v>11485.1549</v>
      </c>
      <c r="V798" t="n">
        <v>7552.6379</v>
      </c>
      <c r="W798" t="n">
        <v>8024.5399</v>
      </c>
      <c r="X798" t="n">
        <v>8024.5399</v>
      </c>
      <c r="Y798" t="n">
        <v>3460.615</v>
      </c>
      <c r="Z798" t="n">
        <v>0.00026307</v>
      </c>
      <c r="AA798" t="n">
        <v>0.301312</v>
      </c>
      <c r="AB798" t="n">
        <v>471.902</v>
      </c>
      <c r="AC798" t="n">
        <v>157.3007</v>
      </c>
      <c r="AD798" t="n">
        <v>4253.7344</v>
      </c>
      <c r="AE798" t="n">
        <v>116588.472</v>
      </c>
      <c r="AF798" t="n">
        <v>0.897</v>
      </c>
      <c r="AG798" t="inlineStr">
        <is>
          <t>Medium</t>
        </is>
      </c>
      <c r="AH798" t="inlineStr">
        <is>
          <t>On Track to Glide Path</t>
        </is>
      </c>
    </row>
    <row r="799">
      <c r="A799" t="inlineStr">
        <is>
          <t>SUP-0050</t>
        </is>
      </c>
      <c r="B799" t="inlineStr">
        <is>
          <t>Electronics Supplier 050</t>
        </is>
      </c>
      <c r="C799" t="inlineStr">
        <is>
          <t>Electronics</t>
        </is>
      </c>
      <c r="D799" t="n">
        <v>2024</v>
      </c>
      <c r="E799" t="n">
        <v>2015</v>
      </c>
      <c r="F799" t="n">
        <v>2040</v>
      </c>
      <c r="G799" t="inlineStr"/>
      <c r="H799" t="n">
        <v>4417.1932</v>
      </c>
      <c r="I799" t="n">
        <v>2273.9902</v>
      </c>
      <c r="J799" t="n">
        <v>14805.3566</v>
      </c>
      <c r="K799" t="n">
        <v>30503082.57</v>
      </c>
      <c r="L799" t="n">
        <v>29119757.53</v>
      </c>
      <c r="M799" t="n">
        <v>21496.54</v>
      </c>
      <c r="N799" t="inlineStr">
        <is>
          <t>Scope 1 + Scope 2 + Scope 3</t>
        </is>
      </c>
      <c r="O799" t="b">
        <v>1</v>
      </c>
      <c r="P799" t="inlineStr">
        <is>
          <t>High</t>
        </is>
      </c>
      <c r="Q799" t="inlineStr">
        <is>
          <t>Reported_Emissions</t>
        </is>
      </c>
      <c r="R799" t="inlineStr">
        <is>
          <t>Valid</t>
        </is>
      </c>
      <c r="S799" t="n">
        <v>2038</v>
      </c>
      <c r="T799" t="inlineStr">
        <is>
          <t>Industry Haircut Pathway</t>
        </is>
      </c>
      <c r="U799" t="n">
        <v>11485.1549</v>
      </c>
      <c r="V799" t="n">
        <v>7552.6379</v>
      </c>
      <c r="W799" t="n">
        <v>7867.2392</v>
      </c>
      <c r="X799" t="n">
        <v>7867.2392</v>
      </c>
      <c r="Y799" t="n">
        <v>3617.9157</v>
      </c>
      <c r="Z799" t="n">
        <v>0.00025792</v>
      </c>
      <c r="AA799" t="n">
        <v>0.315008</v>
      </c>
      <c r="AB799" t="n">
        <v>314.6014</v>
      </c>
      <c r="AC799" t="n">
        <v>157.3007</v>
      </c>
      <c r="AD799" t="n">
        <v>-3613.5048</v>
      </c>
      <c r="AE799" t="n">
        <v>124455.7112</v>
      </c>
      <c r="AF799" t="n">
        <v>0.897</v>
      </c>
      <c r="AG799" t="inlineStr">
        <is>
          <t>Medium</t>
        </is>
      </c>
      <c r="AH799" t="inlineStr">
        <is>
          <t>On Track to Glide Path</t>
        </is>
      </c>
    </row>
    <row r="800">
      <c r="A800" t="inlineStr">
        <is>
          <t>SUP-0050</t>
        </is>
      </c>
      <c r="B800" t="inlineStr">
        <is>
          <t>Electronics Supplier 050</t>
        </is>
      </c>
      <c r="C800" t="inlineStr">
        <is>
          <t>Electronics</t>
        </is>
      </c>
      <c r="D800" t="n">
        <v>2024</v>
      </c>
      <c r="E800" t="n">
        <v>2015</v>
      </c>
      <c r="F800" t="n">
        <v>2040</v>
      </c>
      <c r="G800" t="inlineStr"/>
      <c r="H800" t="n">
        <v>4417.1932</v>
      </c>
      <c r="I800" t="n">
        <v>2273.9902</v>
      </c>
      <c r="J800" t="n">
        <v>14805.3566</v>
      </c>
      <c r="K800" t="n">
        <v>30503082.57</v>
      </c>
      <c r="L800" t="n">
        <v>29119757.53</v>
      </c>
      <c r="M800" t="n">
        <v>21496.54</v>
      </c>
      <c r="N800" t="inlineStr">
        <is>
          <t>Scope 1 + Scope 2 + Scope 3</t>
        </is>
      </c>
      <c r="O800" t="b">
        <v>1</v>
      </c>
      <c r="P800" t="inlineStr">
        <is>
          <t>High</t>
        </is>
      </c>
      <c r="Q800" t="inlineStr">
        <is>
          <t>Reported_Emissions</t>
        </is>
      </c>
      <c r="R800" t="inlineStr">
        <is>
          <t>Valid</t>
        </is>
      </c>
      <c r="S800" t="n">
        <v>2039</v>
      </c>
      <c r="T800" t="inlineStr">
        <is>
          <t>Industry Haircut Pathway</t>
        </is>
      </c>
      <c r="U800" t="n">
        <v>11485.1549</v>
      </c>
      <c r="V800" t="n">
        <v>7552.6379</v>
      </c>
      <c r="W800" t="n">
        <v>7709.9385</v>
      </c>
      <c r="X800" t="n">
        <v>7709.9385</v>
      </c>
      <c r="Y800" t="n">
        <v>3775.2164</v>
      </c>
      <c r="Z800" t="n">
        <v>0.00025276</v>
      </c>
      <c r="AA800" t="n">
        <v>0.328704</v>
      </c>
      <c r="AB800" t="n">
        <v>157.3007</v>
      </c>
      <c r="AC800" t="n">
        <v>157.3007</v>
      </c>
      <c r="AD800" t="n">
        <v>-11323.4433</v>
      </c>
      <c r="AE800" t="n">
        <v>132165.6497</v>
      </c>
      <c r="AF800" t="n">
        <v>0.897</v>
      </c>
      <c r="AG800" t="inlineStr">
        <is>
          <t>Medium</t>
        </is>
      </c>
      <c r="AH800" t="inlineStr">
        <is>
          <t>On Track to Glide Path</t>
        </is>
      </c>
    </row>
    <row r="801">
      <c r="A801" t="inlineStr">
        <is>
          <t>SUP-0050</t>
        </is>
      </c>
      <c r="B801" t="inlineStr">
        <is>
          <t>Electronics Supplier 050</t>
        </is>
      </c>
      <c r="C801" t="inlineStr">
        <is>
          <t>Electronics</t>
        </is>
      </c>
      <c r="D801" t="n">
        <v>2024</v>
      </c>
      <c r="E801" t="n">
        <v>2015</v>
      </c>
      <c r="F801" t="n">
        <v>2040</v>
      </c>
      <c r="G801" t="inlineStr"/>
      <c r="H801" t="n">
        <v>4417.1932</v>
      </c>
      <c r="I801" t="n">
        <v>2273.9902</v>
      </c>
      <c r="J801" t="n">
        <v>14805.3566</v>
      </c>
      <c r="K801" t="n">
        <v>30503082.57</v>
      </c>
      <c r="L801" t="n">
        <v>29119757.53</v>
      </c>
      <c r="M801" t="n">
        <v>21496.54</v>
      </c>
      <c r="N801" t="inlineStr">
        <is>
          <t>Scope 1 + Scope 2 + Scope 3</t>
        </is>
      </c>
      <c r="O801" t="b">
        <v>1</v>
      </c>
      <c r="P801" t="inlineStr">
        <is>
          <t>High</t>
        </is>
      </c>
      <c r="Q801" t="inlineStr">
        <is>
          <t>Reported_Emissions</t>
        </is>
      </c>
      <c r="R801" t="inlineStr">
        <is>
          <t>Valid</t>
        </is>
      </c>
      <c r="S801" t="n">
        <v>2040</v>
      </c>
      <c r="T801" t="inlineStr">
        <is>
          <t>Industry Haircut Pathway</t>
        </is>
      </c>
      <c r="U801" t="n">
        <v>11485.1549</v>
      </c>
      <c r="V801" t="n">
        <v>7552.6379</v>
      </c>
      <c r="W801" t="n">
        <v>7552.6379</v>
      </c>
      <c r="X801" t="n">
        <v>7552.6379</v>
      </c>
      <c r="Y801" t="n">
        <v>3932.517</v>
      </c>
      <c r="Z801" t="n">
        <v>0.0002476</v>
      </c>
      <c r="AA801" t="n">
        <v>0.3424</v>
      </c>
      <c r="AB801" t="n">
        <v>0</v>
      </c>
      <c r="AC801" t="n">
        <v>157.3007</v>
      </c>
      <c r="AD801" t="n">
        <v>-18876.0812</v>
      </c>
      <c r="AE801" t="n">
        <v>139718.2876</v>
      </c>
      <c r="AF801" t="n">
        <v>0.897</v>
      </c>
      <c r="AG801" t="inlineStr">
        <is>
          <t>Low</t>
        </is>
      </c>
      <c r="AH801" t="inlineStr">
        <is>
          <t>On Track</t>
        </is>
      </c>
    </row>
    <row r="802">
      <c r="A802" t="inlineStr">
        <is>
          <t>SUP-0051</t>
        </is>
      </c>
      <c r="B802" t="inlineStr">
        <is>
          <t>Textiles Supplier 051</t>
        </is>
      </c>
      <c r="C802" t="inlineStr">
        <is>
          <t>Textiles</t>
        </is>
      </c>
      <c r="D802" t="n">
        <v>2024</v>
      </c>
      <c r="E802" t="n">
        <v>2021</v>
      </c>
      <c r="F802" t="n">
        <v>2035</v>
      </c>
      <c r="G802" t="n">
        <v>1958.5221</v>
      </c>
      <c r="H802" t="n">
        <v>566.0083</v>
      </c>
      <c r="I802" t="n">
        <v>210.5221</v>
      </c>
      <c r="J802" t="inlineStr"/>
      <c r="K802" t="n">
        <v>9086118.810000001</v>
      </c>
      <c r="L802" t="n">
        <v>73100833.8</v>
      </c>
      <c r="M802" t="n">
        <v>1958.5221</v>
      </c>
      <c r="N802" t="inlineStr">
        <is>
          <t>Supplier Reported Emissions</t>
        </is>
      </c>
      <c r="O802" t="b">
        <v>0</v>
      </c>
      <c r="P802" t="inlineStr">
        <is>
          <t>High</t>
        </is>
      </c>
      <c r="Q802" t="inlineStr">
        <is>
          <t>Scope_Emissions</t>
        </is>
      </c>
      <c r="R802" t="inlineStr">
        <is>
          <t>Valid</t>
        </is>
      </c>
      <c r="S802" t="n">
        <v>2025</v>
      </c>
      <c r="T802" t="inlineStr">
        <is>
          <t>Supplier Target Pathway</t>
        </is>
      </c>
      <c r="U802" t="n">
        <v>2705.2381</v>
      </c>
      <c r="V802" t="n">
        <v>1497.0788</v>
      </c>
      <c r="W802" t="n">
        <v>2360.0497</v>
      </c>
      <c r="X802" t="n">
        <v>2360.0497</v>
      </c>
      <c r="Y802" t="n">
        <v>345.1884</v>
      </c>
      <c r="Z802" t="n">
        <v>0.00025974</v>
      </c>
      <c r="AA802" t="n">
        <v>0.1276</v>
      </c>
      <c r="AB802" t="n">
        <v>862.971</v>
      </c>
      <c r="AC802" t="n">
        <v>86.2971</v>
      </c>
      <c r="AD802" t="n">
        <v>14107.8171</v>
      </c>
      <c r="AE802" t="n">
        <v>2360.0497</v>
      </c>
      <c r="AF802" t="n">
        <v>0.99</v>
      </c>
      <c r="AG802" t="inlineStr">
        <is>
          <t>Critical</t>
        </is>
      </c>
      <c r="AH802" t="inlineStr">
        <is>
          <t>On Track to Glide Path</t>
        </is>
      </c>
    </row>
    <row r="803">
      <c r="A803" t="inlineStr">
        <is>
          <t>SUP-0051</t>
        </is>
      </c>
      <c r="B803" t="inlineStr">
        <is>
          <t>Textiles Supplier 051</t>
        </is>
      </c>
      <c r="C803" t="inlineStr">
        <is>
          <t>Textiles</t>
        </is>
      </c>
      <c r="D803" t="n">
        <v>2024</v>
      </c>
      <c r="E803" t="n">
        <v>2021</v>
      </c>
      <c r="F803" t="n">
        <v>2035</v>
      </c>
      <c r="G803" t="n">
        <v>1958.5221</v>
      </c>
      <c r="H803" t="n">
        <v>566.0083</v>
      </c>
      <c r="I803" t="n">
        <v>210.5221</v>
      </c>
      <c r="J803" t="inlineStr"/>
      <c r="K803" t="n">
        <v>9086118.810000001</v>
      </c>
      <c r="L803" t="n">
        <v>73100833.8</v>
      </c>
      <c r="M803" t="n">
        <v>1958.5221</v>
      </c>
      <c r="N803" t="inlineStr">
        <is>
          <t>Supplier Reported Emissions</t>
        </is>
      </c>
      <c r="O803" t="b">
        <v>0</v>
      </c>
      <c r="P803" t="inlineStr">
        <is>
          <t>High</t>
        </is>
      </c>
      <c r="Q803" t="inlineStr">
        <is>
          <t>Scope_Emissions</t>
        </is>
      </c>
      <c r="R803" t="inlineStr">
        <is>
          <t>Valid</t>
        </is>
      </c>
      <c r="S803" t="n">
        <v>2026</v>
      </c>
      <c r="T803" t="inlineStr">
        <is>
          <t>Supplier Target Pathway</t>
        </is>
      </c>
      <c r="U803" t="n">
        <v>2705.2381</v>
      </c>
      <c r="V803" t="n">
        <v>1497.0788</v>
      </c>
      <c r="W803" t="n">
        <v>2273.7526</v>
      </c>
      <c r="X803" t="n">
        <v>2273.7526</v>
      </c>
      <c r="Y803" t="n">
        <v>431.4855</v>
      </c>
      <c r="Z803" t="n">
        <v>0.00025024</v>
      </c>
      <c r="AA803" t="n">
        <v>0.1595</v>
      </c>
      <c r="AB803" t="n">
        <v>776.6739</v>
      </c>
      <c r="AC803" t="n">
        <v>86.2971</v>
      </c>
      <c r="AD803" t="n">
        <v>11834.0645</v>
      </c>
      <c r="AE803" t="n">
        <v>4633.8023</v>
      </c>
      <c r="AF803" t="n">
        <v>0.99</v>
      </c>
      <c r="AG803" t="inlineStr">
        <is>
          <t>Critical</t>
        </is>
      </c>
      <c r="AH803" t="inlineStr">
        <is>
          <t>On Track to Glide Path</t>
        </is>
      </c>
    </row>
    <row r="804">
      <c r="A804" t="inlineStr">
        <is>
          <t>SUP-0051</t>
        </is>
      </c>
      <c r="B804" t="inlineStr">
        <is>
          <t>Textiles Supplier 051</t>
        </is>
      </c>
      <c r="C804" t="inlineStr">
        <is>
          <t>Textiles</t>
        </is>
      </c>
      <c r="D804" t="n">
        <v>2024</v>
      </c>
      <c r="E804" t="n">
        <v>2021</v>
      </c>
      <c r="F804" t="n">
        <v>2035</v>
      </c>
      <c r="G804" t="n">
        <v>1958.5221</v>
      </c>
      <c r="H804" t="n">
        <v>566.0083</v>
      </c>
      <c r="I804" t="n">
        <v>210.5221</v>
      </c>
      <c r="J804" t="inlineStr"/>
      <c r="K804" t="n">
        <v>9086118.810000001</v>
      </c>
      <c r="L804" t="n">
        <v>73100833.8</v>
      </c>
      <c r="M804" t="n">
        <v>1958.5221</v>
      </c>
      <c r="N804" t="inlineStr">
        <is>
          <t>Supplier Reported Emissions</t>
        </is>
      </c>
      <c r="O804" t="b">
        <v>0</v>
      </c>
      <c r="P804" t="inlineStr">
        <is>
          <t>High</t>
        </is>
      </c>
      <c r="Q804" t="inlineStr">
        <is>
          <t>Scope_Emissions</t>
        </is>
      </c>
      <c r="R804" t="inlineStr">
        <is>
          <t>Valid</t>
        </is>
      </c>
      <c r="S804" t="n">
        <v>2027</v>
      </c>
      <c r="T804" t="inlineStr">
        <is>
          <t>Supplier Target Pathway</t>
        </is>
      </c>
      <c r="U804" t="n">
        <v>2705.2381</v>
      </c>
      <c r="V804" t="n">
        <v>1497.0788</v>
      </c>
      <c r="W804" t="n">
        <v>2187.4555</v>
      </c>
      <c r="X804" t="n">
        <v>2187.4555</v>
      </c>
      <c r="Y804" t="n">
        <v>517.7826</v>
      </c>
      <c r="Z804" t="n">
        <v>0.00024075</v>
      </c>
      <c r="AA804" t="n">
        <v>0.1914</v>
      </c>
      <c r="AB804" t="n">
        <v>690.3768</v>
      </c>
      <c r="AC804" t="n">
        <v>86.2971</v>
      </c>
      <c r="AD804" t="n">
        <v>9646.609</v>
      </c>
      <c r="AE804" t="n">
        <v>6821.2578</v>
      </c>
      <c r="AF804" t="n">
        <v>0.99</v>
      </c>
      <c r="AG804" t="inlineStr">
        <is>
          <t>Critical</t>
        </is>
      </c>
      <c r="AH804" t="inlineStr">
        <is>
          <t>On Track to Glide Path</t>
        </is>
      </c>
    </row>
    <row r="805">
      <c r="A805" t="inlineStr">
        <is>
          <t>SUP-0051</t>
        </is>
      </c>
      <c r="B805" t="inlineStr">
        <is>
          <t>Textiles Supplier 051</t>
        </is>
      </c>
      <c r="C805" t="inlineStr">
        <is>
          <t>Textiles</t>
        </is>
      </c>
      <c r="D805" t="n">
        <v>2024</v>
      </c>
      <c r="E805" t="n">
        <v>2021</v>
      </c>
      <c r="F805" t="n">
        <v>2035</v>
      </c>
      <c r="G805" t="n">
        <v>1958.5221</v>
      </c>
      <c r="H805" t="n">
        <v>566.0083</v>
      </c>
      <c r="I805" t="n">
        <v>210.5221</v>
      </c>
      <c r="J805" t="inlineStr"/>
      <c r="K805" t="n">
        <v>9086118.810000001</v>
      </c>
      <c r="L805" t="n">
        <v>73100833.8</v>
      </c>
      <c r="M805" t="n">
        <v>1958.5221</v>
      </c>
      <c r="N805" t="inlineStr">
        <is>
          <t>Supplier Reported Emissions</t>
        </is>
      </c>
      <c r="O805" t="b">
        <v>0</v>
      </c>
      <c r="P805" t="inlineStr">
        <is>
          <t>High</t>
        </is>
      </c>
      <c r="Q805" t="inlineStr">
        <is>
          <t>Scope_Emissions</t>
        </is>
      </c>
      <c r="R805" t="inlineStr">
        <is>
          <t>Valid</t>
        </is>
      </c>
      <c r="S805" t="n">
        <v>2028</v>
      </c>
      <c r="T805" t="inlineStr">
        <is>
          <t>Supplier Target Pathway</t>
        </is>
      </c>
      <c r="U805" t="n">
        <v>2705.2381</v>
      </c>
      <c r="V805" t="n">
        <v>1497.0788</v>
      </c>
      <c r="W805" t="n">
        <v>2101.1584</v>
      </c>
      <c r="X805" t="n">
        <v>2101.1584</v>
      </c>
      <c r="Y805" t="n">
        <v>604.0797</v>
      </c>
      <c r="Z805" t="n">
        <v>0.00023125</v>
      </c>
      <c r="AA805" t="n">
        <v>0.2233</v>
      </c>
      <c r="AB805" t="n">
        <v>604.0797</v>
      </c>
      <c r="AC805" t="n">
        <v>86.2971</v>
      </c>
      <c r="AD805" t="n">
        <v>7545.4506</v>
      </c>
      <c r="AE805" t="n">
        <v>8922.4162</v>
      </c>
      <c r="AF805" t="n">
        <v>0.99</v>
      </c>
      <c r="AG805" t="inlineStr">
        <is>
          <t>Critical</t>
        </is>
      </c>
      <c r="AH805" t="inlineStr">
        <is>
          <t>On Track to Glide Path</t>
        </is>
      </c>
    </row>
    <row r="806">
      <c r="A806" t="inlineStr">
        <is>
          <t>SUP-0051</t>
        </is>
      </c>
      <c r="B806" t="inlineStr">
        <is>
          <t>Textiles Supplier 051</t>
        </is>
      </c>
      <c r="C806" t="inlineStr">
        <is>
          <t>Textiles</t>
        </is>
      </c>
      <c r="D806" t="n">
        <v>2024</v>
      </c>
      <c r="E806" t="n">
        <v>2021</v>
      </c>
      <c r="F806" t="n">
        <v>2035</v>
      </c>
      <c r="G806" t="n">
        <v>1958.5221</v>
      </c>
      <c r="H806" t="n">
        <v>566.0083</v>
      </c>
      <c r="I806" t="n">
        <v>210.5221</v>
      </c>
      <c r="J806" t="inlineStr"/>
      <c r="K806" t="n">
        <v>9086118.810000001</v>
      </c>
      <c r="L806" t="n">
        <v>73100833.8</v>
      </c>
      <c r="M806" t="n">
        <v>1958.5221</v>
      </c>
      <c r="N806" t="inlineStr">
        <is>
          <t>Supplier Reported Emissions</t>
        </is>
      </c>
      <c r="O806" t="b">
        <v>0</v>
      </c>
      <c r="P806" t="inlineStr">
        <is>
          <t>High</t>
        </is>
      </c>
      <c r="Q806" t="inlineStr">
        <is>
          <t>Scope_Emissions</t>
        </is>
      </c>
      <c r="R806" t="inlineStr">
        <is>
          <t>Valid</t>
        </is>
      </c>
      <c r="S806" t="n">
        <v>2029</v>
      </c>
      <c r="T806" t="inlineStr">
        <is>
          <t>Supplier Target Pathway</t>
        </is>
      </c>
      <c r="U806" t="n">
        <v>2705.2381</v>
      </c>
      <c r="V806" t="n">
        <v>1497.0788</v>
      </c>
      <c r="W806" t="n">
        <v>2014.8613</v>
      </c>
      <c r="X806" t="n">
        <v>2014.8613</v>
      </c>
      <c r="Y806" t="n">
        <v>690.3768</v>
      </c>
      <c r="Z806" t="n">
        <v>0.00022175</v>
      </c>
      <c r="AA806" t="n">
        <v>0.2552</v>
      </c>
      <c r="AB806" t="n">
        <v>517.7826</v>
      </c>
      <c r="AC806" t="n">
        <v>86.2971</v>
      </c>
      <c r="AD806" t="n">
        <v>5530.5893</v>
      </c>
      <c r="AE806" t="n">
        <v>10937.2775</v>
      </c>
      <c r="AF806" t="n">
        <v>0.99</v>
      </c>
      <c r="AG806" t="inlineStr">
        <is>
          <t>High</t>
        </is>
      </c>
      <c r="AH806" t="inlineStr">
        <is>
          <t>On Track to Glide Path</t>
        </is>
      </c>
    </row>
    <row r="807">
      <c r="A807" t="inlineStr">
        <is>
          <t>SUP-0051</t>
        </is>
      </c>
      <c r="B807" t="inlineStr">
        <is>
          <t>Textiles Supplier 051</t>
        </is>
      </c>
      <c r="C807" t="inlineStr">
        <is>
          <t>Textiles</t>
        </is>
      </c>
      <c r="D807" t="n">
        <v>2024</v>
      </c>
      <c r="E807" t="n">
        <v>2021</v>
      </c>
      <c r="F807" t="n">
        <v>2035</v>
      </c>
      <c r="G807" t="n">
        <v>1958.5221</v>
      </c>
      <c r="H807" t="n">
        <v>566.0083</v>
      </c>
      <c r="I807" t="n">
        <v>210.5221</v>
      </c>
      <c r="J807" t="inlineStr"/>
      <c r="K807" t="n">
        <v>9086118.810000001</v>
      </c>
      <c r="L807" t="n">
        <v>73100833.8</v>
      </c>
      <c r="M807" t="n">
        <v>1958.5221</v>
      </c>
      <c r="N807" t="inlineStr">
        <is>
          <t>Supplier Reported Emissions</t>
        </is>
      </c>
      <c r="O807" t="b">
        <v>0</v>
      </c>
      <c r="P807" t="inlineStr">
        <is>
          <t>High</t>
        </is>
      </c>
      <c r="Q807" t="inlineStr">
        <is>
          <t>Scope_Emissions</t>
        </is>
      </c>
      <c r="R807" t="inlineStr">
        <is>
          <t>Valid</t>
        </is>
      </c>
      <c r="S807" t="n">
        <v>2030</v>
      </c>
      <c r="T807" t="inlineStr">
        <is>
          <t>Supplier Target Pathway</t>
        </is>
      </c>
      <c r="U807" t="n">
        <v>2705.2381</v>
      </c>
      <c r="V807" t="n">
        <v>1497.0788</v>
      </c>
      <c r="W807" t="n">
        <v>1928.5642</v>
      </c>
      <c r="X807" t="n">
        <v>1928.5642</v>
      </c>
      <c r="Y807" t="n">
        <v>776.6739</v>
      </c>
      <c r="Z807" t="n">
        <v>0.00021225</v>
      </c>
      <c r="AA807" t="n">
        <v>0.2871</v>
      </c>
      <c r="AB807" t="n">
        <v>431.4855</v>
      </c>
      <c r="AC807" t="n">
        <v>86.2971</v>
      </c>
      <c r="AD807" t="n">
        <v>3602.0251</v>
      </c>
      <c r="AE807" t="n">
        <v>12865.8417</v>
      </c>
      <c r="AF807" t="n">
        <v>0.99</v>
      </c>
      <c r="AG807" t="inlineStr">
        <is>
          <t>High</t>
        </is>
      </c>
      <c r="AH807" t="inlineStr">
        <is>
          <t>On Track to Glide Path</t>
        </is>
      </c>
    </row>
    <row r="808">
      <c r="A808" t="inlineStr">
        <is>
          <t>SUP-0051</t>
        </is>
      </c>
      <c r="B808" t="inlineStr">
        <is>
          <t>Textiles Supplier 051</t>
        </is>
      </c>
      <c r="C808" t="inlineStr">
        <is>
          <t>Textiles</t>
        </is>
      </c>
      <c r="D808" t="n">
        <v>2024</v>
      </c>
      <c r="E808" t="n">
        <v>2021</v>
      </c>
      <c r="F808" t="n">
        <v>2035</v>
      </c>
      <c r="G808" t="n">
        <v>1958.5221</v>
      </c>
      <c r="H808" t="n">
        <v>566.0083</v>
      </c>
      <c r="I808" t="n">
        <v>210.5221</v>
      </c>
      <c r="J808" t="inlineStr"/>
      <c r="K808" t="n">
        <v>9086118.810000001</v>
      </c>
      <c r="L808" t="n">
        <v>73100833.8</v>
      </c>
      <c r="M808" t="n">
        <v>1958.5221</v>
      </c>
      <c r="N808" t="inlineStr">
        <is>
          <t>Supplier Reported Emissions</t>
        </is>
      </c>
      <c r="O808" t="b">
        <v>0</v>
      </c>
      <c r="P808" t="inlineStr">
        <is>
          <t>High</t>
        </is>
      </c>
      <c r="Q808" t="inlineStr">
        <is>
          <t>Scope_Emissions</t>
        </is>
      </c>
      <c r="R808" t="inlineStr">
        <is>
          <t>Valid</t>
        </is>
      </c>
      <c r="S808" t="n">
        <v>2031</v>
      </c>
      <c r="T808" t="inlineStr">
        <is>
          <t>Supplier Target Pathway</t>
        </is>
      </c>
      <c r="U808" t="n">
        <v>2705.2381</v>
      </c>
      <c r="V808" t="n">
        <v>1497.0788</v>
      </c>
      <c r="W808" t="n">
        <v>1842.2671</v>
      </c>
      <c r="X808" t="n">
        <v>1842.2671</v>
      </c>
      <c r="Y808" t="n">
        <v>862.971</v>
      </c>
      <c r="Z808" t="n">
        <v>0.00020276</v>
      </c>
      <c r="AA808" t="n">
        <v>0.319</v>
      </c>
      <c r="AB808" t="n">
        <v>345.1884</v>
      </c>
      <c r="AC808" t="n">
        <v>86.2971</v>
      </c>
      <c r="AD808" t="n">
        <v>1759.758</v>
      </c>
      <c r="AE808" t="n">
        <v>14708.1088</v>
      </c>
      <c r="AF808" t="n">
        <v>0.99</v>
      </c>
      <c r="AG808" t="inlineStr">
        <is>
          <t>High</t>
        </is>
      </c>
      <c r="AH808" t="inlineStr">
        <is>
          <t>On Track to Glide Path</t>
        </is>
      </c>
    </row>
    <row r="809">
      <c r="A809" t="inlineStr">
        <is>
          <t>SUP-0051</t>
        </is>
      </c>
      <c r="B809" t="inlineStr">
        <is>
          <t>Textiles Supplier 051</t>
        </is>
      </c>
      <c r="C809" t="inlineStr">
        <is>
          <t>Textiles</t>
        </is>
      </c>
      <c r="D809" t="n">
        <v>2024</v>
      </c>
      <c r="E809" t="n">
        <v>2021</v>
      </c>
      <c r="F809" t="n">
        <v>2035</v>
      </c>
      <c r="G809" t="n">
        <v>1958.5221</v>
      </c>
      <c r="H809" t="n">
        <v>566.0083</v>
      </c>
      <c r="I809" t="n">
        <v>210.5221</v>
      </c>
      <c r="J809" t="inlineStr"/>
      <c r="K809" t="n">
        <v>9086118.810000001</v>
      </c>
      <c r="L809" t="n">
        <v>73100833.8</v>
      </c>
      <c r="M809" t="n">
        <v>1958.5221</v>
      </c>
      <c r="N809" t="inlineStr">
        <is>
          <t>Supplier Reported Emissions</t>
        </is>
      </c>
      <c r="O809" t="b">
        <v>0</v>
      </c>
      <c r="P809" t="inlineStr">
        <is>
          <t>High</t>
        </is>
      </c>
      <c r="Q809" t="inlineStr">
        <is>
          <t>Scope_Emissions</t>
        </is>
      </c>
      <c r="R809" t="inlineStr">
        <is>
          <t>Valid</t>
        </is>
      </c>
      <c r="S809" t="n">
        <v>2032</v>
      </c>
      <c r="T809" t="inlineStr">
        <is>
          <t>Supplier Target Pathway</t>
        </is>
      </c>
      <c r="U809" t="n">
        <v>2705.2381</v>
      </c>
      <c r="V809" t="n">
        <v>1497.0788</v>
      </c>
      <c r="W809" t="n">
        <v>1755.9701</v>
      </c>
      <c r="X809" t="n">
        <v>1755.9701</v>
      </c>
      <c r="Y809" t="n">
        <v>949.268</v>
      </c>
      <c r="Z809" t="n">
        <v>0.00019326</v>
      </c>
      <c r="AA809" t="n">
        <v>0.3509</v>
      </c>
      <c r="AB809" t="n">
        <v>258.8913</v>
      </c>
      <c r="AC809" t="n">
        <v>86.2971</v>
      </c>
      <c r="AD809" t="n">
        <v>3.7879</v>
      </c>
      <c r="AE809" t="n">
        <v>16464.0789</v>
      </c>
      <c r="AF809" t="n">
        <v>0.99</v>
      </c>
      <c r="AG809" t="inlineStr">
        <is>
          <t>High</t>
        </is>
      </c>
      <c r="AH809" t="inlineStr">
        <is>
          <t>On Track to Glide Path</t>
        </is>
      </c>
    </row>
    <row r="810">
      <c r="A810" t="inlineStr">
        <is>
          <t>SUP-0051</t>
        </is>
      </c>
      <c r="B810" t="inlineStr">
        <is>
          <t>Textiles Supplier 051</t>
        </is>
      </c>
      <c r="C810" t="inlineStr">
        <is>
          <t>Textiles</t>
        </is>
      </c>
      <c r="D810" t="n">
        <v>2024</v>
      </c>
      <c r="E810" t="n">
        <v>2021</v>
      </c>
      <c r="F810" t="n">
        <v>2035</v>
      </c>
      <c r="G810" t="n">
        <v>1958.5221</v>
      </c>
      <c r="H810" t="n">
        <v>566.0083</v>
      </c>
      <c r="I810" t="n">
        <v>210.5221</v>
      </c>
      <c r="J810" t="inlineStr"/>
      <c r="K810" t="n">
        <v>9086118.810000001</v>
      </c>
      <c r="L810" t="n">
        <v>73100833.8</v>
      </c>
      <c r="M810" t="n">
        <v>1958.5221</v>
      </c>
      <c r="N810" t="inlineStr">
        <is>
          <t>Supplier Reported Emissions</t>
        </is>
      </c>
      <c r="O810" t="b">
        <v>0</v>
      </c>
      <c r="P810" t="inlineStr">
        <is>
          <t>High</t>
        </is>
      </c>
      <c r="Q810" t="inlineStr">
        <is>
          <t>Scope_Emissions</t>
        </is>
      </c>
      <c r="R810" t="inlineStr">
        <is>
          <t>Valid</t>
        </is>
      </c>
      <c r="S810" t="n">
        <v>2033</v>
      </c>
      <c r="T810" t="inlineStr">
        <is>
          <t>Supplier Target Pathway</t>
        </is>
      </c>
      <c r="U810" t="n">
        <v>2705.2381</v>
      </c>
      <c r="V810" t="n">
        <v>1497.0788</v>
      </c>
      <c r="W810" t="n">
        <v>1669.673</v>
      </c>
      <c r="X810" t="n">
        <v>1669.673</v>
      </c>
      <c r="Y810" t="n">
        <v>1035.5651</v>
      </c>
      <c r="Z810" t="n">
        <v>0.00018376</v>
      </c>
      <c r="AA810" t="n">
        <v>0.3828</v>
      </c>
      <c r="AB810" t="n">
        <v>172.5942</v>
      </c>
      <c r="AC810" t="n">
        <v>86.2971</v>
      </c>
      <c r="AD810" t="n">
        <v>-1665.8851</v>
      </c>
      <c r="AE810" t="n">
        <v>18133.7519</v>
      </c>
      <c r="AF810" t="n">
        <v>0.99</v>
      </c>
      <c r="AG810" t="inlineStr">
        <is>
          <t>Medium</t>
        </is>
      </c>
      <c r="AH810" t="inlineStr">
        <is>
          <t>On Track to Glide Path</t>
        </is>
      </c>
    </row>
    <row r="811">
      <c r="A811" t="inlineStr">
        <is>
          <t>SUP-0051</t>
        </is>
      </c>
      <c r="B811" t="inlineStr">
        <is>
          <t>Textiles Supplier 051</t>
        </is>
      </c>
      <c r="C811" t="inlineStr">
        <is>
          <t>Textiles</t>
        </is>
      </c>
      <c r="D811" t="n">
        <v>2024</v>
      </c>
      <c r="E811" t="n">
        <v>2021</v>
      </c>
      <c r="F811" t="n">
        <v>2035</v>
      </c>
      <c r="G811" t="n">
        <v>1958.5221</v>
      </c>
      <c r="H811" t="n">
        <v>566.0083</v>
      </c>
      <c r="I811" t="n">
        <v>210.5221</v>
      </c>
      <c r="J811" t="inlineStr"/>
      <c r="K811" t="n">
        <v>9086118.810000001</v>
      </c>
      <c r="L811" t="n">
        <v>73100833.8</v>
      </c>
      <c r="M811" t="n">
        <v>1958.5221</v>
      </c>
      <c r="N811" t="inlineStr">
        <is>
          <t>Supplier Reported Emissions</t>
        </is>
      </c>
      <c r="O811" t="b">
        <v>0</v>
      </c>
      <c r="P811" t="inlineStr">
        <is>
          <t>High</t>
        </is>
      </c>
      <c r="Q811" t="inlineStr">
        <is>
          <t>Scope_Emissions</t>
        </is>
      </c>
      <c r="R811" t="inlineStr">
        <is>
          <t>Valid</t>
        </is>
      </c>
      <c r="S811" t="n">
        <v>2034</v>
      </c>
      <c r="T811" t="inlineStr">
        <is>
          <t>Supplier Target Pathway</t>
        </is>
      </c>
      <c r="U811" t="n">
        <v>2705.2381</v>
      </c>
      <c r="V811" t="n">
        <v>1497.0788</v>
      </c>
      <c r="W811" t="n">
        <v>1583.3759</v>
      </c>
      <c r="X811" t="n">
        <v>1583.3759</v>
      </c>
      <c r="Y811" t="n">
        <v>1121.8622</v>
      </c>
      <c r="Z811" t="n">
        <v>0.00017426</v>
      </c>
      <c r="AA811" t="n">
        <v>0.4147</v>
      </c>
      <c r="AB811" t="n">
        <v>86.2971</v>
      </c>
      <c r="AC811" t="n">
        <v>86.2971</v>
      </c>
      <c r="AD811" t="n">
        <v>-3249.261</v>
      </c>
      <c r="AE811" t="n">
        <v>19717.1278</v>
      </c>
      <c r="AF811" t="n">
        <v>0.99</v>
      </c>
      <c r="AG811" t="inlineStr">
        <is>
          <t>Medium</t>
        </is>
      </c>
      <c r="AH811" t="inlineStr">
        <is>
          <t>On Track to Glide Path</t>
        </is>
      </c>
    </row>
    <row r="812">
      <c r="A812" t="inlineStr">
        <is>
          <t>SUP-0051</t>
        </is>
      </c>
      <c r="B812" t="inlineStr">
        <is>
          <t>Textiles Supplier 051</t>
        </is>
      </c>
      <c r="C812" t="inlineStr">
        <is>
          <t>Textiles</t>
        </is>
      </c>
      <c r="D812" t="n">
        <v>2024</v>
      </c>
      <c r="E812" t="n">
        <v>2021</v>
      </c>
      <c r="F812" t="n">
        <v>2035</v>
      </c>
      <c r="G812" t="n">
        <v>1958.5221</v>
      </c>
      <c r="H812" t="n">
        <v>566.0083</v>
      </c>
      <c r="I812" t="n">
        <v>210.5221</v>
      </c>
      <c r="J812" t="inlineStr"/>
      <c r="K812" t="n">
        <v>9086118.810000001</v>
      </c>
      <c r="L812" t="n">
        <v>73100833.8</v>
      </c>
      <c r="M812" t="n">
        <v>1958.5221</v>
      </c>
      <c r="N812" t="inlineStr">
        <is>
          <t>Supplier Reported Emissions</t>
        </is>
      </c>
      <c r="O812" t="b">
        <v>0</v>
      </c>
      <c r="P812" t="inlineStr">
        <is>
          <t>High</t>
        </is>
      </c>
      <c r="Q812" t="inlineStr">
        <is>
          <t>Scope_Emissions</t>
        </is>
      </c>
      <c r="R812" t="inlineStr">
        <is>
          <t>Valid</t>
        </is>
      </c>
      <c r="S812" t="n">
        <v>2035</v>
      </c>
      <c r="T812" t="inlineStr">
        <is>
          <t>Supplier Target Pathway</t>
        </is>
      </c>
      <c r="U812" t="n">
        <v>2705.2381</v>
      </c>
      <c r="V812" t="n">
        <v>1497.0788</v>
      </c>
      <c r="W812" t="n">
        <v>1497.0788</v>
      </c>
      <c r="X812" t="n">
        <v>1497.0788</v>
      </c>
      <c r="Y812" t="n">
        <v>1208.1593</v>
      </c>
      <c r="Z812" t="n">
        <v>0.00016477</v>
      </c>
      <c r="AA812" t="n">
        <v>0.4466</v>
      </c>
      <c r="AB812" t="n">
        <v>0</v>
      </c>
      <c r="AC812" t="n">
        <v>86.2971</v>
      </c>
      <c r="AD812" t="n">
        <v>-4746.3398</v>
      </c>
      <c r="AE812" t="n">
        <v>21214.2066</v>
      </c>
      <c r="AF812" t="n">
        <v>0.99</v>
      </c>
      <c r="AG812" t="inlineStr">
        <is>
          <t>Low</t>
        </is>
      </c>
      <c r="AH812" t="inlineStr">
        <is>
          <t>On Track</t>
        </is>
      </c>
    </row>
    <row r="813">
      <c r="A813" t="inlineStr">
        <is>
          <t>SUP-0051</t>
        </is>
      </c>
      <c r="B813" t="inlineStr">
        <is>
          <t>Textiles Supplier 051</t>
        </is>
      </c>
      <c r="C813" t="inlineStr">
        <is>
          <t>Textiles</t>
        </is>
      </c>
      <c r="D813" t="n">
        <v>2024</v>
      </c>
      <c r="E813" t="n">
        <v>2021</v>
      </c>
      <c r="F813" t="n">
        <v>2035</v>
      </c>
      <c r="G813" t="n">
        <v>1958.5221</v>
      </c>
      <c r="H813" t="n">
        <v>566.0083</v>
      </c>
      <c r="I813" t="n">
        <v>210.5221</v>
      </c>
      <c r="J813" t="inlineStr"/>
      <c r="K813" t="n">
        <v>9086118.810000001</v>
      </c>
      <c r="L813" t="n">
        <v>73100833.8</v>
      </c>
      <c r="M813" t="n">
        <v>1958.5221</v>
      </c>
      <c r="N813" t="inlineStr">
        <is>
          <t>Supplier Reported Emissions</t>
        </is>
      </c>
      <c r="O813" t="b">
        <v>0</v>
      </c>
      <c r="P813" t="inlineStr">
        <is>
          <t>High</t>
        </is>
      </c>
      <c r="Q813" t="inlineStr">
        <is>
          <t>Scope_Emissions</t>
        </is>
      </c>
      <c r="R813" t="inlineStr">
        <is>
          <t>Valid</t>
        </is>
      </c>
      <c r="S813" t="n">
        <v>2036</v>
      </c>
      <c r="T813" t="inlineStr">
        <is>
          <t>Supplier Target Pathway</t>
        </is>
      </c>
      <c r="U813" t="n">
        <v>2705.2381</v>
      </c>
      <c r="V813" t="n">
        <v>1497.0788</v>
      </c>
      <c r="W813" t="n">
        <v>1497.0788</v>
      </c>
      <c r="X813" t="n">
        <v>1497.0788</v>
      </c>
      <c r="Y813" t="n">
        <v>1208.1593</v>
      </c>
      <c r="Z813" t="n">
        <v>0.00016477</v>
      </c>
      <c r="AA813" t="n">
        <v>0.4466</v>
      </c>
      <c r="AB813" t="n">
        <v>0</v>
      </c>
      <c r="AC813" t="n">
        <v>86.2971</v>
      </c>
      <c r="AD813" t="n">
        <v>-6243.4186</v>
      </c>
      <c r="AE813" t="n">
        <v>22711.2854</v>
      </c>
      <c r="AF813" t="n">
        <v>0.99</v>
      </c>
      <c r="AG813" t="inlineStr">
        <is>
          <t>Low</t>
        </is>
      </c>
      <c r="AH813" t="inlineStr">
        <is>
          <t>On Track</t>
        </is>
      </c>
    </row>
    <row r="814">
      <c r="A814" t="inlineStr">
        <is>
          <t>SUP-0051</t>
        </is>
      </c>
      <c r="B814" t="inlineStr">
        <is>
          <t>Textiles Supplier 051</t>
        </is>
      </c>
      <c r="C814" t="inlineStr">
        <is>
          <t>Textiles</t>
        </is>
      </c>
      <c r="D814" t="n">
        <v>2024</v>
      </c>
      <c r="E814" t="n">
        <v>2021</v>
      </c>
      <c r="F814" t="n">
        <v>2035</v>
      </c>
      <c r="G814" t="n">
        <v>1958.5221</v>
      </c>
      <c r="H814" t="n">
        <v>566.0083</v>
      </c>
      <c r="I814" t="n">
        <v>210.5221</v>
      </c>
      <c r="J814" t="inlineStr"/>
      <c r="K814" t="n">
        <v>9086118.810000001</v>
      </c>
      <c r="L814" t="n">
        <v>73100833.8</v>
      </c>
      <c r="M814" t="n">
        <v>1958.5221</v>
      </c>
      <c r="N814" t="inlineStr">
        <is>
          <t>Supplier Reported Emissions</t>
        </is>
      </c>
      <c r="O814" t="b">
        <v>0</v>
      </c>
      <c r="P814" t="inlineStr">
        <is>
          <t>High</t>
        </is>
      </c>
      <c r="Q814" t="inlineStr">
        <is>
          <t>Scope_Emissions</t>
        </is>
      </c>
      <c r="R814" t="inlineStr">
        <is>
          <t>Valid</t>
        </is>
      </c>
      <c r="S814" t="n">
        <v>2037</v>
      </c>
      <c r="T814" t="inlineStr">
        <is>
          <t>Supplier Target Pathway</t>
        </is>
      </c>
      <c r="U814" t="n">
        <v>2705.2381</v>
      </c>
      <c r="V814" t="n">
        <v>1497.0788</v>
      </c>
      <c r="W814" t="n">
        <v>1497.0788</v>
      </c>
      <c r="X814" t="n">
        <v>1497.0788</v>
      </c>
      <c r="Y814" t="n">
        <v>1208.1593</v>
      </c>
      <c r="Z814" t="n">
        <v>0.00016477</v>
      </c>
      <c r="AA814" t="n">
        <v>0.4466</v>
      </c>
      <c r="AB814" t="n">
        <v>0</v>
      </c>
      <c r="AC814" t="n">
        <v>86.2971</v>
      </c>
      <c r="AD814" t="n">
        <v>-7740.4974</v>
      </c>
      <c r="AE814" t="n">
        <v>24208.3642</v>
      </c>
      <c r="AF814" t="n">
        <v>0.99</v>
      </c>
      <c r="AG814" t="inlineStr">
        <is>
          <t>Low</t>
        </is>
      </c>
      <c r="AH814" t="inlineStr">
        <is>
          <t>On Track</t>
        </is>
      </c>
    </row>
    <row r="815">
      <c r="A815" t="inlineStr">
        <is>
          <t>SUP-0051</t>
        </is>
      </c>
      <c r="B815" t="inlineStr">
        <is>
          <t>Textiles Supplier 051</t>
        </is>
      </c>
      <c r="C815" t="inlineStr">
        <is>
          <t>Textiles</t>
        </is>
      </c>
      <c r="D815" t="n">
        <v>2024</v>
      </c>
      <c r="E815" t="n">
        <v>2021</v>
      </c>
      <c r="F815" t="n">
        <v>2035</v>
      </c>
      <c r="G815" t="n">
        <v>1958.5221</v>
      </c>
      <c r="H815" t="n">
        <v>566.0083</v>
      </c>
      <c r="I815" t="n">
        <v>210.5221</v>
      </c>
      <c r="J815" t="inlineStr"/>
      <c r="K815" t="n">
        <v>9086118.810000001</v>
      </c>
      <c r="L815" t="n">
        <v>73100833.8</v>
      </c>
      <c r="M815" t="n">
        <v>1958.5221</v>
      </c>
      <c r="N815" t="inlineStr">
        <is>
          <t>Supplier Reported Emissions</t>
        </is>
      </c>
      <c r="O815" t="b">
        <v>0</v>
      </c>
      <c r="P815" t="inlineStr">
        <is>
          <t>High</t>
        </is>
      </c>
      <c r="Q815" t="inlineStr">
        <is>
          <t>Scope_Emissions</t>
        </is>
      </c>
      <c r="R815" t="inlineStr">
        <is>
          <t>Valid</t>
        </is>
      </c>
      <c r="S815" t="n">
        <v>2038</v>
      </c>
      <c r="T815" t="inlineStr">
        <is>
          <t>Supplier Target Pathway</t>
        </is>
      </c>
      <c r="U815" t="n">
        <v>2705.2381</v>
      </c>
      <c r="V815" t="n">
        <v>1497.0788</v>
      </c>
      <c r="W815" t="n">
        <v>1497.0788</v>
      </c>
      <c r="X815" t="n">
        <v>1497.0788</v>
      </c>
      <c r="Y815" t="n">
        <v>1208.1593</v>
      </c>
      <c r="Z815" t="n">
        <v>0.00016477</v>
      </c>
      <c r="AA815" t="n">
        <v>0.4466</v>
      </c>
      <c r="AB815" t="n">
        <v>0</v>
      </c>
      <c r="AC815" t="n">
        <v>86.2971</v>
      </c>
      <c r="AD815" t="n">
        <v>-9237.5762</v>
      </c>
      <c r="AE815" t="n">
        <v>25705.443</v>
      </c>
      <c r="AF815" t="n">
        <v>0.99</v>
      </c>
      <c r="AG815" t="inlineStr">
        <is>
          <t>Low</t>
        </is>
      </c>
      <c r="AH815" t="inlineStr">
        <is>
          <t>On Track</t>
        </is>
      </c>
    </row>
    <row r="816">
      <c r="A816" t="inlineStr">
        <is>
          <t>SUP-0051</t>
        </is>
      </c>
      <c r="B816" t="inlineStr">
        <is>
          <t>Textiles Supplier 051</t>
        </is>
      </c>
      <c r="C816" t="inlineStr">
        <is>
          <t>Textiles</t>
        </is>
      </c>
      <c r="D816" t="n">
        <v>2024</v>
      </c>
      <c r="E816" t="n">
        <v>2021</v>
      </c>
      <c r="F816" t="n">
        <v>2035</v>
      </c>
      <c r="G816" t="n">
        <v>1958.5221</v>
      </c>
      <c r="H816" t="n">
        <v>566.0083</v>
      </c>
      <c r="I816" t="n">
        <v>210.5221</v>
      </c>
      <c r="J816" t="inlineStr"/>
      <c r="K816" t="n">
        <v>9086118.810000001</v>
      </c>
      <c r="L816" t="n">
        <v>73100833.8</v>
      </c>
      <c r="M816" t="n">
        <v>1958.5221</v>
      </c>
      <c r="N816" t="inlineStr">
        <is>
          <t>Supplier Reported Emissions</t>
        </is>
      </c>
      <c r="O816" t="b">
        <v>0</v>
      </c>
      <c r="P816" t="inlineStr">
        <is>
          <t>High</t>
        </is>
      </c>
      <c r="Q816" t="inlineStr">
        <is>
          <t>Scope_Emissions</t>
        </is>
      </c>
      <c r="R816" t="inlineStr">
        <is>
          <t>Valid</t>
        </is>
      </c>
      <c r="S816" t="n">
        <v>2039</v>
      </c>
      <c r="T816" t="inlineStr">
        <is>
          <t>Supplier Target Pathway</t>
        </is>
      </c>
      <c r="U816" t="n">
        <v>2705.2381</v>
      </c>
      <c r="V816" t="n">
        <v>1497.0788</v>
      </c>
      <c r="W816" t="n">
        <v>1497.0788</v>
      </c>
      <c r="X816" t="n">
        <v>1497.0788</v>
      </c>
      <c r="Y816" t="n">
        <v>1208.1593</v>
      </c>
      <c r="Z816" t="n">
        <v>0.00016477</v>
      </c>
      <c r="AA816" t="n">
        <v>0.4466</v>
      </c>
      <c r="AB816" t="n">
        <v>0</v>
      </c>
      <c r="AC816" t="n">
        <v>86.2971</v>
      </c>
      <c r="AD816" t="n">
        <v>-10734.655</v>
      </c>
      <c r="AE816" t="n">
        <v>27202.5218</v>
      </c>
      <c r="AF816" t="n">
        <v>0.99</v>
      </c>
      <c r="AG816" t="inlineStr">
        <is>
          <t>Low</t>
        </is>
      </c>
      <c r="AH816" t="inlineStr">
        <is>
          <t>On Track</t>
        </is>
      </c>
    </row>
    <row r="817">
      <c r="A817" t="inlineStr">
        <is>
          <t>SUP-0051</t>
        </is>
      </c>
      <c r="B817" t="inlineStr">
        <is>
          <t>Textiles Supplier 051</t>
        </is>
      </c>
      <c r="C817" t="inlineStr">
        <is>
          <t>Textiles</t>
        </is>
      </c>
      <c r="D817" t="n">
        <v>2024</v>
      </c>
      <c r="E817" t="n">
        <v>2021</v>
      </c>
      <c r="F817" t="n">
        <v>2035</v>
      </c>
      <c r="G817" t="n">
        <v>1958.5221</v>
      </c>
      <c r="H817" t="n">
        <v>566.0083</v>
      </c>
      <c r="I817" t="n">
        <v>210.5221</v>
      </c>
      <c r="J817" t="inlineStr"/>
      <c r="K817" t="n">
        <v>9086118.810000001</v>
      </c>
      <c r="L817" t="n">
        <v>73100833.8</v>
      </c>
      <c r="M817" t="n">
        <v>1958.5221</v>
      </c>
      <c r="N817" t="inlineStr">
        <is>
          <t>Supplier Reported Emissions</t>
        </is>
      </c>
      <c r="O817" t="b">
        <v>0</v>
      </c>
      <c r="P817" t="inlineStr">
        <is>
          <t>High</t>
        </is>
      </c>
      <c r="Q817" t="inlineStr">
        <is>
          <t>Scope_Emissions</t>
        </is>
      </c>
      <c r="R817" t="inlineStr">
        <is>
          <t>Valid</t>
        </is>
      </c>
      <c r="S817" t="n">
        <v>2040</v>
      </c>
      <c r="T817" t="inlineStr">
        <is>
          <t>Supplier Target Pathway</t>
        </is>
      </c>
      <c r="U817" t="n">
        <v>2705.2381</v>
      </c>
      <c r="V817" t="n">
        <v>1497.0788</v>
      </c>
      <c r="W817" t="n">
        <v>1497.0788</v>
      </c>
      <c r="X817" t="n">
        <v>1497.0788</v>
      </c>
      <c r="Y817" t="n">
        <v>1208.1593</v>
      </c>
      <c r="Z817" t="n">
        <v>0.00016477</v>
      </c>
      <c r="AA817" t="n">
        <v>0.4466</v>
      </c>
      <c r="AB817" t="n">
        <v>0</v>
      </c>
      <c r="AC817" t="n">
        <v>86.2971</v>
      </c>
      <c r="AD817" t="n">
        <v>-12231.7338</v>
      </c>
      <c r="AE817" t="n">
        <v>28699.6006</v>
      </c>
      <c r="AF817" t="n">
        <v>0.99</v>
      </c>
      <c r="AG817" t="inlineStr">
        <is>
          <t>Low</t>
        </is>
      </c>
      <c r="AH817" t="inlineStr">
        <is>
          <t>On Track</t>
        </is>
      </c>
    </row>
    <row r="818">
      <c r="A818" t="inlineStr">
        <is>
          <t>SUP-0052</t>
        </is>
      </c>
      <c r="B818" t="inlineStr">
        <is>
          <t>Electronics Supplier 052</t>
        </is>
      </c>
      <c r="C818" t="inlineStr">
        <is>
          <t>Electronics</t>
        </is>
      </c>
      <c r="D818" t="n">
        <v>2024</v>
      </c>
      <c r="E818" t="n">
        <v>2015</v>
      </c>
      <c r="F818" t="n">
        <v>2040</v>
      </c>
      <c r="G818" t="n">
        <v>6648.7037</v>
      </c>
      <c r="H818" t="inlineStr"/>
      <c r="I818" t="n">
        <v>490.2344</v>
      </c>
      <c r="J818" t="n">
        <v>5038.2233</v>
      </c>
      <c r="K818" t="n">
        <v>17480428.95</v>
      </c>
      <c r="L818" t="n">
        <v>59211096.29</v>
      </c>
      <c r="M818" t="n">
        <v>6648.7037</v>
      </c>
      <c r="N818" t="inlineStr">
        <is>
          <t>Supplier Reported Emissions</t>
        </is>
      </c>
      <c r="O818" t="b">
        <v>0</v>
      </c>
      <c r="P818" t="inlineStr">
        <is>
          <t>High</t>
        </is>
      </c>
      <c r="Q818" t="inlineStr">
        <is>
          <t>Scope_Emissions</t>
        </is>
      </c>
      <c r="R818" t="inlineStr">
        <is>
          <t>Valid</t>
        </is>
      </c>
      <c r="S818" t="n">
        <v>2025</v>
      </c>
      <c r="T818" t="inlineStr">
        <is>
          <t>Industry Haircut Pathway</t>
        </is>
      </c>
      <c r="U818" t="n">
        <v>10231.0759</v>
      </c>
      <c r="V818" t="n">
        <v>6727.9555</v>
      </c>
      <c r="W818" t="n">
        <v>8829.8277</v>
      </c>
      <c r="X818" t="n">
        <v>8829.8277</v>
      </c>
      <c r="Y818" t="n">
        <v>1401.2482</v>
      </c>
      <c r="Z818" t="n">
        <v>0.00050513</v>
      </c>
      <c r="AA818" t="n">
        <v>0.13696</v>
      </c>
      <c r="AB818" t="n">
        <v>2101.8722</v>
      </c>
      <c r="AC818" t="n">
        <v>140.1248</v>
      </c>
      <c r="AD818" t="n">
        <v>98817.46030000001</v>
      </c>
      <c r="AE818" t="n">
        <v>8829.8277</v>
      </c>
      <c r="AF818" t="n">
        <v>0.9429999999999999</v>
      </c>
      <c r="AG818" t="inlineStr">
        <is>
          <t>High</t>
        </is>
      </c>
      <c r="AH818" t="inlineStr">
        <is>
          <t>On Track to Glide Path</t>
        </is>
      </c>
    </row>
    <row r="819">
      <c r="A819" t="inlineStr">
        <is>
          <t>SUP-0052</t>
        </is>
      </c>
      <c r="B819" t="inlineStr">
        <is>
          <t>Electronics Supplier 052</t>
        </is>
      </c>
      <c r="C819" t="inlineStr">
        <is>
          <t>Electronics</t>
        </is>
      </c>
      <c r="D819" t="n">
        <v>2024</v>
      </c>
      <c r="E819" t="n">
        <v>2015</v>
      </c>
      <c r="F819" t="n">
        <v>2040</v>
      </c>
      <c r="G819" t="n">
        <v>6648.7037</v>
      </c>
      <c r="H819" t="inlineStr"/>
      <c r="I819" t="n">
        <v>490.2344</v>
      </c>
      <c r="J819" t="n">
        <v>5038.2233</v>
      </c>
      <c r="K819" t="n">
        <v>17480428.95</v>
      </c>
      <c r="L819" t="n">
        <v>59211096.29</v>
      </c>
      <c r="M819" t="n">
        <v>6648.7037</v>
      </c>
      <c r="N819" t="inlineStr">
        <is>
          <t>Supplier Reported Emissions</t>
        </is>
      </c>
      <c r="O819" t="b">
        <v>0</v>
      </c>
      <c r="P819" t="inlineStr">
        <is>
          <t>High</t>
        </is>
      </c>
      <c r="Q819" t="inlineStr">
        <is>
          <t>Scope_Emissions</t>
        </is>
      </c>
      <c r="R819" t="inlineStr">
        <is>
          <t>Valid</t>
        </is>
      </c>
      <c r="S819" t="n">
        <v>2026</v>
      </c>
      <c r="T819" t="inlineStr">
        <is>
          <t>Industry Haircut Pathway</t>
        </is>
      </c>
      <c r="U819" t="n">
        <v>10231.0759</v>
      </c>
      <c r="V819" t="n">
        <v>6727.9555</v>
      </c>
      <c r="W819" t="n">
        <v>8689.7029</v>
      </c>
      <c r="X819" t="n">
        <v>8689.7029</v>
      </c>
      <c r="Y819" t="n">
        <v>1541.373</v>
      </c>
      <c r="Z819" t="n">
        <v>0.00049711</v>
      </c>
      <c r="AA819" t="n">
        <v>0.150656</v>
      </c>
      <c r="AB819" t="n">
        <v>1961.7474</v>
      </c>
      <c r="AC819" t="n">
        <v>140.1248</v>
      </c>
      <c r="AD819" t="n">
        <v>90127.7574</v>
      </c>
      <c r="AE819" t="n">
        <v>17519.5306</v>
      </c>
      <c r="AF819" t="n">
        <v>0.9429999999999999</v>
      </c>
      <c r="AG819" t="inlineStr">
        <is>
          <t>High</t>
        </is>
      </c>
      <c r="AH819" t="inlineStr">
        <is>
          <t>On Track to Glide Path</t>
        </is>
      </c>
    </row>
    <row r="820">
      <c r="A820" t="inlineStr">
        <is>
          <t>SUP-0052</t>
        </is>
      </c>
      <c r="B820" t="inlineStr">
        <is>
          <t>Electronics Supplier 052</t>
        </is>
      </c>
      <c r="C820" t="inlineStr">
        <is>
          <t>Electronics</t>
        </is>
      </c>
      <c r="D820" t="n">
        <v>2024</v>
      </c>
      <c r="E820" t="n">
        <v>2015</v>
      </c>
      <c r="F820" t="n">
        <v>2040</v>
      </c>
      <c r="G820" t="n">
        <v>6648.7037</v>
      </c>
      <c r="H820" t="inlineStr"/>
      <c r="I820" t="n">
        <v>490.2344</v>
      </c>
      <c r="J820" t="n">
        <v>5038.2233</v>
      </c>
      <c r="K820" t="n">
        <v>17480428.95</v>
      </c>
      <c r="L820" t="n">
        <v>59211096.29</v>
      </c>
      <c r="M820" t="n">
        <v>6648.7037</v>
      </c>
      <c r="N820" t="inlineStr">
        <is>
          <t>Supplier Reported Emissions</t>
        </is>
      </c>
      <c r="O820" t="b">
        <v>0</v>
      </c>
      <c r="P820" t="inlineStr">
        <is>
          <t>High</t>
        </is>
      </c>
      <c r="Q820" t="inlineStr">
        <is>
          <t>Scope_Emissions</t>
        </is>
      </c>
      <c r="R820" t="inlineStr">
        <is>
          <t>Valid</t>
        </is>
      </c>
      <c r="S820" t="n">
        <v>2027</v>
      </c>
      <c r="T820" t="inlineStr">
        <is>
          <t>Industry Haircut Pathway</t>
        </is>
      </c>
      <c r="U820" t="n">
        <v>10231.0759</v>
      </c>
      <c r="V820" t="n">
        <v>6727.9555</v>
      </c>
      <c r="W820" t="n">
        <v>8549.578100000001</v>
      </c>
      <c r="X820" t="n">
        <v>8549.578100000001</v>
      </c>
      <c r="Y820" t="n">
        <v>1681.4978</v>
      </c>
      <c r="Z820" t="n">
        <v>0.00048909</v>
      </c>
      <c r="AA820" t="n">
        <v>0.164352</v>
      </c>
      <c r="AB820" t="n">
        <v>1821.6226</v>
      </c>
      <c r="AC820" t="n">
        <v>140.1248</v>
      </c>
      <c r="AD820" t="n">
        <v>81578.1793</v>
      </c>
      <c r="AE820" t="n">
        <v>26069.1087</v>
      </c>
      <c r="AF820" t="n">
        <v>0.9429999999999999</v>
      </c>
      <c r="AG820" t="inlineStr">
        <is>
          <t>High</t>
        </is>
      </c>
      <c r="AH820" t="inlineStr">
        <is>
          <t>On Track to Glide Path</t>
        </is>
      </c>
    </row>
    <row r="821">
      <c r="A821" t="inlineStr">
        <is>
          <t>SUP-0052</t>
        </is>
      </c>
      <c r="B821" t="inlineStr">
        <is>
          <t>Electronics Supplier 052</t>
        </is>
      </c>
      <c r="C821" t="inlineStr">
        <is>
          <t>Electronics</t>
        </is>
      </c>
      <c r="D821" t="n">
        <v>2024</v>
      </c>
      <c r="E821" t="n">
        <v>2015</v>
      </c>
      <c r="F821" t="n">
        <v>2040</v>
      </c>
      <c r="G821" t="n">
        <v>6648.7037</v>
      </c>
      <c r="H821" t="inlineStr"/>
      <c r="I821" t="n">
        <v>490.2344</v>
      </c>
      <c r="J821" t="n">
        <v>5038.2233</v>
      </c>
      <c r="K821" t="n">
        <v>17480428.95</v>
      </c>
      <c r="L821" t="n">
        <v>59211096.29</v>
      </c>
      <c r="M821" t="n">
        <v>6648.7037</v>
      </c>
      <c r="N821" t="inlineStr">
        <is>
          <t>Supplier Reported Emissions</t>
        </is>
      </c>
      <c r="O821" t="b">
        <v>0</v>
      </c>
      <c r="P821" t="inlineStr">
        <is>
          <t>High</t>
        </is>
      </c>
      <c r="Q821" t="inlineStr">
        <is>
          <t>Scope_Emissions</t>
        </is>
      </c>
      <c r="R821" t="inlineStr">
        <is>
          <t>Valid</t>
        </is>
      </c>
      <c r="S821" t="n">
        <v>2028</v>
      </c>
      <c r="T821" t="inlineStr">
        <is>
          <t>Industry Haircut Pathway</t>
        </is>
      </c>
      <c r="U821" t="n">
        <v>10231.0759</v>
      </c>
      <c r="V821" t="n">
        <v>6727.9555</v>
      </c>
      <c r="W821" t="n">
        <v>8409.453299999999</v>
      </c>
      <c r="X821" t="n">
        <v>8409.453299999999</v>
      </c>
      <c r="Y821" t="n">
        <v>1821.6226</v>
      </c>
      <c r="Z821" t="n">
        <v>0.00048108</v>
      </c>
      <c r="AA821" t="n">
        <v>0.178048</v>
      </c>
      <c r="AB821" t="n">
        <v>1681.4978</v>
      </c>
      <c r="AC821" t="n">
        <v>140.1248</v>
      </c>
      <c r="AD821" t="n">
        <v>73168.726</v>
      </c>
      <c r="AE821" t="n">
        <v>34478.562</v>
      </c>
      <c r="AF821" t="n">
        <v>0.9429999999999999</v>
      </c>
      <c r="AG821" t="inlineStr">
        <is>
          <t>High</t>
        </is>
      </c>
      <c r="AH821" t="inlineStr">
        <is>
          <t>On Track to Glide Path</t>
        </is>
      </c>
    </row>
    <row r="822">
      <c r="A822" t="inlineStr">
        <is>
          <t>SUP-0052</t>
        </is>
      </c>
      <c r="B822" t="inlineStr">
        <is>
          <t>Electronics Supplier 052</t>
        </is>
      </c>
      <c r="C822" t="inlineStr">
        <is>
          <t>Electronics</t>
        </is>
      </c>
      <c r="D822" t="n">
        <v>2024</v>
      </c>
      <c r="E822" t="n">
        <v>2015</v>
      </c>
      <c r="F822" t="n">
        <v>2040</v>
      </c>
      <c r="G822" t="n">
        <v>6648.7037</v>
      </c>
      <c r="H822" t="inlineStr"/>
      <c r="I822" t="n">
        <v>490.2344</v>
      </c>
      <c r="J822" t="n">
        <v>5038.2233</v>
      </c>
      <c r="K822" t="n">
        <v>17480428.95</v>
      </c>
      <c r="L822" t="n">
        <v>59211096.29</v>
      </c>
      <c r="M822" t="n">
        <v>6648.7037</v>
      </c>
      <c r="N822" t="inlineStr">
        <is>
          <t>Supplier Reported Emissions</t>
        </is>
      </c>
      <c r="O822" t="b">
        <v>0</v>
      </c>
      <c r="P822" t="inlineStr">
        <is>
          <t>High</t>
        </is>
      </c>
      <c r="Q822" t="inlineStr">
        <is>
          <t>Scope_Emissions</t>
        </is>
      </c>
      <c r="R822" t="inlineStr">
        <is>
          <t>Valid</t>
        </is>
      </c>
      <c r="S822" t="n">
        <v>2029</v>
      </c>
      <c r="T822" t="inlineStr">
        <is>
          <t>Industry Haircut Pathway</t>
        </is>
      </c>
      <c r="U822" t="n">
        <v>10231.0759</v>
      </c>
      <c r="V822" t="n">
        <v>6727.9555</v>
      </c>
      <c r="W822" t="n">
        <v>8269.3285</v>
      </c>
      <c r="X822" t="n">
        <v>8269.3285</v>
      </c>
      <c r="Y822" t="n">
        <v>1961.7474</v>
      </c>
      <c r="Z822" t="n">
        <v>0.00047306</v>
      </c>
      <c r="AA822" t="n">
        <v>0.191744</v>
      </c>
      <c r="AB822" t="n">
        <v>1541.373</v>
      </c>
      <c r="AC822" t="n">
        <v>140.1248</v>
      </c>
      <c r="AD822" t="n">
        <v>64899.3975</v>
      </c>
      <c r="AE822" t="n">
        <v>42747.8905</v>
      </c>
      <c r="AF822" t="n">
        <v>0.9429999999999999</v>
      </c>
      <c r="AG822" t="inlineStr">
        <is>
          <t>High</t>
        </is>
      </c>
      <c r="AH822" t="inlineStr">
        <is>
          <t>On Track to Glide Path</t>
        </is>
      </c>
    </row>
    <row r="823">
      <c r="A823" t="inlineStr">
        <is>
          <t>SUP-0052</t>
        </is>
      </c>
      <c r="B823" t="inlineStr">
        <is>
          <t>Electronics Supplier 052</t>
        </is>
      </c>
      <c r="C823" t="inlineStr">
        <is>
          <t>Electronics</t>
        </is>
      </c>
      <c r="D823" t="n">
        <v>2024</v>
      </c>
      <c r="E823" t="n">
        <v>2015</v>
      </c>
      <c r="F823" t="n">
        <v>2040</v>
      </c>
      <c r="G823" t="n">
        <v>6648.7037</v>
      </c>
      <c r="H823" t="inlineStr"/>
      <c r="I823" t="n">
        <v>490.2344</v>
      </c>
      <c r="J823" t="n">
        <v>5038.2233</v>
      </c>
      <c r="K823" t="n">
        <v>17480428.95</v>
      </c>
      <c r="L823" t="n">
        <v>59211096.29</v>
      </c>
      <c r="M823" t="n">
        <v>6648.7037</v>
      </c>
      <c r="N823" t="inlineStr">
        <is>
          <t>Supplier Reported Emissions</t>
        </is>
      </c>
      <c r="O823" t="b">
        <v>0</v>
      </c>
      <c r="P823" t="inlineStr">
        <is>
          <t>High</t>
        </is>
      </c>
      <c r="Q823" t="inlineStr">
        <is>
          <t>Scope_Emissions</t>
        </is>
      </c>
      <c r="R823" t="inlineStr">
        <is>
          <t>Valid</t>
        </is>
      </c>
      <c r="S823" t="n">
        <v>2030</v>
      </c>
      <c r="T823" t="inlineStr">
        <is>
          <t>Industry Haircut Pathway</t>
        </is>
      </c>
      <c r="U823" t="n">
        <v>10231.0759</v>
      </c>
      <c r="V823" t="n">
        <v>6727.9555</v>
      </c>
      <c r="W823" t="n">
        <v>8129.2037</v>
      </c>
      <c r="X823" t="n">
        <v>8129.2037</v>
      </c>
      <c r="Y823" t="n">
        <v>2101.8722</v>
      </c>
      <c r="Z823" t="n">
        <v>0.00046505</v>
      </c>
      <c r="AA823" t="n">
        <v>0.20544</v>
      </c>
      <c r="AB823" t="n">
        <v>1401.2482</v>
      </c>
      <c r="AC823" t="n">
        <v>140.1248</v>
      </c>
      <c r="AD823" t="n">
        <v>56770.1938</v>
      </c>
      <c r="AE823" t="n">
        <v>50877.0942</v>
      </c>
      <c r="AF823" t="n">
        <v>0.9429999999999999</v>
      </c>
      <c r="AG823" t="inlineStr">
        <is>
          <t>High</t>
        </is>
      </c>
      <c r="AH823" t="inlineStr">
        <is>
          <t>On Track to Glide Path</t>
        </is>
      </c>
    </row>
    <row r="824">
      <c r="A824" t="inlineStr">
        <is>
          <t>SUP-0052</t>
        </is>
      </c>
      <c r="B824" t="inlineStr">
        <is>
          <t>Electronics Supplier 052</t>
        </is>
      </c>
      <c r="C824" t="inlineStr">
        <is>
          <t>Electronics</t>
        </is>
      </c>
      <c r="D824" t="n">
        <v>2024</v>
      </c>
      <c r="E824" t="n">
        <v>2015</v>
      </c>
      <c r="F824" t="n">
        <v>2040</v>
      </c>
      <c r="G824" t="n">
        <v>6648.7037</v>
      </c>
      <c r="H824" t="inlineStr"/>
      <c r="I824" t="n">
        <v>490.2344</v>
      </c>
      <c r="J824" t="n">
        <v>5038.2233</v>
      </c>
      <c r="K824" t="n">
        <v>17480428.95</v>
      </c>
      <c r="L824" t="n">
        <v>59211096.29</v>
      </c>
      <c r="M824" t="n">
        <v>6648.7037</v>
      </c>
      <c r="N824" t="inlineStr">
        <is>
          <t>Supplier Reported Emissions</t>
        </is>
      </c>
      <c r="O824" t="b">
        <v>0</v>
      </c>
      <c r="P824" t="inlineStr">
        <is>
          <t>High</t>
        </is>
      </c>
      <c r="Q824" t="inlineStr">
        <is>
          <t>Scope_Emissions</t>
        </is>
      </c>
      <c r="R824" t="inlineStr">
        <is>
          <t>Valid</t>
        </is>
      </c>
      <c r="S824" t="n">
        <v>2031</v>
      </c>
      <c r="T824" t="inlineStr">
        <is>
          <t>Industry Haircut Pathway</t>
        </is>
      </c>
      <c r="U824" t="n">
        <v>10231.0759</v>
      </c>
      <c r="V824" t="n">
        <v>6727.9555</v>
      </c>
      <c r="W824" t="n">
        <v>7989.0789</v>
      </c>
      <c r="X824" t="n">
        <v>7989.0789</v>
      </c>
      <c r="Y824" t="n">
        <v>2241.997</v>
      </c>
      <c r="Z824" t="n">
        <v>0.00045703</v>
      </c>
      <c r="AA824" t="n">
        <v>0.219136</v>
      </c>
      <c r="AB824" t="n">
        <v>1261.1233</v>
      </c>
      <c r="AC824" t="n">
        <v>140.1248</v>
      </c>
      <c r="AD824" t="n">
        <v>48781.1149</v>
      </c>
      <c r="AE824" t="n">
        <v>58866.1731</v>
      </c>
      <c r="AF824" t="n">
        <v>0.9429999999999999</v>
      </c>
      <c r="AG824" t="inlineStr">
        <is>
          <t>High</t>
        </is>
      </c>
      <c r="AH824" t="inlineStr">
        <is>
          <t>On Track to Glide Path</t>
        </is>
      </c>
    </row>
    <row r="825">
      <c r="A825" t="inlineStr">
        <is>
          <t>SUP-0052</t>
        </is>
      </c>
      <c r="B825" t="inlineStr">
        <is>
          <t>Electronics Supplier 052</t>
        </is>
      </c>
      <c r="C825" t="inlineStr">
        <is>
          <t>Electronics</t>
        </is>
      </c>
      <c r="D825" t="n">
        <v>2024</v>
      </c>
      <c r="E825" t="n">
        <v>2015</v>
      </c>
      <c r="F825" t="n">
        <v>2040</v>
      </c>
      <c r="G825" t="n">
        <v>6648.7037</v>
      </c>
      <c r="H825" t="inlineStr"/>
      <c r="I825" t="n">
        <v>490.2344</v>
      </c>
      <c r="J825" t="n">
        <v>5038.2233</v>
      </c>
      <c r="K825" t="n">
        <v>17480428.95</v>
      </c>
      <c r="L825" t="n">
        <v>59211096.29</v>
      </c>
      <c r="M825" t="n">
        <v>6648.7037</v>
      </c>
      <c r="N825" t="inlineStr">
        <is>
          <t>Supplier Reported Emissions</t>
        </is>
      </c>
      <c r="O825" t="b">
        <v>0</v>
      </c>
      <c r="P825" t="inlineStr">
        <is>
          <t>High</t>
        </is>
      </c>
      <c r="Q825" t="inlineStr">
        <is>
          <t>Scope_Emissions</t>
        </is>
      </c>
      <c r="R825" t="inlineStr">
        <is>
          <t>Valid</t>
        </is>
      </c>
      <c r="S825" t="n">
        <v>2032</v>
      </c>
      <c r="T825" t="inlineStr">
        <is>
          <t>Industry Haircut Pathway</t>
        </is>
      </c>
      <c r="U825" t="n">
        <v>10231.0759</v>
      </c>
      <c r="V825" t="n">
        <v>6727.9555</v>
      </c>
      <c r="W825" t="n">
        <v>7848.954</v>
      </c>
      <c r="X825" t="n">
        <v>7848.954</v>
      </c>
      <c r="Y825" t="n">
        <v>2382.1219</v>
      </c>
      <c r="Z825" t="n">
        <v>0.00044901</v>
      </c>
      <c r="AA825" t="n">
        <v>0.232832</v>
      </c>
      <c r="AB825" t="n">
        <v>1120.9985</v>
      </c>
      <c r="AC825" t="n">
        <v>140.1248</v>
      </c>
      <c r="AD825" t="n">
        <v>40932.1609</v>
      </c>
      <c r="AE825" t="n">
        <v>66715.1271</v>
      </c>
      <c r="AF825" t="n">
        <v>0.9429999999999999</v>
      </c>
      <c r="AG825" t="inlineStr">
        <is>
          <t>High</t>
        </is>
      </c>
      <c r="AH825" t="inlineStr">
        <is>
          <t>On Track to Glide Path</t>
        </is>
      </c>
    </row>
    <row r="826">
      <c r="A826" t="inlineStr">
        <is>
          <t>SUP-0052</t>
        </is>
      </c>
      <c r="B826" t="inlineStr">
        <is>
          <t>Electronics Supplier 052</t>
        </is>
      </c>
      <c r="C826" t="inlineStr">
        <is>
          <t>Electronics</t>
        </is>
      </c>
      <c r="D826" t="n">
        <v>2024</v>
      </c>
      <c r="E826" t="n">
        <v>2015</v>
      </c>
      <c r="F826" t="n">
        <v>2040</v>
      </c>
      <c r="G826" t="n">
        <v>6648.7037</v>
      </c>
      <c r="H826" t="inlineStr"/>
      <c r="I826" t="n">
        <v>490.2344</v>
      </c>
      <c r="J826" t="n">
        <v>5038.2233</v>
      </c>
      <c r="K826" t="n">
        <v>17480428.95</v>
      </c>
      <c r="L826" t="n">
        <v>59211096.29</v>
      </c>
      <c r="M826" t="n">
        <v>6648.7037</v>
      </c>
      <c r="N826" t="inlineStr">
        <is>
          <t>Supplier Reported Emissions</t>
        </is>
      </c>
      <c r="O826" t="b">
        <v>0</v>
      </c>
      <c r="P826" t="inlineStr">
        <is>
          <t>High</t>
        </is>
      </c>
      <c r="Q826" t="inlineStr">
        <is>
          <t>Scope_Emissions</t>
        </is>
      </c>
      <c r="R826" t="inlineStr">
        <is>
          <t>Valid</t>
        </is>
      </c>
      <c r="S826" t="n">
        <v>2033</v>
      </c>
      <c r="T826" t="inlineStr">
        <is>
          <t>Industry Haircut Pathway</t>
        </is>
      </c>
      <c r="U826" t="n">
        <v>10231.0759</v>
      </c>
      <c r="V826" t="n">
        <v>6727.9555</v>
      </c>
      <c r="W826" t="n">
        <v>7708.8292</v>
      </c>
      <c r="X826" t="n">
        <v>7708.8292</v>
      </c>
      <c r="Y826" t="n">
        <v>2522.2467</v>
      </c>
      <c r="Z826" t="n">
        <v>0.000441</v>
      </c>
      <c r="AA826" t="n">
        <v>0.246528</v>
      </c>
      <c r="AB826" t="n">
        <v>980.8737</v>
      </c>
      <c r="AC826" t="n">
        <v>140.1248</v>
      </c>
      <c r="AD826" t="n">
        <v>33223.3317</v>
      </c>
      <c r="AE826" t="n">
        <v>74423.95630000001</v>
      </c>
      <c r="AF826" t="n">
        <v>0.9429999999999999</v>
      </c>
      <c r="AG826" t="inlineStr">
        <is>
          <t>Medium</t>
        </is>
      </c>
      <c r="AH826" t="inlineStr">
        <is>
          <t>On Track to Glide Path</t>
        </is>
      </c>
    </row>
    <row r="827">
      <c r="A827" t="inlineStr">
        <is>
          <t>SUP-0052</t>
        </is>
      </c>
      <c r="B827" t="inlineStr">
        <is>
          <t>Electronics Supplier 052</t>
        </is>
      </c>
      <c r="C827" t="inlineStr">
        <is>
          <t>Electronics</t>
        </is>
      </c>
      <c r="D827" t="n">
        <v>2024</v>
      </c>
      <c r="E827" t="n">
        <v>2015</v>
      </c>
      <c r="F827" t="n">
        <v>2040</v>
      </c>
      <c r="G827" t="n">
        <v>6648.7037</v>
      </c>
      <c r="H827" t="inlineStr"/>
      <c r="I827" t="n">
        <v>490.2344</v>
      </c>
      <c r="J827" t="n">
        <v>5038.2233</v>
      </c>
      <c r="K827" t="n">
        <v>17480428.95</v>
      </c>
      <c r="L827" t="n">
        <v>59211096.29</v>
      </c>
      <c r="M827" t="n">
        <v>6648.7037</v>
      </c>
      <c r="N827" t="inlineStr">
        <is>
          <t>Supplier Reported Emissions</t>
        </is>
      </c>
      <c r="O827" t="b">
        <v>0</v>
      </c>
      <c r="P827" t="inlineStr">
        <is>
          <t>High</t>
        </is>
      </c>
      <c r="Q827" t="inlineStr">
        <is>
          <t>Scope_Emissions</t>
        </is>
      </c>
      <c r="R827" t="inlineStr">
        <is>
          <t>Valid</t>
        </is>
      </c>
      <c r="S827" t="n">
        <v>2034</v>
      </c>
      <c r="T827" t="inlineStr">
        <is>
          <t>Industry Haircut Pathway</t>
        </is>
      </c>
      <c r="U827" t="n">
        <v>10231.0759</v>
      </c>
      <c r="V827" t="n">
        <v>6727.9555</v>
      </c>
      <c r="W827" t="n">
        <v>7568.7044</v>
      </c>
      <c r="X827" t="n">
        <v>7568.7044</v>
      </c>
      <c r="Y827" t="n">
        <v>2662.3715</v>
      </c>
      <c r="Z827" t="n">
        <v>0.00043298</v>
      </c>
      <c r="AA827" t="n">
        <v>0.260224</v>
      </c>
      <c r="AB827" t="n">
        <v>840.7489</v>
      </c>
      <c r="AC827" t="n">
        <v>140.1248</v>
      </c>
      <c r="AD827" t="n">
        <v>25654.6273</v>
      </c>
      <c r="AE827" t="n">
        <v>81992.66069999999</v>
      </c>
      <c r="AF827" t="n">
        <v>0.9429999999999999</v>
      </c>
      <c r="AG827" t="inlineStr">
        <is>
          <t>Medium</t>
        </is>
      </c>
      <c r="AH827" t="inlineStr">
        <is>
          <t>On Track to Glide Path</t>
        </is>
      </c>
    </row>
    <row r="828">
      <c r="A828" t="inlineStr">
        <is>
          <t>SUP-0052</t>
        </is>
      </c>
      <c r="B828" t="inlineStr">
        <is>
          <t>Electronics Supplier 052</t>
        </is>
      </c>
      <c r="C828" t="inlineStr">
        <is>
          <t>Electronics</t>
        </is>
      </c>
      <c r="D828" t="n">
        <v>2024</v>
      </c>
      <c r="E828" t="n">
        <v>2015</v>
      </c>
      <c r="F828" t="n">
        <v>2040</v>
      </c>
      <c r="G828" t="n">
        <v>6648.7037</v>
      </c>
      <c r="H828" t="inlineStr"/>
      <c r="I828" t="n">
        <v>490.2344</v>
      </c>
      <c r="J828" t="n">
        <v>5038.2233</v>
      </c>
      <c r="K828" t="n">
        <v>17480428.95</v>
      </c>
      <c r="L828" t="n">
        <v>59211096.29</v>
      </c>
      <c r="M828" t="n">
        <v>6648.7037</v>
      </c>
      <c r="N828" t="inlineStr">
        <is>
          <t>Supplier Reported Emissions</t>
        </is>
      </c>
      <c r="O828" t="b">
        <v>0</v>
      </c>
      <c r="P828" t="inlineStr">
        <is>
          <t>High</t>
        </is>
      </c>
      <c r="Q828" t="inlineStr">
        <is>
          <t>Scope_Emissions</t>
        </is>
      </c>
      <c r="R828" t="inlineStr">
        <is>
          <t>Valid</t>
        </is>
      </c>
      <c r="S828" t="n">
        <v>2035</v>
      </c>
      <c r="T828" t="inlineStr">
        <is>
          <t>Industry Haircut Pathway</t>
        </is>
      </c>
      <c r="U828" t="n">
        <v>10231.0759</v>
      </c>
      <c r="V828" t="n">
        <v>6727.9555</v>
      </c>
      <c r="W828" t="n">
        <v>7428.5796</v>
      </c>
      <c r="X828" t="n">
        <v>7428.5796</v>
      </c>
      <c r="Y828" t="n">
        <v>2802.4963</v>
      </c>
      <c r="Z828" t="n">
        <v>0.00042497</v>
      </c>
      <c r="AA828" t="n">
        <v>0.27392</v>
      </c>
      <c r="AB828" t="n">
        <v>700.6241</v>
      </c>
      <c r="AC828" t="n">
        <v>140.1248</v>
      </c>
      <c r="AD828" t="n">
        <v>18226.0477</v>
      </c>
      <c r="AE828" t="n">
        <v>89421.2403</v>
      </c>
      <c r="AF828" t="n">
        <v>0.9429999999999999</v>
      </c>
      <c r="AG828" t="inlineStr">
        <is>
          <t>Medium</t>
        </is>
      </c>
      <c r="AH828" t="inlineStr">
        <is>
          <t>On Track to Glide Path</t>
        </is>
      </c>
    </row>
    <row r="829">
      <c r="A829" t="inlineStr">
        <is>
          <t>SUP-0052</t>
        </is>
      </c>
      <c r="B829" t="inlineStr">
        <is>
          <t>Electronics Supplier 052</t>
        </is>
      </c>
      <c r="C829" t="inlineStr">
        <is>
          <t>Electronics</t>
        </is>
      </c>
      <c r="D829" t="n">
        <v>2024</v>
      </c>
      <c r="E829" t="n">
        <v>2015</v>
      </c>
      <c r="F829" t="n">
        <v>2040</v>
      </c>
      <c r="G829" t="n">
        <v>6648.7037</v>
      </c>
      <c r="H829" t="inlineStr"/>
      <c r="I829" t="n">
        <v>490.2344</v>
      </c>
      <c r="J829" t="n">
        <v>5038.2233</v>
      </c>
      <c r="K829" t="n">
        <v>17480428.95</v>
      </c>
      <c r="L829" t="n">
        <v>59211096.29</v>
      </c>
      <c r="M829" t="n">
        <v>6648.7037</v>
      </c>
      <c r="N829" t="inlineStr">
        <is>
          <t>Supplier Reported Emissions</t>
        </is>
      </c>
      <c r="O829" t="b">
        <v>0</v>
      </c>
      <c r="P829" t="inlineStr">
        <is>
          <t>High</t>
        </is>
      </c>
      <c r="Q829" t="inlineStr">
        <is>
          <t>Scope_Emissions</t>
        </is>
      </c>
      <c r="R829" t="inlineStr">
        <is>
          <t>Valid</t>
        </is>
      </c>
      <c r="S829" t="n">
        <v>2036</v>
      </c>
      <c r="T829" t="inlineStr">
        <is>
          <t>Industry Haircut Pathway</t>
        </is>
      </c>
      <c r="U829" t="n">
        <v>10231.0759</v>
      </c>
      <c r="V829" t="n">
        <v>6727.9555</v>
      </c>
      <c r="W829" t="n">
        <v>7288.4548</v>
      </c>
      <c r="X829" t="n">
        <v>7288.4548</v>
      </c>
      <c r="Y829" t="n">
        <v>2942.6211</v>
      </c>
      <c r="Z829" t="n">
        <v>0.00041695</v>
      </c>
      <c r="AA829" t="n">
        <v>0.287616</v>
      </c>
      <c r="AB829" t="n">
        <v>560.4992999999999</v>
      </c>
      <c r="AC829" t="n">
        <v>140.1248</v>
      </c>
      <c r="AD829" t="n">
        <v>10937.5929</v>
      </c>
      <c r="AE829" t="n">
        <v>96709.6951</v>
      </c>
      <c r="AF829" t="n">
        <v>0.9429999999999999</v>
      </c>
      <c r="AG829" t="inlineStr">
        <is>
          <t>Medium</t>
        </is>
      </c>
      <c r="AH829" t="inlineStr">
        <is>
          <t>On Track to Glide Path</t>
        </is>
      </c>
    </row>
    <row r="830">
      <c r="A830" t="inlineStr">
        <is>
          <t>SUP-0052</t>
        </is>
      </c>
      <c r="B830" t="inlineStr">
        <is>
          <t>Electronics Supplier 052</t>
        </is>
      </c>
      <c r="C830" t="inlineStr">
        <is>
          <t>Electronics</t>
        </is>
      </c>
      <c r="D830" t="n">
        <v>2024</v>
      </c>
      <c r="E830" t="n">
        <v>2015</v>
      </c>
      <c r="F830" t="n">
        <v>2040</v>
      </c>
      <c r="G830" t="n">
        <v>6648.7037</v>
      </c>
      <c r="H830" t="inlineStr"/>
      <c r="I830" t="n">
        <v>490.2344</v>
      </c>
      <c r="J830" t="n">
        <v>5038.2233</v>
      </c>
      <c r="K830" t="n">
        <v>17480428.95</v>
      </c>
      <c r="L830" t="n">
        <v>59211096.29</v>
      </c>
      <c r="M830" t="n">
        <v>6648.7037</v>
      </c>
      <c r="N830" t="inlineStr">
        <is>
          <t>Supplier Reported Emissions</t>
        </is>
      </c>
      <c r="O830" t="b">
        <v>0</v>
      </c>
      <c r="P830" t="inlineStr">
        <is>
          <t>High</t>
        </is>
      </c>
      <c r="Q830" t="inlineStr">
        <is>
          <t>Scope_Emissions</t>
        </is>
      </c>
      <c r="R830" t="inlineStr">
        <is>
          <t>Valid</t>
        </is>
      </c>
      <c r="S830" t="n">
        <v>2037</v>
      </c>
      <c r="T830" t="inlineStr">
        <is>
          <t>Industry Haircut Pathway</t>
        </is>
      </c>
      <c r="U830" t="n">
        <v>10231.0759</v>
      </c>
      <c r="V830" t="n">
        <v>6727.9555</v>
      </c>
      <c r="W830" t="n">
        <v>7148.33</v>
      </c>
      <c r="X830" t="n">
        <v>7148.33</v>
      </c>
      <c r="Y830" t="n">
        <v>3082.7459</v>
      </c>
      <c r="Z830" t="n">
        <v>0.00040893</v>
      </c>
      <c r="AA830" t="n">
        <v>0.301312</v>
      </c>
      <c r="AB830" t="n">
        <v>420.3744</v>
      </c>
      <c r="AC830" t="n">
        <v>140.1248</v>
      </c>
      <c r="AD830" t="n">
        <v>3789.2629</v>
      </c>
      <c r="AE830" t="n">
        <v>103858.0251</v>
      </c>
      <c r="AF830" t="n">
        <v>0.9429999999999999</v>
      </c>
      <c r="AG830" t="inlineStr">
        <is>
          <t>Medium</t>
        </is>
      </c>
      <c r="AH830" t="inlineStr">
        <is>
          <t>On Track to Glide Path</t>
        </is>
      </c>
    </row>
    <row r="831">
      <c r="A831" t="inlineStr">
        <is>
          <t>SUP-0052</t>
        </is>
      </c>
      <c r="B831" t="inlineStr">
        <is>
          <t>Electronics Supplier 052</t>
        </is>
      </c>
      <c r="C831" t="inlineStr">
        <is>
          <t>Electronics</t>
        </is>
      </c>
      <c r="D831" t="n">
        <v>2024</v>
      </c>
      <c r="E831" t="n">
        <v>2015</v>
      </c>
      <c r="F831" t="n">
        <v>2040</v>
      </c>
      <c r="G831" t="n">
        <v>6648.7037</v>
      </c>
      <c r="H831" t="inlineStr"/>
      <c r="I831" t="n">
        <v>490.2344</v>
      </c>
      <c r="J831" t="n">
        <v>5038.2233</v>
      </c>
      <c r="K831" t="n">
        <v>17480428.95</v>
      </c>
      <c r="L831" t="n">
        <v>59211096.29</v>
      </c>
      <c r="M831" t="n">
        <v>6648.7037</v>
      </c>
      <c r="N831" t="inlineStr">
        <is>
          <t>Supplier Reported Emissions</t>
        </is>
      </c>
      <c r="O831" t="b">
        <v>0</v>
      </c>
      <c r="P831" t="inlineStr">
        <is>
          <t>High</t>
        </is>
      </c>
      <c r="Q831" t="inlineStr">
        <is>
          <t>Scope_Emissions</t>
        </is>
      </c>
      <c r="R831" t="inlineStr">
        <is>
          <t>Valid</t>
        </is>
      </c>
      <c r="S831" t="n">
        <v>2038</v>
      </c>
      <c r="T831" t="inlineStr">
        <is>
          <t>Industry Haircut Pathway</t>
        </is>
      </c>
      <c r="U831" t="n">
        <v>10231.0759</v>
      </c>
      <c r="V831" t="n">
        <v>6727.9555</v>
      </c>
      <c r="W831" t="n">
        <v>7008.2051</v>
      </c>
      <c r="X831" t="n">
        <v>7008.2051</v>
      </c>
      <c r="Y831" t="n">
        <v>3222.8708</v>
      </c>
      <c r="Z831" t="n">
        <v>0.00040092</v>
      </c>
      <c r="AA831" t="n">
        <v>0.315008</v>
      </c>
      <c r="AB831" t="n">
        <v>280.2496</v>
      </c>
      <c r="AC831" t="n">
        <v>140.1248</v>
      </c>
      <c r="AD831" t="n">
        <v>-3218.9422</v>
      </c>
      <c r="AE831" t="n">
        <v>110866.2302</v>
      </c>
      <c r="AF831" t="n">
        <v>0.9429999999999999</v>
      </c>
      <c r="AG831" t="inlineStr">
        <is>
          <t>Medium</t>
        </is>
      </c>
      <c r="AH831" t="inlineStr">
        <is>
          <t>On Track to Glide Path</t>
        </is>
      </c>
    </row>
    <row r="832">
      <c r="A832" t="inlineStr">
        <is>
          <t>SUP-0052</t>
        </is>
      </c>
      <c r="B832" t="inlineStr">
        <is>
          <t>Electronics Supplier 052</t>
        </is>
      </c>
      <c r="C832" t="inlineStr">
        <is>
          <t>Electronics</t>
        </is>
      </c>
      <c r="D832" t="n">
        <v>2024</v>
      </c>
      <c r="E832" t="n">
        <v>2015</v>
      </c>
      <c r="F832" t="n">
        <v>2040</v>
      </c>
      <c r="G832" t="n">
        <v>6648.7037</v>
      </c>
      <c r="H832" t="inlineStr"/>
      <c r="I832" t="n">
        <v>490.2344</v>
      </c>
      <c r="J832" t="n">
        <v>5038.2233</v>
      </c>
      <c r="K832" t="n">
        <v>17480428.95</v>
      </c>
      <c r="L832" t="n">
        <v>59211096.29</v>
      </c>
      <c r="M832" t="n">
        <v>6648.7037</v>
      </c>
      <c r="N832" t="inlineStr">
        <is>
          <t>Supplier Reported Emissions</t>
        </is>
      </c>
      <c r="O832" t="b">
        <v>0</v>
      </c>
      <c r="P832" t="inlineStr">
        <is>
          <t>High</t>
        </is>
      </c>
      <c r="Q832" t="inlineStr">
        <is>
          <t>Scope_Emissions</t>
        </is>
      </c>
      <c r="R832" t="inlineStr">
        <is>
          <t>Valid</t>
        </is>
      </c>
      <c r="S832" t="n">
        <v>2039</v>
      </c>
      <c r="T832" t="inlineStr">
        <is>
          <t>Industry Haircut Pathway</t>
        </is>
      </c>
      <c r="U832" t="n">
        <v>10231.0759</v>
      </c>
      <c r="V832" t="n">
        <v>6727.9555</v>
      </c>
      <c r="W832" t="n">
        <v>6868.0803</v>
      </c>
      <c r="X832" t="n">
        <v>6868.0803</v>
      </c>
      <c r="Y832" t="n">
        <v>3362.9956</v>
      </c>
      <c r="Z832" t="n">
        <v>0.0003929</v>
      </c>
      <c r="AA832" t="n">
        <v>0.328704</v>
      </c>
      <c r="AB832" t="n">
        <v>140.1248</v>
      </c>
      <c r="AC832" t="n">
        <v>140.1248</v>
      </c>
      <c r="AD832" t="n">
        <v>-10087.0225</v>
      </c>
      <c r="AE832" t="n">
        <v>117734.3105</v>
      </c>
      <c r="AF832" t="n">
        <v>0.9429999999999999</v>
      </c>
      <c r="AG832" t="inlineStr">
        <is>
          <t>Medium</t>
        </is>
      </c>
      <c r="AH832" t="inlineStr">
        <is>
          <t>On Track to Glide Path</t>
        </is>
      </c>
    </row>
    <row r="833">
      <c r="A833" t="inlineStr">
        <is>
          <t>SUP-0052</t>
        </is>
      </c>
      <c r="B833" t="inlineStr">
        <is>
          <t>Electronics Supplier 052</t>
        </is>
      </c>
      <c r="C833" t="inlineStr">
        <is>
          <t>Electronics</t>
        </is>
      </c>
      <c r="D833" t="n">
        <v>2024</v>
      </c>
      <c r="E833" t="n">
        <v>2015</v>
      </c>
      <c r="F833" t="n">
        <v>2040</v>
      </c>
      <c r="G833" t="n">
        <v>6648.7037</v>
      </c>
      <c r="H833" t="inlineStr"/>
      <c r="I833" t="n">
        <v>490.2344</v>
      </c>
      <c r="J833" t="n">
        <v>5038.2233</v>
      </c>
      <c r="K833" t="n">
        <v>17480428.95</v>
      </c>
      <c r="L833" t="n">
        <v>59211096.29</v>
      </c>
      <c r="M833" t="n">
        <v>6648.7037</v>
      </c>
      <c r="N833" t="inlineStr">
        <is>
          <t>Supplier Reported Emissions</t>
        </is>
      </c>
      <c r="O833" t="b">
        <v>0</v>
      </c>
      <c r="P833" t="inlineStr">
        <is>
          <t>High</t>
        </is>
      </c>
      <c r="Q833" t="inlineStr">
        <is>
          <t>Scope_Emissions</t>
        </is>
      </c>
      <c r="R833" t="inlineStr">
        <is>
          <t>Valid</t>
        </is>
      </c>
      <c r="S833" t="n">
        <v>2040</v>
      </c>
      <c r="T833" t="inlineStr">
        <is>
          <t>Industry Haircut Pathway</t>
        </is>
      </c>
      <c r="U833" t="n">
        <v>10231.0759</v>
      </c>
      <c r="V833" t="n">
        <v>6727.9555</v>
      </c>
      <c r="W833" t="n">
        <v>6727.9555</v>
      </c>
      <c r="X833" t="n">
        <v>6727.9555</v>
      </c>
      <c r="Y833" t="n">
        <v>3503.1204</v>
      </c>
      <c r="Z833" t="n">
        <v>0.00038489</v>
      </c>
      <c r="AA833" t="n">
        <v>0.3424</v>
      </c>
      <c r="AB833" t="n">
        <v>0</v>
      </c>
      <c r="AC833" t="n">
        <v>140.1248</v>
      </c>
      <c r="AD833" t="n">
        <v>-16814.978</v>
      </c>
      <c r="AE833" t="n">
        <v>124462.266</v>
      </c>
      <c r="AF833" t="n">
        <v>0.9429999999999999</v>
      </c>
      <c r="AG833" t="inlineStr">
        <is>
          <t>Low</t>
        </is>
      </c>
      <c r="AH833" t="inlineStr">
        <is>
          <t>On Track</t>
        </is>
      </c>
    </row>
    <row r="834">
      <c r="A834" t="inlineStr">
        <is>
          <t>SUP-0053</t>
        </is>
      </c>
      <c r="B834" t="inlineStr">
        <is>
          <t>Electronics Supplier 053</t>
        </is>
      </c>
      <c r="C834" t="inlineStr">
        <is>
          <t>Electronics</t>
        </is>
      </c>
      <c r="D834" t="n">
        <v>2024</v>
      </c>
      <c r="E834" t="n">
        <v>2021</v>
      </c>
      <c r="F834" t="n">
        <v>2030</v>
      </c>
      <c r="G834" t="inlineStr"/>
      <c r="H834" t="n">
        <v>196.2945</v>
      </c>
      <c r="I834" t="n">
        <v>144.2933</v>
      </c>
      <c r="J834" t="n">
        <v>378.9051</v>
      </c>
      <c r="K834" t="n">
        <v>917106.38</v>
      </c>
      <c r="L834" t="n">
        <v>4831588.32</v>
      </c>
      <c r="M834" t="n">
        <v>719.4929</v>
      </c>
      <c r="N834" t="inlineStr">
        <is>
          <t>Scope 1 + Scope 2 + Scope 3</t>
        </is>
      </c>
      <c r="O834" t="b">
        <v>1</v>
      </c>
      <c r="P834" t="inlineStr">
        <is>
          <t>High</t>
        </is>
      </c>
      <c r="Q834" t="inlineStr">
        <is>
          <t>Reported_Emissions</t>
        </is>
      </c>
      <c r="R834" t="inlineStr">
        <is>
          <t>Valid</t>
        </is>
      </c>
      <c r="S834" t="n">
        <v>2025</v>
      </c>
      <c r="T834" t="inlineStr">
        <is>
          <t>Supplier Target Pathway</t>
        </is>
      </c>
      <c r="U834" t="n">
        <v>574.1627999999999</v>
      </c>
      <c r="V834" t="n">
        <v>238.6795</v>
      </c>
      <c r="W834" t="n">
        <v>425.0591</v>
      </c>
      <c r="X834" t="n">
        <v>425.0591</v>
      </c>
      <c r="Y834" t="n">
        <v>149.1037</v>
      </c>
      <c r="Z834" t="n">
        <v>0.00046348</v>
      </c>
      <c r="AA834" t="n">
        <v>0.259689</v>
      </c>
      <c r="AB834" t="n">
        <v>186.3796</v>
      </c>
      <c r="AC834" t="n">
        <v>37.2759</v>
      </c>
      <c r="AD834" t="n">
        <v>1007.0179</v>
      </c>
      <c r="AE834" t="n">
        <v>425.0591</v>
      </c>
      <c r="AF834" t="n">
        <v>0.99</v>
      </c>
      <c r="AG834" t="inlineStr">
        <is>
          <t>Critical</t>
        </is>
      </c>
      <c r="AH834" t="inlineStr">
        <is>
          <t>On Track to Glide Path</t>
        </is>
      </c>
    </row>
    <row r="835">
      <c r="A835" t="inlineStr">
        <is>
          <t>SUP-0053</t>
        </is>
      </c>
      <c r="B835" t="inlineStr">
        <is>
          <t>Electronics Supplier 053</t>
        </is>
      </c>
      <c r="C835" t="inlineStr">
        <is>
          <t>Electronics</t>
        </is>
      </c>
      <c r="D835" t="n">
        <v>2024</v>
      </c>
      <c r="E835" t="n">
        <v>2021</v>
      </c>
      <c r="F835" t="n">
        <v>2030</v>
      </c>
      <c r="G835" t="inlineStr"/>
      <c r="H835" t="n">
        <v>196.2945</v>
      </c>
      <c r="I835" t="n">
        <v>144.2933</v>
      </c>
      <c r="J835" t="n">
        <v>378.9051</v>
      </c>
      <c r="K835" t="n">
        <v>917106.38</v>
      </c>
      <c r="L835" t="n">
        <v>4831588.32</v>
      </c>
      <c r="M835" t="n">
        <v>719.4929</v>
      </c>
      <c r="N835" t="inlineStr">
        <is>
          <t>Scope 1 + Scope 2 + Scope 3</t>
        </is>
      </c>
      <c r="O835" t="b">
        <v>1</v>
      </c>
      <c r="P835" t="inlineStr">
        <is>
          <t>High</t>
        </is>
      </c>
      <c r="Q835" t="inlineStr">
        <is>
          <t>Reported_Emissions</t>
        </is>
      </c>
      <c r="R835" t="inlineStr">
        <is>
          <t>Valid</t>
        </is>
      </c>
      <c r="S835" t="n">
        <v>2026</v>
      </c>
      <c r="T835" t="inlineStr">
        <is>
          <t>Supplier Target Pathway</t>
        </is>
      </c>
      <c r="U835" t="n">
        <v>574.1627999999999</v>
      </c>
      <c r="V835" t="n">
        <v>238.6795</v>
      </c>
      <c r="W835" t="n">
        <v>387.7832</v>
      </c>
      <c r="X835" t="n">
        <v>387.7832</v>
      </c>
      <c r="Y835" t="n">
        <v>186.3796</v>
      </c>
      <c r="Z835" t="n">
        <v>0.00042283</v>
      </c>
      <c r="AA835" t="n">
        <v>0.324611</v>
      </c>
      <c r="AB835" t="n">
        <v>149.1037</v>
      </c>
      <c r="AC835" t="n">
        <v>37.2759</v>
      </c>
      <c r="AD835" t="n">
        <v>619.2347</v>
      </c>
      <c r="AE835" t="n">
        <v>812.8423</v>
      </c>
      <c r="AF835" t="n">
        <v>0.99</v>
      </c>
      <c r="AG835" t="inlineStr">
        <is>
          <t>Critical</t>
        </is>
      </c>
      <c r="AH835" t="inlineStr">
        <is>
          <t>On Track to Glide Path</t>
        </is>
      </c>
    </row>
    <row r="836">
      <c r="A836" t="inlineStr">
        <is>
          <t>SUP-0053</t>
        </is>
      </c>
      <c r="B836" t="inlineStr">
        <is>
          <t>Electronics Supplier 053</t>
        </is>
      </c>
      <c r="C836" t="inlineStr">
        <is>
          <t>Electronics</t>
        </is>
      </c>
      <c r="D836" t="n">
        <v>2024</v>
      </c>
      <c r="E836" t="n">
        <v>2021</v>
      </c>
      <c r="F836" t="n">
        <v>2030</v>
      </c>
      <c r="G836" t="inlineStr"/>
      <c r="H836" t="n">
        <v>196.2945</v>
      </c>
      <c r="I836" t="n">
        <v>144.2933</v>
      </c>
      <c r="J836" t="n">
        <v>378.9051</v>
      </c>
      <c r="K836" t="n">
        <v>917106.38</v>
      </c>
      <c r="L836" t="n">
        <v>4831588.32</v>
      </c>
      <c r="M836" t="n">
        <v>719.4929</v>
      </c>
      <c r="N836" t="inlineStr">
        <is>
          <t>Scope 1 + Scope 2 + Scope 3</t>
        </is>
      </c>
      <c r="O836" t="b">
        <v>1</v>
      </c>
      <c r="P836" t="inlineStr">
        <is>
          <t>High</t>
        </is>
      </c>
      <c r="Q836" t="inlineStr">
        <is>
          <t>Reported_Emissions</t>
        </is>
      </c>
      <c r="R836" t="inlineStr">
        <is>
          <t>Valid</t>
        </is>
      </c>
      <c r="S836" t="n">
        <v>2027</v>
      </c>
      <c r="T836" t="inlineStr">
        <is>
          <t>Supplier Target Pathway</t>
        </is>
      </c>
      <c r="U836" t="n">
        <v>574.1627999999999</v>
      </c>
      <c r="V836" t="n">
        <v>238.6795</v>
      </c>
      <c r="W836" t="n">
        <v>350.5073</v>
      </c>
      <c r="X836" t="n">
        <v>350.5073</v>
      </c>
      <c r="Y836" t="n">
        <v>223.6555</v>
      </c>
      <c r="Z836" t="n">
        <v>0.00038219</v>
      </c>
      <c r="AA836" t="n">
        <v>0.389533</v>
      </c>
      <c r="AB836" t="n">
        <v>111.8278</v>
      </c>
      <c r="AC836" t="n">
        <v>37.2759</v>
      </c>
      <c r="AD836" t="n">
        <v>268.7274</v>
      </c>
      <c r="AE836" t="n">
        <v>1163.3496</v>
      </c>
      <c r="AF836" t="n">
        <v>0.99</v>
      </c>
      <c r="AG836" t="inlineStr">
        <is>
          <t>Critical</t>
        </is>
      </c>
      <c r="AH836" t="inlineStr">
        <is>
          <t>On Track to Glide Path</t>
        </is>
      </c>
    </row>
    <row r="837">
      <c r="A837" t="inlineStr">
        <is>
          <t>SUP-0053</t>
        </is>
      </c>
      <c r="B837" t="inlineStr">
        <is>
          <t>Electronics Supplier 053</t>
        </is>
      </c>
      <c r="C837" t="inlineStr">
        <is>
          <t>Electronics</t>
        </is>
      </c>
      <c r="D837" t="n">
        <v>2024</v>
      </c>
      <c r="E837" t="n">
        <v>2021</v>
      </c>
      <c r="F837" t="n">
        <v>2030</v>
      </c>
      <c r="G837" t="inlineStr"/>
      <c r="H837" t="n">
        <v>196.2945</v>
      </c>
      <c r="I837" t="n">
        <v>144.2933</v>
      </c>
      <c r="J837" t="n">
        <v>378.9051</v>
      </c>
      <c r="K837" t="n">
        <v>917106.38</v>
      </c>
      <c r="L837" t="n">
        <v>4831588.32</v>
      </c>
      <c r="M837" t="n">
        <v>719.4929</v>
      </c>
      <c r="N837" t="inlineStr">
        <is>
          <t>Scope 1 + Scope 2 + Scope 3</t>
        </is>
      </c>
      <c r="O837" t="b">
        <v>1</v>
      </c>
      <c r="P837" t="inlineStr">
        <is>
          <t>High</t>
        </is>
      </c>
      <c r="Q837" t="inlineStr">
        <is>
          <t>Reported_Emissions</t>
        </is>
      </c>
      <c r="R837" t="inlineStr">
        <is>
          <t>Valid</t>
        </is>
      </c>
      <c r="S837" t="n">
        <v>2028</v>
      </c>
      <c r="T837" t="inlineStr">
        <is>
          <t>Supplier Target Pathway</t>
        </is>
      </c>
      <c r="U837" t="n">
        <v>574.1627999999999</v>
      </c>
      <c r="V837" t="n">
        <v>238.6795</v>
      </c>
      <c r="W837" t="n">
        <v>313.2313</v>
      </c>
      <c r="X837" t="n">
        <v>313.2313</v>
      </c>
      <c r="Y837" t="n">
        <v>260.9315</v>
      </c>
      <c r="Z837" t="n">
        <v>0.00034154</v>
      </c>
      <c r="AA837" t="n">
        <v>0.454456</v>
      </c>
      <c r="AB837" t="n">
        <v>74.5518</v>
      </c>
      <c r="AC837" t="n">
        <v>37.2759</v>
      </c>
      <c r="AD837" t="n">
        <v>-44.5039</v>
      </c>
      <c r="AE837" t="n">
        <v>1476.5809</v>
      </c>
      <c r="AF837" t="n">
        <v>0.99</v>
      </c>
      <c r="AG837" t="inlineStr">
        <is>
          <t>High</t>
        </is>
      </c>
      <c r="AH837" t="inlineStr">
        <is>
          <t>On Track to Glide Path</t>
        </is>
      </c>
    </row>
    <row r="838">
      <c r="A838" t="inlineStr">
        <is>
          <t>SUP-0053</t>
        </is>
      </c>
      <c r="B838" t="inlineStr">
        <is>
          <t>Electronics Supplier 053</t>
        </is>
      </c>
      <c r="C838" t="inlineStr">
        <is>
          <t>Electronics</t>
        </is>
      </c>
      <c r="D838" t="n">
        <v>2024</v>
      </c>
      <c r="E838" t="n">
        <v>2021</v>
      </c>
      <c r="F838" t="n">
        <v>2030</v>
      </c>
      <c r="G838" t="inlineStr"/>
      <c r="H838" t="n">
        <v>196.2945</v>
      </c>
      <c r="I838" t="n">
        <v>144.2933</v>
      </c>
      <c r="J838" t="n">
        <v>378.9051</v>
      </c>
      <c r="K838" t="n">
        <v>917106.38</v>
      </c>
      <c r="L838" t="n">
        <v>4831588.32</v>
      </c>
      <c r="M838" t="n">
        <v>719.4929</v>
      </c>
      <c r="N838" t="inlineStr">
        <is>
          <t>Scope 1 + Scope 2 + Scope 3</t>
        </is>
      </c>
      <c r="O838" t="b">
        <v>1</v>
      </c>
      <c r="P838" t="inlineStr">
        <is>
          <t>High</t>
        </is>
      </c>
      <c r="Q838" t="inlineStr">
        <is>
          <t>Reported_Emissions</t>
        </is>
      </c>
      <c r="R838" t="inlineStr">
        <is>
          <t>Valid</t>
        </is>
      </c>
      <c r="S838" t="n">
        <v>2029</v>
      </c>
      <c r="T838" t="inlineStr">
        <is>
          <t>Supplier Target Pathway</t>
        </is>
      </c>
      <c r="U838" t="n">
        <v>574.1627999999999</v>
      </c>
      <c r="V838" t="n">
        <v>238.6795</v>
      </c>
      <c r="W838" t="n">
        <v>275.9554</v>
      </c>
      <c r="X838" t="n">
        <v>275.9554</v>
      </c>
      <c r="Y838" t="n">
        <v>298.2074</v>
      </c>
      <c r="Z838" t="n">
        <v>0.0003009</v>
      </c>
      <c r="AA838" t="n">
        <v>0.519378</v>
      </c>
      <c r="AB838" t="n">
        <v>37.2759</v>
      </c>
      <c r="AC838" t="n">
        <v>37.2759</v>
      </c>
      <c r="AD838" t="n">
        <v>-320.4593</v>
      </c>
      <c r="AE838" t="n">
        <v>1752.5363</v>
      </c>
      <c r="AF838" t="n">
        <v>0.99</v>
      </c>
      <c r="AG838" t="inlineStr">
        <is>
          <t>High</t>
        </is>
      </c>
      <c r="AH838" t="inlineStr">
        <is>
          <t>On Track to Glide Path</t>
        </is>
      </c>
    </row>
    <row r="839">
      <c r="A839" t="inlineStr">
        <is>
          <t>SUP-0053</t>
        </is>
      </c>
      <c r="B839" t="inlineStr">
        <is>
          <t>Electronics Supplier 053</t>
        </is>
      </c>
      <c r="C839" t="inlineStr">
        <is>
          <t>Electronics</t>
        </is>
      </c>
      <c r="D839" t="n">
        <v>2024</v>
      </c>
      <c r="E839" t="n">
        <v>2021</v>
      </c>
      <c r="F839" t="n">
        <v>2030</v>
      </c>
      <c r="G839" t="inlineStr"/>
      <c r="H839" t="n">
        <v>196.2945</v>
      </c>
      <c r="I839" t="n">
        <v>144.2933</v>
      </c>
      <c r="J839" t="n">
        <v>378.9051</v>
      </c>
      <c r="K839" t="n">
        <v>917106.38</v>
      </c>
      <c r="L839" t="n">
        <v>4831588.32</v>
      </c>
      <c r="M839" t="n">
        <v>719.4929</v>
      </c>
      <c r="N839" t="inlineStr">
        <is>
          <t>Scope 1 + Scope 2 + Scope 3</t>
        </is>
      </c>
      <c r="O839" t="b">
        <v>1</v>
      </c>
      <c r="P839" t="inlineStr">
        <is>
          <t>High</t>
        </is>
      </c>
      <c r="Q839" t="inlineStr">
        <is>
          <t>Reported_Emissions</t>
        </is>
      </c>
      <c r="R839" t="inlineStr">
        <is>
          <t>Valid</t>
        </is>
      </c>
      <c r="S839" t="n">
        <v>2030</v>
      </c>
      <c r="T839" t="inlineStr">
        <is>
          <t>Supplier Target Pathway</t>
        </is>
      </c>
      <c r="U839" t="n">
        <v>574.1627999999999</v>
      </c>
      <c r="V839" t="n">
        <v>238.6795</v>
      </c>
      <c r="W839" t="n">
        <v>238.6795</v>
      </c>
      <c r="X839" t="n">
        <v>238.6795</v>
      </c>
      <c r="Y839" t="n">
        <v>335.4833</v>
      </c>
      <c r="Z839" t="n">
        <v>0.00026025</v>
      </c>
      <c r="AA839" t="n">
        <v>0.5843</v>
      </c>
      <c r="AB839" t="n">
        <v>0</v>
      </c>
      <c r="AC839" t="n">
        <v>37.2759</v>
      </c>
      <c r="AD839" t="n">
        <v>-559.1387999999999</v>
      </c>
      <c r="AE839" t="n">
        <v>1991.2158</v>
      </c>
      <c r="AF839" t="n">
        <v>0.99</v>
      </c>
      <c r="AG839" t="inlineStr">
        <is>
          <t>Low</t>
        </is>
      </c>
      <c r="AH839" t="inlineStr">
        <is>
          <t>On Track</t>
        </is>
      </c>
    </row>
    <row r="840">
      <c r="A840" t="inlineStr">
        <is>
          <t>SUP-0053</t>
        </is>
      </c>
      <c r="B840" t="inlineStr">
        <is>
          <t>Electronics Supplier 053</t>
        </is>
      </c>
      <c r="C840" t="inlineStr">
        <is>
          <t>Electronics</t>
        </is>
      </c>
      <c r="D840" t="n">
        <v>2024</v>
      </c>
      <c r="E840" t="n">
        <v>2021</v>
      </c>
      <c r="F840" t="n">
        <v>2030</v>
      </c>
      <c r="G840" t="inlineStr"/>
      <c r="H840" t="n">
        <v>196.2945</v>
      </c>
      <c r="I840" t="n">
        <v>144.2933</v>
      </c>
      <c r="J840" t="n">
        <v>378.9051</v>
      </c>
      <c r="K840" t="n">
        <v>917106.38</v>
      </c>
      <c r="L840" t="n">
        <v>4831588.32</v>
      </c>
      <c r="M840" t="n">
        <v>719.4929</v>
      </c>
      <c r="N840" t="inlineStr">
        <is>
          <t>Scope 1 + Scope 2 + Scope 3</t>
        </is>
      </c>
      <c r="O840" t="b">
        <v>1</v>
      </c>
      <c r="P840" t="inlineStr">
        <is>
          <t>High</t>
        </is>
      </c>
      <c r="Q840" t="inlineStr">
        <is>
          <t>Reported_Emissions</t>
        </is>
      </c>
      <c r="R840" t="inlineStr">
        <is>
          <t>Valid</t>
        </is>
      </c>
      <c r="S840" t="n">
        <v>2031</v>
      </c>
      <c r="T840" t="inlineStr">
        <is>
          <t>Supplier Target Pathway</t>
        </is>
      </c>
      <c r="U840" t="n">
        <v>574.1627999999999</v>
      </c>
      <c r="V840" t="n">
        <v>238.6795</v>
      </c>
      <c r="W840" t="n">
        <v>238.6795</v>
      </c>
      <c r="X840" t="n">
        <v>238.6795</v>
      </c>
      <c r="Y840" t="n">
        <v>335.4833</v>
      </c>
      <c r="Z840" t="n">
        <v>0.00026025</v>
      </c>
      <c r="AA840" t="n">
        <v>0.5843</v>
      </c>
      <c r="AB840" t="n">
        <v>0</v>
      </c>
      <c r="AC840" t="n">
        <v>37.2759</v>
      </c>
      <c r="AD840" t="n">
        <v>-797.8183</v>
      </c>
      <c r="AE840" t="n">
        <v>2229.8953</v>
      </c>
      <c r="AF840" t="n">
        <v>0.99</v>
      </c>
      <c r="AG840" t="inlineStr">
        <is>
          <t>Low</t>
        </is>
      </c>
      <c r="AH840" t="inlineStr">
        <is>
          <t>On Track</t>
        </is>
      </c>
    </row>
    <row r="841">
      <c r="A841" t="inlineStr">
        <is>
          <t>SUP-0053</t>
        </is>
      </c>
      <c r="B841" t="inlineStr">
        <is>
          <t>Electronics Supplier 053</t>
        </is>
      </c>
      <c r="C841" t="inlineStr">
        <is>
          <t>Electronics</t>
        </is>
      </c>
      <c r="D841" t="n">
        <v>2024</v>
      </c>
      <c r="E841" t="n">
        <v>2021</v>
      </c>
      <c r="F841" t="n">
        <v>2030</v>
      </c>
      <c r="G841" t="inlineStr"/>
      <c r="H841" t="n">
        <v>196.2945</v>
      </c>
      <c r="I841" t="n">
        <v>144.2933</v>
      </c>
      <c r="J841" t="n">
        <v>378.9051</v>
      </c>
      <c r="K841" t="n">
        <v>917106.38</v>
      </c>
      <c r="L841" t="n">
        <v>4831588.32</v>
      </c>
      <c r="M841" t="n">
        <v>719.4929</v>
      </c>
      <c r="N841" t="inlineStr">
        <is>
          <t>Scope 1 + Scope 2 + Scope 3</t>
        </is>
      </c>
      <c r="O841" t="b">
        <v>1</v>
      </c>
      <c r="P841" t="inlineStr">
        <is>
          <t>High</t>
        </is>
      </c>
      <c r="Q841" t="inlineStr">
        <is>
          <t>Reported_Emissions</t>
        </is>
      </c>
      <c r="R841" t="inlineStr">
        <is>
          <t>Valid</t>
        </is>
      </c>
      <c r="S841" t="n">
        <v>2032</v>
      </c>
      <c r="T841" t="inlineStr">
        <is>
          <t>Supplier Target Pathway</t>
        </is>
      </c>
      <c r="U841" t="n">
        <v>574.1627999999999</v>
      </c>
      <c r="V841" t="n">
        <v>238.6795</v>
      </c>
      <c r="W841" t="n">
        <v>238.6795</v>
      </c>
      <c r="X841" t="n">
        <v>238.6795</v>
      </c>
      <c r="Y841" t="n">
        <v>335.4833</v>
      </c>
      <c r="Z841" t="n">
        <v>0.00026025</v>
      </c>
      <c r="AA841" t="n">
        <v>0.5843</v>
      </c>
      <c r="AB841" t="n">
        <v>0</v>
      </c>
      <c r="AC841" t="n">
        <v>37.2759</v>
      </c>
      <c r="AD841" t="n">
        <v>-1036.4978</v>
      </c>
      <c r="AE841" t="n">
        <v>2468.5748</v>
      </c>
      <c r="AF841" t="n">
        <v>0.99</v>
      </c>
      <c r="AG841" t="inlineStr">
        <is>
          <t>Low</t>
        </is>
      </c>
      <c r="AH841" t="inlineStr">
        <is>
          <t>On Track</t>
        </is>
      </c>
    </row>
    <row r="842">
      <c r="A842" t="inlineStr">
        <is>
          <t>SUP-0053</t>
        </is>
      </c>
      <c r="B842" t="inlineStr">
        <is>
          <t>Electronics Supplier 053</t>
        </is>
      </c>
      <c r="C842" t="inlineStr">
        <is>
          <t>Electronics</t>
        </is>
      </c>
      <c r="D842" t="n">
        <v>2024</v>
      </c>
      <c r="E842" t="n">
        <v>2021</v>
      </c>
      <c r="F842" t="n">
        <v>2030</v>
      </c>
      <c r="G842" t="inlineStr"/>
      <c r="H842" t="n">
        <v>196.2945</v>
      </c>
      <c r="I842" t="n">
        <v>144.2933</v>
      </c>
      <c r="J842" t="n">
        <v>378.9051</v>
      </c>
      <c r="K842" t="n">
        <v>917106.38</v>
      </c>
      <c r="L842" t="n">
        <v>4831588.32</v>
      </c>
      <c r="M842" t="n">
        <v>719.4929</v>
      </c>
      <c r="N842" t="inlineStr">
        <is>
          <t>Scope 1 + Scope 2 + Scope 3</t>
        </is>
      </c>
      <c r="O842" t="b">
        <v>1</v>
      </c>
      <c r="P842" t="inlineStr">
        <is>
          <t>High</t>
        </is>
      </c>
      <c r="Q842" t="inlineStr">
        <is>
          <t>Reported_Emissions</t>
        </is>
      </c>
      <c r="R842" t="inlineStr">
        <is>
          <t>Valid</t>
        </is>
      </c>
      <c r="S842" t="n">
        <v>2033</v>
      </c>
      <c r="T842" t="inlineStr">
        <is>
          <t>Supplier Target Pathway</t>
        </is>
      </c>
      <c r="U842" t="n">
        <v>574.1627999999999</v>
      </c>
      <c r="V842" t="n">
        <v>238.6795</v>
      </c>
      <c r="W842" t="n">
        <v>238.6795</v>
      </c>
      <c r="X842" t="n">
        <v>238.6795</v>
      </c>
      <c r="Y842" t="n">
        <v>335.4833</v>
      </c>
      <c r="Z842" t="n">
        <v>0.00026025</v>
      </c>
      <c r="AA842" t="n">
        <v>0.5843</v>
      </c>
      <c r="AB842" t="n">
        <v>0</v>
      </c>
      <c r="AC842" t="n">
        <v>37.2759</v>
      </c>
      <c r="AD842" t="n">
        <v>-1275.1773</v>
      </c>
      <c r="AE842" t="n">
        <v>2707.2543</v>
      </c>
      <c r="AF842" t="n">
        <v>0.99</v>
      </c>
      <c r="AG842" t="inlineStr">
        <is>
          <t>Low</t>
        </is>
      </c>
      <c r="AH842" t="inlineStr">
        <is>
          <t>On Track</t>
        </is>
      </c>
    </row>
    <row r="843">
      <c r="A843" t="inlineStr">
        <is>
          <t>SUP-0053</t>
        </is>
      </c>
      <c r="B843" t="inlineStr">
        <is>
          <t>Electronics Supplier 053</t>
        </is>
      </c>
      <c r="C843" t="inlineStr">
        <is>
          <t>Electronics</t>
        </is>
      </c>
      <c r="D843" t="n">
        <v>2024</v>
      </c>
      <c r="E843" t="n">
        <v>2021</v>
      </c>
      <c r="F843" t="n">
        <v>2030</v>
      </c>
      <c r="G843" t="inlineStr"/>
      <c r="H843" t="n">
        <v>196.2945</v>
      </c>
      <c r="I843" t="n">
        <v>144.2933</v>
      </c>
      <c r="J843" t="n">
        <v>378.9051</v>
      </c>
      <c r="K843" t="n">
        <v>917106.38</v>
      </c>
      <c r="L843" t="n">
        <v>4831588.32</v>
      </c>
      <c r="M843" t="n">
        <v>719.4929</v>
      </c>
      <c r="N843" t="inlineStr">
        <is>
          <t>Scope 1 + Scope 2 + Scope 3</t>
        </is>
      </c>
      <c r="O843" t="b">
        <v>1</v>
      </c>
      <c r="P843" t="inlineStr">
        <is>
          <t>High</t>
        </is>
      </c>
      <c r="Q843" t="inlineStr">
        <is>
          <t>Reported_Emissions</t>
        </is>
      </c>
      <c r="R843" t="inlineStr">
        <is>
          <t>Valid</t>
        </is>
      </c>
      <c r="S843" t="n">
        <v>2034</v>
      </c>
      <c r="T843" t="inlineStr">
        <is>
          <t>Supplier Target Pathway</t>
        </is>
      </c>
      <c r="U843" t="n">
        <v>574.1627999999999</v>
      </c>
      <c r="V843" t="n">
        <v>238.6795</v>
      </c>
      <c r="W843" t="n">
        <v>238.6795</v>
      </c>
      <c r="X843" t="n">
        <v>238.6795</v>
      </c>
      <c r="Y843" t="n">
        <v>335.4833</v>
      </c>
      <c r="Z843" t="n">
        <v>0.00026025</v>
      </c>
      <c r="AA843" t="n">
        <v>0.5843</v>
      </c>
      <c r="AB843" t="n">
        <v>0</v>
      </c>
      <c r="AC843" t="n">
        <v>37.2759</v>
      </c>
      <c r="AD843" t="n">
        <v>-1513.8568</v>
      </c>
      <c r="AE843" t="n">
        <v>2945.9338</v>
      </c>
      <c r="AF843" t="n">
        <v>0.99</v>
      </c>
      <c r="AG843" t="inlineStr">
        <is>
          <t>Low</t>
        </is>
      </c>
      <c r="AH843" t="inlineStr">
        <is>
          <t>On Track</t>
        </is>
      </c>
    </row>
    <row r="844">
      <c r="A844" t="inlineStr">
        <is>
          <t>SUP-0053</t>
        </is>
      </c>
      <c r="B844" t="inlineStr">
        <is>
          <t>Electronics Supplier 053</t>
        </is>
      </c>
      <c r="C844" t="inlineStr">
        <is>
          <t>Electronics</t>
        </is>
      </c>
      <c r="D844" t="n">
        <v>2024</v>
      </c>
      <c r="E844" t="n">
        <v>2021</v>
      </c>
      <c r="F844" t="n">
        <v>2030</v>
      </c>
      <c r="G844" t="inlineStr"/>
      <c r="H844" t="n">
        <v>196.2945</v>
      </c>
      <c r="I844" t="n">
        <v>144.2933</v>
      </c>
      <c r="J844" t="n">
        <v>378.9051</v>
      </c>
      <c r="K844" t="n">
        <v>917106.38</v>
      </c>
      <c r="L844" t="n">
        <v>4831588.32</v>
      </c>
      <c r="M844" t="n">
        <v>719.4929</v>
      </c>
      <c r="N844" t="inlineStr">
        <is>
          <t>Scope 1 + Scope 2 + Scope 3</t>
        </is>
      </c>
      <c r="O844" t="b">
        <v>1</v>
      </c>
      <c r="P844" t="inlineStr">
        <is>
          <t>High</t>
        </is>
      </c>
      <c r="Q844" t="inlineStr">
        <is>
          <t>Reported_Emissions</t>
        </is>
      </c>
      <c r="R844" t="inlineStr">
        <is>
          <t>Valid</t>
        </is>
      </c>
      <c r="S844" t="n">
        <v>2035</v>
      </c>
      <c r="T844" t="inlineStr">
        <is>
          <t>Supplier Target Pathway</t>
        </is>
      </c>
      <c r="U844" t="n">
        <v>574.1627999999999</v>
      </c>
      <c r="V844" t="n">
        <v>238.6795</v>
      </c>
      <c r="W844" t="n">
        <v>238.6795</v>
      </c>
      <c r="X844" t="n">
        <v>238.6795</v>
      </c>
      <c r="Y844" t="n">
        <v>335.4833</v>
      </c>
      <c r="Z844" t="n">
        <v>0.00026025</v>
      </c>
      <c r="AA844" t="n">
        <v>0.5843</v>
      </c>
      <c r="AB844" t="n">
        <v>0</v>
      </c>
      <c r="AC844" t="n">
        <v>37.2759</v>
      </c>
      <c r="AD844" t="n">
        <v>-1752.5363</v>
      </c>
      <c r="AE844" t="n">
        <v>3184.6133</v>
      </c>
      <c r="AF844" t="n">
        <v>0.99</v>
      </c>
      <c r="AG844" t="inlineStr">
        <is>
          <t>Low</t>
        </is>
      </c>
      <c r="AH844" t="inlineStr">
        <is>
          <t>On Track</t>
        </is>
      </c>
    </row>
    <row r="845">
      <c r="A845" t="inlineStr">
        <is>
          <t>SUP-0053</t>
        </is>
      </c>
      <c r="B845" t="inlineStr">
        <is>
          <t>Electronics Supplier 053</t>
        </is>
      </c>
      <c r="C845" t="inlineStr">
        <is>
          <t>Electronics</t>
        </is>
      </c>
      <c r="D845" t="n">
        <v>2024</v>
      </c>
      <c r="E845" t="n">
        <v>2021</v>
      </c>
      <c r="F845" t="n">
        <v>2030</v>
      </c>
      <c r="G845" t="inlineStr"/>
      <c r="H845" t="n">
        <v>196.2945</v>
      </c>
      <c r="I845" t="n">
        <v>144.2933</v>
      </c>
      <c r="J845" t="n">
        <v>378.9051</v>
      </c>
      <c r="K845" t="n">
        <v>917106.38</v>
      </c>
      <c r="L845" t="n">
        <v>4831588.32</v>
      </c>
      <c r="M845" t="n">
        <v>719.4929</v>
      </c>
      <c r="N845" t="inlineStr">
        <is>
          <t>Scope 1 + Scope 2 + Scope 3</t>
        </is>
      </c>
      <c r="O845" t="b">
        <v>1</v>
      </c>
      <c r="P845" t="inlineStr">
        <is>
          <t>High</t>
        </is>
      </c>
      <c r="Q845" t="inlineStr">
        <is>
          <t>Reported_Emissions</t>
        </is>
      </c>
      <c r="R845" t="inlineStr">
        <is>
          <t>Valid</t>
        </is>
      </c>
      <c r="S845" t="n">
        <v>2036</v>
      </c>
      <c r="T845" t="inlineStr">
        <is>
          <t>Supplier Target Pathway</t>
        </is>
      </c>
      <c r="U845" t="n">
        <v>574.1627999999999</v>
      </c>
      <c r="V845" t="n">
        <v>238.6795</v>
      </c>
      <c r="W845" t="n">
        <v>238.6795</v>
      </c>
      <c r="X845" t="n">
        <v>238.6795</v>
      </c>
      <c r="Y845" t="n">
        <v>335.4833</v>
      </c>
      <c r="Z845" t="n">
        <v>0.00026025</v>
      </c>
      <c r="AA845" t="n">
        <v>0.5843</v>
      </c>
      <c r="AB845" t="n">
        <v>0</v>
      </c>
      <c r="AC845" t="n">
        <v>37.2759</v>
      </c>
      <c r="AD845" t="n">
        <v>-1991.2158</v>
      </c>
      <c r="AE845" t="n">
        <v>3423.2928</v>
      </c>
      <c r="AF845" t="n">
        <v>0.99</v>
      </c>
      <c r="AG845" t="inlineStr">
        <is>
          <t>Low</t>
        </is>
      </c>
      <c r="AH845" t="inlineStr">
        <is>
          <t>On Track</t>
        </is>
      </c>
    </row>
    <row r="846">
      <c r="A846" t="inlineStr">
        <is>
          <t>SUP-0053</t>
        </is>
      </c>
      <c r="B846" t="inlineStr">
        <is>
          <t>Electronics Supplier 053</t>
        </is>
      </c>
      <c r="C846" t="inlineStr">
        <is>
          <t>Electronics</t>
        </is>
      </c>
      <c r="D846" t="n">
        <v>2024</v>
      </c>
      <c r="E846" t="n">
        <v>2021</v>
      </c>
      <c r="F846" t="n">
        <v>2030</v>
      </c>
      <c r="G846" t="inlineStr"/>
      <c r="H846" t="n">
        <v>196.2945</v>
      </c>
      <c r="I846" t="n">
        <v>144.2933</v>
      </c>
      <c r="J846" t="n">
        <v>378.9051</v>
      </c>
      <c r="K846" t="n">
        <v>917106.38</v>
      </c>
      <c r="L846" t="n">
        <v>4831588.32</v>
      </c>
      <c r="M846" t="n">
        <v>719.4929</v>
      </c>
      <c r="N846" t="inlineStr">
        <is>
          <t>Scope 1 + Scope 2 + Scope 3</t>
        </is>
      </c>
      <c r="O846" t="b">
        <v>1</v>
      </c>
      <c r="P846" t="inlineStr">
        <is>
          <t>High</t>
        </is>
      </c>
      <c r="Q846" t="inlineStr">
        <is>
          <t>Reported_Emissions</t>
        </is>
      </c>
      <c r="R846" t="inlineStr">
        <is>
          <t>Valid</t>
        </is>
      </c>
      <c r="S846" t="n">
        <v>2037</v>
      </c>
      <c r="T846" t="inlineStr">
        <is>
          <t>Supplier Target Pathway</t>
        </is>
      </c>
      <c r="U846" t="n">
        <v>574.1627999999999</v>
      </c>
      <c r="V846" t="n">
        <v>238.6795</v>
      </c>
      <c r="W846" t="n">
        <v>238.6795</v>
      </c>
      <c r="X846" t="n">
        <v>238.6795</v>
      </c>
      <c r="Y846" t="n">
        <v>335.4833</v>
      </c>
      <c r="Z846" t="n">
        <v>0.00026025</v>
      </c>
      <c r="AA846" t="n">
        <v>0.5843</v>
      </c>
      <c r="AB846" t="n">
        <v>0</v>
      </c>
      <c r="AC846" t="n">
        <v>37.2759</v>
      </c>
      <c r="AD846" t="n">
        <v>-2229.8953</v>
      </c>
      <c r="AE846" t="n">
        <v>3661.9723</v>
      </c>
      <c r="AF846" t="n">
        <v>0.99</v>
      </c>
      <c r="AG846" t="inlineStr">
        <is>
          <t>Low</t>
        </is>
      </c>
      <c r="AH846" t="inlineStr">
        <is>
          <t>On Track</t>
        </is>
      </c>
    </row>
    <row r="847">
      <c r="A847" t="inlineStr">
        <is>
          <t>SUP-0053</t>
        </is>
      </c>
      <c r="B847" t="inlineStr">
        <is>
          <t>Electronics Supplier 053</t>
        </is>
      </c>
      <c r="C847" t="inlineStr">
        <is>
          <t>Electronics</t>
        </is>
      </c>
      <c r="D847" t="n">
        <v>2024</v>
      </c>
      <c r="E847" t="n">
        <v>2021</v>
      </c>
      <c r="F847" t="n">
        <v>2030</v>
      </c>
      <c r="G847" t="inlineStr"/>
      <c r="H847" t="n">
        <v>196.2945</v>
      </c>
      <c r="I847" t="n">
        <v>144.2933</v>
      </c>
      <c r="J847" t="n">
        <v>378.9051</v>
      </c>
      <c r="K847" t="n">
        <v>917106.38</v>
      </c>
      <c r="L847" t="n">
        <v>4831588.32</v>
      </c>
      <c r="M847" t="n">
        <v>719.4929</v>
      </c>
      <c r="N847" t="inlineStr">
        <is>
          <t>Scope 1 + Scope 2 + Scope 3</t>
        </is>
      </c>
      <c r="O847" t="b">
        <v>1</v>
      </c>
      <c r="P847" t="inlineStr">
        <is>
          <t>High</t>
        </is>
      </c>
      <c r="Q847" t="inlineStr">
        <is>
          <t>Reported_Emissions</t>
        </is>
      </c>
      <c r="R847" t="inlineStr">
        <is>
          <t>Valid</t>
        </is>
      </c>
      <c r="S847" t="n">
        <v>2038</v>
      </c>
      <c r="T847" t="inlineStr">
        <is>
          <t>Supplier Target Pathway</t>
        </is>
      </c>
      <c r="U847" t="n">
        <v>574.1627999999999</v>
      </c>
      <c r="V847" t="n">
        <v>238.6795</v>
      </c>
      <c r="W847" t="n">
        <v>238.6795</v>
      </c>
      <c r="X847" t="n">
        <v>238.6795</v>
      </c>
      <c r="Y847" t="n">
        <v>335.4833</v>
      </c>
      <c r="Z847" t="n">
        <v>0.00026025</v>
      </c>
      <c r="AA847" t="n">
        <v>0.5843</v>
      </c>
      <c r="AB847" t="n">
        <v>0</v>
      </c>
      <c r="AC847" t="n">
        <v>37.2759</v>
      </c>
      <c r="AD847" t="n">
        <v>-2468.5748</v>
      </c>
      <c r="AE847" t="n">
        <v>3900.6518</v>
      </c>
      <c r="AF847" t="n">
        <v>0.99</v>
      </c>
      <c r="AG847" t="inlineStr">
        <is>
          <t>Low</t>
        </is>
      </c>
      <c r="AH847" t="inlineStr">
        <is>
          <t>On Track</t>
        </is>
      </c>
    </row>
    <row r="848">
      <c r="A848" t="inlineStr">
        <is>
          <t>SUP-0053</t>
        </is>
      </c>
      <c r="B848" t="inlineStr">
        <is>
          <t>Electronics Supplier 053</t>
        </is>
      </c>
      <c r="C848" t="inlineStr">
        <is>
          <t>Electronics</t>
        </is>
      </c>
      <c r="D848" t="n">
        <v>2024</v>
      </c>
      <c r="E848" t="n">
        <v>2021</v>
      </c>
      <c r="F848" t="n">
        <v>2030</v>
      </c>
      <c r="G848" t="inlineStr"/>
      <c r="H848" t="n">
        <v>196.2945</v>
      </c>
      <c r="I848" t="n">
        <v>144.2933</v>
      </c>
      <c r="J848" t="n">
        <v>378.9051</v>
      </c>
      <c r="K848" t="n">
        <v>917106.38</v>
      </c>
      <c r="L848" t="n">
        <v>4831588.32</v>
      </c>
      <c r="M848" t="n">
        <v>719.4929</v>
      </c>
      <c r="N848" t="inlineStr">
        <is>
          <t>Scope 1 + Scope 2 + Scope 3</t>
        </is>
      </c>
      <c r="O848" t="b">
        <v>1</v>
      </c>
      <c r="P848" t="inlineStr">
        <is>
          <t>High</t>
        </is>
      </c>
      <c r="Q848" t="inlineStr">
        <is>
          <t>Reported_Emissions</t>
        </is>
      </c>
      <c r="R848" t="inlineStr">
        <is>
          <t>Valid</t>
        </is>
      </c>
      <c r="S848" t="n">
        <v>2039</v>
      </c>
      <c r="T848" t="inlineStr">
        <is>
          <t>Supplier Target Pathway</t>
        </is>
      </c>
      <c r="U848" t="n">
        <v>574.1627999999999</v>
      </c>
      <c r="V848" t="n">
        <v>238.6795</v>
      </c>
      <c r="W848" t="n">
        <v>238.6795</v>
      </c>
      <c r="X848" t="n">
        <v>238.6795</v>
      </c>
      <c r="Y848" t="n">
        <v>335.4833</v>
      </c>
      <c r="Z848" t="n">
        <v>0.00026025</v>
      </c>
      <c r="AA848" t="n">
        <v>0.5843</v>
      </c>
      <c r="AB848" t="n">
        <v>0</v>
      </c>
      <c r="AC848" t="n">
        <v>37.2759</v>
      </c>
      <c r="AD848" t="n">
        <v>-2707.2543</v>
      </c>
      <c r="AE848" t="n">
        <v>4139.3313</v>
      </c>
      <c r="AF848" t="n">
        <v>0.99</v>
      </c>
      <c r="AG848" t="inlineStr">
        <is>
          <t>Low</t>
        </is>
      </c>
      <c r="AH848" t="inlineStr">
        <is>
          <t>On Track</t>
        </is>
      </c>
    </row>
    <row r="849">
      <c r="A849" t="inlineStr">
        <is>
          <t>SUP-0053</t>
        </is>
      </c>
      <c r="B849" t="inlineStr">
        <is>
          <t>Electronics Supplier 053</t>
        </is>
      </c>
      <c r="C849" t="inlineStr">
        <is>
          <t>Electronics</t>
        </is>
      </c>
      <c r="D849" t="n">
        <v>2024</v>
      </c>
      <c r="E849" t="n">
        <v>2021</v>
      </c>
      <c r="F849" t="n">
        <v>2030</v>
      </c>
      <c r="G849" t="inlineStr"/>
      <c r="H849" t="n">
        <v>196.2945</v>
      </c>
      <c r="I849" t="n">
        <v>144.2933</v>
      </c>
      <c r="J849" t="n">
        <v>378.9051</v>
      </c>
      <c r="K849" t="n">
        <v>917106.38</v>
      </c>
      <c r="L849" t="n">
        <v>4831588.32</v>
      </c>
      <c r="M849" t="n">
        <v>719.4929</v>
      </c>
      <c r="N849" t="inlineStr">
        <is>
          <t>Scope 1 + Scope 2 + Scope 3</t>
        </is>
      </c>
      <c r="O849" t="b">
        <v>1</v>
      </c>
      <c r="P849" t="inlineStr">
        <is>
          <t>High</t>
        </is>
      </c>
      <c r="Q849" t="inlineStr">
        <is>
          <t>Reported_Emissions</t>
        </is>
      </c>
      <c r="R849" t="inlineStr">
        <is>
          <t>Valid</t>
        </is>
      </c>
      <c r="S849" t="n">
        <v>2040</v>
      </c>
      <c r="T849" t="inlineStr">
        <is>
          <t>Supplier Target Pathway</t>
        </is>
      </c>
      <c r="U849" t="n">
        <v>574.1627999999999</v>
      </c>
      <c r="V849" t="n">
        <v>238.6795</v>
      </c>
      <c r="W849" t="n">
        <v>238.6795</v>
      </c>
      <c r="X849" t="n">
        <v>238.6795</v>
      </c>
      <c r="Y849" t="n">
        <v>335.4833</v>
      </c>
      <c r="Z849" t="n">
        <v>0.00026025</v>
      </c>
      <c r="AA849" t="n">
        <v>0.5843</v>
      </c>
      <c r="AB849" t="n">
        <v>0</v>
      </c>
      <c r="AC849" t="n">
        <v>37.2759</v>
      </c>
      <c r="AD849" t="n">
        <v>-2945.9338</v>
      </c>
      <c r="AE849" t="n">
        <v>4378.0108</v>
      </c>
      <c r="AF849" t="n">
        <v>0.99</v>
      </c>
      <c r="AG849" t="inlineStr">
        <is>
          <t>Low</t>
        </is>
      </c>
      <c r="AH849" t="inlineStr">
        <is>
          <t>On Track</t>
        </is>
      </c>
    </row>
    <row r="850">
      <c r="A850" t="inlineStr">
        <is>
          <t>SUP-0054</t>
        </is>
      </c>
      <c r="B850" t="inlineStr">
        <is>
          <t>Chemicals Supplier 054</t>
        </is>
      </c>
      <c r="C850" t="inlineStr">
        <is>
          <t>Chemicals</t>
        </is>
      </c>
      <c r="D850" t="n">
        <v>2024</v>
      </c>
      <c r="E850" t="n">
        <v>2019</v>
      </c>
      <c r="F850" t="n">
        <v>2035</v>
      </c>
      <c r="G850" t="n">
        <v>1075.8171</v>
      </c>
      <c r="H850" t="n">
        <v>231.391</v>
      </c>
      <c r="I850" t="n">
        <v>102.4218</v>
      </c>
      <c r="J850" t="n">
        <v>762.7708</v>
      </c>
      <c r="K850" t="inlineStr"/>
      <c r="L850" t="n">
        <v>3663142.89</v>
      </c>
      <c r="M850" t="n">
        <v>1075.8171</v>
      </c>
      <c r="N850" t="inlineStr">
        <is>
          <t>Supplier Reported Emissions</t>
        </is>
      </c>
      <c r="O850" t="b">
        <v>0</v>
      </c>
      <c r="P850" t="inlineStr">
        <is>
          <t>High</t>
        </is>
      </c>
      <c r="Q850" t="inlineStr">
        <is>
          <t>Gross_Spend</t>
        </is>
      </c>
      <c r="R850" t="inlineStr">
        <is>
          <t>Valid</t>
        </is>
      </c>
      <c r="S850" t="n">
        <v>2025</v>
      </c>
      <c r="T850" t="inlineStr">
        <is>
          <t>Supplier Target Pathway</t>
        </is>
      </c>
      <c r="U850" t="n">
        <v>1807.0777</v>
      </c>
      <c r="V850" t="n">
        <v>1241.8238</v>
      </c>
      <c r="W850" t="n">
        <v>1595.1075</v>
      </c>
      <c r="X850" t="n">
        <v>1595.1075</v>
      </c>
      <c r="Y850" t="n">
        <v>211.9702</v>
      </c>
      <c r="Z850" t="inlineStr"/>
      <c r="AA850" t="inlineStr"/>
      <c r="AB850" t="n">
        <v>353.2837</v>
      </c>
      <c r="AC850" t="n">
        <v>35.3284</v>
      </c>
      <c r="AD850" t="n">
        <v>12064.9543</v>
      </c>
      <c r="AE850" t="n">
        <v>1595.1075</v>
      </c>
      <c r="AF850" t="n">
        <v>0.99</v>
      </c>
      <c r="AG850" t="inlineStr">
        <is>
          <t>High</t>
        </is>
      </c>
      <c r="AH850" t="inlineStr">
        <is>
          <t>On Track to Glide Path</t>
        </is>
      </c>
    </row>
    <row r="851">
      <c r="A851" t="inlineStr">
        <is>
          <t>SUP-0054</t>
        </is>
      </c>
      <c r="B851" t="inlineStr">
        <is>
          <t>Chemicals Supplier 054</t>
        </is>
      </c>
      <c r="C851" t="inlineStr">
        <is>
          <t>Chemicals</t>
        </is>
      </c>
      <c r="D851" t="n">
        <v>2024</v>
      </c>
      <c r="E851" t="n">
        <v>2019</v>
      </c>
      <c r="F851" t="n">
        <v>2035</v>
      </c>
      <c r="G851" t="n">
        <v>1075.8171</v>
      </c>
      <c r="H851" t="n">
        <v>231.391</v>
      </c>
      <c r="I851" t="n">
        <v>102.4218</v>
      </c>
      <c r="J851" t="n">
        <v>762.7708</v>
      </c>
      <c r="K851" t="inlineStr"/>
      <c r="L851" t="n">
        <v>3663142.89</v>
      </c>
      <c r="M851" t="n">
        <v>1075.8171</v>
      </c>
      <c r="N851" t="inlineStr">
        <is>
          <t>Supplier Reported Emissions</t>
        </is>
      </c>
      <c r="O851" t="b">
        <v>0</v>
      </c>
      <c r="P851" t="inlineStr">
        <is>
          <t>High</t>
        </is>
      </c>
      <c r="Q851" t="inlineStr">
        <is>
          <t>Gross_Spend</t>
        </is>
      </c>
      <c r="R851" t="inlineStr">
        <is>
          <t>Valid</t>
        </is>
      </c>
      <c r="S851" t="n">
        <v>2026</v>
      </c>
      <c r="T851" t="inlineStr">
        <is>
          <t>Supplier Target Pathway</t>
        </is>
      </c>
      <c r="U851" t="n">
        <v>1807.0777</v>
      </c>
      <c r="V851" t="n">
        <v>1241.8238</v>
      </c>
      <c r="W851" t="n">
        <v>1559.7791</v>
      </c>
      <c r="X851" t="n">
        <v>1559.7791</v>
      </c>
      <c r="Y851" t="n">
        <v>247.2986</v>
      </c>
      <c r="Z851" t="inlineStr"/>
      <c r="AA851" t="inlineStr"/>
      <c r="AB851" t="n">
        <v>317.9553</v>
      </c>
      <c r="AC851" t="n">
        <v>35.3284</v>
      </c>
      <c r="AD851" t="n">
        <v>10505.1752</v>
      </c>
      <c r="AE851" t="n">
        <v>3154.8866</v>
      </c>
      <c r="AF851" t="n">
        <v>0.99</v>
      </c>
      <c r="AG851" t="inlineStr">
        <is>
          <t>High</t>
        </is>
      </c>
      <c r="AH851" t="inlineStr">
        <is>
          <t>On Track to Glide Path</t>
        </is>
      </c>
    </row>
    <row r="852">
      <c r="A852" t="inlineStr">
        <is>
          <t>SUP-0054</t>
        </is>
      </c>
      <c r="B852" t="inlineStr">
        <is>
          <t>Chemicals Supplier 054</t>
        </is>
      </c>
      <c r="C852" t="inlineStr">
        <is>
          <t>Chemicals</t>
        </is>
      </c>
      <c r="D852" t="n">
        <v>2024</v>
      </c>
      <c r="E852" t="n">
        <v>2019</v>
      </c>
      <c r="F852" t="n">
        <v>2035</v>
      </c>
      <c r="G852" t="n">
        <v>1075.8171</v>
      </c>
      <c r="H852" t="n">
        <v>231.391</v>
      </c>
      <c r="I852" t="n">
        <v>102.4218</v>
      </c>
      <c r="J852" t="n">
        <v>762.7708</v>
      </c>
      <c r="K852" t="inlineStr"/>
      <c r="L852" t="n">
        <v>3663142.89</v>
      </c>
      <c r="M852" t="n">
        <v>1075.8171</v>
      </c>
      <c r="N852" t="inlineStr">
        <is>
          <t>Supplier Reported Emissions</t>
        </is>
      </c>
      <c r="O852" t="b">
        <v>0</v>
      </c>
      <c r="P852" t="inlineStr">
        <is>
          <t>High</t>
        </is>
      </c>
      <c r="Q852" t="inlineStr">
        <is>
          <t>Gross_Spend</t>
        </is>
      </c>
      <c r="R852" t="inlineStr">
        <is>
          <t>Valid</t>
        </is>
      </c>
      <c r="S852" t="n">
        <v>2027</v>
      </c>
      <c r="T852" t="inlineStr">
        <is>
          <t>Supplier Target Pathway</t>
        </is>
      </c>
      <c r="U852" t="n">
        <v>1807.0777</v>
      </c>
      <c r="V852" t="n">
        <v>1241.8238</v>
      </c>
      <c r="W852" t="n">
        <v>1524.4507</v>
      </c>
      <c r="X852" t="n">
        <v>1524.4507</v>
      </c>
      <c r="Y852" t="n">
        <v>282.627</v>
      </c>
      <c r="Z852" t="inlineStr"/>
      <c r="AA852" t="inlineStr"/>
      <c r="AB852" t="n">
        <v>282.627</v>
      </c>
      <c r="AC852" t="n">
        <v>35.3284</v>
      </c>
      <c r="AD852" t="n">
        <v>8980.7245</v>
      </c>
      <c r="AE852" t="n">
        <v>4679.3373</v>
      </c>
      <c r="AF852" t="n">
        <v>0.99</v>
      </c>
      <c r="AG852" t="inlineStr">
        <is>
          <t>High</t>
        </is>
      </c>
      <c r="AH852" t="inlineStr">
        <is>
          <t>On Track to Glide Path</t>
        </is>
      </c>
    </row>
    <row r="853">
      <c r="A853" t="inlineStr">
        <is>
          <t>SUP-0054</t>
        </is>
      </c>
      <c r="B853" t="inlineStr">
        <is>
          <t>Chemicals Supplier 054</t>
        </is>
      </c>
      <c r="C853" t="inlineStr">
        <is>
          <t>Chemicals</t>
        </is>
      </c>
      <c r="D853" t="n">
        <v>2024</v>
      </c>
      <c r="E853" t="n">
        <v>2019</v>
      </c>
      <c r="F853" t="n">
        <v>2035</v>
      </c>
      <c r="G853" t="n">
        <v>1075.8171</v>
      </c>
      <c r="H853" t="n">
        <v>231.391</v>
      </c>
      <c r="I853" t="n">
        <v>102.4218</v>
      </c>
      <c r="J853" t="n">
        <v>762.7708</v>
      </c>
      <c r="K853" t="inlineStr"/>
      <c r="L853" t="n">
        <v>3663142.89</v>
      </c>
      <c r="M853" t="n">
        <v>1075.8171</v>
      </c>
      <c r="N853" t="inlineStr">
        <is>
          <t>Supplier Reported Emissions</t>
        </is>
      </c>
      <c r="O853" t="b">
        <v>0</v>
      </c>
      <c r="P853" t="inlineStr">
        <is>
          <t>High</t>
        </is>
      </c>
      <c r="Q853" t="inlineStr">
        <is>
          <t>Gross_Spend</t>
        </is>
      </c>
      <c r="R853" t="inlineStr">
        <is>
          <t>Valid</t>
        </is>
      </c>
      <c r="S853" t="n">
        <v>2028</v>
      </c>
      <c r="T853" t="inlineStr">
        <is>
          <t>Supplier Target Pathway</t>
        </is>
      </c>
      <c r="U853" t="n">
        <v>1807.0777</v>
      </c>
      <c r="V853" t="n">
        <v>1241.8238</v>
      </c>
      <c r="W853" t="n">
        <v>1489.1224</v>
      </c>
      <c r="X853" t="n">
        <v>1489.1224</v>
      </c>
      <c r="Y853" t="n">
        <v>317.9553</v>
      </c>
      <c r="Z853" t="inlineStr"/>
      <c r="AA853" t="inlineStr"/>
      <c r="AB853" t="n">
        <v>247.2986</v>
      </c>
      <c r="AC853" t="n">
        <v>35.3284</v>
      </c>
      <c r="AD853" t="n">
        <v>7491.6021</v>
      </c>
      <c r="AE853" t="n">
        <v>6168.4597</v>
      </c>
      <c r="AF853" t="n">
        <v>0.99</v>
      </c>
      <c r="AG853" t="inlineStr">
        <is>
          <t>High</t>
        </is>
      </c>
      <c r="AH853" t="inlineStr">
        <is>
          <t>On Track to Glide Path</t>
        </is>
      </c>
    </row>
    <row r="854">
      <c r="A854" t="inlineStr">
        <is>
          <t>SUP-0054</t>
        </is>
      </c>
      <c r="B854" t="inlineStr">
        <is>
          <t>Chemicals Supplier 054</t>
        </is>
      </c>
      <c r="C854" t="inlineStr">
        <is>
          <t>Chemicals</t>
        </is>
      </c>
      <c r="D854" t="n">
        <v>2024</v>
      </c>
      <c r="E854" t="n">
        <v>2019</v>
      </c>
      <c r="F854" t="n">
        <v>2035</v>
      </c>
      <c r="G854" t="n">
        <v>1075.8171</v>
      </c>
      <c r="H854" t="n">
        <v>231.391</v>
      </c>
      <c r="I854" t="n">
        <v>102.4218</v>
      </c>
      <c r="J854" t="n">
        <v>762.7708</v>
      </c>
      <c r="K854" t="inlineStr"/>
      <c r="L854" t="n">
        <v>3663142.89</v>
      </c>
      <c r="M854" t="n">
        <v>1075.8171</v>
      </c>
      <c r="N854" t="inlineStr">
        <is>
          <t>Supplier Reported Emissions</t>
        </is>
      </c>
      <c r="O854" t="b">
        <v>0</v>
      </c>
      <c r="P854" t="inlineStr">
        <is>
          <t>High</t>
        </is>
      </c>
      <c r="Q854" t="inlineStr">
        <is>
          <t>Gross_Spend</t>
        </is>
      </c>
      <c r="R854" t="inlineStr">
        <is>
          <t>Valid</t>
        </is>
      </c>
      <c r="S854" t="n">
        <v>2029</v>
      </c>
      <c r="T854" t="inlineStr">
        <is>
          <t>Supplier Target Pathway</t>
        </is>
      </c>
      <c r="U854" t="n">
        <v>1807.0777</v>
      </c>
      <c r="V854" t="n">
        <v>1241.8238</v>
      </c>
      <c r="W854" t="n">
        <v>1453.794</v>
      </c>
      <c r="X854" t="n">
        <v>1453.794</v>
      </c>
      <c r="Y854" t="n">
        <v>353.2837</v>
      </c>
      <c r="Z854" t="inlineStr"/>
      <c r="AA854" t="inlineStr"/>
      <c r="AB854" t="n">
        <v>211.9702</v>
      </c>
      <c r="AC854" t="n">
        <v>35.3284</v>
      </c>
      <c r="AD854" t="n">
        <v>6037.8081</v>
      </c>
      <c r="AE854" t="n">
        <v>7622.2537</v>
      </c>
      <c r="AF854" t="n">
        <v>0.99</v>
      </c>
      <c r="AG854" t="inlineStr">
        <is>
          <t>High</t>
        </is>
      </c>
      <c r="AH854" t="inlineStr">
        <is>
          <t>On Track to Glide Path</t>
        </is>
      </c>
    </row>
    <row r="855">
      <c r="A855" t="inlineStr">
        <is>
          <t>SUP-0054</t>
        </is>
      </c>
      <c r="B855" t="inlineStr">
        <is>
          <t>Chemicals Supplier 054</t>
        </is>
      </c>
      <c r="C855" t="inlineStr">
        <is>
          <t>Chemicals</t>
        </is>
      </c>
      <c r="D855" t="n">
        <v>2024</v>
      </c>
      <c r="E855" t="n">
        <v>2019</v>
      </c>
      <c r="F855" t="n">
        <v>2035</v>
      </c>
      <c r="G855" t="n">
        <v>1075.8171</v>
      </c>
      <c r="H855" t="n">
        <v>231.391</v>
      </c>
      <c r="I855" t="n">
        <v>102.4218</v>
      </c>
      <c r="J855" t="n">
        <v>762.7708</v>
      </c>
      <c r="K855" t="inlineStr"/>
      <c r="L855" t="n">
        <v>3663142.89</v>
      </c>
      <c r="M855" t="n">
        <v>1075.8171</v>
      </c>
      <c r="N855" t="inlineStr">
        <is>
          <t>Supplier Reported Emissions</t>
        </is>
      </c>
      <c r="O855" t="b">
        <v>0</v>
      </c>
      <c r="P855" t="inlineStr">
        <is>
          <t>High</t>
        </is>
      </c>
      <c r="Q855" t="inlineStr">
        <is>
          <t>Gross_Spend</t>
        </is>
      </c>
      <c r="R855" t="inlineStr">
        <is>
          <t>Valid</t>
        </is>
      </c>
      <c r="S855" t="n">
        <v>2030</v>
      </c>
      <c r="T855" t="inlineStr">
        <is>
          <t>Supplier Target Pathway</t>
        </is>
      </c>
      <c r="U855" t="n">
        <v>1807.0777</v>
      </c>
      <c r="V855" t="n">
        <v>1241.8238</v>
      </c>
      <c r="W855" t="n">
        <v>1418.4656</v>
      </c>
      <c r="X855" t="n">
        <v>1418.4656</v>
      </c>
      <c r="Y855" t="n">
        <v>388.6121</v>
      </c>
      <c r="Z855" t="inlineStr"/>
      <c r="AA855" t="inlineStr"/>
      <c r="AB855" t="n">
        <v>176.6418</v>
      </c>
      <c r="AC855" t="n">
        <v>35.3284</v>
      </c>
      <c r="AD855" t="n">
        <v>4619.3425</v>
      </c>
      <c r="AE855" t="n">
        <v>9040.719300000001</v>
      </c>
      <c r="AF855" t="n">
        <v>0.99</v>
      </c>
      <c r="AG855" t="inlineStr">
        <is>
          <t>Medium</t>
        </is>
      </c>
      <c r="AH855" t="inlineStr">
        <is>
          <t>On Track to Glide Path</t>
        </is>
      </c>
    </row>
    <row r="856">
      <c r="A856" t="inlineStr">
        <is>
          <t>SUP-0054</t>
        </is>
      </c>
      <c r="B856" t="inlineStr">
        <is>
          <t>Chemicals Supplier 054</t>
        </is>
      </c>
      <c r="C856" t="inlineStr">
        <is>
          <t>Chemicals</t>
        </is>
      </c>
      <c r="D856" t="n">
        <v>2024</v>
      </c>
      <c r="E856" t="n">
        <v>2019</v>
      </c>
      <c r="F856" t="n">
        <v>2035</v>
      </c>
      <c r="G856" t="n">
        <v>1075.8171</v>
      </c>
      <c r="H856" t="n">
        <v>231.391</v>
      </c>
      <c r="I856" t="n">
        <v>102.4218</v>
      </c>
      <c r="J856" t="n">
        <v>762.7708</v>
      </c>
      <c r="K856" t="inlineStr"/>
      <c r="L856" t="n">
        <v>3663142.89</v>
      </c>
      <c r="M856" t="n">
        <v>1075.8171</v>
      </c>
      <c r="N856" t="inlineStr">
        <is>
          <t>Supplier Reported Emissions</t>
        </is>
      </c>
      <c r="O856" t="b">
        <v>0</v>
      </c>
      <c r="P856" t="inlineStr">
        <is>
          <t>High</t>
        </is>
      </c>
      <c r="Q856" t="inlineStr">
        <is>
          <t>Gross_Spend</t>
        </is>
      </c>
      <c r="R856" t="inlineStr">
        <is>
          <t>Valid</t>
        </is>
      </c>
      <c r="S856" t="n">
        <v>2031</v>
      </c>
      <c r="T856" t="inlineStr">
        <is>
          <t>Supplier Target Pathway</t>
        </is>
      </c>
      <c r="U856" t="n">
        <v>1807.0777</v>
      </c>
      <c r="V856" t="n">
        <v>1241.8238</v>
      </c>
      <c r="W856" t="n">
        <v>1383.1373</v>
      </c>
      <c r="X856" t="n">
        <v>1383.1373</v>
      </c>
      <c r="Y856" t="n">
        <v>423.9404</v>
      </c>
      <c r="Z856" t="inlineStr"/>
      <c r="AA856" t="inlineStr"/>
      <c r="AB856" t="n">
        <v>141.3135</v>
      </c>
      <c r="AC856" t="n">
        <v>35.3284</v>
      </c>
      <c r="AD856" t="n">
        <v>3236.2052</v>
      </c>
      <c r="AE856" t="n">
        <v>10423.8566</v>
      </c>
      <c r="AF856" t="n">
        <v>0.99</v>
      </c>
      <c r="AG856" t="inlineStr">
        <is>
          <t>Medium</t>
        </is>
      </c>
      <c r="AH856" t="inlineStr">
        <is>
          <t>On Track to Glide Path</t>
        </is>
      </c>
    </row>
    <row r="857">
      <c r="A857" t="inlineStr">
        <is>
          <t>SUP-0054</t>
        </is>
      </c>
      <c r="B857" t="inlineStr">
        <is>
          <t>Chemicals Supplier 054</t>
        </is>
      </c>
      <c r="C857" t="inlineStr">
        <is>
          <t>Chemicals</t>
        </is>
      </c>
      <c r="D857" t="n">
        <v>2024</v>
      </c>
      <c r="E857" t="n">
        <v>2019</v>
      </c>
      <c r="F857" t="n">
        <v>2035</v>
      </c>
      <c r="G857" t="n">
        <v>1075.8171</v>
      </c>
      <c r="H857" t="n">
        <v>231.391</v>
      </c>
      <c r="I857" t="n">
        <v>102.4218</v>
      </c>
      <c r="J857" t="n">
        <v>762.7708</v>
      </c>
      <c r="K857" t="inlineStr"/>
      <c r="L857" t="n">
        <v>3663142.89</v>
      </c>
      <c r="M857" t="n">
        <v>1075.8171</v>
      </c>
      <c r="N857" t="inlineStr">
        <is>
          <t>Supplier Reported Emissions</t>
        </is>
      </c>
      <c r="O857" t="b">
        <v>0</v>
      </c>
      <c r="P857" t="inlineStr">
        <is>
          <t>High</t>
        </is>
      </c>
      <c r="Q857" t="inlineStr">
        <is>
          <t>Gross_Spend</t>
        </is>
      </c>
      <c r="R857" t="inlineStr">
        <is>
          <t>Valid</t>
        </is>
      </c>
      <c r="S857" t="n">
        <v>2032</v>
      </c>
      <c r="T857" t="inlineStr">
        <is>
          <t>Supplier Target Pathway</t>
        </is>
      </c>
      <c r="U857" t="n">
        <v>1807.0777</v>
      </c>
      <c r="V857" t="n">
        <v>1241.8238</v>
      </c>
      <c r="W857" t="n">
        <v>1347.8089</v>
      </c>
      <c r="X857" t="n">
        <v>1347.8089</v>
      </c>
      <c r="Y857" t="n">
        <v>459.2688</v>
      </c>
      <c r="Z857" t="inlineStr"/>
      <c r="AA857" t="inlineStr"/>
      <c r="AB857" t="n">
        <v>105.9851</v>
      </c>
      <c r="AC857" t="n">
        <v>35.3284</v>
      </c>
      <c r="AD857" t="n">
        <v>1888.3963</v>
      </c>
      <c r="AE857" t="n">
        <v>11771.6655</v>
      </c>
      <c r="AF857" t="n">
        <v>0.99</v>
      </c>
      <c r="AG857" t="inlineStr">
        <is>
          <t>Medium</t>
        </is>
      </c>
      <c r="AH857" t="inlineStr">
        <is>
          <t>On Track to Glide Path</t>
        </is>
      </c>
    </row>
    <row r="858">
      <c r="A858" t="inlineStr">
        <is>
          <t>SUP-0054</t>
        </is>
      </c>
      <c r="B858" t="inlineStr">
        <is>
          <t>Chemicals Supplier 054</t>
        </is>
      </c>
      <c r="C858" t="inlineStr">
        <is>
          <t>Chemicals</t>
        </is>
      </c>
      <c r="D858" t="n">
        <v>2024</v>
      </c>
      <c r="E858" t="n">
        <v>2019</v>
      </c>
      <c r="F858" t="n">
        <v>2035</v>
      </c>
      <c r="G858" t="n">
        <v>1075.8171</v>
      </c>
      <c r="H858" t="n">
        <v>231.391</v>
      </c>
      <c r="I858" t="n">
        <v>102.4218</v>
      </c>
      <c r="J858" t="n">
        <v>762.7708</v>
      </c>
      <c r="K858" t="inlineStr"/>
      <c r="L858" t="n">
        <v>3663142.89</v>
      </c>
      <c r="M858" t="n">
        <v>1075.8171</v>
      </c>
      <c r="N858" t="inlineStr">
        <is>
          <t>Supplier Reported Emissions</t>
        </is>
      </c>
      <c r="O858" t="b">
        <v>0</v>
      </c>
      <c r="P858" t="inlineStr">
        <is>
          <t>High</t>
        </is>
      </c>
      <c r="Q858" t="inlineStr">
        <is>
          <t>Gross_Spend</t>
        </is>
      </c>
      <c r="R858" t="inlineStr">
        <is>
          <t>Valid</t>
        </is>
      </c>
      <c r="S858" t="n">
        <v>2033</v>
      </c>
      <c r="T858" t="inlineStr">
        <is>
          <t>Supplier Target Pathway</t>
        </is>
      </c>
      <c r="U858" t="n">
        <v>1807.0777</v>
      </c>
      <c r="V858" t="n">
        <v>1241.8238</v>
      </c>
      <c r="W858" t="n">
        <v>1312.4805</v>
      </c>
      <c r="X858" t="n">
        <v>1312.4805</v>
      </c>
      <c r="Y858" t="n">
        <v>494.5972</v>
      </c>
      <c r="Z858" t="inlineStr"/>
      <c r="AA858" t="inlineStr"/>
      <c r="AB858" t="n">
        <v>70.6567</v>
      </c>
      <c r="AC858" t="n">
        <v>35.3284</v>
      </c>
      <c r="AD858" t="n">
        <v>575.9158</v>
      </c>
      <c r="AE858" t="n">
        <v>13084.146</v>
      </c>
      <c r="AF858" t="n">
        <v>0.99</v>
      </c>
      <c r="AG858" t="inlineStr">
        <is>
          <t>Medium</t>
        </is>
      </c>
      <c r="AH858" t="inlineStr">
        <is>
          <t>On Track to Glide Path</t>
        </is>
      </c>
    </row>
    <row r="859">
      <c r="A859" t="inlineStr">
        <is>
          <t>SUP-0054</t>
        </is>
      </c>
      <c r="B859" t="inlineStr">
        <is>
          <t>Chemicals Supplier 054</t>
        </is>
      </c>
      <c r="C859" t="inlineStr">
        <is>
          <t>Chemicals</t>
        </is>
      </c>
      <c r="D859" t="n">
        <v>2024</v>
      </c>
      <c r="E859" t="n">
        <v>2019</v>
      </c>
      <c r="F859" t="n">
        <v>2035</v>
      </c>
      <c r="G859" t="n">
        <v>1075.8171</v>
      </c>
      <c r="H859" t="n">
        <v>231.391</v>
      </c>
      <c r="I859" t="n">
        <v>102.4218</v>
      </c>
      <c r="J859" t="n">
        <v>762.7708</v>
      </c>
      <c r="K859" t="inlineStr"/>
      <c r="L859" t="n">
        <v>3663142.89</v>
      </c>
      <c r="M859" t="n">
        <v>1075.8171</v>
      </c>
      <c r="N859" t="inlineStr">
        <is>
          <t>Supplier Reported Emissions</t>
        </is>
      </c>
      <c r="O859" t="b">
        <v>0</v>
      </c>
      <c r="P859" t="inlineStr">
        <is>
          <t>High</t>
        </is>
      </c>
      <c r="Q859" t="inlineStr">
        <is>
          <t>Gross_Spend</t>
        </is>
      </c>
      <c r="R859" t="inlineStr">
        <is>
          <t>Valid</t>
        </is>
      </c>
      <c r="S859" t="n">
        <v>2034</v>
      </c>
      <c r="T859" t="inlineStr">
        <is>
          <t>Supplier Target Pathway</t>
        </is>
      </c>
      <c r="U859" t="n">
        <v>1807.0777</v>
      </c>
      <c r="V859" t="n">
        <v>1241.8238</v>
      </c>
      <c r="W859" t="n">
        <v>1277.1522</v>
      </c>
      <c r="X859" t="n">
        <v>1277.1522</v>
      </c>
      <c r="Y859" t="n">
        <v>529.9255000000001</v>
      </c>
      <c r="Z859" t="inlineStr"/>
      <c r="AA859" t="inlineStr"/>
      <c r="AB859" t="n">
        <v>35.3284</v>
      </c>
      <c r="AC859" t="n">
        <v>35.3284</v>
      </c>
      <c r="AD859" t="n">
        <v>-701.2364</v>
      </c>
      <c r="AE859" t="n">
        <v>14361.2982</v>
      </c>
      <c r="AF859" t="n">
        <v>0.99</v>
      </c>
      <c r="AG859" t="inlineStr">
        <is>
          <t>Medium</t>
        </is>
      </c>
      <c r="AH859" t="inlineStr">
        <is>
          <t>On Track to Glide Path</t>
        </is>
      </c>
    </row>
    <row r="860">
      <c r="A860" t="inlineStr">
        <is>
          <t>SUP-0054</t>
        </is>
      </c>
      <c r="B860" t="inlineStr">
        <is>
          <t>Chemicals Supplier 054</t>
        </is>
      </c>
      <c r="C860" t="inlineStr">
        <is>
          <t>Chemicals</t>
        </is>
      </c>
      <c r="D860" t="n">
        <v>2024</v>
      </c>
      <c r="E860" t="n">
        <v>2019</v>
      </c>
      <c r="F860" t="n">
        <v>2035</v>
      </c>
      <c r="G860" t="n">
        <v>1075.8171</v>
      </c>
      <c r="H860" t="n">
        <v>231.391</v>
      </c>
      <c r="I860" t="n">
        <v>102.4218</v>
      </c>
      <c r="J860" t="n">
        <v>762.7708</v>
      </c>
      <c r="K860" t="inlineStr"/>
      <c r="L860" t="n">
        <v>3663142.89</v>
      </c>
      <c r="M860" t="n">
        <v>1075.8171</v>
      </c>
      <c r="N860" t="inlineStr">
        <is>
          <t>Supplier Reported Emissions</t>
        </is>
      </c>
      <c r="O860" t="b">
        <v>0</v>
      </c>
      <c r="P860" t="inlineStr">
        <is>
          <t>High</t>
        </is>
      </c>
      <c r="Q860" t="inlineStr">
        <is>
          <t>Gross_Spend</t>
        </is>
      </c>
      <c r="R860" t="inlineStr">
        <is>
          <t>Valid</t>
        </is>
      </c>
      <c r="S860" t="n">
        <v>2035</v>
      </c>
      <c r="T860" t="inlineStr">
        <is>
          <t>Supplier Target Pathway</t>
        </is>
      </c>
      <c r="U860" t="n">
        <v>1807.0777</v>
      </c>
      <c r="V860" t="n">
        <v>1241.8238</v>
      </c>
      <c r="W860" t="n">
        <v>1241.8238</v>
      </c>
      <c r="X860" t="n">
        <v>1241.8238</v>
      </c>
      <c r="Y860" t="n">
        <v>565.2539</v>
      </c>
      <c r="Z860" t="inlineStr"/>
      <c r="AA860" t="inlineStr"/>
      <c r="AB860" t="n">
        <v>0</v>
      </c>
      <c r="AC860" t="n">
        <v>35.3284</v>
      </c>
      <c r="AD860" t="n">
        <v>-1943.0602</v>
      </c>
      <c r="AE860" t="n">
        <v>15603.122</v>
      </c>
      <c r="AF860" t="n">
        <v>0.99</v>
      </c>
      <c r="AG860" t="inlineStr">
        <is>
          <t>Low</t>
        </is>
      </c>
      <c r="AH860" t="inlineStr">
        <is>
          <t>On Track</t>
        </is>
      </c>
    </row>
    <row r="861">
      <c r="A861" t="inlineStr">
        <is>
          <t>SUP-0054</t>
        </is>
      </c>
      <c r="B861" t="inlineStr">
        <is>
          <t>Chemicals Supplier 054</t>
        </is>
      </c>
      <c r="C861" t="inlineStr">
        <is>
          <t>Chemicals</t>
        </is>
      </c>
      <c r="D861" t="n">
        <v>2024</v>
      </c>
      <c r="E861" t="n">
        <v>2019</v>
      </c>
      <c r="F861" t="n">
        <v>2035</v>
      </c>
      <c r="G861" t="n">
        <v>1075.8171</v>
      </c>
      <c r="H861" t="n">
        <v>231.391</v>
      </c>
      <c r="I861" t="n">
        <v>102.4218</v>
      </c>
      <c r="J861" t="n">
        <v>762.7708</v>
      </c>
      <c r="K861" t="inlineStr"/>
      <c r="L861" t="n">
        <v>3663142.89</v>
      </c>
      <c r="M861" t="n">
        <v>1075.8171</v>
      </c>
      <c r="N861" t="inlineStr">
        <is>
          <t>Supplier Reported Emissions</t>
        </is>
      </c>
      <c r="O861" t="b">
        <v>0</v>
      </c>
      <c r="P861" t="inlineStr">
        <is>
          <t>High</t>
        </is>
      </c>
      <c r="Q861" t="inlineStr">
        <is>
          <t>Gross_Spend</t>
        </is>
      </c>
      <c r="R861" t="inlineStr">
        <is>
          <t>Valid</t>
        </is>
      </c>
      <c r="S861" t="n">
        <v>2036</v>
      </c>
      <c r="T861" t="inlineStr">
        <is>
          <t>Supplier Target Pathway</t>
        </is>
      </c>
      <c r="U861" t="n">
        <v>1807.0777</v>
      </c>
      <c r="V861" t="n">
        <v>1241.8238</v>
      </c>
      <c r="W861" t="n">
        <v>1241.8238</v>
      </c>
      <c r="X861" t="n">
        <v>1241.8238</v>
      </c>
      <c r="Y861" t="n">
        <v>565.2539</v>
      </c>
      <c r="Z861" t="inlineStr"/>
      <c r="AA861" t="inlineStr"/>
      <c r="AB861" t="n">
        <v>0</v>
      </c>
      <c r="AC861" t="n">
        <v>35.3284</v>
      </c>
      <c r="AD861" t="n">
        <v>-3184.884</v>
      </c>
      <c r="AE861" t="n">
        <v>16844.9458</v>
      </c>
      <c r="AF861" t="n">
        <v>0.99</v>
      </c>
      <c r="AG861" t="inlineStr">
        <is>
          <t>Low</t>
        </is>
      </c>
      <c r="AH861" t="inlineStr">
        <is>
          <t>On Track</t>
        </is>
      </c>
    </row>
    <row r="862">
      <c r="A862" t="inlineStr">
        <is>
          <t>SUP-0054</t>
        </is>
      </c>
      <c r="B862" t="inlineStr">
        <is>
          <t>Chemicals Supplier 054</t>
        </is>
      </c>
      <c r="C862" t="inlineStr">
        <is>
          <t>Chemicals</t>
        </is>
      </c>
      <c r="D862" t="n">
        <v>2024</v>
      </c>
      <c r="E862" t="n">
        <v>2019</v>
      </c>
      <c r="F862" t="n">
        <v>2035</v>
      </c>
      <c r="G862" t="n">
        <v>1075.8171</v>
      </c>
      <c r="H862" t="n">
        <v>231.391</v>
      </c>
      <c r="I862" t="n">
        <v>102.4218</v>
      </c>
      <c r="J862" t="n">
        <v>762.7708</v>
      </c>
      <c r="K862" t="inlineStr"/>
      <c r="L862" t="n">
        <v>3663142.89</v>
      </c>
      <c r="M862" t="n">
        <v>1075.8171</v>
      </c>
      <c r="N862" t="inlineStr">
        <is>
          <t>Supplier Reported Emissions</t>
        </is>
      </c>
      <c r="O862" t="b">
        <v>0</v>
      </c>
      <c r="P862" t="inlineStr">
        <is>
          <t>High</t>
        </is>
      </c>
      <c r="Q862" t="inlineStr">
        <is>
          <t>Gross_Spend</t>
        </is>
      </c>
      <c r="R862" t="inlineStr">
        <is>
          <t>Valid</t>
        </is>
      </c>
      <c r="S862" t="n">
        <v>2037</v>
      </c>
      <c r="T862" t="inlineStr">
        <is>
          <t>Supplier Target Pathway</t>
        </is>
      </c>
      <c r="U862" t="n">
        <v>1807.0777</v>
      </c>
      <c r="V862" t="n">
        <v>1241.8238</v>
      </c>
      <c r="W862" t="n">
        <v>1241.8238</v>
      </c>
      <c r="X862" t="n">
        <v>1241.8238</v>
      </c>
      <c r="Y862" t="n">
        <v>565.2539</v>
      </c>
      <c r="Z862" t="inlineStr"/>
      <c r="AA862" t="inlineStr"/>
      <c r="AB862" t="n">
        <v>0</v>
      </c>
      <c r="AC862" t="n">
        <v>35.3284</v>
      </c>
      <c r="AD862" t="n">
        <v>-4426.7078</v>
      </c>
      <c r="AE862" t="n">
        <v>18086.7696</v>
      </c>
      <c r="AF862" t="n">
        <v>0.99</v>
      </c>
      <c r="AG862" t="inlineStr">
        <is>
          <t>Low</t>
        </is>
      </c>
      <c r="AH862" t="inlineStr">
        <is>
          <t>On Track</t>
        </is>
      </c>
    </row>
    <row r="863">
      <c r="A863" t="inlineStr">
        <is>
          <t>SUP-0054</t>
        </is>
      </c>
      <c r="B863" t="inlineStr">
        <is>
          <t>Chemicals Supplier 054</t>
        </is>
      </c>
      <c r="C863" t="inlineStr">
        <is>
          <t>Chemicals</t>
        </is>
      </c>
      <c r="D863" t="n">
        <v>2024</v>
      </c>
      <c r="E863" t="n">
        <v>2019</v>
      </c>
      <c r="F863" t="n">
        <v>2035</v>
      </c>
      <c r="G863" t="n">
        <v>1075.8171</v>
      </c>
      <c r="H863" t="n">
        <v>231.391</v>
      </c>
      <c r="I863" t="n">
        <v>102.4218</v>
      </c>
      <c r="J863" t="n">
        <v>762.7708</v>
      </c>
      <c r="K863" t="inlineStr"/>
      <c r="L863" t="n">
        <v>3663142.89</v>
      </c>
      <c r="M863" t="n">
        <v>1075.8171</v>
      </c>
      <c r="N863" t="inlineStr">
        <is>
          <t>Supplier Reported Emissions</t>
        </is>
      </c>
      <c r="O863" t="b">
        <v>0</v>
      </c>
      <c r="P863" t="inlineStr">
        <is>
          <t>High</t>
        </is>
      </c>
      <c r="Q863" t="inlineStr">
        <is>
          <t>Gross_Spend</t>
        </is>
      </c>
      <c r="R863" t="inlineStr">
        <is>
          <t>Valid</t>
        </is>
      </c>
      <c r="S863" t="n">
        <v>2038</v>
      </c>
      <c r="T863" t="inlineStr">
        <is>
          <t>Supplier Target Pathway</t>
        </is>
      </c>
      <c r="U863" t="n">
        <v>1807.0777</v>
      </c>
      <c r="V863" t="n">
        <v>1241.8238</v>
      </c>
      <c r="W863" t="n">
        <v>1241.8238</v>
      </c>
      <c r="X863" t="n">
        <v>1241.8238</v>
      </c>
      <c r="Y863" t="n">
        <v>565.2539</v>
      </c>
      <c r="Z863" t="inlineStr"/>
      <c r="AA863" t="inlineStr"/>
      <c r="AB863" t="n">
        <v>0</v>
      </c>
      <c r="AC863" t="n">
        <v>35.3284</v>
      </c>
      <c r="AD863" t="n">
        <v>-5668.5316</v>
      </c>
      <c r="AE863" t="n">
        <v>19328.5934</v>
      </c>
      <c r="AF863" t="n">
        <v>0.99</v>
      </c>
      <c r="AG863" t="inlineStr">
        <is>
          <t>Low</t>
        </is>
      </c>
      <c r="AH863" t="inlineStr">
        <is>
          <t>On Track</t>
        </is>
      </c>
    </row>
    <row r="864">
      <c r="A864" t="inlineStr">
        <is>
          <t>SUP-0054</t>
        </is>
      </c>
      <c r="B864" t="inlineStr">
        <is>
          <t>Chemicals Supplier 054</t>
        </is>
      </c>
      <c r="C864" t="inlineStr">
        <is>
          <t>Chemicals</t>
        </is>
      </c>
      <c r="D864" t="n">
        <v>2024</v>
      </c>
      <c r="E864" t="n">
        <v>2019</v>
      </c>
      <c r="F864" t="n">
        <v>2035</v>
      </c>
      <c r="G864" t="n">
        <v>1075.8171</v>
      </c>
      <c r="H864" t="n">
        <v>231.391</v>
      </c>
      <c r="I864" t="n">
        <v>102.4218</v>
      </c>
      <c r="J864" t="n">
        <v>762.7708</v>
      </c>
      <c r="K864" t="inlineStr"/>
      <c r="L864" t="n">
        <v>3663142.89</v>
      </c>
      <c r="M864" t="n">
        <v>1075.8171</v>
      </c>
      <c r="N864" t="inlineStr">
        <is>
          <t>Supplier Reported Emissions</t>
        </is>
      </c>
      <c r="O864" t="b">
        <v>0</v>
      </c>
      <c r="P864" t="inlineStr">
        <is>
          <t>High</t>
        </is>
      </c>
      <c r="Q864" t="inlineStr">
        <is>
          <t>Gross_Spend</t>
        </is>
      </c>
      <c r="R864" t="inlineStr">
        <is>
          <t>Valid</t>
        </is>
      </c>
      <c r="S864" t="n">
        <v>2039</v>
      </c>
      <c r="T864" t="inlineStr">
        <is>
          <t>Supplier Target Pathway</t>
        </is>
      </c>
      <c r="U864" t="n">
        <v>1807.0777</v>
      </c>
      <c r="V864" t="n">
        <v>1241.8238</v>
      </c>
      <c r="W864" t="n">
        <v>1241.8238</v>
      </c>
      <c r="X864" t="n">
        <v>1241.8238</v>
      </c>
      <c r="Y864" t="n">
        <v>565.2539</v>
      </c>
      <c r="Z864" t="inlineStr"/>
      <c r="AA864" t="inlineStr"/>
      <c r="AB864" t="n">
        <v>0</v>
      </c>
      <c r="AC864" t="n">
        <v>35.3284</v>
      </c>
      <c r="AD864" t="n">
        <v>-6910.3554</v>
      </c>
      <c r="AE864" t="n">
        <v>20570.4172</v>
      </c>
      <c r="AF864" t="n">
        <v>0.99</v>
      </c>
      <c r="AG864" t="inlineStr">
        <is>
          <t>Low</t>
        </is>
      </c>
      <c r="AH864" t="inlineStr">
        <is>
          <t>On Track</t>
        </is>
      </c>
    </row>
    <row r="865">
      <c r="A865" t="inlineStr">
        <is>
          <t>SUP-0054</t>
        </is>
      </c>
      <c r="B865" t="inlineStr">
        <is>
          <t>Chemicals Supplier 054</t>
        </is>
      </c>
      <c r="C865" t="inlineStr">
        <is>
          <t>Chemicals</t>
        </is>
      </c>
      <c r="D865" t="n">
        <v>2024</v>
      </c>
      <c r="E865" t="n">
        <v>2019</v>
      </c>
      <c r="F865" t="n">
        <v>2035</v>
      </c>
      <c r="G865" t="n">
        <v>1075.8171</v>
      </c>
      <c r="H865" t="n">
        <v>231.391</v>
      </c>
      <c r="I865" t="n">
        <v>102.4218</v>
      </c>
      <c r="J865" t="n">
        <v>762.7708</v>
      </c>
      <c r="K865" t="inlineStr"/>
      <c r="L865" t="n">
        <v>3663142.89</v>
      </c>
      <c r="M865" t="n">
        <v>1075.8171</v>
      </c>
      <c r="N865" t="inlineStr">
        <is>
          <t>Supplier Reported Emissions</t>
        </is>
      </c>
      <c r="O865" t="b">
        <v>0</v>
      </c>
      <c r="P865" t="inlineStr">
        <is>
          <t>High</t>
        </is>
      </c>
      <c r="Q865" t="inlineStr">
        <is>
          <t>Gross_Spend</t>
        </is>
      </c>
      <c r="R865" t="inlineStr">
        <is>
          <t>Valid</t>
        </is>
      </c>
      <c r="S865" t="n">
        <v>2040</v>
      </c>
      <c r="T865" t="inlineStr">
        <is>
          <t>Supplier Target Pathway</t>
        </is>
      </c>
      <c r="U865" t="n">
        <v>1807.0777</v>
      </c>
      <c r="V865" t="n">
        <v>1241.8238</v>
      </c>
      <c r="W865" t="n">
        <v>1241.8238</v>
      </c>
      <c r="X865" t="n">
        <v>1241.8238</v>
      </c>
      <c r="Y865" t="n">
        <v>565.2539</v>
      </c>
      <c r="Z865" t="inlineStr"/>
      <c r="AA865" t="inlineStr"/>
      <c r="AB865" t="n">
        <v>0</v>
      </c>
      <c r="AC865" t="n">
        <v>35.3284</v>
      </c>
      <c r="AD865" t="n">
        <v>-8152.1792</v>
      </c>
      <c r="AE865" t="n">
        <v>21812.241</v>
      </c>
      <c r="AF865" t="n">
        <v>0.99</v>
      </c>
      <c r="AG865" t="inlineStr">
        <is>
          <t>Low</t>
        </is>
      </c>
      <c r="AH865" t="inlineStr">
        <is>
          <t>On Track</t>
        </is>
      </c>
    </row>
    <row r="866">
      <c r="A866" t="inlineStr">
        <is>
          <t>SUP-0055</t>
        </is>
      </c>
      <c r="B866" t="inlineStr">
        <is>
          <t>Chemicals Supplier 055</t>
        </is>
      </c>
      <c r="C866" t="inlineStr">
        <is>
          <t>Chemicals</t>
        </is>
      </c>
      <c r="D866" t="n">
        <v>2024</v>
      </c>
      <c r="E866" t="n">
        <v>2020</v>
      </c>
      <c r="F866" t="n">
        <v>2040</v>
      </c>
      <c r="G866" t="inlineStr"/>
      <c r="H866" t="n">
        <v>2223.8809</v>
      </c>
      <c r="I866" t="inlineStr"/>
      <c r="J866" t="n">
        <v>20876.9168</v>
      </c>
      <c r="K866" t="n">
        <v>32625215.05</v>
      </c>
      <c r="L866" t="n">
        <v>121223052.52</v>
      </c>
      <c r="M866" t="n">
        <v>32673.8266</v>
      </c>
      <c r="N866" t="inlineStr">
        <is>
          <t>Spend-Based Estimate</t>
        </is>
      </c>
      <c r="O866" t="b">
        <v>1</v>
      </c>
      <c r="P866" t="inlineStr">
        <is>
          <t>Medium</t>
        </is>
      </c>
      <c r="Q866" t="inlineStr">
        <is>
          <t>Reported_Emissions; Scope_Emissions</t>
        </is>
      </c>
      <c r="R866" t="inlineStr">
        <is>
          <t>Valid</t>
        </is>
      </c>
      <c r="S866" t="n">
        <v>2025</v>
      </c>
      <c r="T866" t="inlineStr">
        <is>
          <t>Supplier Target Pathway</t>
        </is>
      </c>
      <c r="U866" t="n">
        <v>25123.3276</v>
      </c>
      <c r="V866" t="n">
        <v>9707.6538</v>
      </c>
      <c r="W866" t="n">
        <v>21269.4091</v>
      </c>
      <c r="X866" t="n">
        <v>21269.4091</v>
      </c>
      <c r="Y866" t="n">
        <v>3853.9185</v>
      </c>
      <c r="Z866" t="n">
        <v>0.00065193</v>
      </c>
      <c r="AA866" t="n">
        <v>0.1534</v>
      </c>
      <c r="AB866" t="n">
        <v>11561.7554</v>
      </c>
      <c r="AC866" t="n">
        <v>770.7837</v>
      </c>
      <c r="AD866" t="n">
        <v>134053.0517</v>
      </c>
      <c r="AE866" t="n">
        <v>21269.4091</v>
      </c>
      <c r="AF866" t="n">
        <v>0.904</v>
      </c>
      <c r="AG866" t="inlineStr">
        <is>
          <t>Critical</t>
        </is>
      </c>
      <c r="AH866" t="inlineStr">
        <is>
          <t>On Track to Glide Path</t>
        </is>
      </c>
    </row>
    <row r="867">
      <c r="A867" t="inlineStr">
        <is>
          <t>SUP-0055</t>
        </is>
      </c>
      <c r="B867" t="inlineStr">
        <is>
          <t>Chemicals Supplier 055</t>
        </is>
      </c>
      <c r="C867" t="inlineStr">
        <is>
          <t>Chemicals</t>
        </is>
      </c>
      <c r="D867" t="n">
        <v>2024</v>
      </c>
      <c r="E867" t="n">
        <v>2020</v>
      </c>
      <c r="F867" t="n">
        <v>2040</v>
      </c>
      <c r="G867" t="inlineStr"/>
      <c r="H867" t="n">
        <v>2223.8809</v>
      </c>
      <c r="I867" t="inlineStr"/>
      <c r="J867" t="n">
        <v>20876.9168</v>
      </c>
      <c r="K867" t="n">
        <v>32625215.05</v>
      </c>
      <c r="L867" t="n">
        <v>121223052.52</v>
      </c>
      <c r="M867" t="n">
        <v>32673.8266</v>
      </c>
      <c r="N867" t="inlineStr">
        <is>
          <t>Spend-Based Estimate</t>
        </is>
      </c>
      <c r="O867" t="b">
        <v>1</v>
      </c>
      <c r="P867" t="inlineStr">
        <is>
          <t>Medium</t>
        </is>
      </c>
      <c r="Q867" t="inlineStr">
        <is>
          <t>Reported_Emissions; Scope_Emissions</t>
        </is>
      </c>
      <c r="R867" t="inlineStr">
        <is>
          <t>Valid</t>
        </is>
      </c>
      <c r="S867" t="n">
        <v>2026</v>
      </c>
      <c r="T867" t="inlineStr">
        <is>
          <t>Supplier Target Pathway</t>
        </is>
      </c>
      <c r="U867" t="n">
        <v>25123.3276</v>
      </c>
      <c r="V867" t="n">
        <v>9707.6538</v>
      </c>
      <c r="W867" t="n">
        <v>20498.6255</v>
      </c>
      <c r="X867" t="n">
        <v>20498.6255</v>
      </c>
      <c r="Y867" t="n">
        <v>4624.7021</v>
      </c>
      <c r="Z867" t="n">
        <v>0.00062831</v>
      </c>
      <c r="AA867" t="n">
        <v>0.18408</v>
      </c>
      <c r="AB867" t="n">
        <v>10790.9717</v>
      </c>
      <c r="AC867" t="n">
        <v>770.7837</v>
      </c>
      <c r="AD867" t="n">
        <v>113554.4262</v>
      </c>
      <c r="AE867" t="n">
        <v>41768.0346</v>
      </c>
      <c r="AF867" t="n">
        <v>0.904</v>
      </c>
      <c r="AG867" t="inlineStr">
        <is>
          <t>Critical</t>
        </is>
      </c>
      <c r="AH867" t="inlineStr">
        <is>
          <t>On Track to Glide Path</t>
        </is>
      </c>
    </row>
    <row r="868">
      <c r="A868" t="inlineStr">
        <is>
          <t>SUP-0055</t>
        </is>
      </c>
      <c r="B868" t="inlineStr">
        <is>
          <t>Chemicals Supplier 055</t>
        </is>
      </c>
      <c r="C868" t="inlineStr">
        <is>
          <t>Chemicals</t>
        </is>
      </c>
      <c r="D868" t="n">
        <v>2024</v>
      </c>
      <c r="E868" t="n">
        <v>2020</v>
      </c>
      <c r="F868" t="n">
        <v>2040</v>
      </c>
      <c r="G868" t="inlineStr"/>
      <c r="H868" t="n">
        <v>2223.8809</v>
      </c>
      <c r="I868" t="inlineStr"/>
      <c r="J868" t="n">
        <v>20876.9168</v>
      </c>
      <c r="K868" t="n">
        <v>32625215.05</v>
      </c>
      <c r="L868" t="n">
        <v>121223052.52</v>
      </c>
      <c r="M868" t="n">
        <v>32673.8266</v>
      </c>
      <c r="N868" t="inlineStr">
        <is>
          <t>Spend-Based Estimate</t>
        </is>
      </c>
      <c r="O868" t="b">
        <v>1</v>
      </c>
      <c r="P868" t="inlineStr">
        <is>
          <t>Medium</t>
        </is>
      </c>
      <c r="Q868" t="inlineStr">
        <is>
          <t>Reported_Emissions; Scope_Emissions</t>
        </is>
      </c>
      <c r="R868" t="inlineStr">
        <is>
          <t>Valid</t>
        </is>
      </c>
      <c r="S868" t="n">
        <v>2027</v>
      </c>
      <c r="T868" t="inlineStr">
        <is>
          <t>Supplier Target Pathway</t>
        </is>
      </c>
      <c r="U868" t="n">
        <v>25123.3276</v>
      </c>
      <c r="V868" t="n">
        <v>9707.6538</v>
      </c>
      <c r="W868" t="n">
        <v>19727.8418</v>
      </c>
      <c r="X868" t="n">
        <v>19727.8418</v>
      </c>
      <c r="Y868" t="n">
        <v>5395.4858</v>
      </c>
      <c r="Z868" t="n">
        <v>0.00060468</v>
      </c>
      <c r="AA868" t="n">
        <v>0.21476</v>
      </c>
      <c r="AB868" t="n">
        <v>10020.188</v>
      </c>
      <c r="AC868" t="n">
        <v>770.7837</v>
      </c>
      <c r="AD868" t="n">
        <v>93826.58440000001</v>
      </c>
      <c r="AE868" t="n">
        <v>61495.8764</v>
      </c>
      <c r="AF868" t="n">
        <v>0.904</v>
      </c>
      <c r="AG868" t="inlineStr">
        <is>
          <t>Critical</t>
        </is>
      </c>
      <c r="AH868" t="inlineStr">
        <is>
          <t>On Track to Glide Path</t>
        </is>
      </c>
    </row>
    <row r="869">
      <c r="A869" t="inlineStr">
        <is>
          <t>SUP-0055</t>
        </is>
      </c>
      <c r="B869" t="inlineStr">
        <is>
          <t>Chemicals Supplier 055</t>
        </is>
      </c>
      <c r="C869" t="inlineStr">
        <is>
          <t>Chemicals</t>
        </is>
      </c>
      <c r="D869" t="n">
        <v>2024</v>
      </c>
      <c r="E869" t="n">
        <v>2020</v>
      </c>
      <c r="F869" t="n">
        <v>2040</v>
      </c>
      <c r="G869" t="inlineStr"/>
      <c r="H869" t="n">
        <v>2223.8809</v>
      </c>
      <c r="I869" t="inlineStr"/>
      <c r="J869" t="n">
        <v>20876.9168</v>
      </c>
      <c r="K869" t="n">
        <v>32625215.05</v>
      </c>
      <c r="L869" t="n">
        <v>121223052.52</v>
      </c>
      <c r="M869" t="n">
        <v>32673.8266</v>
      </c>
      <c r="N869" t="inlineStr">
        <is>
          <t>Spend-Based Estimate</t>
        </is>
      </c>
      <c r="O869" t="b">
        <v>1</v>
      </c>
      <c r="P869" t="inlineStr">
        <is>
          <t>Medium</t>
        </is>
      </c>
      <c r="Q869" t="inlineStr">
        <is>
          <t>Reported_Emissions; Scope_Emissions</t>
        </is>
      </c>
      <c r="R869" t="inlineStr">
        <is>
          <t>Valid</t>
        </is>
      </c>
      <c r="S869" t="n">
        <v>2028</v>
      </c>
      <c r="T869" t="inlineStr">
        <is>
          <t>Supplier Target Pathway</t>
        </is>
      </c>
      <c r="U869" t="n">
        <v>25123.3276</v>
      </c>
      <c r="V869" t="n">
        <v>9707.6538</v>
      </c>
      <c r="W869" t="n">
        <v>18957.0581</v>
      </c>
      <c r="X869" t="n">
        <v>18957.0581</v>
      </c>
      <c r="Y869" t="n">
        <v>6166.2695</v>
      </c>
      <c r="Z869" t="n">
        <v>0.00058106</v>
      </c>
      <c r="AA869" t="n">
        <v>0.24544</v>
      </c>
      <c r="AB869" t="n">
        <v>9249.4043</v>
      </c>
      <c r="AC869" t="n">
        <v>770.7837</v>
      </c>
      <c r="AD869" t="n">
        <v>74869.5263</v>
      </c>
      <c r="AE869" t="n">
        <v>80452.9345</v>
      </c>
      <c r="AF869" t="n">
        <v>0.904</v>
      </c>
      <c r="AG869" t="inlineStr">
        <is>
          <t>Critical</t>
        </is>
      </c>
      <c r="AH869" t="inlineStr">
        <is>
          <t>On Track to Glide Path</t>
        </is>
      </c>
    </row>
    <row r="870">
      <c r="A870" t="inlineStr">
        <is>
          <t>SUP-0055</t>
        </is>
      </c>
      <c r="B870" t="inlineStr">
        <is>
          <t>Chemicals Supplier 055</t>
        </is>
      </c>
      <c r="C870" t="inlineStr">
        <is>
          <t>Chemicals</t>
        </is>
      </c>
      <c r="D870" t="n">
        <v>2024</v>
      </c>
      <c r="E870" t="n">
        <v>2020</v>
      </c>
      <c r="F870" t="n">
        <v>2040</v>
      </c>
      <c r="G870" t="inlineStr"/>
      <c r="H870" t="n">
        <v>2223.8809</v>
      </c>
      <c r="I870" t="inlineStr"/>
      <c r="J870" t="n">
        <v>20876.9168</v>
      </c>
      <c r="K870" t="n">
        <v>32625215.05</v>
      </c>
      <c r="L870" t="n">
        <v>121223052.52</v>
      </c>
      <c r="M870" t="n">
        <v>32673.8266</v>
      </c>
      <c r="N870" t="inlineStr">
        <is>
          <t>Spend-Based Estimate</t>
        </is>
      </c>
      <c r="O870" t="b">
        <v>1</v>
      </c>
      <c r="P870" t="inlineStr">
        <is>
          <t>Medium</t>
        </is>
      </c>
      <c r="Q870" t="inlineStr">
        <is>
          <t>Reported_Emissions; Scope_Emissions</t>
        </is>
      </c>
      <c r="R870" t="inlineStr">
        <is>
          <t>Valid</t>
        </is>
      </c>
      <c r="S870" t="n">
        <v>2029</v>
      </c>
      <c r="T870" t="inlineStr">
        <is>
          <t>Supplier Target Pathway</t>
        </is>
      </c>
      <c r="U870" t="n">
        <v>25123.3276</v>
      </c>
      <c r="V870" t="n">
        <v>9707.6538</v>
      </c>
      <c r="W870" t="n">
        <v>18186.2744</v>
      </c>
      <c r="X870" t="n">
        <v>18186.2744</v>
      </c>
      <c r="Y870" t="n">
        <v>6937.0532</v>
      </c>
      <c r="Z870" t="n">
        <v>0.00055743</v>
      </c>
      <c r="AA870" t="n">
        <v>0.27612</v>
      </c>
      <c r="AB870" t="n">
        <v>8478.6206</v>
      </c>
      <c r="AC870" t="n">
        <v>770.7837</v>
      </c>
      <c r="AD870" t="n">
        <v>56683.2519</v>
      </c>
      <c r="AE870" t="n">
        <v>98639.2089</v>
      </c>
      <c r="AF870" t="n">
        <v>0.904</v>
      </c>
      <c r="AG870" t="inlineStr">
        <is>
          <t>Critical</t>
        </is>
      </c>
      <c r="AH870" t="inlineStr">
        <is>
          <t>On Track to Glide Path</t>
        </is>
      </c>
    </row>
    <row r="871">
      <c r="A871" t="inlineStr">
        <is>
          <t>SUP-0055</t>
        </is>
      </c>
      <c r="B871" t="inlineStr">
        <is>
          <t>Chemicals Supplier 055</t>
        </is>
      </c>
      <c r="C871" t="inlineStr">
        <is>
          <t>Chemicals</t>
        </is>
      </c>
      <c r="D871" t="n">
        <v>2024</v>
      </c>
      <c r="E871" t="n">
        <v>2020</v>
      </c>
      <c r="F871" t="n">
        <v>2040</v>
      </c>
      <c r="G871" t="inlineStr"/>
      <c r="H871" t="n">
        <v>2223.8809</v>
      </c>
      <c r="I871" t="inlineStr"/>
      <c r="J871" t="n">
        <v>20876.9168</v>
      </c>
      <c r="K871" t="n">
        <v>32625215.05</v>
      </c>
      <c r="L871" t="n">
        <v>121223052.52</v>
      </c>
      <c r="M871" t="n">
        <v>32673.8266</v>
      </c>
      <c r="N871" t="inlineStr">
        <is>
          <t>Spend-Based Estimate</t>
        </is>
      </c>
      <c r="O871" t="b">
        <v>1</v>
      </c>
      <c r="P871" t="inlineStr">
        <is>
          <t>Medium</t>
        </is>
      </c>
      <c r="Q871" t="inlineStr">
        <is>
          <t>Reported_Emissions; Scope_Emissions</t>
        </is>
      </c>
      <c r="R871" t="inlineStr">
        <is>
          <t>Valid</t>
        </is>
      </c>
      <c r="S871" t="n">
        <v>2030</v>
      </c>
      <c r="T871" t="inlineStr">
        <is>
          <t>Supplier Target Pathway</t>
        </is>
      </c>
      <c r="U871" t="n">
        <v>25123.3276</v>
      </c>
      <c r="V871" t="n">
        <v>9707.6538</v>
      </c>
      <c r="W871" t="n">
        <v>17415.4907</v>
      </c>
      <c r="X871" t="n">
        <v>17415.4907</v>
      </c>
      <c r="Y871" t="n">
        <v>7707.8369</v>
      </c>
      <c r="Z871" t="n">
        <v>0.0005338</v>
      </c>
      <c r="AA871" t="n">
        <v>0.3068</v>
      </c>
      <c r="AB871" t="n">
        <v>7707.8369</v>
      </c>
      <c r="AC871" t="n">
        <v>770.7837</v>
      </c>
      <c r="AD871" t="n">
        <v>39267.7612</v>
      </c>
      <c r="AE871" t="n">
        <v>116054.6996</v>
      </c>
      <c r="AF871" t="n">
        <v>0.904</v>
      </c>
      <c r="AG871" t="inlineStr">
        <is>
          <t>Critical</t>
        </is>
      </c>
      <c r="AH871" t="inlineStr">
        <is>
          <t>On Track to Glide Path</t>
        </is>
      </c>
    </row>
    <row r="872">
      <c r="A872" t="inlineStr">
        <is>
          <t>SUP-0055</t>
        </is>
      </c>
      <c r="B872" t="inlineStr">
        <is>
          <t>Chemicals Supplier 055</t>
        </is>
      </c>
      <c r="C872" t="inlineStr">
        <is>
          <t>Chemicals</t>
        </is>
      </c>
      <c r="D872" t="n">
        <v>2024</v>
      </c>
      <c r="E872" t="n">
        <v>2020</v>
      </c>
      <c r="F872" t="n">
        <v>2040</v>
      </c>
      <c r="G872" t="inlineStr"/>
      <c r="H872" t="n">
        <v>2223.8809</v>
      </c>
      <c r="I872" t="inlineStr"/>
      <c r="J872" t="n">
        <v>20876.9168</v>
      </c>
      <c r="K872" t="n">
        <v>32625215.05</v>
      </c>
      <c r="L872" t="n">
        <v>121223052.52</v>
      </c>
      <c r="M872" t="n">
        <v>32673.8266</v>
      </c>
      <c r="N872" t="inlineStr">
        <is>
          <t>Spend-Based Estimate</t>
        </is>
      </c>
      <c r="O872" t="b">
        <v>1</v>
      </c>
      <c r="P872" t="inlineStr">
        <is>
          <t>Medium</t>
        </is>
      </c>
      <c r="Q872" t="inlineStr">
        <is>
          <t>Reported_Emissions; Scope_Emissions</t>
        </is>
      </c>
      <c r="R872" t="inlineStr">
        <is>
          <t>Valid</t>
        </is>
      </c>
      <c r="S872" t="n">
        <v>2031</v>
      </c>
      <c r="T872" t="inlineStr">
        <is>
          <t>Supplier Target Pathway</t>
        </is>
      </c>
      <c r="U872" t="n">
        <v>25123.3276</v>
      </c>
      <c r="V872" t="n">
        <v>9707.6538</v>
      </c>
      <c r="W872" t="n">
        <v>16644.707</v>
      </c>
      <c r="X872" t="n">
        <v>16644.707</v>
      </c>
      <c r="Y872" t="n">
        <v>8478.6206</v>
      </c>
      <c r="Z872" t="n">
        <v>0.0005101800000000001</v>
      </c>
      <c r="AA872" t="n">
        <v>0.33748</v>
      </c>
      <c r="AB872" t="n">
        <v>6937.0532</v>
      </c>
      <c r="AC872" t="n">
        <v>770.7837</v>
      </c>
      <c r="AD872" t="n">
        <v>22623.0542</v>
      </c>
      <c r="AE872" t="n">
        <v>132699.4066</v>
      </c>
      <c r="AF872" t="n">
        <v>0.904</v>
      </c>
      <c r="AG872" t="inlineStr">
        <is>
          <t>Critical</t>
        </is>
      </c>
      <c r="AH872" t="inlineStr">
        <is>
          <t>On Track to Glide Path</t>
        </is>
      </c>
    </row>
    <row r="873">
      <c r="A873" t="inlineStr">
        <is>
          <t>SUP-0055</t>
        </is>
      </c>
      <c r="B873" t="inlineStr">
        <is>
          <t>Chemicals Supplier 055</t>
        </is>
      </c>
      <c r="C873" t="inlineStr">
        <is>
          <t>Chemicals</t>
        </is>
      </c>
      <c r="D873" t="n">
        <v>2024</v>
      </c>
      <c r="E873" t="n">
        <v>2020</v>
      </c>
      <c r="F873" t="n">
        <v>2040</v>
      </c>
      <c r="G873" t="inlineStr"/>
      <c r="H873" t="n">
        <v>2223.8809</v>
      </c>
      <c r="I873" t="inlineStr"/>
      <c r="J873" t="n">
        <v>20876.9168</v>
      </c>
      <c r="K873" t="n">
        <v>32625215.05</v>
      </c>
      <c r="L873" t="n">
        <v>121223052.52</v>
      </c>
      <c r="M873" t="n">
        <v>32673.8266</v>
      </c>
      <c r="N873" t="inlineStr">
        <is>
          <t>Spend-Based Estimate</t>
        </is>
      </c>
      <c r="O873" t="b">
        <v>1</v>
      </c>
      <c r="P873" t="inlineStr">
        <is>
          <t>Medium</t>
        </is>
      </c>
      <c r="Q873" t="inlineStr">
        <is>
          <t>Reported_Emissions; Scope_Emissions</t>
        </is>
      </c>
      <c r="R873" t="inlineStr">
        <is>
          <t>Valid</t>
        </is>
      </c>
      <c r="S873" t="n">
        <v>2032</v>
      </c>
      <c r="T873" t="inlineStr">
        <is>
          <t>Supplier Target Pathway</t>
        </is>
      </c>
      <c r="U873" t="n">
        <v>25123.3276</v>
      </c>
      <c r="V873" t="n">
        <v>9707.6538</v>
      </c>
      <c r="W873" t="n">
        <v>15873.9233</v>
      </c>
      <c r="X873" t="n">
        <v>15873.9233</v>
      </c>
      <c r="Y873" t="n">
        <v>9249.4043</v>
      </c>
      <c r="Z873" t="n">
        <v>0.00048655</v>
      </c>
      <c r="AA873" t="n">
        <v>0.36816</v>
      </c>
      <c r="AB873" t="n">
        <v>6166.2695</v>
      </c>
      <c r="AC873" t="n">
        <v>770.7837</v>
      </c>
      <c r="AD873" t="n">
        <v>6749.1309</v>
      </c>
      <c r="AE873" t="n">
        <v>148573.3299</v>
      </c>
      <c r="AF873" t="n">
        <v>0.904</v>
      </c>
      <c r="AG873" t="inlineStr">
        <is>
          <t>Critical</t>
        </is>
      </c>
      <c r="AH873" t="inlineStr">
        <is>
          <t>On Track to Glide Path</t>
        </is>
      </c>
    </row>
    <row r="874">
      <c r="A874" t="inlineStr">
        <is>
          <t>SUP-0055</t>
        </is>
      </c>
      <c r="B874" t="inlineStr">
        <is>
          <t>Chemicals Supplier 055</t>
        </is>
      </c>
      <c r="C874" t="inlineStr">
        <is>
          <t>Chemicals</t>
        </is>
      </c>
      <c r="D874" t="n">
        <v>2024</v>
      </c>
      <c r="E874" t="n">
        <v>2020</v>
      </c>
      <c r="F874" t="n">
        <v>2040</v>
      </c>
      <c r="G874" t="inlineStr"/>
      <c r="H874" t="n">
        <v>2223.8809</v>
      </c>
      <c r="I874" t="inlineStr"/>
      <c r="J874" t="n">
        <v>20876.9168</v>
      </c>
      <c r="K874" t="n">
        <v>32625215.05</v>
      </c>
      <c r="L874" t="n">
        <v>121223052.52</v>
      </c>
      <c r="M874" t="n">
        <v>32673.8266</v>
      </c>
      <c r="N874" t="inlineStr">
        <is>
          <t>Spend-Based Estimate</t>
        </is>
      </c>
      <c r="O874" t="b">
        <v>1</v>
      </c>
      <c r="P874" t="inlineStr">
        <is>
          <t>Medium</t>
        </is>
      </c>
      <c r="Q874" t="inlineStr">
        <is>
          <t>Reported_Emissions; Scope_Emissions</t>
        </is>
      </c>
      <c r="R874" t="inlineStr">
        <is>
          <t>Valid</t>
        </is>
      </c>
      <c r="S874" t="n">
        <v>2033</v>
      </c>
      <c r="T874" t="inlineStr">
        <is>
          <t>Supplier Target Pathway</t>
        </is>
      </c>
      <c r="U874" t="n">
        <v>25123.3276</v>
      </c>
      <c r="V874" t="n">
        <v>9707.6538</v>
      </c>
      <c r="W874" t="n">
        <v>15103.1396</v>
      </c>
      <c r="X874" t="n">
        <v>15103.1396</v>
      </c>
      <c r="Y874" t="n">
        <v>10020.188</v>
      </c>
      <c r="Z874" t="n">
        <v>0.00046293</v>
      </c>
      <c r="AA874" t="n">
        <v>0.39884</v>
      </c>
      <c r="AB874" t="n">
        <v>5395.4858</v>
      </c>
      <c r="AC874" t="n">
        <v>770.7837</v>
      </c>
      <c r="AD874" t="n">
        <v>-8354.0087</v>
      </c>
      <c r="AE874" t="n">
        <v>163676.4695</v>
      </c>
      <c r="AF874" t="n">
        <v>0.904</v>
      </c>
      <c r="AG874" t="inlineStr">
        <is>
          <t>Critical</t>
        </is>
      </c>
      <c r="AH874" t="inlineStr">
        <is>
          <t>On Track to Glide Path</t>
        </is>
      </c>
    </row>
    <row r="875">
      <c r="A875" t="inlineStr">
        <is>
          <t>SUP-0055</t>
        </is>
      </c>
      <c r="B875" t="inlineStr">
        <is>
          <t>Chemicals Supplier 055</t>
        </is>
      </c>
      <c r="C875" t="inlineStr">
        <is>
          <t>Chemicals</t>
        </is>
      </c>
      <c r="D875" t="n">
        <v>2024</v>
      </c>
      <c r="E875" t="n">
        <v>2020</v>
      </c>
      <c r="F875" t="n">
        <v>2040</v>
      </c>
      <c r="G875" t="inlineStr"/>
      <c r="H875" t="n">
        <v>2223.8809</v>
      </c>
      <c r="I875" t="inlineStr"/>
      <c r="J875" t="n">
        <v>20876.9168</v>
      </c>
      <c r="K875" t="n">
        <v>32625215.05</v>
      </c>
      <c r="L875" t="n">
        <v>121223052.52</v>
      </c>
      <c r="M875" t="n">
        <v>32673.8266</v>
      </c>
      <c r="N875" t="inlineStr">
        <is>
          <t>Spend-Based Estimate</t>
        </is>
      </c>
      <c r="O875" t="b">
        <v>1</v>
      </c>
      <c r="P875" t="inlineStr">
        <is>
          <t>Medium</t>
        </is>
      </c>
      <c r="Q875" t="inlineStr">
        <is>
          <t>Reported_Emissions; Scope_Emissions</t>
        </is>
      </c>
      <c r="R875" t="inlineStr">
        <is>
          <t>Valid</t>
        </is>
      </c>
      <c r="S875" t="n">
        <v>2034</v>
      </c>
      <c r="T875" t="inlineStr">
        <is>
          <t>Supplier Target Pathway</t>
        </is>
      </c>
      <c r="U875" t="n">
        <v>25123.3276</v>
      </c>
      <c r="V875" t="n">
        <v>9707.6538</v>
      </c>
      <c r="W875" t="n">
        <v>14332.3559</v>
      </c>
      <c r="X875" t="n">
        <v>14332.3559</v>
      </c>
      <c r="Y875" t="n">
        <v>10790.9717</v>
      </c>
      <c r="Z875" t="n">
        <v>0.0004393</v>
      </c>
      <c r="AA875" t="n">
        <v>0.42952</v>
      </c>
      <c r="AB875" t="n">
        <v>4624.7021</v>
      </c>
      <c r="AC875" t="n">
        <v>770.7837</v>
      </c>
      <c r="AD875" t="n">
        <v>-22686.3646</v>
      </c>
      <c r="AE875" t="n">
        <v>178008.8254</v>
      </c>
      <c r="AF875" t="n">
        <v>0.904</v>
      </c>
      <c r="AG875" t="inlineStr">
        <is>
          <t>Critical</t>
        </is>
      </c>
      <c r="AH875" t="inlineStr">
        <is>
          <t>On Track to Glide Path</t>
        </is>
      </c>
    </row>
    <row r="876">
      <c r="A876" t="inlineStr">
        <is>
          <t>SUP-0055</t>
        </is>
      </c>
      <c r="B876" t="inlineStr">
        <is>
          <t>Chemicals Supplier 055</t>
        </is>
      </c>
      <c r="C876" t="inlineStr">
        <is>
          <t>Chemicals</t>
        </is>
      </c>
      <c r="D876" t="n">
        <v>2024</v>
      </c>
      <c r="E876" t="n">
        <v>2020</v>
      </c>
      <c r="F876" t="n">
        <v>2040</v>
      </c>
      <c r="G876" t="inlineStr"/>
      <c r="H876" t="n">
        <v>2223.8809</v>
      </c>
      <c r="I876" t="inlineStr"/>
      <c r="J876" t="n">
        <v>20876.9168</v>
      </c>
      <c r="K876" t="n">
        <v>32625215.05</v>
      </c>
      <c r="L876" t="n">
        <v>121223052.52</v>
      </c>
      <c r="M876" t="n">
        <v>32673.8266</v>
      </c>
      <c r="N876" t="inlineStr">
        <is>
          <t>Spend-Based Estimate</t>
        </is>
      </c>
      <c r="O876" t="b">
        <v>1</v>
      </c>
      <c r="P876" t="inlineStr">
        <is>
          <t>Medium</t>
        </is>
      </c>
      <c r="Q876" t="inlineStr">
        <is>
          <t>Reported_Emissions; Scope_Emissions</t>
        </is>
      </c>
      <c r="R876" t="inlineStr">
        <is>
          <t>Valid</t>
        </is>
      </c>
      <c r="S876" t="n">
        <v>2035</v>
      </c>
      <c r="T876" t="inlineStr">
        <is>
          <t>Supplier Target Pathway</t>
        </is>
      </c>
      <c r="U876" t="n">
        <v>25123.3276</v>
      </c>
      <c r="V876" t="n">
        <v>9707.6538</v>
      </c>
      <c r="W876" t="n">
        <v>13561.5722</v>
      </c>
      <c r="X876" t="n">
        <v>13561.5722</v>
      </c>
      <c r="Y876" t="n">
        <v>11561.7554</v>
      </c>
      <c r="Z876" t="n">
        <v>0.00041568</v>
      </c>
      <c r="AA876" t="n">
        <v>0.4602</v>
      </c>
      <c r="AB876" t="n">
        <v>3853.9185</v>
      </c>
      <c r="AC876" t="n">
        <v>770.7837</v>
      </c>
      <c r="AD876" t="n">
        <v>-36247.9368</v>
      </c>
      <c r="AE876" t="n">
        <v>191570.3976</v>
      </c>
      <c r="AF876" t="n">
        <v>0.904</v>
      </c>
      <c r="AG876" t="inlineStr">
        <is>
          <t>Critical</t>
        </is>
      </c>
      <c r="AH876" t="inlineStr">
        <is>
          <t>On Track to Glide Path</t>
        </is>
      </c>
    </row>
    <row r="877">
      <c r="A877" t="inlineStr">
        <is>
          <t>SUP-0055</t>
        </is>
      </c>
      <c r="B877" t="inlineStr">
        <is>
          <t>Chemicals Supplier 055</t>
        </is>
      </c>
      <c r="C877" t="inlineStr">
        <is>
          <t>Chemicals</t>
        </is>
      </c>
      <c r="D877" t="n">
        <v>2024</v>
      </c>
      <c r="E877" t="n">
        <v>2020</v>
      </c>
      <c r="F877" t="n">
        <v>2040</v>
      </c>
      <c r="G877" t="inlineStr"/>
      <c r="H877" t="n">
        <v>2223.8809</v>
      </c>
      <c r="I877" t="inlineStr"/>
      <c r="J877" t="n">
        <v>20876.9168</v>
      </c>
      <c r="K877" t="n">
        <v>32625215.05</v>
      </c>
      <c r="L877" t="n">
        <v>121223052.52</v>
      </c>
      <c r="M877" t="n">
        <v>32673.8266</v>
      </c>
      <c r="N877" t="inlineStr">
        <is>
          <t>Spend-Based Estimate</t>
        </is>
      </c>
      <c r="O877" t="b">
        <v>1</v>
      </c>
      <c r="P877" t="inlineStr">
        <is>
          <t>Medium</t>
        </is>
      </c>
      <c r="Q877" t="inlineStr">
        <is>
          <t>Reported_Emissions; Scope_Emissions</t>
        </is>
      </c>
      <c r="R877" t="inlineStr">
        <is>
          <t>Valid</t>
        </is>
      </c>
      <c r="S877" t="n">
        <v>2036</v>
      </c>
      <c r="T877" t="inlineStr">
        <is>
          <t>Supplier Target Pathway</t>
        </is>
      </c>
      <c r="U877" t="n">
        <v>25123.3276</v>
      </c>
      <c r="V877" t="n">
        <v>9707.6538</v>
      </c>
      <c r="W877" t="n">
        <v>12790.7885</v>
      </c>
      <c r="X877" t="n">
        <v>12790.7885</v>
      </c>
      <c r="Y877" t="n">
        <v>12332.5391</v>
      </c>
      <c r="Z877" t="n">
        <v>0.00039205</v>
      </c>
      <c r="AA877" t="n">
        <v>0.49088</v>
      </c>
      <c r="AB877" t="n">
        <v>3083.1348</v>
      </c>
      <c r="AC877" t="n">
        <v>770.7837</v>
      </c>
      <c r="AD877" t="n">
        <v>-49038.7253</v>
      </c>
      <c r="AE877" t="n">
        <v>204361.1861</v>
      </c>
      <c r="AF877" t="n">
        <v>0.904</v>
      </c>
      <c r="AG877" t="inlineStr">
        <is>
          <t>High</t>
        </is>
      </c>
      <c r="AH877" t="inlineStr">
        <is>
          <t>On Track to Glide Path</t>
        </is>
      </c>
    </row>
    <row r="878">
      <c r="A878" t="inlineStr">
        <is>
          <t>SUP-0055</t>
        </is>
      </c>
      <c r="B878" t="inlineStr">
        <is>
          <t>Chemicals Supplier 055</t>
        </is>
      </c>
      <c r="C878" t="inlineStr">
        <is>
          <t>Chemicals</t>
        </is>
      </c>
      <c r="D878" t="n">
        <v>2024</v>
      </c>
      <c r="E878" t="n">
        <v>2020</v>
      </c>
      <c r="F878" t="n">
        <v>2040</v>
      </c>
      <c r="G878" t="inlineStr"/>
      <c r="H878" t="n">
        <v>2223.8809</v>
      </c>
      <c r="I878" t="inlineStr"/>
      <c r="J878" t="n">
        <v>20876.9168</v>
      </c>
      <c r="K878" t="n">
        <v>32625215.05</v>
      </c>
      <c r="L878" t="n">
        <v>121223052.52</v>
      </c>
      <c r="M878" t="n">
        <v>32673.8266</v>
      </c>
      <c r="N878" t="inlineStr">
        <is>
          <t>Spend-Based Estimate</t>
        </is>
      </c>
      <c r="O878" t="b">
        <v>1</v>
      </c>
      <c r="P878" t="inlineStr">
        <is>
          <t>Medium</t>
        </is>
      </c>
      <c r="Q878" t="inlineStr">
        <is>
          <t>Reported_Emissions; Scope_Emissions</t>
        </is>
      </c>
      <c r="R878" t="inlineStr">
        <is>
          <t>Valid</t>
        </is>
      </c>
      <c r="S878" t="n">
        <v>2037</v>
      </c>
      <c r="T878" t="inlineStr">
        <is>
          <t>Supplier Target Pathway</t>
        </is>
      </c>
      <c r="U878" t="n">
        <v>25123.3276</v>
      </c>
      <c r="V878" t="n">
        <v>9707.6538</v>
      </c>
      <c r="W878" t="n">
        <v>12020.0049</v>
      </c>
      <c r="X878" t="n">
        <v>12020.0049</v>
      </c>
      <c r="Y878" t="n">
        <v>13103.3227</v>
      </c>
      <c r="Z878" t="n">
        <v>0.00036843</v>
      </c>
      <c r="AA878" t="n">
        <v>0.52156</v>
      </c>
      <c r="AB878" t="n">
        <v>2312.3511</v>
      </c>
      <c r="AC878" t="n">
        <v>770.7837</v>
      </c>
      <c r="AD878" t="n">
        <v>-61058.7302</v>
      </c>
      <c r="AE878" t="n">
        <v>216381.191</v>
      </c>
      <c r="AF878" t="n">
        <v>0.904</v>
      </c>
      <c r="AG878" t="inlineStr">
        <is>
          <t>High</t>
        </is>
      </c>
      <c r="AH878" t="inlineStr">
        <is>
          <t>On Track to Glide Path</t>
        </is>
      </c>
    </row>
    <row r="879">
      <c r="A879" t="inlineStr">
        <is>
          <t>SUP-0055</t>
        </is>
      </c>
      <c r="B879" t="inlineStr">
        <is>
          <t>Chemicals Supplier 055</t>
        </is>
      </c>
      <c r="C879" t="inlineStr">
        <is>
          <t>Chemicals</t>
        </is>
      </c>
      <c r="D879" t="n">
        <v>2024</v>
      </c>
      <c r="E879" t="n">
        <v>2020</v>
      </c>
      <c r="F879" t="n">
        <v>2040</v>
      </c>
      <c r="G879" t="inlineStr"/>
      <c r="H879" t="n">
        <v>2223.8809</v>
      </c>
      <c r="I879" t="inlineStr"/>
      <c r="J879" t="n">
        <v>20876.9168</v>
      </c>
      <c r="K879" t="n">
        <v>32625215.05</v>
      </c>
      <c r="L879" t="n">
        <v>121223052.52</v>
      </c>
      <c r="M879" t="n">
        <v>32673.8266</v>
      </c>
      <c r="N879" t="inlineStr">
        <is>
          <t>Spend-Based Estimate</t>
        </is>
      </c>
      <c r="O879" t="b">
        <v>1</v>
      </c>
      <c r="P879" t="inlineStr">
        <is>
          <t>Medium</t>
        </is>
      </c>
      <c r="Q879" t="inlineStr">
        <is>
          <t>Reported_Emissions; Scope_Emissions</t>
        </is>
      </c>
      <c r="R879" t="inlineStr">
        <is>
          <t>Valid</t>
        </is>
      </c>
      <c r="S879" t="n">
        <v>2038</v>
      </c>
      <c r="T879" t="inlineStr">
        <is>
          <t>Supplier Target Pathway</t>
        </is>
      </c>
      <c r="U879" t="n">
        <v>25123.3276</v>
      </c>
      <c r="V879" t="n">
        <v>9707.6538</v>
      </c>
      <c r="W879" t="n">
        <v>11249.2212</v>
      </c>
      <c r="X879" t="n">
        <v>11249.2212</v>
      </c>
      <c r="Y879" t="n">
        <v>13874.1064</v>
      </c>
      <c r="Z879" t="n">
        <v>0.0003448</v>
      </c>
      <c r="AA879" t="n">
        <v>0.55224</v>
      </c>
      <c r="AB879" t="n">
        <v>1541.5674</v>
      </c>
      <c r="AC879" t="n">
        <v>770.7837</v>
      </c>
      <c r="AD879" t="n">
        <v>-72307.95140000001</v>
      </c>
      <c r="AE879" t="n">
        <v>227630.4122</v>
      </c>
      <c r="AF879" t="n">
        <v>0.904</v>
      </c>
      <c r="AG879" t="inlineStr">
        <is>
          <t>High</t>
        </is>
      </c>
      <c r="AH879" t="inlineStr">
        <is>
          <t>On Track to Glide Path</t>
        </is>
      </c>
    </row>
    <row r="880">
      <c r="A880" t="inlineStr">
        <is>
          <t>SUP-0055</t>
        </is>
      </c>
      <c r="B880" t="inlineStr">
        <is>
          <t>Chemicals Supplier 055</t>
        </is>
      </c>
      <c r="C880" t="inlineStr">
        <is>
          <t>Chemicals</t>
        </is>
      </c>
      <c r="D880" t="n">
        <v>2024</v>
      </c>
      <c r="E880" t="n">
        <v>2020</v>
      </c>
      <c r="F880" t="n">
        <v>2040</v>
      </c>
      <c r="G880" t="inlineStr"/>
      <c r="H880" t="n">
        <v>2223.8809</v>
      </c>
      <c r="I880" t="inlineStr"/>
      <c r="J880" t="n">
        <v>20876.9168</v>
      </c>
      <c r="K880" t="n">
        <v>32625215.05</v>
      </c>
      <c r="L880" t="n">
        <v>121223052.52</v>
      </c>
      <c r="M880" t="n">
        <v>32673.8266</v>
      </c>
      <c r="N880" t="inlineStr">
        <is>
          <t>Spend-Based Estimate</t>
        </is>
      </c>
      <c r="O880" t="b">
        <v>1</v>
      </c>
      <c r="P880" t="inlineStr">
        <is>
          <t>Medium</t>
        </is>
      </c>
      <c r="Q880" t="inlineStr">
        <is>
          <t>Reported_Emissions; Scope_Emissions</t>
        </is>
      </c>
      <c r="R880" t="inlineStr">
        <is>
          <t>Valid</t>
        </is>
      </c>
      <c r="S880" t="n">
        <v>2039</v>
      </c>
      <c r="T880" t="inlineStr">
        <is>
          <t>Supplier Target Pathway</t>
        </is>
      </c>
      <c r="U880" t="n">
        <v>25123.3276</v>
      </c>
      <c r="V880" t="n">
        <v>9707.6538</v>
      </c>
      <c r="W880" t="n">
        <v>10478.4375</v>
      </c>
      <c r="X880" t="n">
        <v>10478.4375</v>
      </c>
      <c r="Y880" t="n">
        <v>14644.8901</v>
      </c>
      <c r="Z880" t="n">
        <v>0.00032118</v>
      </c>
      <c r="AA880" t="n">
        <v>0.58292</v>
      </c>
      <c r="AB880" t="n">
        <v>770.7837</v>
      </c>
      <c r="AC880" t="n">
        <v>770.7837</v>
      </c>
      <c r="AD880" t="n">
        <v>-82786.38890000001</v>
      </c>
      <c r="AE880" t="n">
        <v>238108.8497</v>
      </c>
      <c r="AF880" t="n">
        <v>0.904</v>
      </c>
      <c r="AG880" t="inlineStr">
        <is>
          <t>Medium</t>
        </is>
      </c>
      <c r="AH880" t="inlineStr">
        <is>
          <t>On Track to Glide Path</t>
        </is>
      </c>
    </row>
    <row r="881">
      <c r="A881" t="inlineStr">
        <is>
          <t>SUP-0055</t>
        </is>
      </c>
      <c r="B881" t="inlineStr">
        <is>
          <t>Chemicals Supplier 055</t>
        </is>
      </c>
      <c r="C881" t="inlineStr">
        <is>
          <t>Chemicals</t>
        </is>
      </c>
      <c r="D881" t="n">
        <v>2024</v>
      </c>
      <c r="E881" t="n">
        <v>2020</v>
      </c>
      <c r="F881" t="n">
        <v>2040</v>
      </c>
      <c r="G881" t="inlineStr"/>
      <c r="H881" t="n">
        <v>2223.8809</v>
      </c>
      <c r="I881" t="inlineStr"/>
      <c r="J881" t="n">
        <v>20876.9168</v>
      </c>
      <c r="K881" t="n">
        <v>32625215.05</v>
      </c>
      <c r="L881" t="n">
        <v>121223052.52</v>
      </c>
      <c r="M881" t="n">
        <v>32673.8266</v>
      </c>
      <c r="N881" t="inlineStr">
        <is>
          <t>Spend-Based Estimate</t>
        </is>
      </c>
      <c r="O881" t="b">
        <v>1</v>
      </c>
      <c r="P881" t="inlineStr">
        <is>
          <t>Medium</t>
        </is>
      </c>
      <c r="Q881" t="inlineStr">
        <is>
          <t>Reported_Emissions; Scope_Emissions</t>
        </is>
      </c>
      <c r="R881" t="inlineStr">
        <is>
          <t>Valid</t>
        </is>
      </c>
      <c r="S881" t="n">
        <v>2040</v>
      </c>
      <c r="T881" t="inlineStr">
        <is>
          <t>Supplier Target Pathway</t>
        </is>
      </c>
      <c r="U881" t="n">
        <v>25123.3276</v>
      </c>
      <c r="V881" t="n">
        <v>9707.6538</v>
      </c>
      <c r="W881" t="n">
        <v>9707.6538</v>
      </c>
      <c r="X881" t="n">
        <v>9707.6538</v>
      </c>
      <c r="Y881" t="n">
        <v>15415.6738</v>
      </c>
      <c r="Z881" t="n">
        <v>0.00029755</v>
      </c>
      <c r="AA881" t="n">
        <v>0.6136</v>
      </c>
      <c r="AB881" t="n">
        <v>0</v>
      </c>
      <c r="AC881" t="n">
        <v>770.7837</v>
      </c>
      <c r="AD881" t="n">
        <v>-92494.04270000001</v>
      </c>
      <c r="AE881" t="n">
        <v>247816.5035</v>
      </c>
      <c r="AF881" t="n">
        <v>0.904</v>
      </c>
      <c r="AG881" t="inlineStr">
        <is>
          <t>Low</t>
        </is>
      </c>
      <c r="AH881" t="inlineStr">
        <is>
          <t>On Track</t>
        </is>
      </c>
    </row>
    <row r="882">
      <c r="A882" t="inlineStr">
        <is>
          <t>SUP-0056</t>
        </is>
      </c>
      <c r="B882" t="inlineStr">
        <is>
          <t>Metals Supplier 056</t>
        </is>
      </c>
      <c r="C882" t="inlineStr">
        <is>
          <t>Metals</t>
        </is>
      </c>
      <c r="D882" t="n">
        <v>2024</v>
      </c>
      <c r="E882" t="n">
        <v>2015</v>
      </c>
      <c r="F882" t="n">
        <v>2030</v>
      </c>
      <c r="G882" t="n">
        <v>6263.882</v>
      </c>
      <c r="H882" t="inlineStr"/>
      <c r="I882" t="n">
        <v>552.8304000000001</v>
      </c>
      <c r="J882" t="n">
        <v>4955.6678</v>
      </c>
      <c r="K882" t="n">
        <v>5090864.96</v>
      </c>
      <c r="L882" t="n">
        <v>29346554.29</v>
      </c>
      <c r="M882" t="n">
        <v>6263.882</v>
      </c>
      <c r="N882" t="inlineStr">
        <is>
          <t>Supplier Reported Emissions</t>
        </is>
      </c>
      <c r="O882" t="b">
        <v>0</v>
      </c>
      <c r="P882" t="inlineStr">
        <is>
          <t>High</t>
        </is>
      </c>
      <c r="Q882" t="inlineStr">
        <is>
          <t>Scope_Emissions</t>
        </is>
      </c>
      <c r="R882" t="inlineStr">
        <is>
          <t>Valid</t>
        </is>
      </c>
      <c r="S882" t="n">
        <v>2025</v>
      </c>
      <c r="T882" t="inlineStr">
        <is>
          <t>Industry Haircut Pathway</t>
        </is>
      </c>
      <c r="U882" t="n">
        <v>7451.9926</v>
      </c>
      <c r="V882" t="n">
        <v>4581.4851</v>
      </c>
      <c r="W882" t="n">
        <v>5538.3209</v>
      </c>
      <c r="X882" t="n">
        <v>5538.3209</v>
      </c>
      <c r="Y882" t="n">
        <v>1913.6717</v>
      </c>
      <c r="Z882" t="n">
        <v>0.00108789</v>
      </c>
      <c r="AA882" t="n">
        <v>0.2568</v>
      </c>
      <c r="AB882" t="n">
        <v>956.8357999999999</v>
      </c>
      <c r="AC882" t="n">
        <v>191.3672</v>
      </c>
      <c r="AD882" t="n">
        <v>21950.5897</v>
      </c>
      <c r="AE882" t="n">
        <v>5538.3209</v>
      </c>
      <c r="AF882" t="n">
        <v>0.925</v>
      </c>
      <c r="AG882" t="inlineStr">
        <is>
          <t>High</t>
        </is>
      </c>
      <c r="AH882" t="inlineStr">
        <is>
          <t>On Track to Glide Path</t>
        </is>
      </c>
    </row>
    <row r="883">
      <c r="A883" t="inlineStr">
        <is>
          <t>SUP-0056</t>
        </is>
      </c>
      <c r="B883" t="inlineStr">
        <is>
          <t>Metals Supplier 056</t>
        </is>
      </c>
      <c r="C883" t="inlineStr">
        <is>
          <t>Metals</t>
        </is>
      </c>
      <c r="D883" t="n">
        <v>2024</v>
      </c>
      <c r="E883" t="n">
        <v>2015</v>
      </c>
      <c r="F883" t="n">
        <v>2030</v>
      </c>
      <c r="G883" t="n">
        <v>6263.882</v>
      </c>
      <c r="H883" t="inlineStr"/>
      <c r="I883" t="n">
        <v>552.8304000000001</v>
      </c>
      <c r="J883" t="n">
        <v>4955.6678</v>
      </c>
      <c r="K883" t="n">
        <v>5090864.96</v>
      </c>
      <c r="L883" t="n">
        <v>29346554.29</v>
      </c>
      <c r="M883" t="n">
        <v>6263.882</v>
      </c>
      <c r="N883" t="inlineStr">
        <is>
          <t>Supplier Reported Emissions</t>
        </is>
      </c>
      <c r="O883" t="b">
        <v>0</v>
      </c>
      <c r="P883" t="inlineStr">
        <is>
          <t>High</t>
        </is>
      </c>
      <c r="Q883" t="inlineStr">
        <is>
          <t>Scope_Emissions</t>
        </is>
      </c>
      <c r="R883" t="inlineStr">
        <is>
          <t>Valid</t>
        </is>
      </c>
      <c r="S883" t="n">
        <v>2026</v>
      </c>
      <c r="T883" t="inlineStr">
        <is>
          <t>Industry Haircut Pathway</t>
        </is>
      </c>
      <c r="U883" t="n">
        <v>7451.9926</v>
      </c>
      <c r="V883" t="n">
        <v>4581.4851</v>
      </c>
      <c r="W883" t="n">
        <v>5346.9537</v>
      </c>
      <c r="X883" t="n">
        <v>5346.9537</v>
      </c>
      <c r="Y883" t="n">
        <v>2105.0389</v>
      </c>
      <c r="Z883" t="n">
        <v>0.0010503</v>
      </c>
      <c r="AA883" t="n">
        <v>0.28248</v>
      </c>
      <c r="AB883" t="n">
        <v>765.4687</v>
      </c>
      <c r="AC883" t="n">
        <v>191.3672</v>
      </c>
      <c r="AD883" t="n">
        <v>16603.636</v>
      </c>
      <c r="AE883" t="n">
        <v>10885.2746</v>
      </c>
      <c r="AF883" t="n">
        <v>0.925</v>
      </c>
      <c r="AG883" t="inlineStr">
        <is>
          <t>High</t>
        </is>
      </c>
      <c r="AH883" t="inlineStr">
        <is>
          <t>On Track to Glide Path</t>
        </is>
      </c>
    </row>
    <row r="884">
      <c r="A884" t="inlineStr">
        <is>
          <t>SUP-0056</t>
        </is>
      </c>
      <c r="B884" t="inlineStr">
        <is>
          <t>Metals Supplier 056</t>
        </is>
      </c>
      <c r="C884" t="inlineStr">
        <is>
          <t>Metals</t>
        </is>
      </c>
      <c r="D884" t="n">
        <v>2024</v>
      </c>
      <c r="E884" t="n">
        <v>2015</v>
      </c>
      <c r="F884" t="n">
        <v>2030</v>
      </c>
      <c r="G884" t="n">
        <v>6263.882</v>
      </c>
      <c r="H884" t="inlineStr"/>
      <c r="I884" t="n">
        <v>552.8304000000001</v>
      </c>
      <c r="J884" t="n">
        <v>4955.6678</v>
      </c>
      <c r="K884" t="n">
        <v>5090864.96</v>
      </c>
      <c r="L884" t="n">
        <v>29346554.29</v>
      </c>
      <c r="M884" t="n">
        <v>6263.882</v>
      </c>
      <c r="N884" t="inlineStr">
        <is>
          <t>Supplier Reported Emissions</t>
        </is>
      </c>
      <c r="O884" t="b">
        <v>0</v>
      </c>
      <c r="P884" t="inlineStr">
        <is>
          <t>High</t>
        </is>
      </c>
      <c r="Q884" t="inlineStr">
        <is>
          <t>Scope_Emissions</t>
        </is>
      </c>
      <c r="R884" t="inlineStr">
        <is>
          <t>Valid</t>
        </is>
      </c>
      <c r="S884" t="n">
        <v>2027</v>
      </c>
      <c r="T884" t="inlineStr">
        <is>
          <t>Industry Haircut Pathway</t>
        </is>
      </c>
      <c r="U884" t="n">
        <v>7451.9926</v>
      </c>
      <c r="V884" t="n">
        <v>4581.4851</v>
      </c>
      <c r="W884" t="n">
        <v>5155.5866</v>
      </c>
      <c r="X884" t="n">
        <v>5155.5866</v>
      </c>
      <c r="Y884" t="n">
        <v>2296.406</v>
      </c>
      <c r="Z884" t="n">
        <v>0.00101271</v>
      </c>
      <c r="AA884" t="n">
        <v>0.30816</v>
      </c>
      <c r="AB884" t="n">
        <v>574.1015</v>
      </c>
      <c r="AC884" t="n">
        <v>191.3672</v>
      </c>
      <c r="AD884" t="n">
        <v>11448.0494</v>
      </c>
      <c r="AE884" t="n">
        <v>16040.8612</v>
      </c>
      <c r="AF884" t="n">
        <v>0.925</v>
      </c>
      <c r="AG884" t="inlineStr">
        <is>
          <t>Medium</t>
        </is>
      </c>
      <c r="AH884" t="inlineStr">
        <is>
          <t>On Track to Glide Path</t>
        </is>
      </c>
    </row>
    <row r="885">
      <c r="A885" t="inlineStr">
        <is>
          <t>SUP-0056</t>
        </is>
      </c>
      <c r="B885" t="inlineStr">
        <is>
          <t>Metals Supplier 056</t>
        </is>
      </c>
      <c r="C885" t="inlineStr">
        <is>
          <t>Metals</t>
        </is>
      </c>
      <c r="D885" t="n">
        <v>2024</v>
      </c>
      <c r="E885" t="n">
        <v>2015</v>
      </c>
      <c r="F885" t="n">
        <v>2030</v>
      </c>
      <c r="G885" t="n">
        <v>6263.882</v>
      </c>
      <c r="H885" t="inlineStr"/>
      <c r="I885" t="n">
        <v>552.8304000000001</v>
      </c>
      <c r="J885" t="n">
        <v>4955.6678</v>
      </c>
      <c r="K885" t="n">
        <v>5090864.96</v>
      </c>
      <c r="L885" t="n">
        <v>29346554.29</v>
      </c>
      <c r="M885" t="n">
        <v>6263.882</v>
      </c>
      <c r="N885" t="inlineStr">
        <is>
          <t>Supplier Reported Emissions</t>
        </is>
      </c>
      <c r="O885" t="b">
        <v>0</v>
      </c>
      <c r="P885" t="inlineStr">
        <is>
          <t>High</t>
        </is>
      </c>
      <c r="Q885" t="inlineStr">
        <is>
          <t>Scope_Emissions</t>
        </is>
      </c>
      <c r="R885" t="inlineStr">
        <is>
          <t>Valid</t>
        </is>
      </c>
      <c r="S885" t="n">
        <v>2028</v>
      </c>
      <c r="T885" t="inlineStr">
        <is>
          <t>Industry Haircut Pathway</t>
        </is>
      </c>
      <c r="U885" t="n">
        <v>7451.9926</v>
      </c>
      <c r="V885" t="n">
        <v>4581.4851</v>
      </c>
      <c r="W885" t="n">
        <v>4964.2194</v>
      </c>
      <c r="X885" t="n">
        <v>4964.2194</v>
      </c>
      <c r="Y885" t="n">
        <v>2487.7732</v>
      </c>
      <c r="Z885" t="n">
        <v>0.00097512</v>
      </c>
      <c r="AA885" t="n">
        <v>0.33384</v>
      </c>
      <c r="AB885" t="n">
        <v>382.7343</v>
      </c>
      <c r="AC885" t="n">
        <v>191.3672</v>
      </c>
      <c r="AD885" t="n">
        <v>6483.83</v>
      </c>
      <c r="AE885" t="n">
        <v>21005.0806</v>
      </c>
      <c r="AF885" t="n">
        <v>0.925</v>
      </c>
      <c r="AG885" t="inlineStr">
        <is>
          <t>Medium</t>
        </is>
      </c>
      <c r="AH885" t="inlineStr">
        <is>
          <t>On Track to Glide Path</t>
        </is>
      </c>
    </row>
    <row r="886">
      <c r="A886" t="inlineStr">
        <is>
          <t>SUP-0056</t>
        </is>
      </c>
      <c r="B886" t="inlineStr">
        <is>
          <t>Metals Supplier 056</t>
        </is>
      </c>
      <c r="C886" t="inlineStr">
        <is>
          <t>Metals</t>
        </is>
      </c>
      <c r="D886" t="n">
        <v>2024</v>
      </c>
      <c r="E886" t="n">
        <v>2015</v>
      </c>
      <c r="F886" t="n">
        <v>2030</v>
      </c>
      <c r="G886" t="n">
        <v>6263.882</v>
      </c>
      <c r="H886" t="inlineStr"/>
      <c r="I886" t="n">
        <v>552.8304000000001</v>
      </c>
      <c r="J886" t="n">
        <v>4955.6678</v>
      </c>
      <c r="K886" t="n">
        <v>5090864.96</v>
      </c>
      <c r="L886" t="n">
        <v>29346554.29</v>
      </c>
      <c r="M886" t="n">
        <v>6263.882</v>
      </c>
      <c r="N886" t="inlineStr">
        <is>
          <t>Supplier Reported Emissions</t>
        </is>
      </c>
      <c r="O886" t="b">
        <v>0</v>
      </c>
      <c r="P886" t="inlineStr">
        <is>
          <t>High</t>
        </is>
      </c>
      <c r="Q886" t="inlineStr">
        <is>
          <t>Scope_Emissions</t>
        </is>
      </c>
      <c r="R886" t="inlineStr">
        <is>
          <t>Valid</t>
        </is>
      </c>
      <c r="S886" t="n">
        <v>2029</v>
      </c>
      <c r="T886" t="inlineStr">
        <is>
          <t>Industry Haircut Pathway</t>
        </is>
      </c>
      <c r="U886" t="n">
        <v>7451.9926</v>
      </c>
      <c r="V886" t="n">
        <v>4581.4851</v>
      </c>
      <c r="W886" t="n">
        <v>4772.8522</v>
      </c>
      <c r="X886" t="n">
        <v>4772.8522</v>
      </c>
      <c r="Y886" t="n">
        <v>2679.1404</v>
      </c>
      <c r="Z886" t="n">
        <v>0.00093753</v>
      </c>
      <c r="AA886" t="n">
        <v>0.35952</v>
      </c>
      <c r="AB886" t="n">
        <v>191.3672</v>
      </c>
      <c r="AC886" t="n">
        <v>191.3672</v>
      </c>
      <c r="AD886" t="n">
        <v>1710.9778</v>
      </c>
      <c r="AE886" t="n">
        <v>25777.9328</v>
      </c>
      <c r="AF886" t="n">
        <v>0.925</v>
      </c>
      <c r="AG886" t="inlineStr">
        <is>
          <t>Medium</t>
        </is>
      </c>
      <c r="AH886" t="inlineStr">
        <is>
          <t>On Track to Glide Path</t>
        </is>
      </c>
    </row>
    <row r="887">
      <c r="A887" t="inlineStr">
        <is>
          <t>SUP-0056</t>
        </is>
      </c>
      <c r="B887" t="inlineStr">
        <is>
          <t>Metals Supplier 056</t>
        </is>
      </c>
      <c r="C887" t="inlineStr">
        <is>
          <t>Metals</t>
        </is>
      </c>
      <c r="D887" t="n">
        <v>2024</v>
      </c>
      <c r="E887" t="n">
        <v>2015</v>
      </c>
      <c r="F887" t="n">
        <v>2030</v>
      </c>
      <c r="G887" t="n">
        <v>6263.882</v>
      </c>
      <c r="H887" t="inlineStr"/>
      <c r="I887" t="n">
        <v>552.8304000000001</v>
      </c>
      <c r="J887" t="n">
        <v>4955.6678</v>
      </c>
      <c r="K887" t="n">
        <v>5090864.96</v>
      </c>
      <c r="L887" t="n">
        <v>29346554.29</v>
      </c>
      <c r="M887" t="n">
        <v>6263.882</v>
      </c>
      <c r="N887" t="inlineStr">
        <is>
          <t>Supplier Reported Emissions</t>
        </is>
      </c>
      <c r="O887" t="b">
        <v>0</v>
      </c>
      <c r="P887" t="inlineStr">
        <is>
          <t>High</t>
        </is>
      </c>
      <c r="Q887" t="inlineStr">
        <is>
          <t>Scope_Emissions</t>
        </is>
      </c>
      <c r="R887" t="inlineStr">
        <is>
          <t>Valid</t>
        </is>
      </c>
      <c r="S887" t="n">
        <v>2030</v>
      </c>
      <c r="T887" t="inlineStr">
        <is>
          <t>Industry Haircut Pathway</t>
        </is>
      </c>
      <c r="U887" t="n">
        <v>7451.9926</v>
      </c>
      <c r="V887" t="n">
        <v>4581.4851</v>
      </c>
      <c r="W887" t="n">
        <v>4581.4851</v>
      </c>
      <c r="X887" t="n">
        <v>4581.4851</v>
      </c>
      <c r="Y887" t="n">
        <v>2870.5075</v>
      </c>
      <c r="Z887" t="n">
        <v>0.00089994</v>
      </c>
      <c r="AA887" t="n">
        <v>0.3852</v>
      </c>
      <c r="AB887" t="n">
        <v>0</v>
      </c>
      <c r="AC887" t="n">
        <v>191.3672</v>
      </c>
      <c r="AD887" t="n">
        <v>-2870.5073</v>
      </c>
      <c r="AE887" t="n">
        <v>30359.4179</v>
      </c>
      <c r="AF887" t="n">
        <v>0.925</v>
      </c>
      <c r="AG887" t="inlineStr">
        <is>
          <t>Low</t>
        </is>
      </c>
      <c r="AH887" t="inlineStr">
        <is>
          <t>On Track</t>
        </is>
      </c>
    </row>
    <row r="888">
      <c r="A888" t="inlineStr">
        <is>
          <t>SUP-0056</t>
        </is>
      </c>
      <c r="B888" t="inlineStr">
        <is>
          <t>Metals Supplier 056</t>
        </is>
      </c>
      <c r="C888" t="inlineStr">
        <is>
          <t>Metals</t>
        </is>
      </c>
      <c r="D888" t="n">
        <v>2024</v>
      </c>
      <c r="E888" t="n">
        <v>2015</v>
      </c>
      <c r="F888" t="n">
        <v>2030</v>
      </c>
      <c r="G888" t="n">
        <v>6263.882</v>
      </c>
      <c r="H888" t="inlineStr"/>
      <c r="I888" t="n">
        <v>552.8304000000001</v>
      </c>
      <c r="J888" t="n">
        <v>4955.6678</v>
      </c>
      <c r="K888" t="n">
        <v>5090864.96</v>
      </c>
      <c r="L888" t="n">
        <v>29346554.29</v>
      </c>
      <c r="M888" t="n">
        <v>6263.882</v>
      </c>
      <c r="N888" t="inlineStr">
        <is>
          <t>Supplier Reported Emissions</t>
        </is>
      </c>
      <c r="O888" t="b">
        <v>0</v>
      </c>
      <c r="P888" t="inlineStr">
        <is>
          <t>High</t>
        </is>
      </c>
      <c r="Q888" t="inlineStr">
        <is>
          <t>Scope_Emissions</t>
        </is>
      </c>
      <c r="R888" t="inlineStr">
        <is>
          <t>Valid</t>
        </is>
      </c>
      <c r="S888" t="n">
        <v>2031</v>
      </c>
      <c r="T888" t="inlineStr">
        <is>
          <t>Industry Haircut Pathway</t>
        </is>
      </c>
      <c r="U888" t="n">
        <v>7451.9926</v>
      </c>
      <c r="V888" t="n">
        <v>4581.4851</v>
      </c>
      <c r="W888" t="n">
        <v>4581.4851</v>
      </c>
      <c r="X888" t="n">
        <v>4581.4851</v>
      </c>
      <c r="Y888" t="n">
        <v>2870.5075</v>
      </c>
      <c r="Z888" t="n">
        <v>0.00089994</v>
      </c>
      <c r="AA888" t="n">
        <v>0.3852</v>
      </c>
      <c r="AB888" t="n">
        <v>0</v>
      </c>
      <c r="AC888" t="n">
        <v>191.3672</v>
      </c>
      <c r="AD888" t="n">
        <v>-7451.9924</v>
      </c>
      <c r="AE888" t="n">
        <v>34940.903</v>
      </c>
      <c r="AF888" t="n">
        <v>0.925</v>
      </c>
      <c r="AG888" t="inlineStr">
        <is>
          <t>Low</t>
        </is>
      </c>
      <c r="AH888" t="inlineStr">
        <is>
          <t>On Track</t>
        </is>
      </c>
    </row>
    <row r="889">
      <c r="A889" t="inlineStr">
        <is>
          <t>SUP-0056</t>
        </is>
      </c>
      <c r="B889" t="inlineStr">
        <is>
          <t>Metals Supplier 056</t>
        </is>
      </c>
      <c r="C889" t="inlineStr">
        <is>
          <t>Metals</t>
        </is>
      </c>
      <c r="D889" t="n">
        <v>2024</v>
      </c>
      <c r="E889" t="n">
        <v>2015</v>
      </c>
      <c r="F889" t="n">
        <v>2030</v>
      </c>
      <c r="G889" t="n">
        <v>6263.882</v>
      </c>
      <c r="H889" t="inlineStr"/>
      <c r="I889" t="n">
        <v>552.8304000000001</v>
      </c>
      <c r="J889" t="n">
        <v>4955.6678</v>
      </c>
      <c r="K889" t="n">
        <v>5090864.96</v>
      </c>
      <c r="L889" t="n">
        <v>29346554.29</v>
      </c>
      <c r="M889" t="n">
        <v>6263.882</v>
      </c>
      <c r="N889" t="inlineStr">
        <is>
          <t>Supplier Reported Emissions</t>
        </is>
      </c>
      <c r="O889" t="b">
        <v>0</v>
      </c>
      <c r="P889" t="inlineStr">
        <is>
          <t>High</t>
        </is>
      </c>
      <c r="Q889" t="inlineStr">
        <is>
          <t>Scope_Emissions</t>
        </is>
      </c>
      <c r="R889" t="inlineStr">
        <is>
          <t>Valid</t>
        </is>
      </c>
      <c r="S889" t="n">
        <v>2032</v>
      </c>
      <c r="T889" t="inlineStr">
        <is>
          <t>Industry Haircut Pathway</t>
        </is>
      </c>
      <c r="U889" t="n">
        <v>7451.9926</v>
      </c>
      <c r="V889" t="n">
        <v>4581.4851</v>
      </c>
      <c r="W889" t="n">
        <v>4581.4851</v>
      </c>
      <c r="X889" t="n">
        <v>4581.4851</v>
      </c>
      <c r="Y889" t="n">
        <v>2870.5075</v>
      </c>
      <c r="Z889" t="n">
        <v>0.00089994</v>
      </c>
      <c r="AA889" t="n">
        <v>0.3852</v>
      </c>
      <c r="AB889" t="n">
        <v>0</v>
      </c>
      <c r="AC889" t="n">
        <v>191.3672</v>
      </c>
      <c r="AD889" t="n">
        <v>-12033.4775</v>
      </c>
      <c r="AE889" t="n">
        <v>39522.3881</v>
      </c>
      <c r="AF889" t="n">
        <v>0.925</v>
      </c>
      <c r="AG889" t="inlineStr">
        <is>
          <t>Low</t>
        </is>
      </c>
      <c r="AH889" t="inlineStr">
        <is>
          <t>On Track</t>
        </is>
      </c>
    </row>
    <row r="890">
      <c r="A890" t="inlineStr">
        <is>
          <t>SUP-0056</t>
        </is>
      </c>
      <c r="B890" t="inlineStr">
        <is>
          <t>Metals Supplier 056</t>
        </is>
      </c>
      <c r="C890" t="inlineStr">
        <is>
          <t>Metals</t>
        </is>
      </c>
      <c r="D890" t="n">
        <v>2024</v>
      </c>
      <c r="E890" t="n">
        <v>2015</v>
      </c>
      <c r="F890" t="n">
        <v>2030</v>
      </c>
      <c r="G890" t="n">
        <v>6263.882</v>
      </c>
      <c r="H890" t="inlineStr"/>
      <c r="I890" t="n">
        <v>552.8304000000001</v>
      </c>
      <c r="J890" t="n">
        <v>4955.6678</v>
      </c>
      <c r="K890" t="n">
        <v>5090864.96</v>
      </c>
      <c r="L890" t="n">
        <v>29346554.29</v>
      </c>
      <c r="M890" t="n">
        <v>6263.882</v>
      </c>
      <c r="N890" t="inlineStr">
        <is>
          <t>Supplier Reported Emissions</t>
        </is>
      </c>
      <c r="O890" t="b">
        <v>0</v>
      </c>
      <c r="P890" t="inlineStr">
        <is>
          <t>High</t>
        </is>
      </c>
      <c r="Q890" t="inlineStr">
        <is>
          <t>Scope_Emissions</t>
        </is>
      </c>
      <c r="R890" t="inlineStr">
        <is>
          <t>Valid</t>
        </is>
      </c>
      <c r="S890" t="n">
        <v>2033</v>
      </c>
      <c r="T890" t="inlineStr">
        <is>
          <t>Industry Haircut Pathway</t>
        </is>
      </c>
      <c r="U890" t="n">
        <v>7451.9926</v>
      </c>
      <c r="V890" t="n">
        <v>4581.4851</v>
      </c>
      <c r="W890" t="n">
        <v>4581.4851</v>
      </c>
      <c r="X890" t="n">
        <v>4581.4851</v>
      </c>
      <c r="Y890" t="n">
        <v>2870.5075</v>
      </c>
      <c r="Z890" t="n">
        <v>0.00089994</v>
      </c>
      <c r="AA890" t="n">
        <v>0.3852</v>
      </c>
      <c r="AB890" t="n">
        <v>0</v>
      </c>
      <c r="AC890" t="n">
        <v>191.3672</v>
      </c>
      <c r="AD890" t="n">
        <v>-16614.9626</v>
      </c>
      <c r="AE890" t="n">
        <v>44103.8732</v>
      </c>
      <c r="AF890" t="n">
        <v>0.925</v>
      </c>
      <c r="AG890" t="inlineStr">
        <is>
          <t>Low</t>
        </is>
      </c>
      <c r="AH890" t="inlineStr">
        <is>
          <t>On Track</t>
        </is>
      </c>
    </row>
    <row r="891">
      <c r="A891" t="inlineStr">
        <is>
          <t>SUP-0056</t>
        </is>
      </c>
      <c r="B891" t="inlineStr">
        <is>
          <t>Metals Supplier 056</t>
        </is>
      </c>
      <c r="C891" t="inlineStr">
        <is>
          <t>Metals</t>
        </is>
      </c>
      <c r="D891" t="n">
        <v>2024</v>
      </c>
      <c r="E891" t="n">
        <v>2015</v>
      </c>
      <c r="F891" t="n">
        <v>2030</v>
      </c>
      <c r="G891" t="n">
        <v>6263.882</v>
      </c>
      <c r="H891" t="inlineStr"/>
      <c r="I891" t="n">
        <v>552.8304000000001</v>
      </c>
      <c r="J891" t="n">
        <v>4955.6678</v>
      </c>
      <c r="K891" t="n">
        <v>5090864.96</v>
      </c>
      <c r="L891" t="n">
        <v>29346554.29</v>
      </c>
      <c r="M891" t="n">
        <v>6263.882</v>
      </c>
      <c r="N891" t="inlineStr">
        <is>
          <t>Supplier Reported Emissions</t>
        </is>
      </c>
      <c r="O891" t="b">
        <v>0</v>
      </c>
      <c r="P891" t="inlineStr">
        <is>
          <t>High</t>
        </is>
      </c>
      <c r="Q891" t="inlineStr">
        <is>
          <t>Scope_Emissions</t>
        </is>
      </c>
      <c r="R891" t="inlineStr">
        <is>
          <t>Valid</t>
        </is>
      </c>
      <c r="S891" t="n">
        <v>2034</v>
      </c>
      <c r="T891" t="inlineStr">
        <is>
          <t>Industry Haircut Pathway</t>
        </is>
      </c>
      <c r="U891" t="n">
        <v>7451.9926</v>
      </c>
      <c r="V891" t="n">
        <v>4581.4851</v>
      </c>
      <c r="W891" t="n">
        <v>4581.4851</v>
      </c>
      <c r="X891" t="n">
        <v>4581.4851</v>
      </c>
      <c r="Y891" t="n">
        <v>2870.5075</v>
      </c>
      <c r="Z891" t="n">
        <v>0.00089994</v>
      </c>
      <c r="AA891" t="n">
        <v>0.3852</v>
      </c>
      <c r="AB891" t="n">
        <v>0</v>
      </c>
      <c r="AC891" t="n">
        <v>191.3672</v>
      </c>
      <c r="AD891" t="n">
        <v>-21196.4477</v>
      </c>
      <c r="AE891" t="n">
        <v>48685.3583</v>
      </c>
      <c r="AF891" t="n">
        <v>0.925</v>
      </c>
      <c r="AG891" t="inlineStr">
        <is>
          <t>Low</t>
        </is>
      </c>
      <c r="AH891" t="inlineStr">
        <is>
          <t>On Track</t>
        </is>
      </c>
    </row>
    <row r="892">
      <c r="A892" t="inlineStr">
        <is>
          <t>SUP-0056</t>
        </is>
      </c>
      <c r="B892" t="inlineStr">
        <is>
          <t>Metals Supplier 056</t>
        </is>
      </c>
      <c r="C892" t="inlineStr">
        <is>
          <t>Metals</t>
        </is>
      </c>
      <c r="D892" t="n">
        <v>2024</v>
      </c>
      <c r="E892" t="n">
        <v>2015</v>
      </c>
      <c r="F892" t="n">
        <v>2030</v>
      </c>
      <c r="G892" t="n">
        <v>6263.882</v>
      </c>
      <c r="H892" t="inlineStr"/>
      <c r="I892" t="n">
        <v>552.8304000000001</v>
      </c>
      <c r="J892" t="n">
        <v>4955.6678</v>
      </c>
      <c r="K892" t="n">
        <v>5090864.96</v>
      </c>
      <c r="L892" t="n">
        <v>29346554.29</v>
      </c>
      <c r="M892" t="n">
        <v>6263.882</v>
      </c>
      <c r="N892" t="inlineStr">
        <is>
          <t>Supplier Reported Emissions</t>
        </is>
      </c>
      <c r="O892" t="b">
        <v>0</v>
      </c>
      <c r="P892" t="inlineStr">
        <is>
          <t>High</t>
        </is>
      </c>
      <c r="Q892" t="inlineStr">
        <is>
          <t>Scope_Emissions</t>
        </is>
      </c>
      <c r="R892" t="inlineStr">
        <is>
          <t>Valid</t>
        </is>
      </c>
      <c r="S892" t="n">
        <v>2035</v>
      </c>
      <c r="T892" t="inlineStr">
        <is>
          <t>Industry Haircut Pathway</t>
        </is>
      </c>
      <c r="U892" t="n">
        <v>7451.9926</v>
      </c>
      <c r="V892" t="n">
        <v>4581.4851</v>
      </c>
      <c r="W892" t="n">
        <v>4581.4851</v>
      </c>
      <c r="X892" t="n">
        <v>4581.4851</v>
      </c>
      <c r="Y892" t="n">
        <v>2870.5075</v>
      </c>
      <c r="Z892" t="n">
        <v>0.00089994</v>
      </c>
      <c r="AA892" t="n">
        <v>0.3852</v>
      </c>
      <c r="AB892" t="n">
        <v>0</v>
      </c>
      <c r="AC892" t="n">
        <v>191.3672</v>
      </c>
      <c r="AD892" t="n">
        <v>-25777.9328</v>
      </c>
      <c r="AE892" t="n">
        <v>53266.8434</v>
      </c>
      <c r="AF892" t="n">
        <v>0.925</v>
      </c>
      <c r="AG892" t="inlineStr">
        <is>
          <t>Low</t>
        </is>
      </c>
      <c r="AH892" t="inlineStr">
        <is>
          <t>On Track</t>
        </is>
      </c>
    </row>
    <row r="893">
      <c r="A893" t="inlineStr">
        <is>
          <t>SUP-0056</t>
        </is>
      </c>
      <c r="B893" t="inlineStr">
        <is>
          <t>Metals Supplier 056</t>
        </is>
      </c>
      <c r="C893" t="inlineStr">
        <is>
          <t>Metals</t>
        </is>
      </c>
      <c r="D893" t="n">
        <v>2024</v>
      </c>
      <c r="E893" t="n">
        <v>2015</v>
      </c>
      <c r="F893" t="n">
        <v>2030</v>
      </c>
      <c r="G893" t="n">
        <v>6263.882</v>
      </c>
      <c r="H893" t="inlineStr"/>
      <c r="I893" t="n">
        <v>552.8304000000001</v>
      </c>
      <c r="J893" t="n">
        <v>4955.6678</v>
      </c>
      <c r="K893" t="n">
        <v>5090864.96</v>
      </c>
      <c r="L893" t="n">
        <v>29346554.29</v>
      </c>
      <c r="M893" t="n">
        <v>6263.882</v>
      </c>
      <c r="N893" t="inlineStr">
        <is>
          <t>Supplier Reported Emissions</t>
        </is>
      </c>
      <c r="O893" t="b">
        <v>0</v>
      </c>
      <c r="P893" t="inlineStr">
        <is>
          <t>High</t>
        </is>
      </c>
      <c r="Q893" t="inlineStr">
        <is>
          <t>Scope_Emissions</t>
        </is>
      </c>
      <c r="R893" t="inlineStr">
        <is>
          <t>Valid</t>
        </is>
      </c>
      <c r="S893" t="n">
        <v>2036</v>
      </c>
      <c r="T893" t="inlineStr">
        <is>
          <t>Industry Haircut Pathway</t>
        </is>
      </c>
      <c r="U893" t="n">
        <v>7451.9926</v>
      </c>
      <c r="V893" t="n">
        <v>4581.4851</v>
      </c>
      <c r="W893" t="n">
        <v>4581.4851</v>
      </c>
      <c r="X893" t="n">
        <v>4581.4851</v>
      </c>
      <c r="Y893" t="n">
        <v>2870.5075</v>
      </c>
      <c r="Z893" t="n">
        <v>0.00089994</v>
      </c>
      <c r="AA893" t="n">
        <v>0.3852</v>
      </c>
      <c r="AB893" t="n">
        <v>0</v>
      </c>
      <c r="AC893" t="n">
        <v>191.3672</v>
      </c>
      <c r="AD893" t="n">
        <v>-30359.4179</v>
      </c>
      <c r="AE893" t="n">
        <v>57848.3285</v>
      </c>
      <c r="AF893" t="n">
        <v>0.925</v>
      </c>
      <c r="AG893" t="inlineStr">
        <is>
          <t>Low</t>
        </is>
      </c>
      <c r="AH893" t="inlineStr">
        <is>
          <t>On Track</t>
        </is>
      </c>
    </row>
    <row r="894">
      <c r="A894" t="inlineStr">
        <is>
          <t>SUP-0056</t>
        </is>
      </c>
      <c r="B894" t="inlineStr">
        <is>
          <t>Metals Supplier 056</t>
        </is>
      </c>
      <c r="C894" t="inlineStr">
        <is>
          <t>Metals</t>
        </is>
      </c>
      <c r="D894" t="n">
        <v>2024</v>
      </c>
      <c r="E894" t="n">
        <v>2015</v>
      </c>
      <c r="F894" t="n">
        <v>2030</v>
      </c>
      <c r="G894" t="n">
        <v>6263.882</v>
      </c>
      <c r="H894" t="inlineStr"/>
      <c r="I894" t="n">
        <v>552.8304000000001</v>
      </c>
      <c r="J894" t="n">
        <v>4955.6678</v>
      </c>
      <c r="K894" t="n">
        <v>5090864.96</v>
      </c>
      <c r="L894" t="n">
        <v>29346554.29</v>
      </c>
      <c r="M894" t="n">
        <v>6263.882</v>
      </c>
      <c r="N894" t="inlineStr">
        <is>
          <t>Supplier Reported Emissions</t>
        </is>
      </c>
      <c r="O894" t="b">
        <v>0</v>
      </c>
      <c r="P894" t="inlineStr">
        <is>
          <t>High</t>
        </is>
      </c>
      <c r="Q894" t="inlineStr">
        <is>
          <t>Scope_Emissions</t>
        </is>
      </c>
      <c r="R894" t="inlineStr">
        <is>
          <t>Valid</t>
        </is>
      </c>
      <c r="S894" t="n">
        <v>2037</v>
      </c>
      <c r="T894" t="inlineStr">
        <is>
          <t>Industry Haircut Pathway</t>
        </is>
      </c>
      <c r="U894" t="n">
        <v>7451.9926</v>
      </c>
      <c r="V894" t="n">
        <v>4581.4851</v>
      </c>
      <c r="W894" t="n">
        <v>4581.4851</v>
      </c>
      <c r="X894" t="n">
        <v>4581.4851</v>
      </c>
      <c r="Y894" t="n">
        <v>2870.5075</v>
      </c>
      <c r="Z894" t="n">
        <v>0.00089994</v>
      </c>
      <c r="AA894" t="n">
        <v>0.3852</v>
      </c>
      <c r="AB894" t="n">
        <v>0</v>
      </c>
      <c r="AC894" t="n">
        <v>191.3672</v>
      </c>
      <c r="AD894" t="n">
        <v>-34940.903</v>
      </c>
      <c r="AE894" t="n">
        <v>62429.8136</v>
      </c>
      <c r="AF894" t="n">
        <v>0.925</v>
      </c>
      <c r="AG894" t="inlineStr">
        <is>
          <t>Low</t>
        </is>
      </c>
      <c r="AH894" t="inlineStr">
        <is>
          <t>On Track</t>
        </is>
      </c>
    </row>
    <row r="895">
      <c r="A895" t="inlineStr">
        <is>
          <t>SUP-0056</t>
        </is>
      </c>
      <c r="B895" t="inlineStr">
        <is>
          <t>Metals Supplier 056</t>
        </is>
      </c>
      <c r="C895" t="inlineStr">
        <is>
          <t>Metals</t>
        </is>
      </c>
      <c r="D895" t="n">
        <v>2024</v>
      </c>
      <c r="E895" t="n">
        <v>2015</v>
      </c>
      <c r="F895" t="n">
        <v>2030</v>
      </c>
      <c r="G895" t="n">
        <v>6263.882</v>
      </c>
      <c r="H895" t="inlineStr"/>
      <c r="I895" t="n">
        <v>552.8304000000001</v>
      </c>
      <c r="J895" t="n">
        <v>4955.6678</v>
      </c>
      <c r="K895" t="n">
        <v>5090864.96</v>
      </c>
      <c r="L895" t="n">
        <v>29346554.29</v>
      </c>
      <c r="M895" t="n">
        <v>6263.882</v>
      </c>
      <c r="N895" t="inlineStr">
        <is>
          <t>Supplier Reported Emissions</t>
        </is>
      </c>
      <c r="O895" t="b">
        <v>0</v>
      </c>
      <c r="P895" t="inlineStr">
        <is>
          <t>High</t>
        </is>
      </c>
      <c r="Q895" t="inlineStr">
        <is>
          <t>Scope_Emissions</t>
        </is>
      </c>
      <c r="R895" t="inlineStr">
        <is>
          <t>Valid</t>
        </is>
      </c>
      <c r="S895" t="n">
        <v>2038</v>
      </c>
      <c r="T895" t="inlineStr">
        <is>
          <t>Industry Haircut Pathway</t>
        </is>
      </c>
      <c r="U895" t="n">
        <v>7451.9926</v>
      </c>
      <c r="V895" t="n">
        <v>4581.4851</v>
      </c>
      <c r="W895" t="n">
        <v>4581.4851</v>
      </c>
      <c r="X895" t="n">
        <v>4581.4851</v>
      </c>
      <c r="Y895" t="n">
        <v>2870.5075</v>
      </c>
      <c r="Z895" t="n">
        <v>0.00089994</v>
      </c>
      <c r="AA895" t="n">
        <v>0.3852</v>
      </c>
      <c r="AB895" t="n">
        <v>0</v>
      </c>
      <c r="AC895" t="n">
        <v>191.3672</v>
      </c>
      <c r="AD895" t="n">
        <v>-39522.3881</v>
      </c>
      <c r="AE895" t="n">
        <v>67011.2987</v>
      </c>
      <c r="AF895" t="n">
        <v>0.925</v>
      </c>
      <c r="AG895" t="inlineStr">
        <is>
          <t>Low</t>
        </is>
      </c>
      <c r="AH895" t="inlineStr">
        <is>
          <t>On Track</t>
        </is>
      </c>
    </row>
    <row r="896">
      <c r="A896" t="inlineStr">
        <is>
          <t>SUP-0056</t>
        </is>
      </c>
      <c r="B896" t="inlineStr">
        <is>
          <t>Metals Supplier 056</t>
        </is>
      </c>
      <c r="C896" t="inlineStr">
        <is>
          <t>Metals</t>
        </is>
      </c>
      <c r="D896" t="n">
        <v>2024</v>
      </c>
      <c r="E896" t="n">
        <v>2015</v>
      </c>
      <c r="F896" t="n">
        <v>2030</v>
      </c>
      <c r="G896" t="n">
        <v>6263.882</v>
      </c>
      <c r="H896" t="inlineStr"/>
      <c r="I896" t="n">
        <v>552.8304000000001</v>
      </c>
      <c r="J896" t="n">
        <v>4955.6678</v>
      </c>
      <c r="K896" t="n">
        <v>5090864.96</v>
      </c>
      <c r="L896" t="n">
        <v>29346554.29</v>
      </c>
      <c r="M896" t="n">
        <v>6263.882</v>
      </c>
      <c r="N896" t="inlineStr">
        <is>
          <t>Supplier Reported Emissions</t>
        </is>
      </c>
      <c r="O896" t="b">
        <v>0</v>
      </c>
      <c r="P896" t="inlineStr">
        <is>
          <t>High</t>
        </is>
      </c>
      <c r="Q896" t="inlineStr">
        <is>
          <t>Scope_Emissions</t>
        </is>
      </c>
      <c r="R896" t="inlineStr">
        <is>
          <t>Valid</t>
        </is>
      </c>
      <c r="S896" t="n">
        <v>2039</v>
      </c>
      <c r="T896" t="inlineStr">
        <is>
          <t>Industry Haircut Pathway</t>
        </is>
      </c>
      <c r="U896" t="n">
        <v>7451.9926</v>
      </c>
      <c r="V896" t="n">
        <v>4581.4851</v>
      </c>
      <c r="W896" t="n">
        <v>4581.4851</v>
      </c>
      <c r="X896" t="n">
        <v>4581.4851</v>
      </c>
      <c r="Y896" t="n">
        <v>2870.5075</v>
      </c>
      <c r="Z896" t="n">
        <v>0.00089994</v>
      </c>
      <c r="AA896" t="n">
        <v>0.3852</v>
      </c>
      <c r="AB896" t="n">
        <v>0</v>
      </c>
      <c r="AC896" t="n">
        <v>191.3672</v>
      </c>
      <c r="AD896" t="n">
        <v>-44103.8732</v>
      </c>
      <c r="AE896" t="n">
        <v>71592.7838</v>
      </c>
      <c r="AF896" t="n">
        <v>0.925</v>
      </c>
      <c r="AG896" t="inlineStr">
        <is>
          <t>Low</t>
        </is>
      </c>
      <c r="AH896" t="inlineStr">
        <is>
          <t>On Track</t>
        </is>
      </c>
    </row>
    <row r="897">
      <c r="A897" t="inlineStr">
        <is>
          <t>SUP-0056</t>
        </is>
      </c>
      <c r="B897" t="inlineStr">
        <is>
          <t>Metals Supplier 056</t>
        </is>
      </c>
      <c r="C897" t="inlineStr">
        <is>
          <t>Metals</t>
        </is>
      </c>
      <c r="D897" t="n">
        <v>2024</v>
      </c>
      <c r="E897" t="n">
        <v>2015</v>
      </c>
      <c r="F897" t="n">
        <v>2030</v>
      </c>
      <c r="G897" t="n">
        <v>6263.882</v>
      </c>
      <c r="H897" t="inlineStr"/>
      <c r="I897" t="n">
        <v>552.8304000000001</v>
      </c>
      <c r="J897" t="n">
        <v>4955.6678</v>
      </c>
      <c r="K897" t="n">
        <v>5090864.96</v>
      </c>
      <c r="L897" t="n">
        <v>29346554.29</v>
      </c>
      <c r="M897" t="n">
        <v>6263.882</v>
      </c>
      <c r="N897" t="inlineStr">
        <is>
          <t>Supplier Reported Emissions</t>
        </is>
      </c>
      <c r="O897" t="b">
        <v>0</v>
      </c>
      <c r="P897" t="inlineStr">
        <is>
          <t>High</t>
        </is>
      </c>
      <c r="Q897" t="inlineStr">
        <is>
          <t>Scope_Emissions</t>
        </is>
      </c>
      <c r="R897" t="inlineStr">
        <is>
          <t>Valid</t>
        </is>
      </c>
      <c r="S897" t="n">
        <v>2040</v>
      </c>
      <c r="T897" t="inlineStr">
        <is>
          <t>Industry Haircut Pathway</t>
        </is>
      </c>
      <c r="U897" t="n">
        <v>7451.9926</v>
      </c>
      <c r="V897" t="n">
        <v>4581.4851</v>
      </c>
      <c r="W897" t="n">
        <v>4581.4851</v>
      </c>
      <c r="X897" t="n">
        <v>4581.4851</v>
      </c>
      <c r="Y897" t="n">
        <v>2870.5075</v>
      </c>
      <c r="Z897" t="n">
        <v>0.00089994</v>
      </c>
      <c r="AA897" t="n">
        <v>0.3852</v>
      </c>
      <c r="AB897" t="n">
        <v>0</v>
      </c>
      <c r="AC897" t="n">
        <v>191.3672</v>
      </c>
      <c r="AD897" t="n">
        <v>-48685.3583</v>
      </c>
      <c r="AE897" t="n">
        <v>76174.2689</v>
      </c>
      <c r="AF897" t="n">
        <v>0.925</v>
      </c>
      <c r="AG897" t="inlineStr">
        <is>
          <t>Low</t>
        </is>
      </c>
      <c r="AH897" t="inlineStr">
        <is>
          <t>On Track</t>
        </is>
      </c>
    </row>
    <row r="898">
      <c r="A898" t="inlineStr">
        <is>
          <t>SUP-0057</t>
        </is>
      </c>
      <c r="B898" t="inlineStr">
        <is>
          <t>Logistics Supplier 057</t>
        </is>
      </c>
      <c r="C898" t="inlineStr">
        <is>
          <t>Logistics</t>
        </is>
      </c>
      <c r="D898" t="n">
        <v>2024</v>
      </c>
      <c r="E898" t="n">
        <v>2015</v>
      </c>
      <c r="F898" t="n">
        <v>2040</v>
      </c>
      <c r="G898" t="n">
        <v>1525.2634</v>
      </c>
      <c r="H898" t="n">
        <v>419.5206</v>
      </c>
      <c r="I898" t="n">
        <v>124.3128</v>
      </c>
      <c r="J898" t="n">
        <v>1060.4006</v>
      </c>
      <c r="K898" t="n">
        <v>14118857.58</v>
      </c>
      <c r="L898" t="n">
        <v>75357958.47</v>
      </c>
      <c r="M898" t="n">
        <v>1525.2634</v>
      </c>
      <c r="N898" t="inlineStr">
        <is>
          <t>Supplier Reported Emissions</t>
        </is>
      </c>
      <c r="O898" t="b">
        <v>0</v>
      </c>
      <c r="P898" t="inlineStr">
        <is>
          <t>High</t>
        </is>
      </c>
      <c r="Q898" t="inlineStr">
        <is>
          <t>None</t>
        </is>
      </c>
      <c r="R898" t="inlineStr">
        <is>
          <t>Valid</t>
        </is>
      </c>
      <c r="S898" t="n">
        <v>2025</v>
      </c>
      <c r="T898" t="inlineStr">
        <is>
          <t>Industry Haircut Pathway</t>
        </is>
      </c>
      <c r="U898" t="n">
        <v>1317.7511</v>
      </c>
      <c r="V898" t="n">
        <v>709.4772</v>
      </c>
      <c r="W898" t="n">
        <v>1074.4415</v>
      </c>
      <c r="X898" t="n">
        <v>1074.4415</v>
      </c>
      <c r="Y898" t="n">
        <v>243.3096</v>
      </c>
      <c r="Z898" t="n">
        <v>7.610000000000001e-05</v>
      </c>
      <c r="AA898" t="n">
        <v>0.18464</v>
      </c>
      <c r="AB898" t="n">
        <v>364.9643</v>
      </c>
      <c r="AC898" t="n">
        <v>24.331</v>
      </c>
      <c r="AD898" t="n">
        <v>10277.1937</v>
      </c>
      <c r="AE898" t="n">
        <v>1074.4415</v>
      </c>
      <c r="AF898" t="n">
        <v>0.9360000000000001</v>
      </c>
      <c r="AG898" t="inlineStr">
        <is>
          <t>Critical</t>
        </is>
      </c>
      <c r="AH898" t="inlineStr">
        <is>
          <t>On Track to Glide Path</t>
        </is>
      </c>
    </row>
    <row r="899">
      <c r="A899" t="inlineStr">
        <is>
          <t>SUP-0057</t>
        </is>
      </c>
      <c r="B899" t="inlineStr">
        <is>
          <t>Logistics Supplier 057</t>
        </is>
      </c>
      <c r="C899" t="inlineStr">
        <is>
          <t>Logistics</t>
        </is>
      </c>
      <c r="D899" t="n">
        <v>2024</v>
      </c>
      <c r="E899" t="n">
        <v>2015</v>
      </c>
      <c r="F899" t="n">
        <v>2040</v>
      </c>
      <c r="G899" t="n">
        <v>1525.2634</v>
      </c>
      <c r="H899" t="n">
        <v>419.5206</v>
      </c>
      <c r="I899" t="n">
        <v>124.3128</v>
      </c>
      <c r="J899" t="n">
        <v>1060.4006</v>
      </c>
      <c r="K899" t="n">
        <v>14118857.58</v>
      </c>
      <c r="L899" t="n">
        <v>75357958.47</v>
      </c>
      <c r="M899" t="n">
        <v>1525.2634</v>
      </c>
      <c r="N899" t="inlineStr">
        <is>
          <t>Supplier Reported Emissions</t>
        </is>
      </c>
      <c r="O899" t="b">
        <v>0</v>
      </c>
      <c r="P899" t="inlineStr">
        <is>
          <t>High</t>
        </is>
      </c>
      <c r="Q899" t="inlineStr">
        <is>
          <t>None</t>
        </is>
      </c>
      <c r="R899" t="inlineStr">
        <is>
          <t>Valid</t>
        </is>
      </c>
      <c r="S899" t="n">
        <v>2026</v>
      </c>
      <c r="T899" t="inlineStr">
        <is>
          <t>Industry Haircut Pathway</t>
        </is>
      </c>
      <c r="U899" t="n">
        <v>1317.7511</v>
      </c>
      <c r="V899" t="n">
        <v>709.4772</v>
      </c>
      <c r="W899" t="n">
        <v>1050.1106</v>
      </c>
      <c r="X899" t="n">
        <v>1050.1106</v>
      </c>
      <c r="Y899" t="n">
        <v>267.6405</v>
      </c>
      <c r="Z899" t="n">
        <v>7.438e-05</v>
      </c>
      <c r="AA899" t="n">
        <v>0.203104</v>
      </c>
      <c r="AB899" t="n">
        <v>340.6334</v>
      </c>
      <c r="AC899" t="n">
        <v>24.331</v>
      </c>
      <c r="AD899" t="n">
        <v>9227.0831</v>
      </c>
      <c r="AE899" t="n">
        <v>2124.5521</v>
      </c>
      <c r="AF899" t="n">
        <v>0.9360000000000001</v>
      </c>
      <c r="AG899" t="inlineStr">
        <is>
          <t>Critical</t>
        </is>
      </c>
      <c r="AH899" t="inlineStr">
        <is>
          <t>On Track to Glide Path</t>
        </is>
      </c>
    </row>
    <row r="900">
      <c r="A900" t="inlineStr">
        <is>
          <t>SUP-0057</t>
        </is>
      </c>
      <c r="B900" t="inlineStr">
        <is>
          <t>Logistics Supplier 057</t>
        </is>
      </c>
      <c r="C900" t="inlineStr">
        <is>
          <t>Logistics</t>
        </is>
      </c>
      <c r="D900" t="n">
        <v>2024</v>
      </c>
      <c r="E900" t="n">
        <v>2015</v>
      </c>
      <c r="F900" t="n">
        <v>2040</v>
      </c>
      <c r="G900" t="n">
        <v>1525.2634</v>
      </c>
      <c r="H900" t="n">
        <v>419.5206</v>
      </c>
      <c r="I900" t="n">
        <v>124.3128</v>
      </c>
      <c r="J900" t="n">
        <v>1060.4006</v>
      </c>
      <c r="K900" t="n">
        <v>14118857.58</v>
      </c>
      <c r="L900" t="n">
        <v>75357958.47</v>
      </c>
      <c r="M900" t="n">
        <v>1525.2634</v>
      </c>
      <c r="N900" t="inlineStr">
        <is>
          <t>Supplier Reported Emissions</t>
        </is>
      </c>
      <c r="O900" t="b">
        <v>0</v>
      </c>
      <c r="P900" t="inlineStr">
        <is>
          <t>High</t>
        </is>
      </c>
      <c r="Q900" t="inlineStr">
        <is>
          <t>None</t>
        </is>
      </c>
      <c r="R900" t="inlineStr">
        <is>
          <t>Valid</t>
        </is>
      </c>
      <c r="S900" t="n">
        <v>2027</v>
      </c>
      <c r="T900" t="inlineStr">
        <is>
          <t>Industry Haircut Pathway</t>
        </is>
      </c>
      <c r="U900" t="n">
        <v>1317.7511</v>
      </c>
      <c r="V900" t="n">
        <v>709.4772</v>
      </c>
      <c r="W900" t="n">
        <v>1025.7796</v>
      </c>
      <c r="X900" t="n">
        <v>1025.7796</v>
      </c>
      <c r="Y900" t="n">
        <v>291.9715</v>
      </c>
      <c r="Z900" t="n">
        <v>7.265e-05</v>
      </c>
      <c r="AA900" t="n">
        <v>0.221568</v>
      </c>
      <c r="AB900" t="n">
        <v>316.3024</v>
      </c>
      <c r="AC900" t="n">
        <v>24.331</v>
      </c>
      <c r="AD900" t="n">
        <v>8201.3035</v>
      </c>
      <c r="AE900" t="n">
        <v>3150.3317</v>
      </c>
      <c r="AF900" t="n">
        <v>0.9360000000000001</v>
      </c>
      <c r="AG900" t="inlineStr">
        <is>
          <t>Critical</t>
        </is>
      </c>
      <c r="AH900" t="inlineStr">
        <is>
          <t>On Track to Glide Path</t>
        </is>
      </c>
    </row>
    <row r="901">
      <c r="A901" t="inlineStr">
        <is>
          <t>SUP-0057</t>
        </is>
      </c>
      <c r="B901" t="inlineStr">
        <is>
          <t>Logistics Supplier 057</t>
        </is>
      </c>
      <c r="C901" t="inlineStr">
        <is>
          <t>Logistics</t>
        </is>
      </c>
      <c r="D901" t="n">
        <v>2024</v>
      </c>
      <c r="E901" t="n">
        <v>2015</v>
      </c>
      <c r="F901" t="n">
        <v>2040</v>
      </c>
      <c r="G901" t="n">
        <v>1525.2634</v>
      </c>
      <c r="H901" t="n">
        <v>419.5206</v>
      </c>
      <c r="I901" t="n">
        <v>124.3128</v>
      </c>
      <c r="J901" t="n">
        <v>1060.4006</v>
      </c>
      <c r="K901" t="n">
        <v>14118857.58</v>
      </c>
      <c r="L901" t="n">
        <v>75357958.47</v>
      </c>
      <c r="M901" t="n">
        <v>1525.2634</v>
      </c>
      <c r="N901" t="inlineStr">
        <is>
          <t>Supplier Reported Emissions</t>
        </is>
      </c>
      <c r="O901" t="b">
        <v>0</v>
      </c>
      <c r="P901" t="inlineStr">
        <is>
          <t>High</t>
        </is>
      </c>
      <c r="Q901" t="inlineStr">
        <is>
          <t>None</t>
        </is>
      </c>
      <c r="R901" t="inlineStr">
        <is>
          <t>Valid</t>
        </is>
      </c>
      <c r="S901" t="n">
        <v>2028</v>
      </c>
      <c r="T901" t="inlineStr">
        <is>
          <t>Industry Haircut Pathway</t>
        </is>
      </c>
      <c r="U901" t="n">
        <v>1317.7511</v>
      </c>
      <c r="V901" t="n">
        <v>709.4772</v>
      </c>
      <c r="W901" t="n">
        <v>1001.4487</v>
      </c>
      <c r="X901" t="n">
        <v>1001.4487</v>
      </c>
      <c r="Y901" t="n">
        <v>316.3024</v>
      </c>
      <c r="Z901" t="n">
        <v>7.093e-05</v>
      </c>
      <c r="AA901" t="n">
        <v>0.240032</v>
      </c>
      <c r="AB901" t="n">
        <v>291.9715</v>
      </c>
      <c r="AC901" t="n">
        <v>24.331</v>
      </c>
      <c r="AD901" t="n">
        <v>7199.8548</v>
      </c>
      <c r="AE901" t="n">
        <v>4151.7804</v>
      </c>
      <c r="AF901" t="n">
        <v>0.9360000000000001</v>
      </c>
      <c r="AG901" t="inlineStr">
        <is>
          <t>Critical</t>
        </is>
      </c>
      <c r="AH901" t="inlineStr">
        <is>
          <t>On Track to Glide Path</t>
        </is>
      </c>
    </row>
    <row r="902">
      <c r="A902" t="inlineStr">
        <is>
          <t>SUP-0057</t>
        </is>
      </c>
      <c r="B902" t="inlineStr">
        <is>
          <t>Logistics Supplier 057</t>
        </is>
      </c>
      <c r="C902" t="inlineStr">
        <is>
          <t>Logistics</t>
        </is>
      </c>
      <c r="D902" t="n">
        <v>2024</v>
      </c>
      <c r="E902" t="n">
        <v>2015</v>
      </c>
      <c r="F902" t="n">
        <v>2040</v>
      </c>
      <c r="G902" t="n">
        <v>1525.2634</v>
      </c>
      <c r="H902" t="n">
        <v>419.5206</v>
      </c>
      <c r="I902" t="n">
        <v>124.3128</v>
      </c>
      <c r="J902" t="n">
        <v>1060.4006</v>
      </c>
      <c r="K902" t="n">
        <v>14118857.58</v>
      </c>
      <c r="L902" t="n">
        <v>75357958.47</v>
      </c>
      <c r="M902" t="n">
        <v>1525.2634</v>
      </c>
      <c r="N902" t="inlineStr">
        <is>
          <t>Supplier Reported Emissions</t>
        </is>
      </c>
      <c r="O902" t="b">
        <v>0</v>
      </c>
      <c r="P902" t="inlineStr">
        <is>
          <t>High</t>
        </is>
      </c>
      <c r="Q902" t="inlineStr">
        <is>
          <t>None</t>
        </is>
      </c>
      <c r="R902" t="inlineStr">
        <is>
          <t>Valid</t>
        </is>
      </c>
      <c r="S902" t="n">
        <v>2029</v>
      </c>
      <c r="T902" t="inlineStr">
        <is>
          <t>Industry Haircut Pathway</t>
        </is>
      </c>
      <c r="U902" t="n">
        <v>1317.7511</v>
      </c>
      <c r="V902" t="n">
        <v>709.4772</v>
      </c>
      <c r="W902" t="n">
        <v>977.1177</v>
      </c>
      <c r="X902" t="n">
        <v>977.1177</v>
      </c>
      <c r="Y902" t="n">
        <v>340.6334</v>
      </c>
      <c r="Z902" t="n">
        <v>6.921e-05</v>
      </c>
      <c r="AA902" t="n">
        <v>0.258496</v>
      </c>
      <c r="AB902" t="n">
        <v>267.6405</v>
      </c>
      <c r="AC902" t="n">
        <v>24.331</v>
      </c>
      <c r="AD902" t="n">
        <v>6222.7371</v>
      </c>
      <c r="AE902" t="n">
        <v>5128.8981</v>
      </c>
      <c r="AF902" t="n">
        <v>0.9360000000000001</v>
      </c>
      <c r="AG902" t="inlineStr">
        <is>
          <t>Critical</t>
        </is>
      </c>
      <c r="AH902" t="inlineStr">
        <is>
          <t>On Track to Glide Path</t>
        </is>
      </c>
    </row>
    <row r="903">
      <c r="A903" t="inlineStr">
        <is>
          <t>SUP-0057</t>
        </is>
      </c>
      <c r="B903" t="inlineStr">
        <is>
          <t>Logistics Supplier 057</t>
        </is>
      </c>
      <c r="C903" t="inlineStr">
        <is>
          <t>Logistics</t>
        </is>
      </c>
      <c r="D903" t="n">
        <v>2024</v>
      </c>
      <c r="E903" t="n">
        <v>2015</v>
      </c>
      <c r="F903" t="n">
        <v>2040</v>
      </c>
      <c r="G903" t="n">
        <v>1525.2634</v>
      </c>
      <c r="H903" t="n">
        <v>419.5206</v>
      </c>
      <c r="I903" t="n">
        <v>124.3128</v>
      </c>
      <c r="J903" t="n">
        <v>1060.4006</v>
      </c>
      <c r="K903" t="n">
        <v>14118857.58</v>
      </c>
      <c r="L903" t="n">
        <v>75357958.47</v>
      </c>
      <c r="M903" t="n">
        <v>1525.2634</v>
      </c>
      <c r="N903" t="inlineStr">
        <is>
          <t>Supplier Reported Emissions</t>
        </is>
      </c>
      <c r="O903" t="b">
        <v>0</v>
      </c>
      <c r="P903" t="inlineStr">
        <is>
          <t>High</t>
        </is>
      </c>
      <c r="Q903" t="inlineStr">
        <is>
          <t>None</t>
        </is>
      </c>
      <c r="R903" t="inlineStr">
        <is>
          <t>Valid</t>
        </is>
      </c>
      <c r="S903" t="n">
        <v>2030</v>
      </c>
      <c r="T903" t="inlineStr">
        <is>
          <t>Industry Haircut Pathway</t>
        </is>
      </c>
      <c r="U903" t="n">
        <v>1317.7511</v>
      </c>
      <c r="V903" t="n">
        <v>709.4772</v>
      </c>
      <c r="W903" t="n">
        <v>952.7868</v>
      </c>
      <c r="X903" t="n">
        <v>952.7868</v>
      </c>
      <c r="Y903" t="n">
        <v>364.9643</v>
      </c>
      <c r="Z903" t="n">
        <v>6.748e-05</v>
      </c>
      <c r="AA903" t="n">
        <v>0.27696</v>
      </c>
      <c r="AB903" t="n">
        <v>243.3096</v>
      </c>
      <c r="AC903" t="n">
        <v>24.331</v>
      </c>
      <c r="AD903" t="n">
        <v>5269.9503</v>
      </c>
      <c r="AE903" t="n">
        <v>6081.6849</v>
      </c>
      <c r="AF903" t="n">
        <v>0.9360000000000001</v>
      </c>
      <c r="AG903" t="inlineStr">
        <is>
          <t>High</t>
        </is>
      </c>
      <c r="AH903" t="inlineStr">
        <is>
          <t>On Track to Glide Path</t>
        </is>
      </c>
    </row>
    <row r="904">
      <c r="A904" t="inlineStr">
        <is>
          <t>SUP-0057</t>
        </is>
      </c>
      <c r="B904" t="inlineStr">
        <is>
          <t>Logistics Supplier 057</t>
        </is>
      </c>
      <c r="C904" t="inlineStr">
        <is>
          <t>Logistics</t>
        </is>
      </c>
      <c r="D904" t="n">
        <v>2024</v>
      </c>
      <c r="E904" t="n">
        <v>2015</v>
      </c>
      <c r="F904" t="n">
        <v>2040</v>
      </c>
      <c r="G904" t="n">
        <v>1525.2634</v>
      </c>
      <c r="H904" t="n">
        <v>419.5206</v>
      </c>
      <c r="I904" t="n">
        <v>124.3128</v>
      </c>
      <c r="J904" t="n">
        <v>1060.4006</v>
      </c>
      <c r="K904" t="n">
        <v>14118857.58</v>
      </c>
      <c r="L904" t="n">
        <v>75357958.47</v>
      </c>
      <c r="M904" t="n">
        <v>1525.2634</v>
      </c>
      <c r="N904" t="inlineStr">
        <is>
          <t>Supplier Reported Emissions</t>
        </is>
      </c>
      <c r="O904" t="b">
        <v>0</v>
      </c>
      <c r="P904" t="inlineStr">
        <is>
          <t>High</t>
        </is>
      </c>
      <c r="Q904" t="inlineStr">
        <is>
          <t>None</t>
        </is>
      </c>
      <c r="R904" t="inlineStr">
        <is>
          <t>Valid</t>
        </is>
      </c>
      <c r="S904" t="n">
        <v>2031</v>
      </c>
      <c r="T904" t="inlineStr">
        <is>
          <t>Industry Haircut Pathway</t>
        </is>
      </c>
      <c r="U904" t="n">
        <v>1317.7511</v>
      </c>
      <c r="V904" t="n">
        <v>709.4772</v>
      </c>
      <c r="W904" t="n">
        <v>928.4558</v>
      </c>
      <c r="X904" t="n">
        <v>928.4558</v>
      </c>
      <c r="Y904" t="n">
        <v>389.2953</v>
      </c>
      <c r="Z904" t="n">
        <v>6.575999999999999e-05</v>
      </c>
      <c r="AA904" t="n">
        <v>0.295424</v>
      </c>
      <c r="AB904" t="n">
        <v>218.9786</v>
      </c>
      <c r="AC904" t="n">
        <v>24.331</v>
      </c>
      <c r="AD904" t="n">
        <v>4341.4945</v>
      </c>
      <c r="AE904" t="n">
        <v>7010.1407</v>
      </c>
      <c r="AF904" t="n">
        <v>0.9360000000000001</v>
      </c>
      <c r="AG904" t="inlineStr">
        <is>
          <t>High</t>
        </is>
      </c>
      <c r="AH904" t="inlineStr">
        <is>
          <t>On Track to Glide Path</t>
        </is>
      </c>
    </row>
    <row r="905">
      <c r="A905" t="inlineStr">
        <is>
          <t>SUP-0057</t>
        </is>
      </c>
      <c r="B905" t="inlineStr">
        <is>
          <t>Logistics Supplier 057</t>
        </is>
      </c>
      <c r="C905" t="inlineStr">
        <is>
          <t>Logistics</t>
        </is>
      </c>
      <c r="D905" t="n">
        <v>2024</v>
      </c>
      <c r="E905" t="n">
        <v>2015</v>
      </c>
      <c r="F905" t="n">
        <v>2040</v>
      </c>
      <c r="G905" t="n">
        <v>1525.2634</v>
      </c>
      <c r="H905" t="n">
        <v>419.5206</v>
      </c>
      <c r="I905" t="n">
        <v>124.3128</v>
      </c>
      <c r="J905" t="n">
        <v>1060.4006</v>
      </c>
      <c r="K905" t="n">
        <v>14118857.58</v>
      </c>
      <c r="L905" t="n">
        <v>75357958.47</v>
      </c>
      <c r="M905" t="n">
        <v>1525.2634</v>
      </c>
      <c r="N905" t="inlineStr">
        <is>
          <t>Supplier Reported Emissions</t>
        </is>
      </c>
      <c r="O905" t="b">
        <v>0</v>
      </c>
      <c r="P905" t="inlineStr">
        <is>
          <t>High</t>
        </is>
      </c>
      <c r="Q905" t="inlineStr">
        <is>
          <t>None</t>
        </is>
      </c>
      <c r="R905" t="inlineStr">
        <is>
          <t>Valid</t>
        </is>
      </c>
      <c r="S905" t="n">
        <v>2032</v>
      </c>
      <c r="T905" t="inlineStr">
        <is>
          <t>Industry Haircut Pathway</t>
        </is>
      </c>
      <c r="U905" t="n">
        <v>1317.7511</v>
      </c>
      <c r="V905" t="n">
        <v>709.4772</v>
      </c>
      <c r="W905" t="n">
        <v>904.1248000000001</v>
      </c>
      <c r="X905" t="n">
        <v>904.1248000000001</v>
      </c>
      <c r="Y905" t="n">
        <v>413.6263</v>
      </c>
      <c r="Z905" t="n">
        <v>6.404e-05</v>
      </c>
      <c r="AA905" t="n">
        <v>0.313888</v>
      </c>
      <c r="AB905" t="n">
        <v>194.6477</v>
      </c>
      <c r="AC905" t="n">
        <v>24.331</v>
      </c>
      <c r="AD905" t="n">
        <v>3437.3697</v>
      </c>
      <c r="AE905" t="n">
        <v>7914.2655</v>
      </c>
      <c r="AF905" t="n">
        <v>0.9360000000000001</v>
      </c>
      <c r="AG905" t="inlineStr">
        <is>
          <t>High</t>
        </is>
      </c>
      <c r="AH905" t="inlineStr">
        <is>
          <t>On Track to Glide Path</t>
        </is>
      </c>
    </row>
    <row r="906">
      <c r="A906" t="inlineStr">
        <is>
          <t>SUP-0057</t>
        </is>
      </c>
      <c r="B906" t="inlineStr">
        <is>
          <t>Logistics Supplier 057</t>
        </is>
      </c>
      <c r="C906" t="inlineStr">
        <is>
          <t>Logistics</t>
        </is>
      </c>
      <c r="D906" t="n">
        <v>2024</v>
      </c>
      <c r="E906" t="n">
        <v>2015</v>
      </c>
      <c r="F906" t="n">
        <v>2040</v>
      </c>
      <c r="G906" t="n">
        <v>1525.2634</v>
      </c>
      <c r="H906" t="n">
        <v>419.5206</v>
      </c>
      <c r="I906" t="n">
        <v>124.3128</v>
      </c>
      <c r="J906" t="n">
        <v>1060.4006</v>
      </c>
      <c r="K906" t="n">
        <v>14118857.58</v>
      </c>
      <c r="L906" t="n">
        <v>75357958.47</v>
      </c>
      <c r="M906" t="n">
        <v>1525.2634</v>
      </c>
      <c r="N906" t="inlineStr">
        <is>
          <t>Supplier Reported Emissions</t>
        </is>
      </c>
      <c r="O906" t="b">
        <v>0</v>
      </c>
      <c r="P906" t="inlineStr">
        <is>
          <t>High</t>
        </is>
      </c>
      <c r="Q906" t="inlineStr">
        <is>
          <t>None</t>
        </is>
      </c>
      <c r="R906" t="inlineStr">
        <is>
          <t>Valid</t>
        </is>
      </c>
      <c r="S906" t="n">
        <v>2033</v>
      </c>
      <c r="T906" t="inlineStr">
        <is>
          <t>Industry Haircut Pathway</t>
        </is>
      </c>
      <c r="U906" t="n">
        <v>1317.7511</v>
      </c>
      <c r="V906" t="n">
        <v>709.4772</v>
      </c>
      <c r="W906" t="n">
        <v>879.7939</v>
      </c>
      <c r="X906" t="n">
        <v>879.7939</v>
      </c>
      <c r="Y906" t="n">
        <v>437.9572</v>
      </c>
      <c r="Z906" t="n">
        <v>6.231e-05</v>
      </c>
      <c r="AA906" t="n">
        <v>0.332352</v>
      </c>
      <c r="AB906" t="n">
        <v>170.3167</v>
      </c>
      <c r="AC906" t="n">
        <v>24.331</v>
      </c>
      <c r="AD906" t="n">
        <v>2557.5758</v>
      </c>
      <c r="AE906" t="n">
        <v>8794.0594</v>
      </c>
      <c r="AF906" t="n">
        <v>0.9360000000000001</v>
      </c>
      <c r="AG906" t="inlineStr">
        <is>
          <t>High</t>
        </is>
      </c>
      <c r="AH906" t="inlineStr">
        <is>
          <t>On Track to Glide Path</t>
        </is>
      </c>
    </row>
    <row r="907">
      <c r="A907" t="inlineStr">
        <is>
          <t>SUP-0057</t>
        </is>
      </c>
      <c r="B907" t="inlineStr">
        <is>
          <t>Logistics Supplier 057</t>
        </is>
      </c>
      <c r="C907" t="inlineStr">
        <is>
          <t>Logistics</t>
        </is>
      </c>
      <c r="D907" t="n">
        <v>2024</v>
      </c>
      <c r="E907" t="n">
        <v>2015</v>
      </c>
      <c r="F907" t="n">
        <v>2040</v>
      </c>
      <c r="G907" t="n">
        <v>1525.2634</v>
      </c>
      <c r="H907" t="n">
        <v>419.5206</v>
      </c>
      <c r="I907" t="n">
        <v>124.3128</v>
      </c>
      <c r="J907" t="n">
        <v>1060.4006</v>
      </c>
      <c r="K907" t="n">
        <v>14118857.58</v>
      </c>
      <c r="L907" t="n">
        <v>75357958.47</v>
      </c>
      <c r="M907" t="n">
        <v>1525.2634</v>
      </c>
      <c r="N907" t="inlineStr">
        <is>
          <t>Supplier Reported Emissions</t>
        </is>
      </c>
      <c r="O907" t="b">
        <v>0</v>
      </c>
      <c r="P907" t="inlineStr">
        <is>
          <t>High</t>
        </is>
      </c>
      <c r="Q907" t="inlineStr">
        <is>
          <t>None</t>
        </is>
      </c>
      <c r="R907" t="inlineStr">
        <is>
          <t>Valid</t>
        </is>
      </c>
      <c r="S907" t="n">
        <v>2034</v>
      </c>
      <c r="T907" t="inlineStr">
        <is>
          <t>Industry Haircut Pathway</t>
        </is>
      </c>
      <c r="U907" t="n">
        <v>1317.7511</v>
      </c>
      <c r="V907" t="n">
        <v>709.4772</v>
      </c>
      <c r="W907" t="n">
        <v>855.4629</v>
      </c>
      <c r="X907" t="n">
        <v>855.4629</v>
      </c>
      <c r="Y907" t="n">
        <v>462.2882</v>
      </c>
      <c r="Z907" t="n">
        <v>6.059e-05</v>
      </c>
      <c r="AA907" t="n">
        <v>0.350816</v>
      </c>
      <c r="AB907" t="n">
        <v>145.9857</v>
      </c>
      <c r="AC907" t="n">
        <v>24.331</v>
      </c>
      <c r="AD907" t="n">
        <v>1702.1129</v>
      </c>
      <c r="AE907" t="n">
        <v>9649.522300000001</v>
      </c>
      <c r="AF907" t="n">
        <v>0.9360000000000001</v>
      </c>
      <c r="AG907" t="inlineStr">
        <is>
          <t>High</t>
        </is>
      </c>
      <c r="AH907" t="inlineStr">
        <is>
          <t>On Track to Glide Path</t>
        </is>
      </c>
    </row>
    <row r="908">
      <c r="A908" t="inlineStr">
        <is>
          <t>SUP-0057</t>
        </is>
      </c>
      <c r="B908" t="inlineStr">
        <is>
          <t>Logistics Supplier 057</t>
        </is>
      </c>
      <c r="C908" t="inlineStr">
        <is>
          <t>Logistics</t>
        </is>
      </c>
      <c r="D908" t="n">
        <v>2024</v>
      </c>
      <c r="E908" t="n">
        <v>2015</v>
      </c>
      <c r="F908" t="n">
        <v>2040</v>
      </c>
      <c r="G908" t="n">
        <v>1525.2634</v>
      </c>
      <c r="H908" t="n">
        <v>419.5206</v>
      </c>
      <c r="I908" t="n">
        <v>124.3128</v>
      </c>
      <c r="J908" t="n">
        <v>1060.4006</v>
      </c>
      <c r="K908" t="n">
        <v>14118857.58</v>
      </c>
      <c r="L908" t="n">
        <v>75357958.47</v>
      </c>
      <c r="M908" t="n">
        <v>1525.2634</v>
      </c>
      <c r="N908" t="inlineStr">
        <is>
          <t>Supplier Reported Emissions</t>
        </is>
      </c>
      <c r="O908" t="b">
        <v>0</v>
      </c>
      <c r="P908" t="inlineStr">
        <is>
          <t>High</t>
        </is>
      </c>
      <c r="Q908" t="inlineStr">
        <is>
          <t>None</t>
        </is>
      </c>
      <c r="R908" t="inlineStr">
        <is>
          <t>Valid</t>
        </is>
      </c>
      <c r="S908" t="n">
        <v>2035</v>
      </c>
      <c r="T908" t="inlineStr">
        <is>
          <t>Industry Haircut Pathway</t>
        </is>
      </c>
      <c r="U908" t="n">
        <v>1317.7511</v>
      </c>
      <c r="V908" t="n">
        <v>709.4772</v>
      </c>
      <c r="W908" t="n">
        <v>831.1319999999999</v>
      </c>
      <c r="X908" t="n">
        <v>831.1319999999999</v>
      </c>
      <c r="Y908" t="n">
        <v>486.6191</v>
      </c>
      <c r="Z908" t="n">
        <v>5.887e-05</v>
      </c>
      <c r="AA908" t="n">
        <v>0.36928</v>
      </c>
      <c r="AB908" t="n">
        <v>121.6548</v>
      </c>
      <c r="AC908" t="n">
        <v>24.331</v>
      </c>
      <c r="AD908" t="n">
        <v>870.9809</v>
      </c>
      <c r="AE908" t="n">
        <v>10480.6543</v>
      </c>
      <c r="AF908" t="n">
        <v>0.9360000000000001</v>
      </c>
      <c r="AG908" t="inlineStr">
        <is>
          <t>High</t>
        </is>
      </c>
      <c r="AH908" t="inlineStr">
        <is>
          <t>On Track to Glide Path</t>
        </is>
      </c>
    </row>
    <row r="909">
      <c r="A909" t="inlineStr">
        <is>
          <t>SUP-0057</t>
        </is>
      </c>
      <c r="B909" t="inlineStr">
        <is>
          <t>Logistics Supplier 057</t>
        </is>
      </c>
      <c r="C909" t="inlineStr">
        <is>
          <t>Logistics</t>
        </is>
      </c>
      <c r="D909" t="n">
        <v>2024</v>
      </c>
      <c r="E909" t="n">
        <v>2015</v>
      </c>
      <c r="F909" t="n">
        <v>2040</v>
      </c>
      <c r="G909" t="n">
        <v>1525.2634</v>
      </c>
      <c r="H909" t="n">
        <v>419.5206</v>
      </c>
      <c r="I909" t="n">
        <v>124.3128</v>
      </c>
      <c r="J909" t="n">
        <v>1060.4006</v>
      </c>
      <c r="K909" t="n">
        <v>14118857.58</v>
      </c>
      <c r="L909" t="n">
        <v>75357958.47</v>
      </c>
      <c r="M909" t="n">
        <v>1525.2634</v>
      </c>
      <c r="N909" t="inlineStr">
        <is>
          <t>Supplier Reported Emissions</t>
        </is>
      </c>
      <c r="O909" t="b">
        <v>0</v>
      </c>
      <c r="P909" t="inlineStr">
        <is>
          <t>High</t>
        </is>
      </c>
      <c r="Q909" t="inlineStr">
        <is>
          <t>None</t>
        </is>
      </c>
      <c r="R909" t="inlineStr">
        <is>
          <t>Valid</t>
        </is>
      </c>
      <c r="S909" t="n">
        <v>2036</v>
      </c>
      <c r="T909" t="inlineStr">
        <is>
          <t>Industry Haircut Pathway</t>
        </is>
      </c>
      <c r="U909" t="n">
        <v>1317.7511</v>
      </c>
      <c r="V909" t="n">
        <v>709.4772</v>
      </c>
      <c r="W909" t="n">
        <v>806.801</v>
      </c>
      <c r="X909" t="n">
        <v>806.801</v>
      </c>
      <c r="Y909" t="n">
        <v>510.9501</v>
      </c>
      <c r="Z909" t="n">
        <v>5.714e-05</v>
      </c>
      <c r="AA909" t="n">
        <v>0.387744</v>
      </c>
      <c r="AB909" t="n">
        <v>97.32380000000001</v>
      </c>
      <c r="AC909" t="n">
        <v>24.331</v>
      </c>
      <c r="AD909" t="n">
        <v>64.1799</v>
      </c>
      <c r="AE909" t="n">
        <v>11287.4553</v>
      </c>
      <c r="AF909" t="n">
        <v>0.9360000000000001</v>
      </c>
      <c r="AG909" t="inlineStr">
        <is>
          <t>Medium</t>
        </is>
      </c>
      <c r="AH909" t="inlineStr">
        <is>
          <t>On Track to Glide Path</t>
        </is>
      </c>
    </row>
    <row r="910">
      <c r="A910" t="inlineStr">
        <is>
          <t>SUP-0057</t>
        </is>
      </c>
      <c r="B910" t="inlineStr">
        <is>
          <t>Logistics Supplier 057</t>
        </is>
      </c>
      <c r="C910" t="inlineStr">
        <is>
          <t>Logistics</t>
        </is>
      </c>
      <c r="D910" t="n">
        <v>2024</v>
      </c>
      <c r="E910" t="n">
        <v>2015</v>
      </c>
      <c r="F910" t="n">
        <v>2040</v>
      </c>
      <c r="G910" t="n">
        <v>1525.2634</v>
      </c>
      <c r="H910" t="n">
        <v>419.5206</v>
      </c>
      <c r="I910" t="n">
        <v>124.3128</v>
      </c>
      <c r="J910" t="n">
        <v>1060.4006</v>
      </c>
      <c r="K910" t="n">
        <v>14118857.58</v>
      </c>
      <c r="L910" t="n">
        <v>75357958.47</v>
      </c>
      <c r="M910" t="n">
        <v>1525.2634</v>
      </c>
      <c r="N910" t="inlineStr">
        <is>
          <t>Supplier Reported Emissions</t>
        </is>
      </c>
      <c r="O910" t="b">
        <v>0</v>
      </c>
      <c r="P910" t="inlineStr">
        <is>
          <t>High</t>
        </is>
      </c>
      <c r="Q910" t="inlineStr">
        <is>
          <t>None</t>
        </is>
      </c>
      <c r="R910" t="inlineStr">
        <is>
          <t>Valid</t>
        </is>
      </c>
      <c r="S910" t="n">
        <v>2037</v>
      </c>
      <c r="T910" t="inlineStr">
        <is>
          <t>Industry Haircut Pathway</t>
        </is>
      </c>
      <c r="U910" t="n">
        <v>1317.7511</v>
      </c>
      <c r="V910" t="n">
        <v>709.4772</v>
      </c>
      <c r="W910" t="n">
        <v>782.4701</v>
      </c>
      <c r="X910" t="n">
        <v>782.4701</v>
      </c>
      <c r="Y910" t="n">
        <v>535.2809999999999</v>
      </c>
      <c r="Z910" t="n">
        <v>5.542e-05</v>
      </c>
      <c r="AA910" t="n">
        <v>0.406208</v>
      </c>
      <c r="AB910" t="n">
        <v>72.99290000000001</v>
      </c>
      <c r="AC910" t="n">
        <v>24.331</v>
      </c>
      <c r="AD910" t="n">
        <v>-718.2902</v>
      </c>
      <c r="AE910" t="n">
        <v>12069.9254</v>
      </c>
      <c r="AF910" t="n">
        <v>0.9360000000000001</v>
      </c>
      <c r="AG910" t="inlineStr">
        <is>
          <t>Medium</t>
        </is>
      </c>
      <c r="AH910" t="inlineStr">
        <is>
          <t>On Track to Glide Path</t>
        </is>
      </c>
    </row>
    <row r="911">
      <c r="A911" t="inlineStr">
        <is>
          <t>SUP-0057</t>
        </is>
      </c>
      <c r="B911" t="inlineStr">
        <is>
          <t>Logistics Supplier 057</t>
        </is>
      </c>
      <c r="C911" t="inlineStr">
        <is>
          <t>Logistics</t>
        </is>
      </c>
      <c r="D911" t="n">
        <v>2024</v>
      </c>
      <c r="E911" t="n">
        <v>2015</v>
      </c>
      <c r="F911" t="n">
        <v>2040</v>
      </c>
      <c r="G911" t="n">
        <v>1525.2634</v>
      </c>
      <c r="H911" t="n">
        <v>419.5206</v>
      </c>
      <c r="I911" t="n">
        <v>124.3128</v>
      </c>
      <c r="J911" t="n">
        <v>1060.4006</v>
      </c>
      <c r="K911" t="n">
        <v>14118857.58</v>
      </c>
      <c r="L911" t="n">
        <v>75357958.47</v>
      </c>
      <c r="M911" t="n">
        <v>1525.2634</v>
      </c>
      <c r="N911" t="inlineStr">
        <is>
          <t>Supplier Reported Emissions</t>
        </is>
      </c>
      <c r="O911" t="b">
        <v>0</v>
      </c>
      <c r="P911" t="inlineStr">
        <is>
          <t>High</t>
        </is>
      </c>
      <c r="Q911" t="inlineStr">
        <is>
          <t>None</t>
        </is>
      </c>
      <c r="R911" t="inlineStr">
        <is>
          <t>Valid</t>
        </is>
      </c>
      <c r="S911" t="n">
        <v>2038</v>
      </c>
      <c r="T911" t="inlineStr">
        <is>
          <t>Industry Haircut Pathway</t>
        </is>
      </c>
      <c r="U911" t="n">
        <v>1317.7511</v>
      </c>
      <c r="V911" t="n">
        <v>709.4772</v>
      </c>
      <c r="W911" t="n">
        <v>758.1391</v>
      </c>
      <c r="X911" t="n">
        <v>758.1391</v>
      </c>
      <c r="Y911" t="n">
        <v>559.612</v>
      </c>
      <c r="Z911" t="n">
        <v>5.37e-05</v>
      </c>
      <c r="AA911" t="n">
        <v>0.424672</v>
      </c>
      <c r="AB911" t="n">
        <v>48.6619</v>
      </c>
      <c r="AC911" t="n">
        <v>24.331</v>
      </c>
      <c r="AD911" t="n">
        <v>-1476.4293</v>
      </c>
      <c r="AE911" t="n">
        <v>12828.0645</v>
      </c>
      <c r="AF911" t="n">
        <v>0.9360000000000001</v>
      </c>
      <c r="AG911" t="inlineStr">
        <is>
          <t>Medium</t>
        </is>
      </c>
      <c r="AH911" t="inlineStr">
        <is>
          <t>On Track to Glide Path</t>
        </is>
      </c>
    </row>
    <row r="912">
      <c r="A912" t="inlineStr">
        <is>
          <t>SUP-0057</t>
        </is>
      </c>
      <c r="B912" t="inlineStr">
        <is>
          <t>Logistics Supplier 057</t>
        </is>
      </c>
      <c r="C912" t="inlineStr">
        <is>
          <t>Logistics</t>
        </is>
      </c>
      <c r="D912" t="n">
        <v>2024</v>
      </c>
      <c r="E912" t="n">
        <v>2015</v>
      </c>
      <c r="F912" t="n">
        <v>2040</v>
      </c>
      <c r="G912" t="n">
        <v>1525.2634</v>
      </c>
      <c r="H912" t="n">
        <v>419.5206</v>
      </c>
      <c r="I912" t="n">
        <v>124.3128</v>
      </c>
      <c r="J912" t="n">
        <v>1060.4006</v>
      </c>
      <c r="K912" t="n">
        <v>14118857.58</v>
      </c>
      <c r="L912" t="n">
        <v>75357958.47</v>
      </c>
      <c r="M912" t="n">
        <v>1525.2634</v>
      </c>
      <c r="N912" t="inlineStr">
        <is>
          <t>Supplier Reported Emissions</t>
        </is>
      </c>
      <c r="O912" t="b">
        <v>0</v>
      </c>
      <c r="P912" t="inlineStr">
        <is>
          <t>High</t>
        </is>
      </c>
      <c r="Q912" t="inlineStr">
        <is>
          <t>None</t>
        </is>
      </c>
      <c r="R912" t="inlineStr">
        <is>
          <t>Valid</t>
        </is>
      </c>
      <c r="S912" t="n">
        <v>2039</v>
      </c>
      <c r="T912" t="inlineStr">
        <is>
          <t>Industry Haircut Pathway</t>
        </is>
      </c>
      <c r="U912" t="n">
        <v>1317.7511</v>
      </c>
      <c r="V912" t="n">
        <v>709.4772</v>
      </c>
      <c r="W912" t="n">
        <v>733.8081</v>
      </c>
      <c r="X912" t="n">
        <v>733.8081</v>
      </c>
      <c r="Y912" t="n">
        <v>583.943</v>
      </c>
      <c r="Z912" t="n">
        <v>5.197e-05</v>
      </c>
      <c r="AA912" t="n">
        <v>0.443136</v>
      </c>
      <c r="AB912" t="n">
        <v>24.331</v>
      </c>
      <c r="AC912" t="n">
        <v>24.331</v>
      </c>
      <c r="AD912" t="n">
        <v>-2210.2374</v>
      </c>
      <c r="AE912" t="n">
        <v>13561.8726</v>
      </c>
      <c r="AF912" t="n">
        <v>0.9360000000000001</v>
      </c>
      <c r="AG912" t="inlineStr">
        <is>
          <t>Medium</t>
        </is>
      </c>
      <c r="AH912" t="inlineStr">
        <is>
          <t>On Track to Glide Path</t>
        </is>
      </c>
    </row>
    <row r="913">
      <c r="A913" t="inlineStr">
        <is>
          <t>SUP-0057</t>
        </is>
      </c>
      <c r="B913" t="inlineStr">
        <is>
          <t>Logistics Supplier 057</t>
        </is>
      </c>
      <c r="C913" t="inlineStr">
        <is>
          <t>Logistics</t>
        </is>
      </c>
      <c r="D913" t="n">
        <v>2024</v>
      </c>
      <c r="E913" t="n">
        <v>2015</v>
      </c>
      <c r="F913" t="n">
        <v>2040</v>
      </c>
      <c r="G913" t="n">
        <v>1525.2634</v>
      </c>
      <c r="H913" t="n">
        <v>419.5206</v>
      </c>
      <c r="I913" t="n">
        <v>124.3128</v>
      </c>
      <c r="J913" t="n">
        <v>1060.4006</v>
      </c>
      <c r="K913" t="n">
        <v>14118857.58</v>
      </c>
      <c r="L913" t="n">
        <v>75357958.47</v>
      </c>
      <c r="M913" t="n">
        <v>1525.2634</v>
      </c>
      <c r="N913" t="inlineStr">
        <is>
          <t>Supplier Reported Emissions</t>
        </is>
      </c>
      <c r="O913" t="b">
        <v>0</v>
      </c>
      <c r="P913" t="inlineStr">
        <is>
          <t>High</t>
        </is>
      </c>
      <c r="Q913" t="inlineStr">
        <is>
          <t>None</t>
        </is>
      </c>
      <c r="R913" t="inlineStr">
        <is>
          <t>Valid</t>
        </is>
      </c>
      <c r="S913" t="n">
        <v>2040</v>
      </c>
      <c r="T913" t="inlineStr">
        <is>
          <t>Industry Haircut Pathway</t>
        </is>
      </c>
      <c r="U913" t="n">
        <v>1317.7511</v>
      </c>
      <c r="V913" t="n">
        <v>709.4772</v>
      </c>
      <c r="W913" t="n">
        <v>709.4772</v>
      </c>
      <c r="X913" t="n">
        <v>709.4772</v>
      </c>
      <c r="Y913" t="n">
        <v>608.2739</v>
      </c>
      <c r="Z913" t="n">
        <v>5.025e-05</v>
      </c>
      <c r="AA913" t="n">
        <v>0.4616</v>
      </c>
      <c r="AB913" t="n">
        <v>0</v>
      </c>
      <c r="AC913" t="n">
        <v>24.331</v>
      </c>
      <c r="AD913" t="n">
        <v>-2919.7146</v>
      </c>
      <c r="AE913" t="n">
        <v>14271.3498</v>
      </c>
      <c r="AF913" t="n">
        <v>0.9360000000000001</v>
      </c>
      <c r="AG913" t="inlineStr">
        <is>
          <t>Low</t>
        </is>
      </c>
      <c r="AH913" t="inlineStr">
        <is>
          <t>On Track</t>
        </is>
      </c>
    </row>
    <row r="914">
      <c r="A914" t="inlineStr">
        <is>
          <t>SUP-0058</t>
        </is>
      </c>
      <c r="B914" t="inlineStr">
        <is>
          <t>Textiles Supplier 058</t>
        </is>
      </c>
      <c r="C914" t="inlineStr">
        <is>
          <t>Textiles</t>
        </is>
      </c>
      <c r="D914" t="n">
        <v>2024</v>
      </c>
      <c r="E914" t="n">
        <v>2015</v>
      </c>
      <c r="F914" t="n">
        <v>2030</v>
      </c>
      <c r="G914" t="n">
        <v>526.2491</v>
      </c>
      <c r="H914" t="n">
        <v>132.188</v>
      </c>
      <c r="I914" t="n">
        <v>63.6001</v>
      </c>
      <c r="J914" t="n">
        <v>348.878</v>
      </c>
      <c r="K914" t="n">
        <v>1403243.17</v>
      </c>
      <c r="L914" t="n">
        <v>1673627.42</v>
      </c>
      <c r="M914" t="n">
        <v>526.2491</v>
      </c>
      <c r="N914" t="inlineStr">
        <is>
          <t>Supplier Reported Emissions</t>
        </is>
      </c>
      <c r="O914" t="b">
        <v>0</v>
      </c>
      <c r="P914" t="inlineStr">
        <is>
          <t>High</t>
        </is>
      </c>
      <c r="Q914" t="inlineStr">
        <is>
          <t>None</t>
        </is>
      </c>
      <c r="R914" t="inlineStr">
        <is>
          <t>Valid</t>
        </is>
      </c>
      <c r="S914" t="n">
        <v>2025</v>
      </c>
      <c r="T914" t="inlineStr">
        <is>
          <t>Industry Haircut Pathway</t>
        </is>
      </c>
      <c r="U914" t="n">
        <v>531.5453</v>
      </c>
      <c r="V914" t="n">
        <v>362.9923</v>
      </c>
      <c r="W914" t="n">
        <v>419.1766</v>
      </c>
      <c r="X914" t="n">
        <v>419.1766</v>
      </c>
      <c r="Y914" t="n">
        <v>112.3687</v>
      </c>
      <c r="Z914" t="n">
        <v>0.00029872</v>
      </c>
      <c r="AA914" t="n">
        <v>0.2114</v>
      </c>
      <c r="AB914" t="n">
        <v>56.1843</v>
      </c>
      <c r="AC914" t="n">
        <v>11.2369</v>
      </c>
      <c r="AD914" t="n">
        <v>1758.7772</v>
      </c>
      <c r="AE914" t="n">
        <v>419.1766</v>
      </c>
      <c r="AF914" t="n">
        <v>0.9429999999999999</v>
      </c>
      <c r="AG914" t="inlineStr">
        <is>
          <t>High</t>
        </is>
      </c>
      <c r="AH914" t="inlineStr">
        <is>
          <t>On Track to Glide Path</t>
        </is>
      </c>
    </row>
    <row r="915">
      <c r="A915" t="inlineStr">
        <is>
          <t>SUP-0058</t>
        </is>
      </c>
      <c r="B915" t="inlineStr">
        <is>
          <t>Textiles Supplier 058</t>
        </is>
      </c>
      <c r="C915" t="inlineStr">
        <is>
          <t>Textiles</t>
        </is>
      </c>
      <c r="D915" t="n">
        <v>2024</v>
      </c>
      <c r="E915" t="n">
        <v>2015</v>
      </c>
      <c r="F915" t="n">
        <v>2030</v>
      </c>
      <c r="G915" t="n">
        <v>526.2491</v>
      </c>
      <c r="H915" t="n">
        <v>132.188</v>
      </c>
      <c r="I915" t="n">
        <v>63.6001</v>
      </c>
      <c r="J915" t="n">
        <v>348.878</v>
      </c>
      <c r="K915" t="n">
        <v>1403243.17</v>
      </c>
      <c r="L915" t="n">
        <v>1673627.42</v>
      </c>
      <c r="M915" t="n">
        <v>526.2491</v>
      </c>
      <c r="N915" t="inlineStr">
        <is>
          <t>Supplier Reported Emissions</t>
        </is>
      </c>
      <c r="O915" t="b">
        <v>0</v>
      </c>
      <c r="P915" t="inlineStr">
        <is>
          <t>High</t>
        </is>
      </c>
      <c r="Q915" t="inlineStr">
        <is>
          <t>None</t>
        </is>
      </c>
      <c r="R915" t="inlineStr">
        <is>
          <t>Valid</t>
        </is>
      </c>
      <c r="S915" t="n">
        <v>2026</v>
      </c>
      <c r="T915" t="inlineStr">
        <is>
          <t>Industry Haircut Pathway</t>
        </is>
      </c>
      <c r="U915" t="n">
        <v>531.5453</v>
      </c>
      <c r="V915" t="n">
        <v>362.9923</v>
      </c>
      <c r="W915" t="n">
        <v>407.9398</v>
      </c>
      <c r="X915" t="n">
        <v>407.9398</v>
      </c>
      <c r="Y915" t="n">
        <v>123.6055</v>
      </c>
      <c r="Z915" t="n">
        <v>0.00029071</v>
      </c>
      <c r="AA915" t="n">
        <v>0.23254</v>
      </c>
      <c r="AB915" t="n">
        <v>44.9475</v>
      </c>
      <c r="AC915" t="n">
        <v>11.2369</v>
      </c>
      <c r="AD915" t="n">
        <v>1350.8374</v>
      </c>
      <c r="AE915" t="n">
        <v>827.1164</v>
      </c>
      <c r="AF915" t="n">
        <v>0.9429999999999999</v>
      </c>
      <c r="AG915" t="inlineStr">
        <is>
          <t>Medium</t>
        </is>
      </c>
      <c r="AH915" t="inlineStr">
        <is>
          <t>On Track to Glide Path</t>
        </is>
      </c>
    </row>
    <row r="916">
      <c r="A916" t="inlineStr">
        <is>
          <t>SUP-0058</t>
        </is>
      </c>
      <c r="B916" t="inlineStr">
        <is>
          <t>Textiles Supplier 058</t>
        </is>
      </c>
      <c r="C916" t="inlineStr">
        <is>
          <t>Textiles</t>
        </is>
      </c>
      <c r="D916" t="n">
        <v>2024</v>
      </c>
      <c r="E916" t="n">
        <v>2015</v>
      </c>
      <c r="F916" t="n">
        <v>2030</v>
      </c>
      <c r="G916" t="n">
        <v>526.2491</v>
      </c>
      <c r="H916" t="n">
        <v>132.188</v>
      </c>
      <c r="I916" t="n">
        <v>63.6001</v>
      </c>
      <c r="J916" t="n">
        <v>348.878</v>
      </c>
      <c r="K916" t="n">
        <v>1403243.17</v>
      </c>
      <c r="L916" t="n">
        <v>1673627.42</v>
      </c>
      <c r="M916" t="n">
        <v>526.2491</v>
      </c>
      <c r="N916" t="inlineStr">
        <is>
          <t>Supplier Reported Emissions</t>
        </is>
      </c>
      <c r="O916" t="b">
        <v>0</v>
      </c>
      <c r="P916" t="inlineStr">
        <is>
          <t>High</t>
        </is>
      </c>
      <c r="Q916" t="inlineStr">
        <is>
          <t>None</t>
        </is>
      </c>
      <c r="R916" t="inlineStr">
        <is>
          <t>Valid</t>
        </is>
      </c>
      <c r="S916" t="n">
        <v>2027</v>
      </c>
      <c r="T916" t="inlineStr">
        <is>
          <t>Industry Haircut Pathway</t>
        </is>
      </c>
      <c r="U916" t="n">
        <v>531.5453</v>
      </c>
      <c r="V916" t="n">
        <v>362.9923</v>
      </c>
      <c r="W916" t="n">
        <v>396.7029</v>
      </c>
      <c r="X916" t="n">
        <v>396.7029</v>
      </c>
      <c r="Y916" t="n">
        <v>134.8424</v>
      </c>
      <c r="Z916" t="n">
        <v>0.0002827</v>
      </c>
      <c r="AA916" t="n">
        <v>0.25368</v>
      </c>
      <c r="AB916" t="n">
        <v>33.7106</v>
      </c>
      <c r="AC916" t="n">
        <v>11.2369</v>
      </c>
      <c r="AD916" t="n">
        <v>954.1345</v>
      </c>
      <c r="AE916" t="n">
        <v>1223.8193</v>
      </c>
      <c r="AF916" t="n">
        <v>0.9429999999999999</v>
      </c>
      <c r="AG916" t="inlineStr">
        <is>
          <t>Medium</t>
        </is>
      </c>
      <c r="AH916" t="inlineStr">
        <is>
          <t>On Track to Glide Path</t>
        </is>
      </c>
    </row>
    <row r="917">
      <c r="A917" t="inlineStr">
        <is>
          <t>SUP-0058</t>
        </is>
      </c>
      <c r="B917" t="inlineStr">
        <is>
          <t>Textiles Supplier 058</t>
        </is>
      </c>
      <c r="C917" t="inlineStr">
        <is>
          <t>Textiles</t>
        </is>
      </c>
      <c r="D917" t="n">
        <v>2024</v>
      </c>
      <c r="E917" t="n">
        <v>2015</v>
      </c>
      <c r="F917" t="n">
        <v>2030</v>
      </c>
      <c r="G917" t="n">
        <v>526.2491</v>
      </c>
      <c r="H917" t="n">
        <v>132.188</v>
      </c>
      <c r="I917" t="n">
        <v>63.6001</v>
      </c>
      <c r="J917" t="n">
        <v>348.878</v>
      </c>
      <c r="K917" t="n">
        <v>1403243.17</v>
      </c>
      <c r="L917" t="n">
        <v>1673627.42</v>
      </c>
      <c r="M917" t="n">
        <v>526.2491</v>
      </c>
      <c r="N917" t="inlineStr">
        <is>
          <t>Supplier Reported Emissions</t>
        </is>
      </c>
      <c r="O917" t="b">
        <v>0</v>
      </c>
      <c r="P917" t="inlineStr">
        <is>
          <t>High</t>
        </is>
      </c>
      <c r="Q917" t="inlineStr">
        <is>
          <t>None</t>
        </is>
      </c>
      <c r="R917" t="inlineStr">
        <is>
          <t>Valid</t>
        </is>
      </c>
      <c r="S917" t="n">
        <v>2028</v>
      </c>
      <c r="T917" t="inlineStr">
        <is>
          <t>Industry Haircut Pathway</t>
        </is>
      </c>
      <c r="U917" t="n">
        <v>531.5453</v>
      </c>
      <c r="V917" t="n">
        <v>362.9923</v>
      </c>
      <c r="W917" t="n">
        <v>385.466</v>
      </c>
      <c r="X917" t="n">
        <v>385.466</v>
      </c>
      <c r="Y917" t="n">
        <v>146.0793</v>
      </c>
      <c r="Z917" t="n">
        <v>0.0002747</v>
      </c>
      <c r="AA917" t="n">
        <v>0.27482</v>
      </c>
      <c r="AB917" t="n">
        <v>22.4737</v>
      </c>
      <c r="AC917" t="n">
        <v>11.2369</v>
      </c>
      <c r="AD917" t="n">
        <v>568.6685</v>
      </c>
      <c r="AE917" t="n">
        <v>1609.2853</v>
      </c>
      <c r="AF917" t="n">
        <v>0.9429999999999999</v>
      </c>
      <c r="AG917" t="inlineStr">
        <is>
          <t>Medium</t>
        </is>
      </c>
      <c r="AH917" t="inlineStr">
        <is>
          <t>On Track to Glide Path</t>
        </is>
      </c>
    </row>
    <row r="918">
      <c r="A918" t="inlineStr">
        <is>
          <t>SUP-0058</t>
        </is>
      </c>
      <c r="B918" t="inlineStr">
        <is>
          <t>Textiles Supplier 058</t>
        </is>
      </c>
      <c r="C918" t="inlineStr">
        <is>
          <t>Textiles</t>
        </is>
      </c>
      <c r="D918" t="n">
        <v>2024</v>
      </c>
      <c r="E918" t="n">
        <v>2015</v>
      </c>
      <c r="F918" t="n">
        <v>2030</v>
      </c>
      <c r="G918" t="n">
        <v>526.2491</v>
      </c>
      <c r="H918" t="n">
        <v>132.188</v>
      </c>
      <c r="I918" t="n">
        <v>63.6001</v>
      </c>
      <c r="J918" t="n">
        <v>348.878</v>
      </c>
      <c r="K918" t="n">
        <v>1403243.17</v>
      </c>
      <c r="L918" t="n">
        <v>1673627.42</v>
      </c>
      <c r="M918" t="n">
        <v>526.2491</v>
      </c>
      <c r="N918" t="inlineStr">
        <is>
          <t>Supplier Reported Emissions</t>
        </is>
      </c>
      <c r="O918" t="b">
        <v>0</v>
      </c>
      <c r="P918" t="inlineStr">
        <is>
          <t>High</t>
        </is>
      </c>
      <c r="Q918" t="inlineStr">
        <is>
          <t>None</t>
        </is>
      </c>
      <c r="R918" t="inlineStr">
        <is>
          <t>Valid</t>
        </is>
      </c>
      <c r="S918" t="n">
        <v>2029</v>
      </c>
      <c r="T918" t="inlineStr">
        <is>
          <t>Industry Haircut Pathway</t>
        </is>
      </c>
      <c r="U918" t="n">
        <v>531.5453</v>
      </c>
      <c r="V918" t="n">
        <v>362.9923</v>
      </c>
      <c r="W918" t="n">
        <v>374.2292</v>
      </c>
      <c r="X918" t="n">
        <v>374.2292</v>
      </c>
      <c r="Y918" t="n">
        <v>157.3161</v>
      </c>
      <c r="Z918" t="n">
        <v>0.00026669</v>
      </c>
      <c r="AA918" t="n">
        <v>0.29596</v>
      </c>
      <c r="AB918" t="n">
        <v>11.2369</v>
      </c>
      <c r="AC918" t="n">
        <v>11.2369</v>
      </c>
      <c r="AD918" t="n">
        <v>194.4393</v>
      </c>
      <c r="AE918" t="n">
        <v>1983.5145</v>
      </c>
      <c r="AF918" t="n">
        <v>0.9429999999999999</v>
      </c>
      <c r="AG918" t="inlineStr">
        <is>
          <t>Medium</t>
        </is>
      </c>
      <c r="AH918" t="inlineStr">
        <is>
          <t>On Track to Glide Path</t>
        </is>
      </c>
    </row>
    <row r="919">
      <c r="A919" t="inlineStr">
        <is>
          <t>SUP-0058</t>
        </is>
      </c>
      <c r="B919" t="inlineStr">
        <is>
          <t>Textiles Supplier 058</t>
        </is>
      </c>
      <c r="C919" t="inlineStr">
        <is>
          <t>Textiles</t>
        </is>
      </c>
      <c r="D919" t="n">
        <v>2024</v>
      </c>
      <c r="E919" t="n">
        <v>2015</v>
      </c>
      <c r="F919" t="n">
        <v>2030</v>
      </c>
      <c r="G919" t="n">
        <v>526.2491</v>
      </c>
      <c r="H919" t="n">
        <v>132.188</v>
      </c>
      <c r="I919" t="n">
        <v>63.6001</v>
      </c>
      <c r="J919" t="n">
        <v>348.878</v>
      </c>
      <c r="K919" t="n">
        <v>1403243.17</v>
      </c>
      <c r="L919" t="n">
        <v>1673627.42</v>
      </c>
      <c r="M919" t="n">
        <v>526.2491</v>
      </c>
      <c r="N919" t="inlineStr">
        <is>
          <t>Supplier Reported Emissions</t>
        </is>
      </c>
      <c r="O919" t="b">
        <v>0</v>
      </c>
      <c r="P919" t="inlineStr">
        <is>
          <t>High</t>
        </is>
      </c>
      <c r="Q919" t="inlineStr">
        <is>
          <t>None</t>
        </is>
      </c>
      <c r="R919" t="inlineStr">
        <is>
          <t>Valid</t>
        </is>
      </c>
      <c r="S919" t="n">
        <v>2030</v>
      </c>
      <c r="T919" t="inlineStr">
        <is>
          <t>Industry Haircut Pathway</t>
        </is>
      </c>
      <c r="U919" t="n">
        <v>531.5453</v>
      </c>
      <c r="V919" t="n">
        <v>362.9923</v>
      </c>
      <c r="W919" t="n">
        <v>362.9923</v>
      </c>
      <c r="X919" t="n">
        <v>362.9923</v>
      </c>
      <c r="Y919" t="n">
        <v>168.553</v>
      </c>
      <c r="Z919" t="n">
        <v>0.00025868</v>
      </c>
      <c r="AA919" t="n">
        <v>0.3171</v>
      </c>
      <c r="AB919" t="n">
        <v>0</v>
      </c>
      <c r="AC919" t="n">
        <v>11.2369</v>
      </c>
      <c r="AD919" t="n">
        <v>-168.553</v>
      </c>
      <c r="AE919" t="n">
        <v>2346.5068</v>
      </c>
      <c r="AF919" t="n">
        <v>0.9429999999999999</v>
      </c>
      <c r="AG919" t="inlineStr">
        <is>
          <t>Low</t>
        </is>
      </c>
      <c r="AH919" t="inlineStr">
        <is>
          <t>On Track</t>
        </is>
      </c>
    </row>
    <row r="920">
      <c r="A920" t="inlineStr">
        <is>
          <t>SUP-0058</t>
        </is>
      </c>
      <c r="B920" t="inlineStr">
        <is>
          <t>Textiles Supplier 058</t>
        </is>
      </c>
      <c r="C920" t="inlineStr">
        <is>
          <t>Textiles</t>
        </is>
      </c>
      <c r="D920" t="n">
        <v>2024</v>
      </c>
      <c r="E920" t="n">
        <v>2015</v>
      </c>
      <c r="F920" t="n">
        <v>2030</v>
      </c>
      <c r="G920" t="n">
        <v>526.2491</v>
      </c>
      <c r="H920" t="n">
        <v>132.188</v>
      </c>
      <c r="I920" t="n">
        <v>63.6001</v>
      </c>
      <c r="J920" t="n">
        <v>348.878</v>
      </c>
      <c r="K920" t="n">
        <v>1403243.17</v>
      </c>
      <c r="L920" t="n">
        <v>1673627.42</v>
      </c>
      <c r="M920" t="n">
        <v>526.2491</v>
      </c>
      <c r="N920" t="inlineStr">
        <is>
          <t>Supplier Reported Emissions</t>
        </is>
      </c>
      <c r="O920" t="b">
        <v>0</v>
      </c>
      <c r="P920" t="inlineStr">
        <is>
          <t>High</t>
        </is>
      </c>
      <c r="Q920" t="inlineStr">
        <is>
          <t>None</t>
        </is>
      </c>
      <c r="R920" t="inlineStr">
        <is>
          <t>Valid</t>
        </is>
      </c>
      <c r="S920" t="n">
        <v>2031</v>
      </c>
      <c r="T920" t="inlineStr">
        <is>
          <t>Industry Haircut Pathway</t>
        </is>
      </c>
      <c r="U920" t="n">
        <v>531.5453</v>
      </c>
      <c r="V920" t="n">
        <v>362.9923</v>
      </c>
      <c r="W920" t="n">
        <v>362.9923</v>
      </c>
      <c r="X920" t="n">
        <v>362.9923</v>
      </c>
      <c r="Y920" t="n">
        <v>168.553</v>
      </c>
      <c r="Z920" t="n">
        <v>0.00025868</v>
      </c>
      <c r="AA920" t="n">
        <v>0.3171</v>
      </c>
      <c r="AB920" t="n">
        <v>0</v>
      </c>
      <c r="AC920" t="n">
        <v>11.2369</v>
      </c>
      <c r="AD920" t="n">
        <v>-531.5453</v>
      </c>
      <c r="AE920" t="n">
        <v>2709.4991</v>
      </c>
      <c r="AF920" t="n">
        <v>0.9429999999999999</v>
      </c>
      <c r="AG920" t="inlineStr">
        <is>
          <t>Low</t>
        </is>
      </c>
      <c r="AH920" t="inlineStr">
        <is>
          <t>On Track</t>
        </is>
      </c>
    </row>
    <row r="921">
      <c r="A921" t="inlineStr">
        <is>
          <t>SUP-0058</t>
        </is>
      </c>
      <c r="B921" t="inlineStr">
        <is>
          <t>Textiles Supplier 058</t>
        </is>
      </c>
      <c r="C921" t="inlineStr">
        <is>
          <t>Textiles</t>
        </is>
      </c>
      <c r="D921" t="n">
        <v>2024</v>
      </c>
      <c r="E921" t="n">
        <v>2015</v>
      </c>
      <c r="F921" t="n">
        <v>2030</v>
      </c>
      <c r="G921" t="n">
        <v>526.2491</v>
      </c>
      <c r="H921" t="n">
        <v>132.188</v>
      </c>
      <c r="I921" t="n">
        <v>63.6001</v>
      </c>
      <c r="J921" t="n">
        <v>348.878</v>
      </c>
      <c r="K921" t="n">
        <v>1403243.17</v>
      </c>
      <c r="L921" t="n">
        <v>1673627.42</v>
      </c>
      <c r="M921" t="n">
        <v>526.2491</v>
      </c>
      <c r="N921" t="inlineStr">
        <is>
          <t>Supplier Reported Emissions</t>
        </is>
      </c>
      <c r="O921" t="b">
        <v>0</v>
      </c>
      <c r="P921" t="inlineStr">
        <is>
          <t>High</t>
        </is>
      </c>
      <c r="Q921" t="inlineStr">
        <is>
          <t>None</t>
        </is>
      </c>
      <c r="R921" t="inlineStr">
        <is>
          <t>Valid</t>
        </is>
      </c>
      <c r="S921" t="n">
        <v>2032</v>
      </c>
      <c r="T921" t="inlineStr">
        <is>
          <t>Industry Haircut Pathway</t>
        </is>
      </c>
      <c r="U921" t="n">
        <v>531.5453</v>
      </c>
      <c r="V921" t="n">
        <v>362.9923</v>
      </c>
      <c r="W921" t="n">
        <v>362.9923</v>
      </c>
      <c r="X921" t="n">
        <v>362.9923</v>
      </c>
      <c r="Y921" t="n">
        <v>168.553</v>
      </c>
      <c r="Z921" t="n">
        <v>0.00025868</v>
      </c>
      <c r="AA921" t="n">
        <v>0.3171</v>
      </c>
      <c r="AB921" t="n">
        <v>0</v>
      </c>
      <c r="AC921" t="n">
        <v>11.2369</v>
      </c>
      <c r="AD921" t="n">
        <v>-894.5376</v>
      </c>
      <c r="AE921" t="n">
        <v>3072.4914</v>
      </c>
      <c r="AF921" t="n">
        <v>0.9429999999999999</v>
      </c>
      <c r="AG921" t="inlineStr">
        <is>
          <t>Low</t>
        </is>
      </c>
      <c r="AH921" t="inlineStr">
        <is>
          <t>On Track</t>
        </is>
      </c>
    </row>
    <row r="922">
      <c r="A922" t="inlineStr">
        <is>
          <t>SUP-0058</t>
        </is>
      </c>
      <c r="B922" t="inlineStr">
        <is>
          <t>Textiles Supplier 058</t>
        </is>
      </c>
      <c r="C922" t="inlineStr">
        <is>
          <t>Textiles</t>
        </is>
      </c>
      <c r="D922" t="n">
        <v>2024</v>
      </c>
      <c r="E922" t="n">
        <v>2015</v>
      </c>
      <c r="F922" t="n">
        <v>2030</v>
      </c>
      <c r="G922" t="n">
        <v>526.2491</v>
      </c>
      <c r="H922" t="n">
        <v>132.188</v>
      </c>
      <c r="I922" t="n">
        <v>63.6001</v>
      </c>
      <c r="J922" t="n">
        <v>348.878</v>
      </c>
      <c r="K922" t="n">
        <v>1403243.17</v>
      </c>
      <c r="L922" t="n">
        <v>1673627.42</v>
      </c>
      <c r="M922" t="n">
        <v>526.2491</v>
      </c>
      <c r="N922" t="inlineStr">
        <is>
          <t>Supplier Reported Emissions</t>
        </is>
      </c>
      <c r="O922" t="b">
        <v>0</v>
      </c>
      <c r="P922" t="inlineStr">
        <is>
          <t>High</t>
        </is>
      </c>
      <c r="Q922" t="inlineStr">
        <is>
          <t>None</t>
        </is>
      </c>
      <c r="R922" t="inlineStr">
        <is>
          <t>Valid</t>
        </is>
      </c>
      <c r="S922" t="n">
        <v>2033</v>
      </c>
      <c r="T922" t="inlineStr">
        <is>
          <t>Industry Haircut Pathway</t>
        </is>
      </c>
      <c r="U922" t="n">
        <v>531.5453</v>
      </c>
      <c r="V922" t="n">
        <v>362.9923</v>
      </c>
      <c r="W922" t="n">
        <v>362.9923</v>
      </c>
      <c r="X922" t="n">
        <v>362.9923</v>
      </c>
      <c r="Y922" t="n">
        <v>168.553</v>
      </c>
      <c r="Z922" t="n">
        <v>0.00025868</v>
      </c>
      <c r="AA922" t="n">
        <v>0.3171</v>
      </c>
      <c r="AB922" t="n">
        <v>0</v>
      </c>
      <c r="AC922" t="n">
        <v>11.2369</v>
      </c>
      <c r="AD922" t="n">
        <v>-1257.5299</v>
      </c>
      <c r="AE922" t="n">
        <v>3435.4837</v>
      </c>
      <c r="AF922" t="n">
        <v>0.9429999999999999</v>
      </c>
      <c r="AG922" t="inlineStr">
        <is>
          <t>Low</t>
        </is>
      </c>
      <c r="AH922" t="inlineStr">
        <is>
          <t>On Track</t>
        </is>
      </c>
    </row>
    <row r="923">
      <c r="A923" t="inlineStr">
        <is>
          <t>SUP-0058</t>
        </is>
      </c>
      <c r="B923" t="inlineStr">
        <is>
          <t>Textiles Supplier 058</t>
        </is>
      </c>
      <c r="C923" t="inlineStr">
        <is>
          <t>Textiles</t>
        </is>
      </c>
      <c r="D923" t="n">
        <v>2024</v>
      </c>
      <c r="E923" t="n">
        <v>2015</v>
      </c>
      <c r="F923" t="n">
        <v>2030</v>
      </c>
      <c r="G923" t="n">
        <v>526.2491</v>
      </c>
      <c r="H923" t="n">
        <v>132.188</v>
      </c>
      <c r="I923" t="n">
        <v>63.6001</v>
      </c>
      <c r="J923" t="n">
        <v>348.878</v>
      </c>
      <c r="K923" t="n">
        <v>1403243.17</v>
      </c>
      <c r="L923" t="n">
        <v>1673627.42</v>
      </c>
      <c r="M923" t="n">
        <v>526.2491</v>
      </c>
      <c r="N923" t="inlineStr">
        <is>
          <t>Supplier Reported Emissions</t>
        </is>
      </c>
      <c r="O923" t="b">
        <v>0</v>
      </c>
      <c r="P923" t="inlineStr">
        <is>
          <t>High</t>
        </is>
      </c>
      <c r="Q923" t="inlineStr">
        <is>
          <t>None</t>
        </is>
      </c>
      <c r="R923" t="inlineStr">
        <is>
          <t>Valid</t>
        </is>
      </c>
      <c r="S923" t="n">
        <v>2034</v>
      </c>
      <c r="T923" t="inlineStr">
        <is>
          <t>Industry Haircut Pathway</t>
        </is>
      </c>
      <c r="U923" t="n">
        <v>531.5453</v>
      </c>
      <c r="V923" t="n">
        <v>362.9923</v>
      </c>
      <c r="W923" t="n">
        <v>362.9923</v>
      </c>
      <c r="X923" t="n">
        <v>362.9923</v>
      </c>
      <c r="Y923" t="n">
        <v>168.553</v>
      </c>
      <c r="Z923" t="n">
        <v>0.00025868</v>
      </c>
      <c r="AA923" t="n">
        <v>0.3171</v>
      </c>
      <c r="AB923" t="n">
        <v>0</v>
      </c>
      <c r="AC923" t="n">
        <v>11.2369</v>
      </c>
      <c r="AD923" t="n">
        <v>-1620.5222</v>
      </c>
      <c r="AE923" t="n">
        <v>3798.476</v>
      </c>
      <c r="AF923" t="n">
        <v>0.9429999999999999</v>
      </c>
      <c r="AG923" t="inlineStr">
        <is>
          <t>Low</t>
        </is>
      </c>
      <c r="AH923" t="inlineStr">
        <is>
          <t>On Track</t>
        </is>
      </c>
    </row>
    <row r="924">
      <c r="A924" t="inlineStr">
        <is>
          <t>SUP-0058</t>
        </is>
      </c>
      <c r="B924" t="inlineStr">
        <is>
          <t>Textiles Supplier 058</t>
        </is>
      </c>
      <c r="C924" t="inlineStr">
        <is>
          <t>Textiles</t>
        </is>
      </c>
      <c r="D924" t="n">
        <v>2024</v>
      </c>
      <c r="E924" t="n">
        <v>2015</v>
      </c>
      <c r="F924" t="n">
        <v>2030</v>
      </c>
      <c r="G924" t="n">
        <v>526.2491</v>
      </c>
      <c r="H924" t="n">
        <v>132.188</v>
      </c>
      <c r="I924" t="n">
        <v>63.6001</v>
      </c>
      <c r="J924" t="n">
        <v>348.878</v>
      </c>
      <c r="K924" t="n">
        <v>1403243.17</v>
      </c>
      <c r="L924" t="n">
        <v>1673627.42</v>
      </c>
      <c r="M924" t="n">
        <v>526.2491</v>
      </c>
      <c r="N924" t="inlineStr">
        <is>
          <t>Supplier Reported Emissions</t>
        </is>
      </c>
      <c r="O924" t="b">
        <v>0</v>
      </c>
      <c r="P924" t="inlineStr">
        <is>
          <t>High</t>
        </is>
      </c>
      <c r="Q924" t="inlineStr">
        <is>
          <t>None</t>
        </is>
      </c>
      <c r="R924" t="inlineStr">
        <is>
          <t>Valid</t>
        </is>
      </c>
      <c r="S924" t="n">
        <v>2035</v>
      </c>
      <c r="T924" t="inlineStr">
        <is>
          <t>Industry Haircut Pathway</t>
        </is>
      </c>
      <c r="U924" t="n">
        <v>531.5453</v>
      </c>
      <c r="V924" t="n">
        <v>362.9923</v>
      </c>
      <c r="W924" t="n">
        <v>362.9923</v>
      </c>
      <c r="X924" t="n">
        <v>362.9923</v>
      </c>
      <c r="Y924" t="n">
        <v>168.553</v>
      </c>
      <c r="Z924" t="n">
        <v>0.00025868</v>
      </c>
      <c r="AA924" t="n">
        <v>0.3171</v>
      </c>
      <c r="AB924" t="n">
        <v>0</v>
      </c>
      <c r="AC924" t="n">
        <v>11.2369</v>
      </c>
      <c r="AD924" t="n">
        <v>-1983.5145</v>
      </c>
      <c r="AE924" t="n">
        <v>4161.4683</v>
      </c>
      <c r="AF924" t="n">
        <v>0.9429999999999999</v>
      </c>
      <c r="AG924" t="inlineStr">
        <is>
          <t>Low</t>
        </is>
      </c>
      <c r="AH924" t="inlineStr">
        <is>
          <t>On Track</t>
        </is>
      </c>
    </row>
    <row r="925">
      <c r="A925" t="inlineStr">
        <is>
          <t>SUP-0058</t>
        </is>
      </c>
      <c r="B925" t="inlineStr">
        <is>
          <t>Textiles Supplier 058</t>
        </is>
      </c>
      <c r="C925" t="inlineStr">
        <is>
          <t>Textiles</t>
        </is>
      </c>
      <c r="D925" t="n">
        <v>2024</v>
      </c>
      <c r="E925" t="n">
        <v>2015</v>
      </c>
      <c r="F925" t="n">
        <v>2030</v>
      </c>
      <c r="G925" t="n">
        <v>526.2491</v>
      </c>
      <c r="H925" t="n">
        <v>132.188</v>
      </c>
      <c r="I925" t="n">
        <v>63.6001</v>
      </c>
      <c r="J925" t="n">
        <v>348.878</v>
      </c>
      <c r="K925" t="n">
        <v>1403243.17</v>
      </c>
      <c r="L925" t="n">
        <v>1673627.42</v>
      </c>
      <c r="M925" t="n">
        <v>526.2491</v>
      </c>
      <c r="N925" t="inlineStr">
        <is>
          <t>Supplier Reported Emissions</t>
        </is>
      </c>
      <c r="O925" t="b">
        <v>0</v>
      </c>
      <c r="P925" t="inlineStr">
        <is>
          <t>High</t>
        </is>
      </c>
      <c r="Q925" t="inlineStr">
        <is>
          <t>None</t>
        </is>
      </c>
      <c r="R925" t="inlineStr">
        <is>
          <t>Valid</t>
        </is>
      </c>
      <c r="S925" t="n">
        <v>2036</v>
      </c>
      <c r="T925" t="inlineStr">
        <is>
          <t>Industry Haircut Pathway</t>
        </is>
      </c>
      <c r="U925" t="n">
        <v>531.5453</v>
      </c>
      <c r="V925" t="n">
        <v>362.9923</v>
      </c>
      <c r="W925" t="n">
        <v>362.9923</v>
      </c>
      <c r="X925" t="n">
        <v>362.9923</v>
      </c>
      <c r="Y925" t="n">
        <v>168.553</v>
      </c>
      <c r="Z925" t="n">
        <v>0.00025868</v>
      </c>
      <c r="AA925" t="n">
        <v>0.3171</v>
      </c>
      <c r="AB925" t="n">
        <v>0</v>
      </c>
      <c r="AC925" t="n">
        <v>11.2369</v>
      </c>
      <c r="AD925" t="n">
        <v>-2346.5068</v>
      </c>
      <c r="AE925" t="n">
        <v>4524.4606</v>
      </c>
      <c r="AF925" t="n">
        <v>0.9429999999999999</v>
      </c>
      <c r="AG925" t="inlineStr">
        <is>
          <t>Low</t>
        </is>
      </c>
      <c r="AH925" t="inlineStr">
        <is>
          <t>On Track</t>
        </is>
      </c>
    </row>
    <row r="926">
      <c r="A926" t="inlineStr">
        <is>
          <t>SUP-0058</t>
        </is>
      </c>
      <c r="B926" t="inlineStr">
        <is>
          <t>Textiles Supplier 058</t>
        </is>
      </c>
      <c r="C926" t="inlineStr">
        <is>
          <t>Textiles</t>
        </is>
      </c>
      <c r="D926" t="n">
        <v>2024</v>
      </c>
      <c r="E926" t="n">
        <v>2015</v>
      </c>
      <c r="F926" t="n">
        <v>2030</v>
      </c>
      <c r="G926" t="n">
        <v>526.2491</v>
      </c>
      <c r="H926" t="n">
        <v>132.188</v>
      </c>
      <c r="I926" t="n">
        <v>63.6001</v>
      </c>
      <c r="J926" t="n">
        <v>348.878</v>
      </c>
      <c r="K926" t="n">
        <v>1403243.17</v>
      </c>
      <c r="L926" t="n">
        <v>1673627.42</v>
      </c>
      <c r="M926" t="n">
        <v>526.2491</v>
      </c>
      <c r="N926" t="inlineStr">
        <is>
          <t>Supplier Reported Emissions</t>
        </is>
      </c>
      <c r="O926" t="b">
        <v>0</v>
      </c>
      <c r="P926" t="inlineStr">
        <is>
          <t>High</t>
        </is>
      </c>
      <c r="Q926" t="inlineStr">
        <is>
          <t>None</t>
        </is>
      </c>
      <c r="R926" t="inlineStr">
        <is>
          <t>Valid</t>
        </is>
      </c>
      <c r="S926" t="n">
        <v>2037</v>
      </c>
      <c r="T926" t="inlineStr">
        <is>
          <t>Industry Haircut Pathway</t>
        </is>
      </c>
      <c r="U926" t="n">
        <v>531.5453</v>
      </c>
      <c r="V926" t="n">
        <v>362.9923</v>
      </c>
      <c r="W926" t="n">
        <v>362.9923</v>
      </c>
      <c r="X926" t="n">
        <v>362.9923</v>
      </c>
      <c r="Y926" t="n">
        <v>168.553</v>
      </c>
      <c r="Z926" t="n">
        <v>0.00025868</v>
      </c>
      <c r="AA926" t="n">
        <v>0.3171</v>
      </c>
      <c r="AB926" t="n">
        <v>0</v>
      </c>
      <c r="AC926" t="n">
        <v>11.2369</v>
      </c>
      <c r="AD926" t="n">
        <v>-2709.4991</v>
      </c>
      <c r="AE926" t="n">
        <v>4887.4529</v>
      </c>
      <c r="AF926" t="n">
        <v>0.9429999999999999</v>
      </c>
      <c r="AG926" t="inlineStr">
        <is>
          <t>Low</t>
        </is>
      </c>
      <c r="AH926" t="inlineStr">
        <is>
          <t>On Track</t>
        </is>
      </c>
    </row>
    <row r="927">
      <c r="A927" t="inlineStr">
        <is>
          <t>SUP-0058</t>
        </is>
      </c>
      <c r="B927" t="inlineStr">
        <is>
          <t>Textiles Supplier 058</t>
        </is>
      </c>
      <c r="C927" t="inlineStr">
        <is>
          <t>Textiles</t>
        </is>
      </c>
      <c r="D927" t="n">
        <v>2024</v>
      </c>
      <c r="E927" t="n">
        <v>2015</v>
      </c>
      <c r="F927" t="n">
        <v>2030</v>
      </c>
      <c r="G927" t="n">
        <v>526.2491</v>
      </c>
      <c r="H927" t="n">
        <v>132.188</v>
      </c>
      <c r="I927" t="n">
        <v>63.6001</v>
      </c>
      <c r="J927" t="n">
        <v>348.878</v>
      </c>
      <c r="K927" t="n">
        <v>1403243.17</v>
      </c>
      <c r="L927" t="n">
        <v>1673627.42</v>
      </c>
      <c r="M927" t="n">
        <v>526.2491</v>
      </c>
      <c r="N927" t="inlineStr">
        <is>
          <t>Supplier Reported Emissions</t>
        </is>
      </c>
      <c r="O927" t="b">
        <v>0</v>
      </c>
      <c r="P927" t="inlineStr">
        <is>
          <t>High</t>
        </is>
      </c>
      <c r="Q927" t="inlineStr">
        <is>
          <t>None</t>
        </is>
      </c>
      <c r="R927" t="inlineStr">
        <is>
          <t>Valid</t>
        </is>
      </c>
      <c r="S927" t="n">
        <v>2038</v>
      </c>
      <c r="T927" t="inlineStr">
        <is>
          <t>Industry Haircut Pathway</t>
        </is>
      </c>
      <c r="U927" t="n">
        <v>531.5453</v>
      </c>
      <c r="V927" t="n">
        <v>362.9923</v>
      </c>
      <c r="W927" t="n">
        <v>362.9923</v>
      </c>
      <c r="X927" t="n">
        <v>362.9923</v>
      </c>
      <c r="Y927" t="n">
        <v>168.553</v>
      </c>
      <c r="Z927" t="n">
        <v>0.00025868</v>
      </c>
      <c r="AA927" t="n">
        <v>0.3171</v>
      </c>
      <c r="AB927" t="n">
        <v>0</v>
      </c>
      <c r="AC927" t="n">
        <v>11.2369</v>
      </c>
      <c r="AD927" t="n">
        <v>-3072.4914</v>
      </c>
      <c r="AE927" t="n">
        <v>5250.4452</v>
      </c>
      <c r="AF927" t="n">
        <v>0.9429999999999999</v>
      </c>
      <c r="AG927" t="inlineStr">
        <is>
          <t>Low</t>
        </is>
      </c>
      <c r="AH927" t="inlineStr">
        <is>
          <t>On Track</t>
        </is>
      </c>
    </row>
    <row r="928">
      <c r="A928" t="inlineStr">
        <is>
          <t>SUP-0058</t>
        </is>
      </c>
      <c r="B928" t="inlineStr">
        <is>
          <t>Textiles Supplier 058</t>
        </is>
      </c>
      <c r="C928" t="inlineStr">
        <is>
          <t>Textiles</t>
        </is>
      </c>
      <c r="D928" t="n">
        <v>2024</v>
      </c>
      <c r="E928" t="n">
        <v>2015</v>
      </c>
      <c r="F928" t="n">
        <v>2030</v>
      </c>
      <c r="G928" t="n">
        <v>526.2491</v>
      </c>
      <c r="H928" t="n">
        <v>132.188</v>
      </c>
      <c r="I928" t="n">
        <v>63.6001</v>
      </c>
      <c r="J928" t="n">
        <v>348.878</v>
      </c>
      <c r="K928" t="n">
        <v>1403243.17</v>
      </c>
      <c r="L928" t="n">
        <v>1673627.42</v>
      </c>
      <c r="M928" t="n">
        <v>526.2491</v>
      </c>
      <c r="N928" t="inlineStr">
        <is>
          <t>Supplier Reported Emissions</t>
        </is>
      </c>
      <c r="O928" t="b">
        <v>0</v>
      </c>
      <c r="P928" t="inlineStr">
        <is>
          <t>High</t>
        </is>
      </c>
      <c r="Q928" t="inlineStr">
        <is>
          <t>None</t>
        </is>
      </c>
      <c r="R928" t="inlineStr">
        <is>
          <t>Valid</t>
        </is>
      </c>
      <c r="S928" t="n">
        <v>2039</v>
      </c>
      <c r="T928" t="inlineStr">
        <is>
          <t>Industry Haircut Pathway</t>
        </is>
      </c>
      <c r="U928" t="n">
        <v>531.5453</v>
      </c>
      <c r="V928" t="n">
        <v>362.9923</v>
      </c>
      <c r="W928" t="n">
        <v>362.9923</v>
      </c>
      <c r="X928" t="n">
        <v>362.9923</v>
      </c>
      <c r="Y928" t="n">
        <v>168.553</v>
      </c>
      <c r="Z928" t="n">
        <v>0.00025868</v>
      </c>
      <c r="AA928" t="n">
        <v>0.3171</v>
      </c>
      <c r="AB928" t="n">
        <v>0</v>
      </c>
      <c r="AC928" t="n">
        <v>11.2369</v>
      </c>
      <c r="AD928" t="n">
        <v>-3435.4837</v>
      </c>
      <c r="AE928" t="n">
        <v>5613.4375</v>
      </c>
      <c r="AF928" t="n">
        <v>0.9429999999999999</v>
      </c>
      <c r="AG928" t="inlineStr">
        <is>
          <t>Low</t>
        </is>
      </c>
      <c r="AH928" t="inlineStr">
        <is>
          <t>On Track</t>
        </is>
      </c>
    </row>
    <row r="929">
      <c r="A929" t="inlineStr">
        <is>
          <t>SUP-0058</t>
        </is>
      </c>
      <c r="B929" t="inlineStr">
        <is>
          <t>Textiles Supplier 058</t>
        </is>
      </c>
      <c r="C929" t="inlineStr">
        <is>
          <t>Textiles</t>
        </is>
      </c>
      <c r="D929" t="n">
        <v>2024</v>
      </c>
      <c r="E929" t="n">
        <v>2015</v>
      </c>
      <c r="F929" t="n">
        <v>2030</v>
      </c>
      <c r="G929" t="n">
        <v>526.2491</v>
      </c>
      <c r="H929" t="n">
        <v>132.188</v>
      </c>
      <c r="I929" t="n">
        <v>63.6001</v>
      </c>
      <c r="J929" t="n">
        <v>348.878</v>
      </c>
      <c r="K929" t="n">
        <v>1403243.17</v>
      </c>
      <c r="L929" t="n">
        <v>1673627.42</v>
      </c>
      <c r="M929" t="n">
        <v>526.2491</v>
      </c>
      <c r="N929" t="inlineStr">
        <is>
          <t>Supplier Reported Emissions</t>
        </is>
      </c>
      <c r="O929" t="b">
        <v>0</v>
      </c>
      <c r="P929" t="inlineStr">
        <is>
          <t>High</t>
        </is>
      </c>
      <c r="Q929" t="inlineStr">
        <is>
          <t>None</t>
        </is>
      </c>
      <c r="R929" t="inlineStr">
        <is>
          <t>Valid</t>
        </is>
      </c>
      <c r="S929" t="n">
        <v>2040</v>
      </c>
      <c r="T929" t="inlineStr">
        <is>
          <t>Industry Haircut Pathway</t>
        </is>
      </c>
      <c r="U929" t="n">
        <v>531.5453</v>
      </c>
      <c r="V929" t="n">
        <v>362.9923</v>
      </c>
      <c r="W929" t="n">
        <v>362.9923</v>
      </c>
      <c r="X929" t="n">
        <v>362.9923</v>
      </c>
      <c r="Y929" t="n">
        <v>168.553</v>
      </c>
      <c r="Z929" t="n">
        <v>0.00025868</v>
      </c>
      <c r="AA929" t="n">
        <v>0.3171</v>
      </c>
      <c r="AB929" t="n">
        <v>0</v>
      </c>
      <c r="AC929" t="n">
        <v>11.2369</v>
      </c>
      <c r="AD929" t="n">
        <v>-3798.476</v>
      </c>
      <c r="AE929" t="n">
        <v>5976.4298</v>
      </c>
      <c r="AF929" t="n">
        <v>0.9429999999999999</v>
      </c>
      <c r="AG929" t="inlineStr">
        <is>
          <t>Low</t>
        </is>
      </c>
      <c r="AH929" t="inlineStr">
        <is>
          <t>On Track</t>
        </is>
      </c>
    </row>
    <row r="930">
      <c r="A930" t="inlineStr">
        <is>
          <t>SUP-0059</t>
        </is>
      </c>
      <c r="B930" t="inlineStr">
        <is>
          <t>Agriculture Supplier 059</t>
        </is>
      </c>
      <c r="C930" t="inlineStr">
        <is>
          <t>Agriculture</t>
        </is>
      </c>
      <c r="D930" t="n">
        <v>2024</v>
      </c>
      <c r="E930" t="n">
        <v>2021</v>
      </c>
      <c r="F930" t="n">
        <v>2030</v>
      </c>
      <c r="G930" t="n">
        <v>16745.9256</v>
      </c>
      <c r="H930" t="n">
        <v>4802.5456</v>
      </c>
      <c r="I930" t="n">
        <v>3057.7625</v>
      </c>
      <c r="J930" t="n">
        <v>9738.0509</v>
      </c>
      <c r="K930" t="n">
        <v>25054136.73</v>
      </c>
      <c r="L930" t="n">
        <v>119475178.82</v>
      </c>
      <c r="M930" t="n">
        <v>16745.9256</v>
      </c>
      <c r="N930" t="inlineStr">
        <is>
          <t>Supplier Reported Emissions</t>
        </is>
      </c>
      <c r="O930" t="b">
        <v>0</v>
      </c>
      <c r="P930" t="inlineStr">
        <is>
          <t>High</t>
        </is>
      </c>
      <c r="Q930" t="inlineStr">
        <is>
          <t>None</t>
        </is>
      </c>
      <c r="R930" t="inlineStr">
        <is>
          <t>Valid</t>
        </is>
      </c>
      <c r="S930" t="n">
        <v>2025</v>
      </c>
      <c r="T930" t="inlineStr">
        <is>
          <t>Supplier Target Pathway</t>
        </is>
      </c>
      <c r="U930" t="n">
        <v>18746.8452</v>
      </c>
      <c r="V930" t="n">
        <v>9467.156800000001</v>
      </c>
      <c r="W930" t="n">
        <v>14622.5393</v>
      </c>
      <c r="X930" t="n">
        <v>14622.5393</v>
      </c>
      <c r="Y930" t="n">
        <v>4124.3059</v>
      </c>
      <c r="Z930" t="n">
        <v>0.00058364</v>
      </c>
      <c r="AA930" t="n">
        <v>0.22</v>
      </c>
      <c r="AB930" t="n">
        <v>5155.3824</v>
      </c>
      <c r="AC930" t="n">
        <v>1031.0765</v>
      </c>
      <c r="AD930" t="n">
        <v>42180.4015</v>
      </c>
      <c r="AE930" t="n">
        <v>14622.5393</v>
      </c>
      <c r="AF930" t="n">
        <v>0.99</v>
      </c>
      <c r="AG930" t="inlineStr">
        <is>
          <t>Critical</t>
        </is>
      </c>
      <c r="AH930" t="inlineStr">
        <is>
          <t>On Track to Glide Path</t>
        </is>
      </c>
    </row>
    <row r="931">
      <c r="A931" t="inlineStr">
        <is>
          <t>SUP-0059</t>
        </is>
      </c>
      <c r="B931" t="inlineStr">
        <is>
          <t>Agriculture Supplier 059</t>
        </is>
      </c>
      <c r="C931" t="inlineStr">
        <is>
          <t>Agriculture</t>
        </is>
      </c>
      <c r="D931" t="n">
        <v>2024</v>
      </c>
      <c r="E931" t="n">
        <v>2021</v>
      </c>
      <c r="F931" t="n">
        <v>2030</v>
      </c>
      <c r="G931" t="n">
        <v>16745.9256</v>
      </c>
      <c r="H931" t="n">
        <v>4802.5456</v>
      </c>
      <c r="I931" t="n">
        <v>3057.7625</v>
      </c>
      <c r="J931" t="n">
        <v>9738.0509</v>
      </c>
      <c r="K931" t="n">
        <v>25054136.73</v>
      </c>
      <c r="L931" t="n">
        <v>119475178.82</v>
      </c>
      <c r="M931" t="n">
        <v>16745.9256</v>
      </c>
      <c r="N931" t="inlineStr">
        <is>
          <t>Supplier Reported Emissions</t>
        </is>
      </c>
      <c r="O931" t="b">
        <v>0</v>
      </c>
      <c r="P931" t="inlineStr">
        <is>
          <t>High</t>
        </is>
      </c>
      <c r="Q931" t="inlineStr">
        <is>
          <t>None</t>
        </is>
      </c>
      <c r="R931" t="inlineStr">
        <is>
          <t>Valid</t>
        </is>
      </c>
      <c r="S931" t="n">
        <v>2026</v>
      </c>
      <c r="T931" t="inlineStr">
        <is>
          <t>Supplier Target Pathway</t>
        </is>
      </c>
      <c r="U931" t="n">
        <v>18746.8452</v>
      </c>
      <c r="V931" t="n">
        <v>9467.156800000001</v>
      </c>
      <c r="W931" t="n">
        <v>13591.4628</v>
      </c>
      <c r="X931" t="n">
        <v>13591.4628</v>
      </c>
      <c r="Y931" t="n">
        <v>5155.3824</v>
      </c>
      <c r="Z931" t="n">
        <v>0.00054248</v>
      </c>
      <c r="AA931" t="n">
        <v>0.275</v>
      </c>
      <c r="AB931" t="n">
        <v>4124.3059</v>
      </c>
      <c r="AC931" t="n">
        <v>1031.0765</v>
      </c>
      <c r="AD931" t="n">
        <v>28588.9387</v>
      </c>
      <c r="AE931" t="n">
        <v>28214.0021</v>
      </c>
      <c r="AF931" t="n">
        <v>0.99</v>
      </c>
      <c r="AG931" t="inlineStr">
        <is>
          <t>Critical</t>
        </is>
      </c>
      <c r="AH931" t="inlineStr">
        <is>
          <t>On Track to Glide Path</t>
        </is>
      </c>
    </row>
    <row r="932">
      <c r="A932" t="inlineStr">
        <is>
          <t>SUP-0059</t>
        </is>
      </c>
      <c r="B932" t="inlineStr">
        <is>
          <t>Agriculture Supplier 059</t>
        </is>
      </c>
      <c r="C932" t="inlineStr">
        <is>
          <t>Agriculture</t>
        </is>
      </c>
      <c r="D932" t="n">
        <v>2024</v>
      </c>
      <c r="E932" t="n">
        <v>2021</v>
      </c>
      <c r="F932" t="n">
        <v>2030</v>
      </c>
      <c r="G932" t="n">
        <v>16745.9256</v>
      </c>
      <c r="H932" t="n">
        <v>4802.5456</v>
      </c>
      <c r="I932" t="n">
        <v>3057.7625</v>
      </c>
      <c r="J932" t="n">
        <v>9738.0509</v>
      </c>
      <c r="K932" t="n">
        <v>25054136.73</v>
      </c>
      <c r="L932" t="n">
        <v>119475178.82</v>
      </c>
      <c r="M932" t="n">
        <v>16745.9256</v>
      </c>
      <c r="N932" t="inlineStr">
        <is>
          <t>Supplier Reported Emissions</t>
        </is>
      </c>
      <c r="O932" t="b">
        <v>0</v>
      </c>
      <c r="P932" t="inlineStr">
        <is>
          <t>High</t>
        </is>
      </c>
      <c r="Q932" t="inlineStr">
        <is>
          <t>None</t>
        </is>
      </c>
      <c r="R932" t="inlineStr">
        <is>
          <t>Valid</t>
        </is>
      </c>
      <c r="S932" t="n">
        <v>2027</v>
      </c>
      <c r="T932" t="inlineStr">
        <is>
          <t>Supplier Target Pathway</t>
        </is>
      </c>
      <c r="U932" t="n">
        <v>18746.8452</v>
      </c>
      <c r="V932" t="n">
        <v>9467.156800000001</v>
      </c>
      <c r="W932" t="n">
        <v>12560.3863</v>
      </c>
      <c r="X932" t="n">
        <v>12560.3863</v>
      </c>
      <c r="Y932" t="n">
        <v>6186.4589</v>
      </c>
      <c r="Z932" t="n">
        <v>0.00050133</v>
      </c>
      <c r="AA932" t="n">
        <v>0.33</v>
      </c>
      <c r="AB932" t="n">
        <v>3093.2295</v>
      </c>
      <c r="AC932" t="n">
        <v>1031.0765</v>
      </c>
      <c r="AD932" t="n">
        <v>16028.5524</v>
      </c>
      <c r="AE932" t="n">
        <v>40774.3884</v>
      </c>
      <c r="AF932" t="n">
        <v>0.99</v>
      </c>
      <c r="AG932" t="inlineStr">
        <is>
          <t>High</t>
        </is>
      </c>
      <c r="AH932" t="inlineStr">
        <is>
          <t>On Track to Glide Path</t>
        </is>
      </c>
    </row>
    <row r="933">
      <c r="A933" t="inlineStr">
        <is>
          <t>SUP-0059</t>
        </is>
      </c>
      <c r="B933" t="inlineStr">
        <is>
          <t>Agriculture Supplier 059</t>
        </is>
      </c>
      <c r="C933" t="inlineStr">
        <is>
          <t>Agriculture</t>
        </is>
      </c>
      <c r="D933" t="n">
        <v>2024</v>
      </c>
      <c r="E933" t="n">
        <v>2021</v>
      </c>
      <c r="F933" t="n">
        <v>2030</v>
      </c>
      <c r="G933" t="n">
        <v>16745.9256</v>
      </c>
      <c r="H933" t="n">
        <v>4802.5456</v>
      </c>
      <c r="I933" t="n">
        <v>3057.7625</v>
      </c>
      <c r="J933" t="n">
        <v>9738.0509</v>
      </c>
      <c r="K933" t="n">
        <v>25054136.73</v>
      </c>
      <c r="L933" t="n">
        <v>119475178.82</v>
      </c>
      <c r="M933" t="n">
        <v>16745.9256</v>
      </c>
      <c r="N933" t="inlineStr">
        <is>
          <t>Supplier Reported Emissions</t>
        </is>
      </c>
      <c r="O933" t="b">
        <v>0</v>
      </c>
      <c r="P933" t="inlineStr">
        <is>
          <t>High</t>
        </is>
      </c>
      <c r="Q933" t="inlineStr">
        <is>
          <t>None</t>
        </is>
      </c>
      <c r="R933" t="inlineStr">
        <is>
          <t>Valid</t>
        </is>
      </c>
      <c r="S933" t="n">
        <v>2028</v>
      </c>
      <c r="T933" t="inlineStr">
        <is>
          <t>Supplier Target Pathway</t>
        </is>
      </c>
      <c r="U933" t="n">
        <v>18746.8452</v>
      </c>
      <c r="V933" t="n">
        <v>9467.156800000001</v>
      </c>
      <c r="W933" t="n">
        <v>11529.3098</v>
      </c>
      <c r="X933" t="n">
        <v>11529.3098</v>
      </c>
      <c r="Y933" t="n">
        <v>7217.5354</v>
      </c>
      <c r="Z933" t="n">
        <v>0.00046018</v>
      </c>
      <c r="AA933" t="n">
        <v>0.385</v>
      </c>
      <c r="AB933" t="n">
        <v>2062.153</v>
      </c>
      <c r="AC933" t="n">
        <v>1031.0765</v>
      </c>
      <c r="AD933" t="n">
        <v>4499.2426</v>
      </c>
      <c r="AE933" t="n">
        <v>52303.6982</v>
      </c>
      <c r="AF933" t="n">
        <v>0.99</v>
      </c>
      <c r="AG933" t="inlineStr">
        <is>
          <t>High</t>
        </is>
      </c>
      <c r="AH933" t="inlineStr">
        <is>
          <t>On Track to Glide Path</t>
        </is>
      </c>
    </row>
    <row r="934">
      <c r="A934" t="inlineStr">
        <is>
          <t>SUP-0059</t>
        </is>
      </c>
      <c r="B934" t="inlineStr">
        <is>
          <t>Agriculture Supplier 059</t>
        </is>
      </c>
      <c r="C934" t="inlineStr">
        <is>
          <t>Agriculture</t>
        </is>
      </c>
      <c r="D934" t="n">
        <v>2024</v>
      </c>
      <c r="E934" t="n">
        <v>2021</v>
      </c>
      <c r="F934" t="n">
        <v>2030</v>
      </c>
      <c r="G934" t="n">
        <v>16745.9256</v>
      </c>
      <c r="H934" t="n">
        <v>4802.5456</v>
      </c>
      <c r="I934" t="n">
        <v>3057.7625</v>
      </c>
      <c r="J934" t="n">
        <v>9738.0509</v>
      </c>
      <c r="K934" t="n">
        <v>25054136.73</v>
      </c>
      <c r="L934" t="n">
        <v>119475178.82</v>
      </c>
      <c r="M934" t="n">
        <v>16745.9256</v>
      </c>
      <c r="N934" t="inlineStr">
        <is>
          <t>Supplier Reported Emissions</t>
        </is>
      </c>
      <c r="O934" t="b">
        <v>0</v>
      </c>
      <c r="P934" t="inlineStr">
        <is>
          <t>High</t>
        </is>
      </c>
      <c r="Q934" t="inlineStr">
        <is>
          <t>None</t>
        </is>
      </c>
      <c r="R934" t="inlineStr">
        <is>
          <t>Valid</t>
        </is>
      </c>
      <c r="S934" t="n">
        <v>2029</v>
      </c>
      <c r="T934" t="inlineStr">
        <is>
          <t>Supplier Target Pathway</t>
        </is>
      </c>
      <c r="U934" t="n">
        <v>18746.8452</v>
      </c>
      <c r="V934" t="n">
        <v>9467.156800000001</v>
      </c>
      <c r="W934" t="n">
        <v>10498.2333</v>
      </c>
      <c r="X934" t="n">
        <v>10498.2333</v>
      </c>
      <c r="Y934" t="n">
        <v>8248.6119</v>
      </c>
      <c r="Z934" t="n">
        <v>0.00041902</v>
      </c>
      <c r="AA934" t="n">
        <v>0.44</v>
      </c>
      <c r="AB934" t="n">
        <v>1031.0765</v>
      </c>
      <c r="AC934" t="n">
        <v>1031.0765</v>
      </c>
      <c r="AD934" t="n">
        <v>-5998.9907</v>
      </c>
      <c r="AE934" t="n">
        <v>62801.9315</v>
      </c>
      <c r="AF934" t="n">
        <v>0.99</v>
      </c>
      <c r="AG934" t="inlineStr">
        <is>
          <t>Medium</t>
        </is>
      </c>
      <c r="AH934" t="inlineStr">
        <is>
          <t>On Track to Glide Path</t>
        </is>
      </c>
    </row>
    <row r="935">
      <c r="A935" t="inlineStr">
        <is>
          <t>SUP-0059</t>
        </is>
      </c>
      <c r="B935" t="inlineStr">
        <is>
          <t>Agriculture Supplier 059</t>
        </is>
      </c>
      <c r="C935" t="inlineStr">
        <is>
          <t>Agriculture</t>
        </is>
      </c>
      <c r="D935" t="n">
        <v>2024</v>
      </c>
      <c r="E935" t="n">
        <v>2021</v>
      </c>
      <c r="F935" t="n">
        <v>2030</v>
      </c>
      <c r="G935" t="n">
        <v>16745.9256</v>
      </c>
      <c r="H935" t="n">
        <v>4802.5456</v>
      </c>
      <c r="I935" t="n">
        <v>3057.7625</v>
      </c>
      <c r="J935" t="n">
        <v>9738.0509</v>
      </c>
      <c r="K935" t="n">
        <v>25054136.73</v>
      </c>
      <c r="L935" t="n">
        <v>119475178.82</v>
      </c>
      <c r="M935" t="n">
        <v>16745.9256</v>
      </c>
      <c r="N935" t="inlineStr">
        <is>
          <t>Supplier Reported Emissions</t>
        </is>
      </c>
      <c r="O935" t="b">
        <v>0</v>
      </c>
      <c r="P935" t="inlineStr">
        <is>
          <t>High</t>
        </is>
      </c>
      <c r="Q935" t="inlineStr">
        <is>
          <t>None</t>
        </is>
      </c>
      <c r="R935" t="inlineStr">
        <is>
          <t>Valid</t>
        </is>
      </c>
      <c r="S935" t="n">
        <v>2030</v>
      </c>
      <c r="T935" t="inlineStr">
        <is>
          <t>Supplier Target Pathway</t>
        </is>
      </c>
      <c r="U935" t="n">
        <v>18746.8452</v>
      </c>
      <c r="V935" t="n">
        <v>9467.156800000001</v>
      </c>
      <c r="W935" t="n">
        <v>9467.156800000001</v>
      </c>
      <c r="X935" t="n">
        <v>9467.156800000001</v>
      </c>
      <c r="Y935" t="n">
        <v>9279.688399999999</v>
      </c>
      <c r="Z935" t="n">
        <v>0.00037787</v>
      </c>
      <c r="AA935" t="n">
        <v>0.495</v>
      </c>
      <c r="AB935" t="n">
        <v>0</v>
      </c>
      <c r="AC935" t="n">
        <v>1031.0765</v>
      </c>
      <c r="AD935" t="n">
        <v>-15466.1475</v>
      </c>
      <c r="AE935" t="n">
        <v>72269.0883</v>
      </c>
      <c r="AF935" t="n">
        <v>0.99</v>
      </c>
      <c r="AG935" t="inlineStr">
        <is>
          <t>Low</t>
        </is>
      </c>
      <c r="AH935" t="inlineStr">
        <is>
          <t>On Track</t>
        </is>
      </c>
    </row>
    <row r="936">
      <c r="A936" t="inlineStr">
        <is>
          <t>SUP-0059</t>
        </is>
      </c>
      <c r="B936" t="inlineStr">
        <is>
          <t>Agriculture Supplier 059</t>
        </is>
      </c>
      <c r="C936" t="inlineStr">
        <is>
          <t>Agriculture</t>
        </is>
      </c>
      <c r="D936" t="n">
        <v>2024</v>
      </c>
      <c r="E936" t="n">
        <v>2021</v>
      </c>
      <c r="F936" t="n">
        <v>2030</v>
      </c>
      <c r="G936" t="n">
        <v>16745.9256</v>
      </c>
      <c r="H936" t="n">
        <v>4802.5456</v>
      </c>
      <c r="I936" t="n">
        <v>3057.7625</v>
      </c>
      <c r="J936" t="n">
        <v>9738.0509</v>
      </c>
      <c r="K936" t="n">
        <v>25054136.73</v>
      </c>
      <c r="L936" t="n">
        <v>119475178.82</v>
      </c>
      <c r="M936" t="n">
        <v>16745.9256</v>
      </c>
      <c r="N936" t="inlineStr">
        <is>
          <t>Supplier Reported Emissions</t>
        </is>
      </c>
      <c r="O936" t="b">
        <v>0</v>
      </c>
      <c r="P936" t="inlineStr">
        <is>
          <t>High</t>
        </is>
      </c>
      <c r="Q936" t="inlineStr">
        <is>
          <t>None</t>
        </is>
      </c>
      <c r="R936" t="inlineStr">
        <is>
          <t>Valid</t>
        </is>
      </c>
      <c r="S936" t="n">
        <v>2031</v>
      </c>
      <c r="T936" t="inlineStr">
        <is>
          <t>Supplier Target Pathway</t>
        </is>
      </c>
      <c r="U936" t="n">
        <v>18746.8452</v>
      </c>
      <c r="V936" t="n">
        <v>9467.156800000001</v>
      </c>
      <c r="W936" t="n">
        <v>9467.156800000001</v>
      </c>
      <c r="X936" t="n">
        <v>9467.156800000001</v>
      </c>
      <c r="Y936" t="n">
        <v>9279.688399999999</v>
      </c>
      <c r="Z936" t="n">
        <v>0.00037787</v>
      </c>
      <c r="AA936" t="n">
        <v>0.495</v>
      </c>
      <c r="AB936" t="n">
        <v>0</v>
      </c>
      <c r="AC936" t="n">
        <v>1031.0765</v>
      </c>
      <c r="AD936" t="n">
        <v>-24933.3043</v>
      </c>
      <c r="AE936" t="n">
        <v>81736.2451</v>
      </c>
      <c r="AF936" t="n">
        <v>0.99</v>
      </c>
      <c r="AG936" t="inlineStr">
        <is>
          <t>Low</t>
        </is>
      </c>
      <c r="AH936" t="inlineStr">
        <is>
          <t>On Track</t>
        </is>
      </c>
    </row>
    <row r="937">
      <c r="A937" t="inlineStr">
        <is>
          <t>SUP-0059</t>
        </is>
      </c>
      <c r="B937" t="inlineStr">
        <is>
          <t>Agriculture Supplier 059</t>
        </is>
      </c>
      <c r="C937" t="inlineStr">
        <is>
          <t>Agriculture</t>
        </is>
      </c>
      <c r="D937" t="n">
        <v>2024</v>
      </c>
      <c r="E937" t="n">
        <v>2021</v>
      </c>
      <c r="F937" t="n">
        <v>2030</v>
      </c>
      <c r="G937" t="n">
        <v>16745.9256</v>
      </c>
      <c r="H937" t="n">
        <v>4802.5456</v>
      </c>
      <c r="I937" t="n">
        <v>3057.7625</v>
      </c>
      <c r="J937" t="n">
        <v>9738.0509</v>
      </c>
      <c r="K937" t="n">
        <v>25054136.73</v>
      </c>
      <c r="L937" t="n">
        <v>119475178.82</v>
      </c>
      <c r="M937" t="n">
        <v>16745.9256</v>
      </c>
      <c r="N937" t="inlineStr">
        <is>
          <t>Supplier Reported Emissions</t>
        </is>
      </c>
      <c r="O937" t="b">
        <v>0</v>
      </c>
      <c r="P937" t="inlineStr">
        <is>
          <t>High</t>
        </is>
      </c>
      <c r="Q937" t="inlineStr">
        <is>
          <t>None</t>
        </is>
      </c>
      <c r="R937" t="inlineStr">
        <is>
          <t>Valid</t>
        </is>
      </c>
      <c r="S937" t="n">
        <v>2032</v>
      </c>
      <c r="T937" t="inlineStr">
        <is>
          <t>Supplier Target Pathway</t>
        </is>
      </c>
      <c r="U937" t="n">
        <v>18746.8452</v>
      </c>
      <c r="V937" t="n">
        <v>9467.156800000001</v>
      </c>
      <c r="W937" t="n">
        <v>9467.156800000001</v>
      </c>
      <c r="X937" t="n">
        <v>9467.156800000001</v>
      </c>
      <c r="Y937" t="n">
        <v>9279.688399999999</v>
      </c>
      <c r="Z937" t="n">
        <v>0.00037787</v>
      </c>
      <c r="AA937" t="n">
        <v>0.495</v>
      </c>
      <c r="AB937" t="n">
        <v>0</v>
      </c>
      <c r="AC937" t="n">
        <v>1031.0765</v>
      </c>
      <c r="AD937" t="n">
        <v>-34400.4611</v>
      </c>
      <c r="AE937" t="n">
        <v>91203.4019</v>
      </c>
      <c r="AF937" t="n">
        <v>0.99</v>
      </c>
      <c r="AG937" t="inlineStr">
        <is>
          <t>Low</t>
        </is>
      </c>
      <c r="AH937" t="inlineStr">
        <is>
          <t>On Track</t>
        </is>
      </c>
    </row>
    <row r="938">
      <c r="A938" t="inlineStr">
        <is>
          <t>SUP-0059</t>
        </is>
      </c>
      <c r="B938" t="inlineStr">
        <is>
          <t>Agriculture Supplier 059</t>
        </is>
      </c>
      <c r="C938" t="inlineStr">
        <is>
          <t>Agriculture</t>
        </is>
      </c>
      <c r="D938" t="n">
        <v>2024</v>
      </c>
      <c r="E938" t="n">
        <v>2021</v>
      </c>
      <c r="F938" t="n">
        <v>2030</v>
      </c>
      <c r="G938" t="n">
        <v>16745.9256</v>
      </c>
      <c r="H938" t="n">
        <v>4802.5456</v>
      </c>
      <c r="I938" t="n">
        <v>3057.7625</v>
      </c>
      <c r="J938" t="n">
        <v>9738.0509</v>
      </c>
      <c r="K938" t="n">
        <v>25054136.73</v>
      </c>
      <c r="L938" t="n">
        <v>119475178.82</v>
      </c>
      <c r="M938" t="n">
        <v>16745.9256</v>
      </c>
      <c r="N938" t="inlineStr">
        <is>
          <t>Supplier Reported Emissions</t>
        </is>
      </c>
      <c r="O938" t="b">
        <v>0</v>
      </c>
      <c r="P938" t="inlineStr">
        <is>
          <t>High</t>
        </is>
      </c>
      <c r="Q938" t="inlineStr">
        <is>
          <t>None</t>
        </is>
      </c>
      <c r="R938" t="inlineStr">
        <is>
          <t>Valid</t>
        </is>
      </c>
      <c r="S938" t="n">
        <v>2033</v>
      </c>
      <c r="T938" t="inlineStr">
        <is>
          <t>Supplier Target Pathway</t>
        </is>
      </c>
      <c r="U938" t="n">
        <v>18746.8452</v>
      </c>
      <c r="V938" t="n">
        <v>9467.156800000001</v>
      </c>
      <c r="W938" t="n">
        <v>9467.156800000001</v>
      </c>
      <c r="X938" t="n">
        <v>9467.156800000001</v>
      </c>
      <c r="Y938" t="n">
        <v>9279.688399999999</v>
      </c>
      <c r="Z938" t="n">
        <v>0.00037787</v>
      </c>
      <c r="AA938" t="n">
        <v>0.495</v>
      </c>
      <c r="AB938" t="n">
        <v>0</v>
      </c>
      <c r="AC938" t="n">
        <v>1031.0765</v>
      </c>
      <c r="AD938" t="n">
        <v>-43867.6179</v>
      </c>
      <c r="AE938" t="n">
        <v>100670.5587</v>
      </c>
      <c r="AF938" t="n">
        <v>0.99</v>
      </c>
      <c r="AG938" t="inlineStr">
        <is>
          <t>Low</t>
        </is>
      </c>
      <c r="AH938" t="inlineStr">
        <is>
          <t>On Track</t>
        </is>
      </c>
    </row>
    <row r="939">
      <c r="A939" t="inlineStr">
        <is>
          <t>SUP-0059</t>
        </is>
      </c>
      <c r="B939" t="inlineStr">
        <is>
          <t>Agriculture Supplier 059</t>
        </is>
      </c>
      <c r="C939" t="inlineStr">
        <is>
          <t>Agriculture</t>
        </is>
      </c>
      <c r="D939" t="n">
        <v>2024</v>
      </c>
      <c r="E939" t="n">
        <v>2021</v>
      </c>
      <c r="F939" t="n">
        <v>2030</v>
      </c>
      <c r="G939" t="n">
        <v>16745.9256</v>
      </c>
      <c r="H939" t="n">
        <v>4802.5456</v>
      </c>
      <c r="I939" t="n">
        <v>3057.7625</v>
      </c>
      <c r="J939" t="n">
        <v>9738.0509</v>
      </c>
      <c r="K939" t="n">
        <v>25054136.73</v>
      </c>
      <c r="L939" t="n">
        <v>119475178.82</v>
      </c>
      <c r="M939" t="n">
        <v>16745.9256</v>
      </c>
      <c r="N939" t="inlineStr">
        <is>
          <t>Supplier Reported Emissions</t>
        </is>
      </c>
      <c r="O939" t="b">
        <v>0</v>
      </c>
      <c r="P939" t="inlineStr">
        <is>
          <t>High</t>
        </is>
      </c>
      <c r="Q939" t="inlineStr">
        <is>
          <t>None</t>
        </is>
      </c>
      <c r="R939" t="inlineStr">
        <is>
          <t>Valid</t>
        </is>
      </c>
      <c r="S939" t="n">
        <v>2034</v>
      </c>
      <c r="T939" t="inlineStr">
        <is>
          <t>Supplier Target Pathway</t>
        </is>
      </c>
      <c r="U939" t="n">
        <v>18746.8452</v>
      </c>
      <c r="V939" t="n">
        <v>9467.156800000001</v>
      </c>
      <c r="W939" t="n">
        <v>9467.156800000001</v>
      </c>
      <c r="X939" t="n">
        <v>9467.156800000001</v>
      </c>
      <c r="Y939" t="n">
        <v>9279.688399999999</v>
      </c>
      <c r="Z939" t="n">
        <v>0.00037787</v>
      </c>
      <c r="AA939" t="n">
        <v>0.495</v>
      </c>
      <c r="AB939" t="n">
        <v>0</v>
      </c>
      <c r="AC939" t="n">
        <v>1031.0765</v>
      </c>
      <c r="AD939" t="n">
        <v>-53334.7747</v>
      </c>
      <c r="AE939" t="n">
        <v>110137.7155</v>
      </c>
      <c r="AF939" t="n">
        <v>0.99</v>
      </c>
      <c r="AG939" t="inlineStr">
        <is>
          <t>Low</t>
        </is>
      </c>
      <c r="AH939" t="inlineStr">
        <is>
          <t>On Track</t>
        </is>
      </c>
    </row>
    <row r="940">
      <c r="A940" t="inlineStr">
        <is>
          <t>SUP-0059</t>
        </is>
      </c>
      <c r="B940" t="inlineStr">
        <is>
          <t>Agriculture Supplier 059</t>
        </is>
      </c>
      <c r="C940" t="inlineStr">
        <is>
          <t>Agriculture</t>
        </is>
      </c>
      <c r="D940" t="n">
        <v>2024</v>
      </c>
      <c r="E940" t="n">
        <v>2021</v>
      </c>
      <c r="F940" t="n">
        <v>2030</v>
      </c>
      <c r="G940" t="n">
        <v>16745.9256</v>
      </c>
      <c r="H940" t="n">
        <v>4802.5456</v>
      </c>
      <c r="I940" t="n">
        <v>3057.7625</v>
      </c>
      <c r="J940" t="n">
        <v>9738.0509</v>
      </c>
      <c r="K940" t="n">
        <v>25054136.73</v>
      </c>
      <c r="L940" t="n">
        <v>119475178.82</v>
      </c>
      <c r="M940" t="n">
        <v>16745.9256</v>
      </c>
      <c r="N940" t="inlineStr">
        <is>
          <t>Supplier Reported Emissions</t>
        </is>
      </c>
      <c r="O940" t="b">
        <v>0</v>
      </c>
      <c r="P940" t="inlineStr">
        <is>
          <t>High</t>
        </is>
      </c>
      <c r="Q940" t="inlineStr">
        <is>
          <t>None</t>
        </is>
      </c>
      <c r="R940" t="inlineStr">
        <is>
          <t>Valid</t>
        </is>
      </c>
      <c r="S940" t="n">
        <v>2035</v>
      </c>
      <c r="T940" t="inlineStr">
        <is>
          <t>Supplier Target Pathway</t>
        </is>
      </c>
      <c r="U940" t="n">
        <v>18746.8452</v>
      </c>
      <c r="V940" t="n">
        <v>9467.156800000001</v>
      </c>
      <c r="W940" t="n">
        <v>9467.156800000001</v>
      </c>
      <c r="X940" t="n">
        <v>9467.156800000001</v>
      </c>
      <c r="Y940" t="n">
        <v>9279.688399999999</v>
      </c>
      <c r="Z940" t="n">
        <v>0.00037787</v>
      </c>
      <c r="AA940" t="n">
        <v>0.495</v>
      </c>
      <c r="AB940" t="n">
        <v>0</v>
      </c>
      <c r="AC940" t="n">
        <v>1031.0765</v>
      </c>
      <c r="AD940" t="n">
        <v>-62801.9315</v>
      </c>
      <c r="AE940" t="n">
        <v>119604.8723</v>
      </c>
      <c r="AF940" t="n">
        <v>0.99</v>
      </c>
      <c r="AG940" t="inlineStr">
        <is>
          <t>Low</t>
        </is>
      </c>
      <c r="AH940" t="inlineStr">
        <is>
          <t>On Track</t>
        </is>
      </c>
    </row>
    <row r="941">
      <c r="A941" t="inlineStr">
        <is>
          <t>SUP-0059</t>
        </is>
      </c>
      <c r="B941" t="inlineStr">
        <is>
          <t>Agriculture Supplier 059</t>
        </is>
      </c>
      <c r="C941" t="inlineStr">
        <is>
          <t>Agriculture</t>
        </is>
      </c>
      <c r="D941" t="n">
        <v>2024</v>
      </c>
      <c r="E941" t="n">
        <v>2021</v>
      </c>
      <c r="F941" t="n">
        <v>2030</v>
      </c>
      <c r="G941" t="n">
        <v>16745.9256</v>
      </c>
      <c r="H941" t="n">
        <v>4802.5456</v>
      </c>
      <c r="I941" t="n">
        <v>3057.7625</v>
      </c>
      <c r="J941" t="n">
        <v>9738.0509</v>
      </c>
      <c r="K941" t="n">
        <v>25054136.73</v>
      </c>
      <c r="L941" t="n">
        <v>119475178.82</v>
      </c>
      <c r="M941" t="n">
        <v>16745.9256</v>
      </c>
      <c r="N941" t="inlineStr">
        <is>
          <t>Supplier Reported Emissions</t>
        </is>
      </c>
      <c r="O941" t="b">
        <v>0</v>
      </c>
      <c r="P941" t="inlineStr">
        <is>
          <t>High</t>
        </is>
      </c>
      <c r="Q941" t="inlineStr">
        <is>
          <t>None</t>
        </is>
      </c>
      <c r="R941" t="inlineStr">
        <is>
          <t>Valid</t>
        </is>
      </c>
      <c r="S941" t="n">
        <v>2036</v>
      </c>
      <c r="T941" t="inlineStr">
        <is>
          <t>Supplier Target Pathway</t>
        </is>
      </c>
      <c r="U941" t="n">
        <v>18746.8452</v>
      </c>
      <c r="V941" t="n">
        <v>9467.156800000001</v>
      </c>
      <c r="W941" t="n">
        <v>9467.156800000001</v>
      </c>
      <c r="X941" t="n">
        <v>9467.156800000001</v>
      </c>
      <c r="Y941" t="n">
        <v>9279.688399999999</v>
      </c>
      <c r="Z941" t="n">
        <v>0.00037787</v>
      </c>
      <c r="AA941" t="n">
        <v>0.495</v>
      </c>
      <c r="AB941" t="n">
        <v>0</v>
      </c>
      <c r="AC941" t="n">
        <v>1031.0765</v>
      </c>
      <c r="AD941" t="n">
        <v>-72269.0883</v>
      </c>
      <c r="AE941" t="n">
        <v>129072.0291</v>
      </c>
      <c r="AF941" t="n">
        <v>0.99</v>
      </c>
      <c r="AG941" t="inlineStr">
        <is>
          <t>Low</t>
        </is>
      </c>
      <c r="AH941" t="inlineStr">
        <is>
          <t>On Track</t>
        </is>
      </c>
    </row>
    <row r="942">
      <c r="A942" t="inlineStr">
        <is>
          <t>SUP-0059</t>
        </is>
      </c>
      <c r="B942" t="inlineStr">
        <is>
          <t>Agriculture Supplier 059</t>
        </is>
      </c>
      <c r="C942" t="inlineStr">
        <is>
          <t>Agriculture</t>
        </is>
      </c>
      <c r="D942" t="n">
        <v>2024</v>
      </c>
      <c r="E942" t="n">
        <v>2021</v>
      </c>
      <c r="F942" t="n">
        <v>2030</v>
      </c>
      <c r="G942" t="n">
        <v>16745.9256</v>
      </c>
      <c r="H942" t="n">
        <v>4802.5456</v>
      </c>
      <c r="I942" t="n">
        <v>3057.7625</v>
      </c>
      <c r="J942" t="n">
        <v>9738.0509</v>
      </c>
      <c r="K942" t="n">
        <v>25054136.73</v>
      </c>
      <c r="L942" t="n">
        <v>119475178.82</v>
      </c>
      <c r="M942" t="n">
        <v>16745.9256</v>
      </c>
      <c r="N942" t="inlineStr">
        <is>
          <t>Supplier Reported Emissions</t>
        </is>
      </c>
      <c r="O942" t="b">
        <v>0</v>
      </c>
      <c r="P942" t="inlineStr">
        <is>
          <t>High</t>
        </is>
      </c>
      <c r="Q942" t="inlineStr">
        <is>
          <t>None</t>
        </is>
      </c>
      <c r="R942" t="inlineStr">
        <is>
          <t>Valid</t>
        </is>
      </c>
      <c r="S942" t="n">
        <v>2037</v>
      </c>
      <c r="T942" t="inlineStr">
        <is>
          <t>Supplier Target Pathway</t>
        </is>
      </c>
      <c r="U942" t="n">
        <v>18746.8452</v>
      </c>
      <c r="V942" t="n">
        <v>9467.156800000001</v>
      </c>
      <c r="W942" t="n">
        <v>9467.156800000001</v>
      </c>
      <c r="X942" t="n">
        <v>9467.156800000001</v>
      </c>
      <c r="Y942" t="n">
        <v>9279.688399999999</v>
      </c>
      <c r="Z942" t="n">
        <v>0.00037787</v>
      </c>
      <c r="AA942" t="n">
        <v>0.495</v>
      </c>
      <c r="AB942" t="n">
        <v>0</v>
      </c>
      <c r="AC942" t="n">
        <v>1031.0765</v>
      </c>
      <c r="AD942" t="n">
        <v>-81736.2451</v>
      </c>
      <c r="AE942" t="n">
        <v>138539.1859</v>
      </c>
      <c r="AF942" t="n">
        <v>0.99</v>
      </c>
      <c r="AG942" t="inlineStr">
        <is>
          <t>Low</t>
        </is>
      </c>
      <c r="AH942" t="inlineStr">
        <is>
          <t>On Track</t>
        </is>
      </c>
    </row>
    <row r="943">
      <c r="A943" t="inlineStr">
        <is>
          <t>SUP-0059</t>
        </is>
      </c>
      <c r="B943" t="inlineStr">
        <is>
          <t>Agriculture Supplier 059</t>
        </is>
      </c>
      <c r="C943" t="inlineStr">
        <is>
          <t>Agriculture</t>
        </is>
      </c>
      <c r="D943" t="n">
        <v>2024</v>
      </c>
      <c r="E943" t="n">
        <v>2021</v>
      </c>
      <c r="F943" t="n">
        <v>2030</v>
      </c>
      <c r="G943" t="n">
        <v>16745.9256</v>
      </c>
      <c r="H943" t="n">
        <v>4802.5456</v>
      </c>
      <c r="I943" t="n">
        <v>3057.7625</v>
      </c>
      <c r="J943" t="n">
        <v>9738.0509</v>
      </c>
      <c r="K943" t="n">
        <v>25054136.73</v>
      </c>
      <c r="L943" t="n">
        <v>119475178.82</v>
      </c>
      <c r="M943" t="n">
        <v>16745.9256</v>
      </c>
      <c r="N943" t="inlineStr">
        <is>
          <t>Supplier Reported Emissions</t>
        </is>
      </c>
      <c r="O943" t="b">
        <v>0</v>
      </c>
      <c r="P943" t="inlineStr">
        <is>
          <t>High</t>
        </is>
      </c>
      <c r="Q943" t="inlineStr">
        <is>
          <t>None</t>
        </is>
      </c>
      <c r="R943" t="inlineStr">
        <is>
          <t>Valid</t>
        </is>
      </c>
      <c r="S943" t="n">
        <v>2038</v>
      </c>
      <c r="T943" t="inlineStr">
        <is>
          <t>Supplier Target Pathway</t>
        </is>
      </c>
      <c r="U943" t="n">
        <v>18746.8452</v>
      </c>
      <c r="V943" t="n">
        <v>9467.156800000001</v>
      </c>
      <c r="W943" t="n">
        <v>9467.156800000001</v>
      </c>
      <c r="X943" t="n">
        <v>9467.156800000001</v>
      </c>
      <c r="Y943" t="n">
        <v>9279.688399999999</v>
      </c>
      <c r="Z943" t="n">
        <v>0.00037787</v>
      </c>
      <c r="AA943" t="n">
        <v>0.495</v>
      </c>
      <c r="AB943" t="n">
        <v>0</v>
      </c>
      <c r="AC943" t="n">
        <v>1031.0765</v>
      </c>
      <c r="AD943" t="n">
        <v>-91203.4019</v>
      </c>
      <c r="AE943" t="n">
        <v>148006.3427</v>
      </c>
      <c r="AF943" t="n">
        <v>0.99</v>
      </c>
      <c r="AG943" t="inlineStr">
        <is>
          <t>Low</t>
        </is>
      </c>
      <c r="AH943" t="inlineStr">
        <is>
          <t>On Track</t>
        </is>
      </c>
    </row>
    <row r="944">
      <c r="A944" t="inlineStr">
        <is>
          <t>SUP-0059</t>
        </is>
      </c>
      <c r="B944" t="inlineStr">
        <is>
          <t>Agriculture Supplier 059</t>
        </is>
      </c>
      <c r="C944" t="inlineStr">
        <is>
          <t>Agriculture</t>
        </is>
      </c>
      <c r="D944" t="n">
        <v>2024</v>
      </c>
      <c r="E944" t="n">
        <v>2021</v>
      </c>
      <c r="F944" t="n">
        <v>2030</v>
      </c>
      <c r="G944" t="n">
        <v>16745.9256</v>
      </c>
      <c r="H944" t="n">
        <v>4802.5456</v>
      </c>
      <c r="I944" t="n">
        <v>3057.7625</v>
      </c>
      <c r="J944" t="n">
        <v>9738.0509</v>
      </c>
      <c r="K944" t="n">
        <v>25054136.73</v>
      </c>
      <c r="L944" t="n">
        <v>119475178.82</v>
      </c>
      <c r="M944" t="n">
        <v>16745.9256</v>
      </c>
      <c r="N944" t="inlineStr">
        <is>
          <t>Supplier Reported Emissions</t>
        </is>
      </c>
      <c r="O944" t="b">
        <v>0</v>
      </c>
      <c r="P944" t="inlineStr">
        <is>
          <t>High</t>
        </is>
      </c>
      <c r="Q944" t="inlineStr">
        <is>
          <t>None</t>
        </is>
      </c>
      <c r="R944" t="inlineStr">
        <is>
          <t>Valid</t>
        </is>
      </c>
      <c r="S944" t="n">
        <v>2039</v>
      </c>
      <c r="T944" t="inlineStr">
        <is>
          <t>Supplier Target Pathway</t>
        </is>
      </c>
      <c r="U944" t="n">
        <v>18746.8452</v>
      </c>
      <c r="V944" t="n">
        <v>9467.156800000001</v>
      </c>
      <c r="W944" t="n">
        <v>9467.156800000001</v>
      </c>
      <c r="X944" t="n">
        <v>9467.156800000001</v>
      </c>
      <c r="Y944" t="n">
        <v>9279.688399999999</v>
      </c>
      <c r="Z944" t="n">
        <v>0.00037787</v>
      </c>
      <c r="AA944" t="n">
        <v>0.495</v>
      </c>
      <c r="AB944" t="n">
        <v>0</v>
      </c>
      <c r="AC944" t="n">
        <v>1031.0765</v>
      </c>
      <c r="AD944" t="n">
        <v>-100670.5587</v>
      </c>
      <c r="AE944" t="n">
        <v>157473.4995</v>
      </c>
      <c r="AF944" t="n">
        <v>0.99</v>
      </c>
      <c r="AG944" t="inlineStr">
        <is>
          <t>Low</t>
        </is>
      </c>
      <c r="AH944" t="inlineStr">
        <is>
          <t>On Track</t>
        </is>
      </c>
    </row>
    <row r="945">
      <c r="A945" t="inlineStr">
        <is>
          <t>SUP-0059</t>
        </is>
      </c>
      <c r="B945" t="inlineStr">
        <is>
          <t>Agriculture Supplier 059</t>
        </is>
      </c>
      <c r="C945" t="inlineStr">
        <is>
          <t>Agriculture</t>
        </is>
      </c>
      <c r="D945" t="n">
        <v>2024</v>
      </c>
      <c r="E945" t="n">
        <v>2021</v>
      </c>
      <c r="F945" t="n">
        <v>2030</v>
      </c>
      <c r="G945" t="n">
        <v>16745.9256</v>
      </c>
      <c r="H945" t="n">
        <v>4802.5456</v>
      </c>
      <c r="I945" t="n">
        <v>3057.7625</v>
      </c>
      <c r="J945" t="n">
        <v>9738.0509</v>
      </c>
      <c r="K945" t="n">
        <v>25054136.73</v>
      </c>
      <c r="L945" t="n">
        <v>119475178.82</v>
      </c>
      <c r="M945" t="n">
        <v>16745.9256</v>
      </c>
      <c r="N945" t="inlineStr">
        <is>
          <t>Supplier Reported Emissions</t>
        </is>
      </c>
      <c r="O945" t="b">
        <v>0</v>
      </c>
      <c r="P945" t="inlineStr">
        <is>
          <t>High</t>
        </is>
      </c>
      <c r="Q945" t="inlineStr">
        <is>
          <t>None</t>
        </is>
      </c>
      <c r="R945" t="inlineStr">
        <is>
          <t>Valid</t>
        </is>
      </c>
      <c r="S945" t="n">
        <v>2040</v>
      </c>
      <c r="T945" t="inlineStr">
        <is>
          <t>Supplier Target Pathway</t>
        </is>
      </c>
      <c r="U945" t="n">
        <v>18746.8452</v>
      </c>
      <c r="V945" t="n">
        <v>9467.156800000001</v>
      </c>
      <c r="W945" t="n">
        <v>9467.156800000001</v>
      </c>
      <c r="X945" t="n">
        <v>9467.156800000001</v>
      </c>
      <c r="Y945" t="n">
        <v>9279.688399999999</v>
      </c>
      <c r="Z945" t="n">
        <v>0.00037787</v>
      </c>
      <c r="AA945" t="n">
        <v>0.495</v>
      </c>
      <c r="AB945" t="n">
        <v>0</v>
      </c>
      <c r="AC945" t="n">
        <v>1031.0765</v>
      </c>
      <c r="AD945" t="n">
        <v>-110137.7155</v>
      </c>
      <c r="AE945" t="n">
        <v>166940.6563</v>
      </c>
      <c r="AF945" t="n">
        <v>0.99</v>
      </c>
      <c r="AG945" t="inlineStr">
        <is>
          <t>Low</t>
        </is>
      </c>
      <c r="AH945" t="inlineStr">
        <is>
          <t>On Track</t>
        </is>
      </c>
    </row>
    <row r="946">
      <c r="A946" t="inlineStr">
        <is>
          <t>SUP-0060</t>
        </is>
      </c>
      <c r="B946" t="inlineStr">
        <is>
          <t>Electronics Supplier 060</t>
        </is>
      </c>
      <c r="C946" t="inlineStr">
        <is>
          <t>Electronics</t>
        </is>
      </c>
      <c r="D946" t="n">
        <v>2024</v>
      </c>
      <c r="E946" t="n">
        <v>2020</v>
      </c>
      <c r="F946" t="n">
        <v>2040</v>
      </c>
      <c r="G946" t="n">
        <v>12011.7951</v>
      </c>
      <c r="H946" t="n">
        <v>2604.7591</v>
      </c>
      <c r="I946" t="n">
        <v>1268.3672</v>
      </c>
      <c r="J946" t="n">
        <v>8862.726199999999</v>
      </c>
      <c r="K946" t="n">
        <v>16079452.31</v>
      </c>
      <c r="L946" t="n">
        <v>113406260.09</v>
      </c>
      <c r="M946" t="n">
        <v>12011.7951</v>
      </c>
      <c r="N946" t="inlineStr">
        <is>
          <t>Supplier Reported Emissions</t>
        </is>
      </c>
      <c r="O946" t="b">
        <v>0</v>
      </c>
      <c r="P946" t="inlineStr">
        <is>
          <t>High</t>
        </is>
      </c>
      <c r="Q946" t="inlineStr">
        <is>
          <t>None</t>
        </is>
      </c>
      <c r="R946" t="inlineStr">
        <is>
          <t>Valid</t>
        </is>
      </c>
      <c r="S946" t="n">
        <v>2025</v>
      </c>
      <c r="T946" t="inlineStr">
        <is>
          <t>Supplier Target Pathway</t>
        </is>
      </c>
      <c r="U946" t="n">
        <v>14058.0951</v>
      </c>
      <c r="V946" t="n">
        <v>5628.8613</v>
      </c>
      <c r="W946" t="n">
        <v>11950.7866</v>
      </c>
      <c r="X946" t="n">
        <v>11950.7866</v>
      </c>
      <c r="Y946" t="n">
        <v>2107.3085</v>
      </c>
      <c r="Z946" t="n">
        <v>0.00074323</v>
      </c>
      <c r="AA946" t="n">
        <v>0.1499</v>
      </c>
      <c r="AB946" t="n">
        <v>6321.9254</v>
      </c>
      <c r="AC946" t="n">
        <v>421.4617</v>
      </c>
      <c r="AD946" t="n">
        <v>78110.9942</v>
      </c>
      <c r="AE946" t="n">
        <v>11950.7866</v>
      </c>
      <c r="AF946" t="n">
        <v>0.99</v>
      </c>
      <c r="AG946" t="inlineStr">
        <is>
          <t>Critical</t>
        </is>
      </c>
      <c r="AH946" t="inlineStr">
        <is>
          <t>On Track to Glide Path</t>
        </is>
      </c>
    </row>
    <row r="947">
      <c r="A947" t="inlineStr">
        <is>
          <t>SUP-0060</t>
        </is>
      </c>
      <c r="B947" t="inlineStr">
        <is>
          <t>Electronics Supplier 060</t>
        </is>
      </c>
      <c r="C947" t="inlineStr">
        <is>
          <t>Electronics</t>
        </is>
      </c>
      <c r="D947" t="n">
        <v>2024</v>
      </c>
      <c r="E947" t="n">
        <v>2020</v>
      </c>
      <c r="F947" t="n">
        <v>2040</v>
      </c>
      <c r="G947" t="n">
        <v>12011.7951</v>
      </c>
      <c r="H947" t="n">
        <v>2604.7591</v>
      </c>
      <c r="I947" t="n">
        <v>1268.3672</v>
      </c>
      <c r="J947" t="n">
        <v>8862.726199999999</v>
      </c>
      <c r="K947" t="n">
        <v>16079452.31</v>
      </c>
      <c r="L947" t="n">
        <v>113406260.09</v>
      </c>
      <c r="M947" t="n">
        <v>12011.7951</v>
      </c>
      <c r="N947" t="inlineStr">
        <is>
          <t>Supplier Reported Emissions</t>
        </is>
      </c>
      <c r="O947" t="b">
        <v>0</v>
      </c>
      <c r="P947" t="inlineStr">
        <is>
          <t>High</t>
        </is>
      </c>
      <c r="Q947" t="inlineStr">
        <is>
          <t>None</t>
        </is>
      </c>
      <c r="R947" t="inlineStr">
        <is>
          <t>Valid</t>
        </is>
      </c>
      <c r="S947" t="n">
        <v>2026</v>
      </c>
      <c r="T947" t="inlineStr">
        <is>
          <t>Supplier Target Pathway</t>
        </is>
      </c>
      <c r="U947" t="n">
        <v>14058.0951</v>
      </c>
      <c r="V947" t="n">
        <v>5628.8613</v>
      </c>
      <c r="W947" t="n">
        <v>11529.325</v>
      </c>
      <c r="X947" t="n">
        <v>11529.325</v>
      </c>
      <c r="Y947" t="n">
        <v>2528.7701</v>
      </c>
      <c r="Z947" t="n">
        <v>0.00071702</v>
      </c>
      <c r="AA947" t="n">
        <v>0.17988</v>
      </c>
      <c r="AB947" t="n">
        <v>5900.4637</v>
      </c>
      <c r="AC947" t="n">
        <v>421.4617</v>
      </c>
      <c r="AD947" t="n">
        <v>66581.6692</v>
      </c>
      <c r="AE947" t="n">
        <v>23480.1116</v>
      </c>
      <c r="AF947" t="n">
        <v>0.99</v>
      </c>
      <c r="AG947" t="inlineStr">
        <is>
          <t>Critical</t>
        </is>
      </c>
      <c r="AH947" t="inlineStr">
        <is>
          <t>On Track to Glide Path</t>
        </is>
      </c>
    </row>
    <row r="948">
      <c r="A948" t="inlineStr">
        <is>
          <t>SUP-0060</t>
        </is>
      </c>
      <c r="B948" t="inlineStr">
        <is>
          <t>Electronics Supplier 060</t>
        </is>
      </c>
      <c r="C948" t="inlineStr">
        <is>
          <t>Electronics</t>
        </is>
      </c>
      <c r="D948" t="n">
        <v>2024</v>
      </c>
      <c r="E948" t="n">
        <v>2020</v>
      </c>
      <c r="F948" t="n">
        <v>2040</v>
      </c>
      <c r="G948" t="n">
        <v>12011.7951</v>
      </c>
      <c r="H948" t="n">
        <v>2604.7591</v>
      </c>
      <c r="I948" t="n">
        <v>1268.3672</v>
      </c>
      <c r="J948" t="n">
        <v>8862.726199999999</v>
      </c>
      <c r="K948" t="n">
        <v>16079452.31</v>
      </c>
      <c r="L948" t="n">
        <v>113406260.09</v>
      </c>
      <c r="M948" t="n">
        <v>12011.7951</v>
      </c>
      <c r="N948" t="inlineStr">
        <is>
          <t>Supplier Reported Emissions</t>
        </is>
      </c>
      <c r="O948" t="b">
        <v>0</v>
      </c>
      <c r="P948" t="inlineStr">
        <is>
          <t>High</t>
        </is>
      </c>
      <c r="Q948" t="inlineStr">
        <is>
          <t>None</t>
        </is>
      </c>
      <c r="R948" t="inlineStr">
        <is>
          <t>Valid</t>
        </is>
      </c>
      <c r="S948" t="n">
        <v>2027</v>
      </c>
      <c r="T948" t="inlineStr">
        <is>
          <t>Supplier Target Pathway</t>
        </is>
      </c>
      <c r="U948" t="n">
        <v>14058.0951</v>
      </c>
      <c r="V948" t="n">
        <v>5628.8613</v>
      </c>
      <c r="W948" t="n">
        <v>11107.8633</v>
      </c>
      <c r="X948" t="n">
        <v>11107.8633</v>
      </c>
      <c r="Y948" t="n">
        <v>2950.2318</v>
      </c>
      <c r="Z948" t="n">
        <v>0.00069081</v>
      </c>
      <c r="AA948" t="n">
        <v>0.20986</v>
      </c>
      <c r="AB948" t="n">
        <v>5479.002</v>
      </c>
      <c r="AC948" t="n">
        <v>421.4617</v>
      </c>
      <c r="AD948" t="n">
        <v>55473.8059</v>
      </c>
      <c r="AE948" t="n">
        <v>34587.9749</v>
      </c>
      <c r="AF948" t="n">
        <v>0.99</v>
      </c>
      <c r="AG948" t="inlineStr">
        <is>
          <t>Critical</t>
        </is>
      </c>
      <c r="AH948" t="inlineStr">
        <is>
          <t>On Track to Glide Path</t>
        </is>
      </c>
    </row>
    <row r="949">
      <c r="A949" t="inlineStr">
        <is>
          <t>SUP-0060</t>
        </is>
      </c>
      <c r="B949" t="inlineStr">
        <is>
          <t>Electronics Supplier 060</t>
        </is>
      </c>
      <c r="C949" t="inlineStr">
        <is>
          <t>Electronics</t>
        </is>
      </c>
      <c r="D949" t="n">
        <v>2024</v>
      </c>
      <c r="E949" t="n">
        <v>2020</v>
      </c>
      <c r="F949" t="n">
        <v>2040</v>
      </c>
      <c r="G949" t="n">
        <v>12011.7951</v>
      </c>
      <c r="H949" t="n">
        <v>2604.7591</v>
      </c>
      <c r="I949" t="n">
        <v>1268.3672</v>
      </c>
      <c r="J949" t="n">
        <v>8862.726199999999</v>
      </c>
      <c r="K949" t="n">
        <v>16079452.31</v>
      </c>
      <c r="L949" t="n">
        <v>113406260.09</v>
      </c>
      <c r="M949" t="n">
        <v>12011.7951</v>
      </c>
      <c r="N949" t="inlineStr">
        <is>
          <t>Supplier Reported Emissions</t>
        </is>
      </c>
      <c r="O949" t="b">
        <v>0</v>
      </c>
      <c r="P949" t="inlineStr">
        <is>
          <t>High</t>
        </is>
      </c>
      <c r="Q949" t="inlineStr">
        <is>
          <t>None</t>
        </is>
      </c>
      <c r="R949" t="inlineStr">
        <is>
          <t>Valid</t>
        </is>
      </c>
      <c r="S949" t="n">
        <v>2028</v>
      </c>
      <c r="T949" t="inlineStr">
        <is>
          <t>Supplier Target Pathway</t>
        </is>
      </c>
      <c r="U949" t="n">
        <v>14058.0951</v>
      </c>
      <c r="V949" t="n">
        <v>5628.8613</v>
      </c>
      <c r="W949" t="n">
        <v>10686.4016</v>
      </c>
      <c r="X949" t="n">
        <v>10686.4016</v>
      </c>
      <c r="Y949" t="n">
        <v>3371.6935</v>
      </c>
      <c r="Z949" t="n">
        <v>0.0006646</v>
      </c>
      <c r="AA949" t="n">
        <v>0.23984</v>
      </c>
      <c r="AB949" t="n">
        <v>5057.5403</v>
      </c>
      <c r="AC949" t="n">
        <v>421.4617</v>
      </c>
      <c r="AD949" t="n">
        <v>44787.4043</v>
      </c>
      <c r="AE949" t="n">
        <v>45274.3765</v>
      </c>
      <c r="AF949" t="n">
        <v>0.99</v>
      </c>
      <c r="AG949" t="inlineStr">
        <is>
          <t>Critical</t>
        </is>
      </c>
      <c r="AH949" t="inlineStr">
        <is>
          <t>On Track to Glide Path</t>
        </is>
      </c>
    </row>
    <row r="950">
      <c r="A950" t="inlineStr">
        <is>
          <t>SUP-0060</t>
        </is>
      </c>
      <c r="B950" t="inlineStr">
        <is>
          <t>Electronics Supplier 060</t>
        </is>
      </c>
      <c r="C950" t="inlineStr">
        <is>
          <t>Electronics</t>
        </is>
      </c>
      <c r="D950" t="n">
        <v>2024</v>
      </c>
      <c r="E950" t="n">
        <v>2020</v>
      </c>
      <c r="F950" t="n">
        <v>2040</v>
      </c>
      <c r="G950" t="n">
        <v>12011.7951</v>
      </c>
      <c r="H950" t="n">
        <v>2604.7591</v>
      </c>
      <c r="I950" t="n">
        <v>1268.3672</v>
      </c>
      <c r="J950" t="n">
        <v>8862.726199999999</v>
      </c>
      <c r="K950" t="n">
        <v>16079452.31</v>
      </c>
      <c r="L950" t="n">
        <v>113406260.09</v>
      </c>
      <c r="M950" t="n">
        <v>12011.7951</v>
      </c>
      <c r="N950" t="inlineStr">
        <is>
          <t>Supplier Reported Emissions</t>
        </is>
      </c>
      <c r="O950" t="b">
        <v>0</v>
      </c>
      <c r="P950" t="inlineStr">
        <is>
          <t>High</t>
        </is>
      </c>
      <c r="Q950" t="inlineStr">
        <is>
          <t>None</t>
        </is>
      </c>
      <c r="R950" t="inlineStr">
        <is>
          <t>Valid</t>
        </is>
      </c>
      <c r="S950" t="n">
        <v>2029</v>
      </c>
      <c r="T950" t="inlineStr">
        <is>
          <t>Supplier Target Pathway</t>
        </is>
      </c>
      <c r="U950" t="n">
        <v>14058.0951</v>
      </c>
      <c r="V950" t="n">
        <v>5628.8613</v>
      </c>
      <c r="W950" t="n">
        <v>10264.9399</v>
      </c>
      <c r="X950" t="n">
        <v>10264.9399</v>
      </c>
      <c r="Y950" t="n">
        <v>3793.1552</v>
      </c>
      <c r="Z950" t="n">
        <v>0.00063839</v>
      </c>
      <c r="AA950" t="n">
        <v>0.26982</v>
      </c>
      <c r="AB950" t="n">
        <v>4636.0786</v>
      </c>
      <c r="AC950" t="n">
        <v>421.4617</v>
      </c>
      <c r="AD950" t="n">
        <v>34522.4644</v>
      </c>
      <c r="AE950" t="n">
        <v>55539.3164</v>
      </c>
      <c r="AF950" t="n">
        <v>0.99</v>
      </c>
      <c r="AG950" t="inlineStr">
        <is>
          <t>Critical</t>
        </is>
      </c>
      <c r="AH950" t="inlineStr">
        <is>
          <t>On Track to Glide Path</t>
        </is>
      </c>
    </row>
    <row r="951">
      <c r="A951" t="inlineStr">
        <is>
          <t>SUP-0060</t>
        </is>
      </c>
      <c r="B951" t="inlineStr">
        <is>
          <t>Electronics Supplier 060</t>
        </is>
      </c>
      <c r="C951" t="inlineStr">
        <is>
          <t>Electronics</t>
        </is>
      </c>
      <c r="D951" t="n">
        <v>2024</v>
      </c>
      <c r="E951" t="n">
        <v>2020</v>
      </c>
      <c r="F951" t="n">
        <v>2040</v>
      </c>
      <c r="G951" t="n">
        <v>12011.7951</v>
      </c>
      <c r="H951" t="n">
        <v>2604.7591</v>
      </c>
      <c r="I951" t="n">
        <v>1268.3672</v>
      </c>
      <c r="J951" t="n">
        <v>8862.726199999999</v>
      </c>
      <c r="K951" t="n">
        <v>16079452.31</v>
      </c>
      <c r="L951" t="n">
        <v>113406260.09</v>
      </c>
      <c r="M951" t="n">
        <v>12011.7951</v>
      </c>
      <c r="N951" t="inlineStr">
        <is>
          <t>Supplier Reported Emissions</t>
        </is>
      </c>
      <c r="O951" t="b">
        <v>0</v>
      </c>
      <c r="P951" t="inlineStr">
        <is>
          <t>High</t>
        </is>
      </c>
      <c r="Q951" t="inlineStr">
        <is>
          <t>None</t>
        </is>
      </c>
      <c r="R951" t="inlineStr">
        <is>
          <t>Valid</t>
        </is>
      </c>
      <c r="S951" t="n">
        <v>2030</v>
      </c>
      <c r="T951" t="inlineStr">
        <is>
          <t>Supplier Target Pathway</t>
        </is>
      </c>
      <c r="U951" t="n">
        <v>14058.0951</v>
      </c>
      <c r="V951" t="n">
        <v>5628.8613</v>
      </c>
      <c r="W951" t="n">
        <v>9843.4782</v>
      </c>
      <c r="X951" t="n">
        <v>9843.4782</v>
      </c>
      <c r="Y951" t="n">
        <v>4214.6169</v>
      </c>
      <c r="Z951" t="n">
        <v>0.00061218</v>
      </c>
      <c r="AA951" t="n">
        <v>0.2998</v>
      </c>
      <c r="AB951" t="n">
        <v>4214.6169</v>
      </c>
      <c r="AC951" t="n">
        <v>421.4617</v>
      </c>
      <c r="AD951" t="n">
        <v>24678.9862</v>
      </c>
      <c r="AE951" t="n">
        <v>65382.7946</v>
      </c>
      <c r="AF951" t="n">
        <v>0.99</v>
      </c>
      <c r="AG951" t="inlineStr">
        <is>
          <t>Critical</t>
        </is>
      </c>
      <c r="AH951" t="inlineStr">
        <is>
          <t>On Track to Glide Path</t>
        </is>
      </c>
    </row>
    <row r="952">
      <c r="A952" t="inlineStr">
        <is>
          <t>SUP-0060</t>
        </is>
      </c>
      <c r="B952" t="inlineStr">
        <is>
          <t>Electronics Supplier 060</t>
        </is>
      </c>
      <c r="C952" t="inlineStr">
        <is>
          <t>Electronics</t>
        </is>
      </c>
      <c r="D952" t="n">
        <v>2024</v>
      </c>
      <c r="E952" t="n">
        <v>2020</v>
      </c>
      <c r="F952" t="n">
        <v>2040</v>
      </c>
      <c r="G952" t="n">
        <v>12011.7951</v>
      </c>
      <c r="H952" t="n">
        <v>2604.7591</v>
      </c>
      <c r="I952" t="n">
        <v>1268.3672</v>
      </c>
      <c r="J952" t="n">
        <v>8862.726199999999</v>
      </c>
      <c r="K952" t="n">
        <v>16079452.31</v>
      </c>
      <c r="L952" t="n">
        <v>113406260.09</v>
      </c>
      <c r="M952" t="n">
        <v>12011.7951</v>
      </c>
      <c r="N952" t="inlineStr">
        <is>
          <t>Supplier Reported Emissions</t>
        </is>
      </c>
      <c r="O952" t="b">
        <v>0</v>
      </c>
      <c r="P952" t="inlineStr">
        <is>
          <t>High</t>
        </is>
      </c>
      <c r="Q952" t="inlineStr">
        <is>
          <t>None</t>
        </is>
      </c>
      <c r="R952" t="inlineStr">
        <is>
          <t>Valid</t>
        </is>
      </c>
      <c r="S952" t="n">
        <v>2031</v>
      </c>
      <c r="T952" t="inlineStr">
        <is>
          <t>Supplier Target Pathway</t>
        </is>
      </c>
      <c r="U952" t="n">
        <v>14058.0951</v>
      </c>
      <c r="V952" t="n">
        <v>5628.8613</v>
      </c>
      <c r="W952" t="n">
        <v>9422.0165</v>
      </c>
      <c r="X952" t="n">
        <v>9422.0165</v>
      </c>
      <c r="Y952" t="n">
        <v>4636.0786</v>
      </c>
      <c r="Z952" t="n">
        <v>0.00058597</v>
      </c>
      <c r="AA952" t="n">
        <v>0.32978</v>
      </c>
      <c r="AB952" t="n">
        <v>3793.1552</v>
      </c>
      <c r="AC952" t="n">
        <v>421.4617</v>
      </c>
      <c r="AD952" t="n">
        <v>15256.9697</v>
      </c>
      <c r="AE952" t="n">
        <v>74804.81110000001</v>
      </c>
      <c r="AF952" t="n">
        <v>0.99</v>
      </c>
      <c r="AG952" t="inlineStr">
        <is>
          <t>Critical</t>
        </is>
      </c>
      <c r="AH952" t="inlineStr">
        <is>
          <t>On Track to Glide Path</t>
        </is>
      </c>
    </row>
    <row r="953">
      <c r="A953" t="inlineStr">
        <is>
          <t>SUP-0060</t>
        </is>
      </c>
      <c r="B953" t="inlineStr">
        <is>
          <t>Electronics Supplier 060</t>
        </is>
      </c>
      <c r="C953" t="inlineStr">
        <is>
          <t>Electronics</t>
        </is>
      </c>
      <c r="D953" t="n">
        <v>2024</v>
      </c>
      <c r="E953" t="n">
        <v>2020</v>
      </c>
      <c r="F953" t="n">
        <v>2040</v>
      </c>
      <c r="G953" t="n">
        <v>12011.7951</v>
      </c>
      <c r="H953" t="n">
        <v>2604.7591</v>
      </c>
      <c r="I953" t="n">
        <v>1268.3672</v>
      </c>
      <c r="J953" t="n">
        <v>8862.726199999999</v>
      </c>
      <c r="K953" t="n">
        <v>16079452.31</v>
      </c>
      <c r="L953" t="n">
        <v>113406260.09</v>
      </c>
      <c r="M953" t="n">
        <v>12011.7951</v>
      </c>
      <c r="N953" t="inlineStr">
        <is>
          <t>Supplier Reported Emissions</t>
        </is>
      </c>
      <c r="O953" t="b">
        <v>0</v>
      </c>
      <c r="P953" t="inlineStr">
        <is>
          <t>High</t>
        </is>
      </c>
      <c r="Q953" t="inlineStr">
        <is>
          <t>None</t>
        </is>
      </c>
      <c r="R953" t="inlineStr">
        <is>
          <t>Valid</t>
        </is>
      </c>
      <c r="S953" t="n">
        <v>2032</v>
      </c>
      <c r="T953" t="inlineStr">
        <is>
          <t>Supplier Target Pathway</t>
        </is>
      </c>
      <c r="U953" t="n">
        <v>14058.0951</v>
      </c>
      <c r="V953" t="n">
        <v>5628.8613</v>
      </c>
      <c r="W953" t="n">
        <v>9000.5548</v>
      </c>
      <c r="X953" t="n">
        <v>9000.5548</v>
      </c>
      <c r="Y953" t="n">
        <v>5057.5403</v>
      </c>
      <c r="Z953" t="n">
        <v>0.00055976</v>
      </c>
      <c r="AA953" t="n">
        <v>0.35976</v>
      </c>
      <c r="AB953" t="n">
        <v>3371.6935</v>
      </c>
      <c r="AC953" t="n">
        <v>421.4617</v>
      </c>
      <c r="AD953" t="n">
        <v>6256.4149</v>
      </c>
      <c r="AE953" t="n">
        <v>83805.3659</v>
      </c>
      <c r="AF953" t="n">
        <v>0.99</v>
      </c>
      <c r="AG953" t="inlineStr">
        <is>
          <t>Critical</t>
        </is>
      </c>
      <c r="AH953" t="inlineStr">
        <is>
          <t>On Track to Glide Path</t>
        </is>
      </c>
    </row>
    <row r="954">
      <c r="A954" t="inlineStr">
        <is>
          <t>SUP-0060</t>
        </is>
      </c>
      <c r="B954" t="inlineStr">
        <is>
          <t>Electronics Supplier 060</t>
        </is>
      </c>
      <c r="C954" t="inlineStr">
        <is>
          <t>Electronics</t>
        </is>
      </c>
      <c r="D954" t="n">
        <v>2024</v>
      </c>
      <c r="E954" t="n">
        <v>2020</v>
      </c>
      <c r="F954" t="n">
        <v>2040</v>
      </c>
      <c r="G954" t="n">
        <v>12011.7951</v>
      </c>
      <c r="H954" t="n">
        <v>2604.7591</v>
      </c>
      <c r="I954" t="n">
        <v>1268.3672</v>
      </c>
      <c r="J954" t="n">
        <v>8862.726199999999</v>
      </c>
      <c r="K954" t="n">
        <v>16079452.31</v>
      </c>
      <c r="L954" t="n">
        <v>113406260.09</v>
      </c>
      <c r="M954" t="n">
        <v>12011.7951</v>
      </c>
      <c r="N954" t="inlineStr">
        <is>
          <t>Supplier Reported Emissions</t>
        </is>
      </c>
      <c r="O954" t="b">
        <v>0</v>
      </c>
      <c r="P954" t="inlineStr">
        <is>
          <t>High</t>
        </is>
      </c>
      <c r="Q954" t="inlineStr">
        <is>
          <t>None</t>
        </is>
      </c>
      <c r="R954" t="inlineStr">
        <is>
          <t>Valid</t>
        </is>
      </c>
      <c r="S954" t="n">
        <v>2033</v>
      </c>
      <c r="T954" t="inlineStr">
        <is>
          <t>Supplier Target Pathway</t>
        </is>
      </c>
      <c r="U954" t="n">
        <v>14058.0951</v>
      </c>
      <c r="V954" t="n">
        <v>5628.8613</v>
      </c>
      <c r="W954" t="n">
        <v>8579.0931</v>
      </c>
      <c r="X954" t="n">
        <v>8579.0931</v>
      </c>
      <c r="Y954" t="n">
        <v>5479.002</v>
      </c>
      <c r="Z954" t="n">
        <v>0.00053354</v>
      </c>
      <c r="AA954" t="n">
        <v>0.38974</v>
      </c>
      <c r="AB954" t="n">
        <v>2950.2318</v>
      </c>
      <c r="AC954" t="n">
        <v>421.4617</v>
      </c>
      <c r="AD954" t="n">
        <v>-2322.6782</v>
      </c>
      <c r="AE954" t="n">
        <v>92384.459</v>
      </c>
      <c r="AF954" t="n">
        <v>0.99</v>
      </c>
      <c r="AG954" t="inlineStr">
        <is>
          <t>Critical</t>
        </is>
      </c>
      <c r="AH954" t="inlineStr">
        <is>
          <t>On Track to Glide Path</t>
        </is>
      </c>
    </row>
    <row r="955">
      <c r="A955" t="inlineStr">
        <is>
          <t>SUP-0060</t>
        </is>
      </c>
      <c r="B955" t="inlineStr">
        <is>
          <t>Electronics Supplier 060</t>
        </is>
      </c>
      <c r="C955" t="inlineStr">
        <is>
          <t>Electronics</t>
        </is>
      </c>
      <c r="D955" t="n">
        <v>2024</v>
      </c>
      <c r="E955" t="n">
        <v>2020</v>
      </c>
      <c r="F955" t="n">
        <v>2040</v>
      </c>
      <c r="G955" t="n">
        <v>12011.7951</v>
      </c>
      <c r="H955" t="n">
        <v>2604.7591</v>
      </c>
      <c r="I955" t="n">
        <v>1268.3672</v>
      </c>
      <c r="J955" t="n">
        <v>8862.726199999999</v>
      </c>
      <c r="K955" t="n">
        <v>16079452.31</v>
      </c>
      <c r="L955" t="n">
        <v>113406260.09</v>
      </c>
      <c r="M955" t="n">
        <v>12011.7951</v>
      </c>
      <c r="N955" t="inlineStr">
        <is>
          <t>Supplier Reported Emissions</t>
        </is>
      </c>
      <c r="O955" t="b">
        <v>0</v>
      </c>
      <c r="P955" t="inlineStr">
        <is>
          <t>High</t>
        </is>
      </c>
      <c r="Q955" t="inlineStr">
        <is>
          <t>None</t>
        </is>
      </c>
      <c r="R955" t="inlineStr">
        <is>
          <t>Valid</t>
        </is>
      </c>
      <c r="S955" t="n">
        <v>2034</v>
      </c>
      <c r="T955" t="inlineStr">
        <is>
          <t>Supplier Target Pathway</t>
        </is>
      </c>
      <c r="U955" t="n">
        <v>14058.0951</v>
      </c>
      <c r="V955" t="n">
        <v>5628.8613</v>
      </c>
      <c r="W955" t="n">
        <v>8157.6314</v>
      </c>
      <c r="X955" t="n">
        <v>8157.6314</v>
      </c>
      <c r="Y955" t="n">
        <v>5900.4637</v>
      </c>
      <c r="Z955" t="n">
        <v>0.00050733</v>
      </c>
      <c r="AA955" t="n">
        <v>0.41972</v>
      </c>
      <c r="AB955" t="n">
        <v>2528.7701</v>
      </c>
      <c r="AC955" t="n">
        <v>421.4617</v>
      </c>
      <c r="AD955" t="n">
        <v>-10480.3096</v>
      </c>
      <c r="AE955" t="n">
        <v>100542.0904</v>
      </c>
      <c r="AF955" t="n">
        <v>0.99</v>
      </c>
      <c r="AG955" t="inlineStr">
        <is>
          <t>Critical</t>
        </is>
      </c>
      <c r="AH955" t="inlineStr">
        <is>
          <t>On Track to Glide Path</t>
        </is>
      </c>
    </row>
    <row r="956">
      <c r="A956" t="inlineStr">
        <is>
          <t>SUP-0060</t>
        </is>
      </c>
      <c r="B956" t="inlineStr">
        <is>
          <t>Electronics Supplier 060</t>
        </is>
      </c>
      <c r="C956" t="inlineStr">
        <is>
          <t>Electronics</t>
        </is>
      </c>
      <c r="D956" t="n">
        <v>2024</v>
      </c>
      <c r="E956" t="n">
        <v>2020</v>
      </c>
      <c r="F956" t="n">
        <v>2040</v>
      </c>
      <c r="G956" t="n">
        <v>12011.7951</v>
      </c>
      <c r="H956" t="n">
        <v>2604.7591</v>
      </c>
      <c r="I956" t="n">
        <v>1268.3672</v>
      </c>
      <c r="J956" t="n">
        <v>8862.726199999999</v>
      </c>
      <c r="K956" t="n">
        <v>16079452.31</v>
      </c>
      <c r="L956" t="n">
        <v>113406260.09</v>
      </c>
      <c r="M956" t="n">
        <v>12011.7951</v>
      </c>
      <c r="N956" t="inlineStr">
        <is>
          <t>Supplier Reported Emissions</t>
        </is>
      </c>
      <c r="O956" t="b">
        <v>0</v>
      </c>
      <c r="P956" t="inlineStr">
        <is>
          <t>High</t>
        </is>
      </c>
      <c r="Q956" t="inlineStr">
        <is>
          <t>None</t>
        </is>
      </c>
      <c r="R956" t="inlineStr">
        <is>
          <t>Valid</t>
        </is>
      </c>
      <c r="S956" t="n">
        <v>2035</v>
      </c>
      <c r="T956" t="inlineStr">
        <is>
          <t>Supplier Target Pathway</t>
        </is>
      </c>
      <c r="U956" t="n">
        <v>14058.0951</v>
      </c>
      <c r="V956" t="n">
        <v>5628.8613</v>
      </c>
      <c r="W956" t="n">
        <v>7736.1697</v>
      </c>
      <c r="X956" t="n">
        <v>7736.1697</v>
      </c>
      <c r="Y956" t="n">
        <v>6321.9254</v>
      </c>
      <c r="Z956" t="n">
        <v>0.00048112</v>
      </c>
      <c r="AA956" t="n">
        <v>0.4497</v>
      </c>
      <c r="AB956" t="n">
        <v>2107.3085</v>
      </c>
      <c r="AC956" t="n">
        <v>421.4617</v>
      </c>
      <c r="AD956" t="n">
        <v>-18216.4793</v>
      </c>
      <c r="AE956" t="n">
        <v>108278.2601</v>
      </c>
      <c r="AF956" t="n">
        <v>0.99</v>
      </c>
      <c r="AG956" t="inlineStr">
        <is>
          <t>Critical</t>
        </is>
      </c>
      <c r="AH956" t="inlineStr">
        <is>
          <t>On Track to Glide Path</t>
        </is>
      </c>
    </row>
    <row r="957">
      <c r="A957" t="inlineStr">
        <is>
          <t>SUP-0060</t>
        </is>
      </c>
      <c r="B957" t="inlineStr">
        <is>
          <t>Electronics Supplier 060</t>
        </is>
      </c>
      <c r="C957" t="inlineStr">
        <is>
          <t>Electronics</t>
        </is>
      </c>
      <c r="D957" t="n">
        <v>2024</v>
      </c>
      <c r="E957" t="n">
        <v>2020</v>
      </c>
      <c r="F957" t="n">
        <v>2040</v>
      </c>
      <c r="G957" t="n">
        <v>12011.7951</v>
      </c>
      <c r="H957" t="n">
        <v>2604.7591</v>
      </c>
      <c r="I957" t="n">
        <v>1268.3672</v>
      </c>
      <c r="J957" t="n">
        <v>8862.726199999999</v>
      </c>
      <c r="K957" t="n">
        <v>16079452.31</v>
      </c>
      <c r="L957" t="n">
        <v>113406260.09</v>
      </c>
      <c r="M957" t="n">
        <v>12011.7951</v>
      </c>
      <c r="N957" t="inlineStr">
        <is>
          <t>Supplier Reported Emissions</t>
        </is>
      </c>
      <c r="O957" t="b">
        <v>0</v>
      </c>
      <c r="P957" t="inlineStr">
        <is>
          <t>High</t>
        </is>
      </c>
      <c r="Q957" t="inlineStr">
        <is>
          <t>None</t>
        </is>
      </c>
      <c r="R957" t="inlineStr">
        <is>
          <t>Valid</t>
        </is>
      </c>
      <c r="S957" t="n">
        <v>2036</v>
      </c>
      <c r="T957" t="inlineStr">
        <is>
          <t>Supplier Target Pathway</t>
        </is>
      </c>
      <c r="U957" t="n">
        <v>14058.0951</v>
      </c>
      <c r="V957" t="n">
        <v>5628.8613</v>
      </c>
      <c r="W957" t="n">
        <v>7314.708</v>
      </c>
      <c r="X957" t="n">
        <v>7314.708</v>
      </c>
      <c r="Y957" t="n">
        <v>6743.3871</v>
      </c>
      <c r="Z957" t="n">
        <v>0.00045491</v>
      </c>
      <c r="AA957" t="n">
        <v>0.47968</v>
      </c>
      <c r="AB957" t="n">
        <v>1685.8468</v>
      </c>
      <c r="AC957" t="n">
        <v>421.4617</v>
      </c>
      <c r="AD957" t="n">
        <v>-25531.1873</v>
      </c>
      <c r="AE957" t="n">
        <v>115592.9681</v>
      </c>
      <c r="AF957" t="n">
        <v>0.99</v>
      </c>
      <c r="AG957" t="inlineStr">
        <is>
          <t>High</t>
        </is>
      </c>
      <c r="AH957" t="inlineStr">
        <is>
          <t>On Track to Glide Path</t>
        </is>
      </c>
    </row>
    <row r="958">
      <c r="A958" t="inlineStr">
        <is>
          <t>SUP-0060</t>
        </is>
      </c>
      <c r="B958" t="inlineStr">
        <is>
          <t>Electronics Supplier 060</t>
        </is>
      </c>
      <c r="C958" t="inlineStr">
        <is>
          <t>Electronics</t>
        </is>
      </c>
      <c r="D958" t="n">
        <v>2024</v>
      </c>
      <c r="E958" t="n">
        <v>2020</v>
      </c>
      <c r="F958" t="n">
        <v>2040</v>
      </c>
      <c r="G958" t="n">
        <v>12011.7951</v>
      </c>
      <c r="H958" t="n">
        <v>2604.7591</v>
      </c>
      <c r="I958" t="n">
        <v>1268.3672</v>
      </c>
      <c r="J958" t="n">
        <v>8862.726199999999</v>
      </c>
      <c r="K958" t="n">
        <v>16079452.31</v>
      </c>
      <c r="L958" t="n">
        <v>113406260.09</v>
      </c>
      <c r="M958" t="n">
        <v>12011.7951</v>
      </c>
      <c r="N958" t="inlineStr">
        <is>
          <t>Supplier Reported Emissions</t>
        </is>
      </c>
      <c r="O958" t="b">
        <v>0</v>
      </c>
      <c r="P958" t="inlineStr">
        <is>
          <t>High</t>
        </is>
      </c>
      <c r="Q958" t="inlineStr">
        <is>
          <t>None</t>
        </is>
      </c>
      <c r="R958" t="inlineStr">
        <is>
          <t>Valid</t>
        </is>
      </c>
      <c r="S958" t="n">
        <v>2037</v>
      </c>
      <c r="T958" t="inlineStr">
        <is>
          <t>Supplier Target Pathway</t>
        </is>
      </c>
      <c r="U958" t="n">
        <v>14058.0951</v>
      </c>
      <c r="V958" t="n">
        <v>5628.8613</v>
      </c>
      <c r="W958" t="n">
        <v>6893.2464</v>
      </c>
      <c r="X958" t="n">
        <v>6893.2464</v>
      </c>
      <c r="Y958" t="n">
        <v>7164.8487</v>
      </c>
      <c r="Z958" t="n">
        <v>0.0004287</v>
      </c>
      <c r="AA958" t="n">
        <v>0.50966</v>
      </c>
      <c r="AB958" t="n">
        <v>1264.3851</v>
      </c>
      <c r="AC958" t="n">
        <v>421.4617</v>
      </c>
      <c r="AD958" t="n">
        <v>-32424.4337</v>
      </c>
      <c r="AE958" t="n">
        <v>122486.2145</v>
      </c>
      <c r="AF958" t="n">
        <v>0.99</v>
      </c>
      <c r="AG958" t="inlineStr">
        <is>
          <t>High</t>
        </is>
      </c>
      <c r="AH958" t="inlineStr">
        <is>
          <t>On Track to Glide Path</t>
        </is>
      </c>
    </row>
    <row r="959">
      <c r="A959" t="inlineStr">
        <is>
          <t>SUP-0060</t>
        </is>
      </c>
      <c r="B959" t="inlineStr">
        <is>
          <t>Electronics Supplier 060</t>
        </is>
      </c>
      <c r="C959" t="inlineStr">
        <is>
          <t>Electronics</t>
        </is>
      </c>
      <c r="D959" t="n">
        <v>2024</v>
      </c>
      <c r="E959" t="n">
        <v>2020</v>
      </c>
      <c r="F959" t="n">
        <v>2040</v>
      </c>
      <c r="G959" t="n">
        <v>12011.7951</v>
      </c>
      <c r="H959" t="n">
        <v>2604.7591</v>
      </c>
      <c r="I959" t="n">
        <v>1268.3672</v>
      </c>
      <c r="J959" t="n">
        <v>8862.726199999999</v>
      </c>
      <c r="K959" t="n">
        <v>16079452.31</v>
      </c>
      <c r="L959" t="n">
        <v>113406260.09</v>
      </c>
      <c r="M959" t="n">
        <v>12011.7951</v>
      </c>
      <c r="N959" t="inlineStr">
        <is>
          <t>Supplier Reported Emissions</t>
        </is>
      </c>
      <c r="O959" t="b">
        <v>0</v>
      </c>
      <c r="P959" t="inlineStr">
        <is>
          <t>High</t>
        </is>
      </c>
      <c r="Q959" t="inlineStr">
        <is>
          <t>None</t>
        </is>
      </c>
      <c r="R959" t="inlineStr">
        <is>
          <t>Valid</t>
        </is>
      </c>
      <c r="S959" t="n">
        <v>2038</v>
      </c>
      <c r="T959" t="inlineStr">
        <is>
          <t>Supplier Target Pathway</t>
        </is>
      </c>
      <c r="U959" t="n">
        <v>14058.0951</v>
      </c>
      <c r="V959" t="n">
        <v>5628.8613</v>
      </c>
      <c r="W959" t="n">
        <v>6471.7847</v>
      </c>
      <c r="X959" t="n">
        <v>6471.7847</v>
      </c>
      <c r="Y959" t="n">
        <v>7586.3104</v>
      </c>
      <c r="Z959" t="n">
        <v>0.00040249</v>
      </c>
      <c r="AA959" t="n">
        <v>0.53964</v>
      </c>
      <c r="AB959" t="n">
        <v>842.9234</v>
      </c>
      <c r="AC959" t="n">
        <v>421.4617</v>
      </c>
      <c r="AD959" t="n">
        <v>-38896.2184</v>
      </c>
      <c r="AE959" t="n">
        <v>128957.9992</v>
      </c>
      <c r="AF959" t="n">
        <v>0.99</v>
      </c>
      <c r="AG959" t="inlineStr">
        <is>
          <t>Medium</t>
        </is>
      </c>
      <c r="AH959" t="inlineStr">
        <is>
          <t>On Track to Glide Path</t>
        </is>
      </c>
    </row>
    <row r="960">
      <c r="A960" t="inlineStr">
        <is>
          <t>SUP-0060</t>
        </is>
      </c>
      <c r="B960" t="inlineStr">
        <is>
          <t>Electronics Supplier 060</t>
        </is>
      </c>
      <c r="C960" t="inlineStr">
        <is>
          <t>Electronics</t>
        </is>
      </c>
      <c r="D960" t="n">
        <v>2024</v>
      </c>
      <c r="E960" t="n">
        <v>2020</v>
      </c>
      <c r="F960" t="n">
        <v>2040</v>
      </c>
      <c r="G960" t="n">
        <v>12011.7951</v>
      </c>
      <c r="H960" t="n">
        <v>2604.7591</v>
      </c>
      <c r="I960" t="n">
        <v>1268.3672</v>
      </c>
      <c r="J960" t="n">
        <v>8862.726199999999</v>
      </c>
      <c r="K960" t="n">
        <v>16079452.31</v>
      </c>
      <c r="L960" t="n">
        <v>113406260.09</v>
      </c>
      <c r="M960" t="n">
        <v>12011.7951</v>
      </c>
      <c r="N960" t="inlineStr">
        <is>
          <t>Supplier Reported Emissions</t>
        </is>
      </c>
      <c r="O960" t="b">
        <v>0</v>
      </c>
      <c r="P960" t="inlineStr">
        <is>
          <t>High</t>
        </is>
      </c>
      <c r="Q960" t="inlineStr">
        <is>
          <t>None</t>
        </is>
      </c>
      <c r="R960" t="inlineStr">
        <is>
          <t>Valid</t>
        </is>
      </c>
      <c r="S960" t="n">
        <v>2039</v>
      </c>
      <c r="T960" t="inlineStr">
        <is>
          <t>Supplier Target Pathway</t>
        </is>
      </c>
      <c r="U960" t="n">
        <v>14058.0951</v>
      </c>
      <c r="V960" t="n">
        <v>5628.8613</v>
      </c>
      <c r="W960" t="n">
        <v>6050.323</v>
      </c>
      <c r="X960" t="n">
        <v>6050.323</v>
      </c>
      <c r="Y960" t="n">
        <v>8007.7721</v>
      </c>
      <c r="Z960" t="n">
        <v>0.00037628</v>
      </c>
      <c r="AA960" t="n">
        <v>0.56962</v>
      </c>
      <c r="AB960" t="n">
        <v>421.4617</v>
      </c>
      <c r="AC960" t="n">
        <v>421.4617</v>
      </c>
      <c r="AD960" t="n">
        <v>-44946.5414</v>
      </c>
      <c r="AE960" t="n">
        <v>135008.3222</v>
      </c>
      <c r="AF960" t="n">
        <v>0.99</v>
      </c>
      <c r="AG960" t="inlineStr">
        <is>
          <t>Medium</t>
        </is>
      </c>
      <c r="AH960" t="inlineStr">
        <is>
          <t>On Track to Glide Path</t>
        </is>
      </c>
    </row>
    <row r="961">
      <c r="A961" t="inlineStr">
        <is>
          <t>SUP-0060</t>
        </is>
      </c>
      <c r="B961" t="inlineStr">
        <is>
          <t>Electronics Supplier 060</t>
        </is>
      </c>
      <c r="C961" t="inlineStr">
        <is>
          <t>Electronics</t>
        </is>
      </c>
      <c r="D961" t="n">
        <v>2024</v>
      </c>
      <c r="E961" t="n">
        <v>2020</v>
      </c>
      <c r="F961" t="n">
        <v>2040</v>
      </c>
      <c r="G961" t="n">
        <v>12011.7951</v>
      </c>
      <c r="H961" t="n">
        <v>2604.7591</v>
      </c>
      <c r="I961" t="n">
        <v>1268.3672</v>
      </c>
      <c r="J961" t="n">
        <v>8862.726199999999</v>
      </c>
      <c r="K961" t="n">
        <v>16079452.31</v>
      </c>
      <c r="L961" t="n">
        <v>113406260.09</v>
      </c>
      <c r="M961" t="n">
        <v>12011.7951</v>
      </c>
      <c r="N961" t="inlineStr">
        <is>
          <t>Supplier Reported Emissions</t>
        </is>
      </c>
      <c r="O961" t="b">
        <v>0</v>
      </c>
      <c r="P961" t="inlineStr">
        <is>
          <t>High</t>
        </is>
      </c>
      <c r="Q961" t="inlineStr">
        <is>
          <t>None</t>
        </is>
      </c>
      <c r="R961" t="inlineStr">
        <is>
          <t>Valid</t>
        </is>
      </c>
      <c r="S961" t="n">
        <v>2040</v>
      </c>
      <c r="T961" t="inlineStr">
        <is>
          <t>Supplier Target Pathway</t>
        </is>
      </c>
      <c r="U961" t="n">
        <v>14058.0951</v>
      </c>
      <c r="V961" t="n">
        <v>5628.8613</v>
      </c>
      <c r="W961" t="n">
        <v>5628.8613</v>
      </c>
      <c r="X961" t="n">
        <v>5628.8613</v>
      </c>
      <c r="Y961" t="n">
        <v>8429.2338</v>
      </c>
      <c r="Z961" t="n">
        <v>0.00035007</v>
      </c>
      <c r="AA961" t="n">
        <v>0.5996</v>
      </c>
      <c r="AB961" t="n">
        <v>0</v>
      </c>
      <c r="AC961" t="n">
        <v>421.4617</v>
      </c>
      <c r="AD961" t="n">
        <v>-50575.4027</v>
      </c>
      <c r="AE961" t="n">
        <v>140637.1835</v>
      </c>
      <c r="AF961" t="n">
        <v>0.99</v>
      </c>
      <c r="AG961" t="inlineStr">
        <is>
          <t>Low</t>
        </is>
      </c>
      <c r="AH961" t="inlineStr">
        <is>
          <t>On Track</t>
        </is>
      </c>
    </row>
    <row r="962">
      <c r="A962" t="inlineStr">
        <is>
          <t>SUP-0061</t>
        </is>
      </c>
      <c r="B962" t="inlineStr">
        <is>
          <t>Metals Supplier 061</t>
        </is>
      </c>
      <c r="C962" t="inlineStr">
        <is>
          <t>Metals</t>
        </is>
      </c>
      <c r="D962" t="n">
        <v>2024</v>
      </c>
      <c r="E962" t="n">
        <v>2018</v>
      </c>
      <c r="F962" t="n">
        <v>2040</v>
      </c>
      <c r="G962" t="n">
        <v>17695.9231</v>
      </c>
      <c r="H962" t="n">
        <v>3153.7341</v>
      </c>
      <c r="I962" t="inlineStr"/>
      <c r="J962" t="n">
        <v>10641.7766</v>
      </c>
      <c r="K962" t="n">
        <v>33827325.5</v>
      </c>
      <c r="L962" t="inlineStr"/>
      <c r="M962" t="n">
        <v>17695.9231</v>
      </c>
      <c r="N962" t="inlineStr">
        <is>
          <t>Supplier Reported Emissions</t>
        </is>
      </c>
      <c r="O962" t="b">
        <v>0</v>
      </c>
      <c r="P962" t="inlineStr">
        <is>
          <t>High</t>
        </is>
      </c>
      <c r="Q962" t="inlineStr">
        <is>
          <t>Revenue; Scope_Emissions</t>
        </is>
      </c>
      <c r="R962" t="inlineStr">
        <is>
          <t>Valid</t>
        </is>
      </c>
      <c r="S962" t="n">
        <v>2025</v>
      </c>
      <c r="T962" t="inlineStr">
        <is>
          <t>Supplier Target Pathway</t>
        </is>
      </c>
      <c r="U962" t="n">
        <v>27929.3897</v>
      </c>
      <c r="V962" t="n">
        <v>18377.5384</v>
      </c>
      <c r="W962" t="n">
        <v>24890.1643</v>
      </c>
      <c r="X962" t="n">
        <v>24890.1643</v>
      </c>
      <c r="Y962" t="n">
        <v>3039.2254</v>
      </c>
      <c r="Z962" t="n">
        <v>0.0007358</v>
      </c>
      <c r="AA962" t="n">
        <v>0.108818</v>
      </c>
      <c r="AB962" t="n">
        <v>6512.6259</v>
      </c>
      <c r="AC962" t="n">
        <v>434.1751</v>
      </c>
      <c r="AD962" t="n">
        <v>269150.4501</v>
      </c>
      <c r="AE962" t="n">
        <v>24890.1643</v>
      </c>
      <c r="AF962" t="n">
        <v>0.944</v>
      </c>
      <c r="AG962" t="inlineStr">
        <is>
          <t>Critical</t>
        </is>
      </c>
      <c r="AH962" t="inlineStr">
        <is>
          <t>On Track to Glide Path</t>
        </is>
      </c>
    </row>
    <row r="963">
      <c r="A963" t="inlineStr">
        <is>
          <t>SUP-0061</t>
        </is>
      </c>
      <c r="B963" t="inlineStr">
        <is>
          <t>Metals Supplier 061</t>
        </is>
      </c>
      <c r="C963" t="inlineStr">
        <is>
          <t>Metals</t>
        </is>
      </c>
      <c r="D963" t="n">
        <v>2024</v>
      </c>
      <c r="E963" t="n">
        <v>2018</v>
      </c>
      <c r="F963" t="n">
        <v>2040</v>
      </c>
      <c r="G963" t="n">
        <v>17695.9231</v>
      </c>
      <c r="H963" t="n">
        <v>3153.7341</v>
      </c>
      <c r="I963" t="inlineStr"/>
      <c r="J963" t="n">
        <v>10641.7766</v>
      </c>
      <c r="K963" t="n">
        <v>33827325.5</v>
      </c>
      <c r="L963" t="inlineStr"/>
      <c r="M963" t="n">
        <v>17695.9231</v>
      </c>
      <c r="N963" t="inlineStr">
        <is>
          <t>Supplier Reported Emissions</t>
        </is>
      </c>
      <c r="O963" t="b">
        <v>0</v>
      </c>
      <c r="P963" t="inlineStr">
        <is>
          <t>High</t>
        </is>
      </c>
      <c r="Q963" t="inlineStr">
        <is>
          <t>Revenue; Scope_Emissions</t>
        </is>
      </c>
      <c r="R963" t="inlineStr">
        <is>
          <t>Valid</t>
        </is>
      </c>
      <c r="S963" t="n">
        <v>2026</v>
      </c>
      <c r="T963" t="inlineStr">
        <is>
          <t>Supplier Target Pathway</t>
        </is>
      </c>
      <c r="U963" t="n">
        <v>27929.3897</v>
      </c>
      <c r="V963" t="n">
        <v>18377.5384</v>
      </c>
      <c r="W963" t="n">
        <v>24455.9892</v>
      </c>
      <c r="X963" t="n">
        <v>24455.9892</v>
      </c>
      <c r="Y963" t="n">
        <v>3473.4005</v>
      </c>
      <c r="Z963" t="n">
        <v>0.00072297</v>
      </c>
      <c r="AA963" t="n">
        <v>0.124364</v>
      </c>
      <c r="AB963" t="n">
        <v>6078.4508</v>
      </c>
      <c r="AC963" t="n">
        <v>434.1751</v>
      </c>
      <c r="AD963" t="n">
        <v>244694.4609</v>
      </c>
      <c r="AE963" t="n">
        <v>49346.1535</v>
      </c>
      <c r="AF963" t="n">
        <v>0.944</v>
      </c>
      <c r="AG963" t="inlineStr">
        <is>
          <t>High</t>
        </is>
      </c>
      <c r="AH963" t="inlineStr">
        <is>
          <t>On Track to Glide Path</t>
        </is>
      </c>
    </row>
    <row r="964">
      <c r="A964" t="inlineStr">
        <is>
          <t>SUP-0061</t>
        </is>
      </c>
      <c r="B964" t="inlineStr">
        <is>
          <t>Metals Supplier 061</t>
        </is>
      </c>
      <c r="C964" t="inlineStr">
        <is>
          <t>Metals</t>
        </is>
      </c>
      <c r="D964" t="n">
        <v>2024</v>
      </c>
      <c r="E964" t="n">
        <v>2018</v>
      </c>
      <c r="F964" t="n">
        <v>2040</v>
      </c>
      <c r="G964" t="n">
        <v>17695.9231</v>
      </c>
      <c r="H964" t="n">
        <v>3153.7341</v>
      </c>
      <c r="I964" t="inlineStr"/>
      <c r="J964" t="n">
        <v>10641.7766</v>
      </c>
      <c r="K964" t="n">
        <v>33827325.5</v>
      </c>
      <c r="L964" t="inlineStr"/>
      <c r="M964" t="n">
        <v>17695.9231</v>
      </c>
      <c r="N964" t="inlineStr">
        <is>
          <t>Supplier Reported Emissions</t>
        </is>
      </c>
      <c r="O964" t="b">
        <v>0</v>
      </c>
      <c r="P964" t="inlineStr">
        <is>
          <t>High</t>
        </is>
      </c>
      <c r="Q964" t="inlineStr">
        <is>
          <t>Revenue; Scope_Emissions</t>
        </is>
      </c>
      <c r="R964" t="inlineStr">
        <is>
          <t>Valid</t>
        </is>
      </c>
      <c r="S964" t="n">
        <v>2027</v>
      </c>
      <c r="T964" t="inlineStr">
        <is>
          <t>Supplier Target Pathway</t>
        </is>
      </c>
      <c r="U964" t="n">
        <v>27929.3897</v>
      </c>
      <c r="V964" t="n">
        <v>18377.5384</v>
      </c>
      <c r="W964" t="n">
        <v>24021.8142</v>
      </c>
      <c r="X964" t="n">
        <v>24021.8142</v>
      </c>
      <c r="Y964" t="n">
        <v>3907.5755</v>
      </c>
      <c r="Z964" t="n">
        <v>0.00071013</v>
      </c>
      <c r="AA964" t="n">
        <v>0.139909</v>
      </c>
      <c r="AB964" t="n">
        <v>5644.2758</v>
      </c>
      <c r="AC964" t="n">
        <v>434.1751</v>
      </c>
      <c r="AD964" t="n">
        <v>220672.6467</v>
      </c>
      <c r="AE964" t="n">
        <v>73367.96769999999</v>
      </c>
      <c r="AF964" t="n">
        <v>0.944</v>
      </c>
      <c r="AG964" t="inlineStr">
        <is>
          <t>High</t>
        </is>
      </c>
      <c r="AH964" t="inlineStr">
        <is>
          <t>On Track to Glide Path</t>
        </is>
      </c>
    </row>
    <row r="965">
      <c r="A965" t="inlineStr">
        <is>
          <t>SUP-0061</t>
        </is>
      </c>
      <c r="B965" t="inlineStr">
        <is>
          <t>Metals Supplier 061</t>
        </is>
      </c>
      <c r="C965" t="inlineStr">
        <is>
          <t>Metals</t>
        </is>
      </c>
      <c r="D965" t="n">
        <v>2024</v>
      </c>
      <c r="E965" t="n">
        <v>2018</v>
      </c>
      <c r="F965" t="n">
        <v>2040</v>
      </c>
      <c r="G965" t="n">
        <v>17695.9231</v>
      </c>
      <c r="H965" t="n">
        <v>3153.7341</v>
      </c>
      <c r="I965" t="inlineStr"/>
      <c r="J965" t="n">
        <v>10641.7766</v>
      </c>
      <c r="K965" t="n">
        <v>33827325.5</v>
      </c>
      <c r="L965" t="inlineStr"/>
      <c r="M965" t="n">
        <v>17695.9231</v>
      </c>
      <c r="N965" t="inlineStr">
        <is>
          <t>Supplier Reported Emissions</t>
        </is>
      </c>
      <c r="O965" t="b">
        <v>0</v>
      </c>
      <c r="P965" t="inlineStr">
        <is>
          <t>High</t>
        </is>
      </c>
      <c r="Q965" t="inlineStr">
        <is>
          <t>Revenue; Scope_Emissions</t>
        </is>
      </c>
      <c r="R965" t="inlineStr">
        <is>
          <t>Valid</t>
        </is>
      </c>
      <c r="S965" t="n">
        <v>2028</v>
      </c>
      <c r="T965" t="inlineStr">
        <is>
          <t>Supplier Target Pathway</t>
        </is>
      </c>
      <c r="U965" t="n">
        <v>27929.3897</v>
      </c>
      <c r="V965" t="n">
        <v>18377.5384</v>
      </c>
      <c r="W965" t="n">
        <v>23587.6391</v>
      </c>
      <c r="X965" t="n">
        <v>23587.6391</v>
      </c>
      <c r="Y965" t="n">
        <v>4341.7506</v>
      </c>
      <c r="Z965" t="n">
        <v>0.0006973</v>
      </c>
      <c r="AA965" t="n">
        <v>0.155455</v>
      </c>
      <c r="AB965" t="n">
        <v>5210.1007</v>
      </c>
      <c r="AC965" t="n">
        <v>434.1751</v>
      </c>
      <c r="AD965" t="n">
        <v>197085.0076</v>
      </c>
      <c r="AE965" t="n">
        <v>96955.60679999999</v>
      </c>
      <c r="AF965" t="n">
        <v>0.944</v>
      </c>
      <c r="AG965" t="inlineStr">
        <is>
          <t>High</t>
        </is>
      </c>
      <c r="AH965" t="inlineStr">
        <is>
          <t>On Track to Glide Path</t>
        </is>
      </c>
    </row>
    <row r="966">
      <c r="A966" t="inlineStr">
        <is>
          <t>SUP-0061</t>
        </is>
      </c>
      <c r="B966" t="inlineStr">
        <is>
          <t>Metals Supplier 061</t>
        </is>
      </c>
      <c r="C966" t="inlineStr">
        <is>
          <t>Metals</t>
        </is>
      </c>
      <c r="D966" t="n">
        <v>2024</v>
      </c>
      <c r="E966" t="n">
        <v>2018</v>
      </c>
      <c r="F966" t="n">
        <v>2040</v>
      </c>
      <c r="G966" t="n">
        <v>17695.9231</v>
      </c>
      <c r="H966" t="n">
        <v>3153.7341</v>
      </c>
      <c r="I966" t="inlineStr"/>
      <c r="J966" t="n">
        <v>10641.7766</v>
      </c>
      <c r="K966" t="n">
        <v>33827325.5</v>
      </c>
      <c r="L966" t="inlineStr"/>
      <c r="M966" t="n">
        <v>17695.9231</v>
      </c>
      <c r="N966" t="inlineStr">
        <is>
          <t>Supplier Reported Emissions</t>
        </is>
      </c>
      <c r="O966" t="b">
        <v>0</v>
      </c>
      <c r="P966" t="inlineStr">
        <is>
          <t>High</t>
        </is>
      </c>
      <c r="Q966" t="inlineStr">
        <is>
          <t>Revenue; Scope_Emissions</t>
        </is>
      </c>
      <c r="R966" t="inlineStr">
        <is>
          <t>Valid</t>
        </is>
      </c>
      <c r="S966" t="n">
        <v>2029</v>
      </c>
      <c r="T966" t="inlineStr">
        <is>
          <t>Supplier Target Pathway</t>
        </is>
      </c>
      <c r="U966" t="n">
        <v>27929.3897</v>
      </c>
      <c r="V966" t="n">
        <v>18377.5384</v>
      </c>
      <c r="W966" t="n">
        <v>23153.4641</v>
      </c>
      <c r="X966" t="n">
        <v>23153.4641</v>
      </c>
      <c r="Y966" t="n">
        <v>4775.9256</v>
      </c>
      <c r="Z966" t="n">
        <v>0.00068446</v>
      </c>
      <c r="AA966" t="n">
        <v>0.171</v>
      </c>
      <c r="AB966" t="n">
        <v>4775.9256</v>
      </c>
      <c r="AC966" t="n">
        <v>434.1751</v>
      </c>
      <c r="AD966" t="n">
        <v>173931.5435</v>
      </c>
      <c r="AE966" t="n">
        <v>120109.0709</v>
      </c>
      <c r="AF966" t="n">
        <v>0.944</v>
      </c>
      <c r="AG966" t="inlineStr">
        <is>
          <t>High</t>
        </is>
      </c>
      <c r="AH966" t="inlineStr">
        <is>
          <t>On Track to Glide Path</t>
        </is>
      </c>
    </row>
    <row r="967">
      <c r="A967" t="inlineStr">
        <is>
          <t>SUP-0061</t>
        </is>
      </c>
      <c r="B967" t="inlineStr">
        <is>
          <t>Metals Supplier 061</t>
        </is>
      </c>
      <c r="C967" t="inlineStr">
        <is>
          <t>Metals</t>
        </is>
      </c>
      <c r="D967" t="n">
        <v>2024</v>
      </c>
      <c r="E967" t="n">
        <v>2018</v>
      </c>
      <c r="F967" t="n">
        <v>2040</v>
      </c>
      <c r="G967" t="n">
        <v>17695.9231</v>
      </c>
      <c r="H967" t="n">
        <v>3153.7341</v>
      </c>
      <c r="I967" t="inlineStr"/>
      <c r="J967" t="n">
        <v>10641.7766</v>
      </c>
      <c r="K967" t="n">
        <v>33827325.5</v>
      </c>
      <c r="L967" t="inlineStr"/>
      <c r="M967" t="n">
        <v>17695.9231</v>
      </c>
      <c r="N967" t="inlineStr">
        <is>
          <t>Supplier Reported Emissions</t>
        </is>
      </c>
      <c r="O967" t="b">
        <v>0</v>
      </c>
      <c r="P967" t="inlineStr">
        <is>
          <t>High</t>
        </is>
      </c>
      <c r="Q967" t="inlineStr">
        <is>
          <t>Revenue; Scope_Emissions</t>
        </is>
      </c>
      <c r="R967" t="inlineStr">
        <is>
          <t>Valid</t>
        </is>
      </c>
      <c r="S967" t="n">
        <v>2030</v>
      </c>
      <c r="T967" t="inlineStr">
        <is>
          <t>Supplier Target Pathway</t>
        </is>
      </c>
      <c r="U967" t="n">
        <v>27929.3897</v>
      </c>
      <c r="V967" t="n">
        <v>18377.5384</v>
      </c>
      <c r="W967" t="n">
        <v>22719.289</v>
      </c>
      <c r="X967" t="n">
        <v>22719.289</v>
      </c>
      <c r="Y967" t="n">
        <v>5210.1007</v>
      </c>
      <c r="Z967" t="n">
        <v>0.00067163</v>
      </c>
      <c r="AA967" t="n">
        <v>0.186545</v>
      </c>
      <c r="AB967" t="n">
        <v>4341.7506</v>
      </c>
      <c r="AC967" t="n">
        <v>434.1751</v>
      </c>
      <c r="AD967" t="n">
        <v>151212.2545</v>
      </c>
      <c r="AE967" t="n">
        <v>142828.3599</v>
      </c>
      <c r="AF967" t="n">
        <v>0.944</v>
      </c>
      <c r="AG967" t="inlineStr">
        <is>
          <t>High</t>
        </is>
      </c>
      <c r="AH967" t="inlineStr">
        <is>
          <t>On Track to Glide Path</t>
        </is>
      </c>
    </row>
    <row r="968">
      <c r="A968" t="inlineStr">
        <is>
          <t>SUP-0061</t>
        </is>
      </c>
      <c r="B968" t="inlineStr">
        <is>
          <t>Metals Supplier 061</t>
        </is>
      </c>
      <c r="C968" t="inlineStr">
        <is>
          <t>Metals</t>
        </is>
      </c>
      <c r="D968" t="n">
        <v>2024</v>
      </c>
      <c r="E968" t="n">
        <v>2018</v>
      </c>
      <c r="F968" t="n">
        <v>2040</v>
      </c>
      <c r="G968" t="n">
        <v>17695.9231</v>
      </c>
      <c r="H968" t="n">
        <v>3153.7341</v>
      </c>
      <c r="I968" t="inlineStr"/>
      <c r="J968" t="n">
        <v>10641.7766</v>
      </c>
      <c r="K968" t="n">
        <v>33827325.5</v>
      </c>
      <c r="L968" t="inlineStr"/>
      <c r="M968" t="n">
        <v>17695.9231</v>
      </c>
      <c r="N968" t="inlineStr">
        <is>
          <t>Supplier Reported Emissions</t>
        </is>
      </c>
      <c r="O968" t="b">
        <v>0</v>
      </c>
      <c r="P968" t="inlineStr">
        <is>
          <t>High</t>
        </is>
      </c>
      <c r="Q968" t="inlineStr">
        <is>
          <t>Revenue; Scope_Emissions</t>
        </is>
      </c>
      <c r="R968" t="inlineStr">
        <is>
          <t>Valid</t>
        </is>
      </c>
      <c r="S968" t="n">
        <v>2031</v>
      </c>
      <c r="T968" t="inlineStr">
        <is>
          <t>Supplier Target Pathway</t>
        </is>
      </c>
      <c r="U968" t="n">
        <v>27929.3897</v>
      </c>
      <c r="V968" t="n">
        <v>18377.5384</v>
      </c>
      <c r="W968" t="n">
        <v>22285.1139</v>
      </c>
      <c r="X968" t="n">
        <v>22285.1139</v>
      </c>
      <c r="Y968" t="n">
        <v>5644.2758</v>
      </c>
      <c r="Z968" t="n">
        <v>0.00065879</v>
      </c>
      <c r="AA968" t="n">
        <v>0.202091</v>
      </c>
      <c r="AB968" t="n">
        <v>3907.5755</v>
      </c>
      <c r="AC968" t="n">
        <v>434.1751</v>
      </c>
      <c r="AD968" t="n">
        <v>128927.1406</v>
      </c>
      <c r="AE968" t="n">
        <v>165113.4738</v>
      </c>
      <c r="AF968" t="n">
        <v>0.944</v>
      </c>
      <c r="AG968" t="inlineStr">
        <is>
          <t>High</t>
        </is>
      </c>
      <c r="AH968" t="inlineStr">
        <is>
          <t>On Track to Glide Path</t>
        </is>
      </c>
    </row>
    <row r="969">
      <c r="A969" t="inlineStr">
        <is>
          <t>SUP-0061</t>
        </is>
      </c>
      <c r="B969" t="inlineStr">
        <is>
          <t>Metals Supplier 061</t>
        </is>
      </c>
      <c r="C969" t="inlineStr">
        <is>
          <t>Metals</t>
        </is>
      </c>
      <c r="D969" t="n">
        <v>2024</v>
      </c>
      <c r="E969" t="n">
        <v>2018</v>
      </c>
      <c r="F969" t="n">
        <v>2040</v>
      </c>
      <c r="G969" t="n">
        <v>17695.9231</v>
      </c>
      <c r="H969" t="n">
        <v>3153.7341</v>
      </c>
      <c r="I969" t="inlineStr"/>
      <c r="J969" t="n">
        <v>10641.7766</v>
      </c>
      <c r="K969" t="n">
        <v>33827325.5</v>
      </c>
      <c r="L969" t="inlineStr"/>
      <c r="M969" t="n">
        <v>17695.9231</v>
      </c>
      <c r="N969" t="inlineStr">
        <is>
          <t>Supplier Reported Emissions</t>
        </is>
      </c>
      <c r="O969" t="b">
        <v>0</v>
      </c>
      <c r="P969" t="inlineStr">
        <is>
          <t>High</t>
        </is>
      </c>
      <c r="Q969" t="inlineStr">
        <is>
          <t>Revenue; Scope_Emissions</t>
        </is>
      </c>
      <c r="R969" t="inlineStr">
        <is>
          <t>Valid</t>
        </is>
      </c>
      <c r="S969" t="n">
        <v>2032</v>
      </c>
      <c r="T969" t="inlineStr">
        <is>
          <t>Supplier Target Pathway</t>
        </is>
      </c>
      <c r="U969" t="n">
        <v>27929.3897</v>
      </c>
      <c r="V969" t="n">
        <v>18377.5384</v>
      </c>
      <c r="W969" t="n">
        <v>21850.9389</v>
      </c>
      <c r="X969" t="n">
        <v>21850.9389</v>
      </c>
      <c r="Y969" t="n">
        <v>6078.4508</v>
      </c>
      <c r="Z969" t="n">
        <v>0.00064596</v>
      </c>
      <c r="AA969" t="n">
        <v>0.217636</v>
      </c>
      <c r="AB969" t="n">
        <v>3473.4005</v>
      </c>
      <c r="AC969" t="n">
        <v>434.1751</v>
      </c>
      <c r="AD969" t="n">
        <v>107076.2017</v>
      </c>
      <c r="AE969" t="n">
        <v>186964.4127</v>
      </c>
      <c r="AF969" t="n">
        <v>0.944</v>
      </c>
      <c r="AG969" t="inlineStr">
        <is>
          <t>High</t>
        </is>
      </c>
      <c r="AH969" t="inlineStr">
        <is>
          <t>On Track to Glide Path</t>
        </is>
      </c>
    </row>
    <row r="970">
      <c r="A970" t="inlineStr">
        <is>
          <t>SUP-0061</t>
        </is>
      </c>
      <c r="B970" t="inlineStr">
        <is>
          <t>Metals Supplier 061</t>
        </is>
      </c>
      <c r="C970" t="inlineStr">
        <is>
          <t>Metals</t>
        </is>
      </c>
      <c r="D970" t="n">
        <v>2024</v>
      </c>
      <c r="E970" t="n">
        <v>2018</v>
      </c>
      <c r="F970" t="n">
        <v>2040</v>
      </c>
      <c r="G970" t="n">
        <v>17695.9231</v>
      </c>
      <c r="H970" t="n">
        <v>3153.7341</v>
      </c>
      <c r="I970" t="inlineStr"/>
      <c r="J970" t="n">
        <v>10641.7766</v>
      </c>
      <c r="K970" t="n">
        <v>33827325.5</v>
      </c>
      <c r="L970" t="inlineStr"/>
      <c r="M970" t="n">
        <v>17695.9231</v>
      </c>
      <c r="N970" t="inlineStr">
        <is>
          <t>Supplier Reported Emissions</t>
        </is>
      </c>
      <c r="O970" t="b">
        <v>0</v>
      </c>
      <c r="P970" t="inlineStr">
        <is>
          <t>High</t>
        </is>
      </c>
      <c r="Q970" t="inlineStr">
        <is>
          <t>Revenue; Scope_Emissions</t>
        </is>
      </c>
      <c r="R970" t="inlineStr">
        <is>
          <t>Valid</t>
        </is>
      </c>
      <c r="S970" t="n">
        <v>2033</v>
      </c>
      <c r="T970" t="inlineStr">
        <is>
          <t>Supplier Target Pathway</t>
        </is>
      </c>
      <c r="U970" t="n">
        <v>27929.3897</v>
      </c>
      <c r="V970" t="n">
        <v>18377.5384</v>
      </c>
      <c r="W970" t="n">
        <v>21416.7638</v>
      </c>
      <c r="X970" t="n">
        <v>21416.7638</v>
      </c>
      <c r="Y970" t="n">
        <v>6512.6259</v>
      </c>
      <c r="Z970" t="n">
        <v>0.00063312</v>
      </c>
      <c r="AA970" t="n">
        <v>0.233182</v>
      </c>
      <c r="AB970" t="n">
        <v>3039.2254</v>
      </c>
      <c r="AC970" t="n">
        <v>434.1751</v>
      </c>
      <c r="AD970" t="n">
        <v>85659.4379</v>
      </c>
      <c r="AE970" t="n">
        <v>208381.1765</v>
      </c>
      <c r="AF970" t="n">
        <v>0.944</v>
      </c>
      <c r="AG970" t="inlineStr">
        <is>
          <t>High</t>
        </is>
      </c>
      <c r="AH970" t="inlineStr">
        <is>
          <t>On Track to Glide Path</t>
        </is>
      </c>
    </row>
    <row r="971">
      <c r="A971" t="inlineStr">
        <is>
          <t>SUP-0061</t>
        </is>
      </c>
      <c r="B971" t="inlineStr">
        <is>
          <t>Metals Supplier 061</t>
        </is>
      </c>
      <c r="C971" t="inlineStr">
        <is>
          <t>Metals</t>
        </is>
      </c>
      <c r="D971" t="n">
        <v>2024</v>
      </c>
      <c r="E971" t="n">
        <v>2018</v>
      </c>
      <c r="F971" t="n">
        <v>2040</v>
      </c>
      <c r="G971" t="n">
        <v>17695.9231</v>
      </c>
      <c r="H971" t="n">
        <v>3153.7341</v>
      </c>
      <c r="I971" t="inlineStr"/>
      <c r="J971" t="n">
        <v>10641.7766</v>
      </c>
      <c r="K971" t="n">
        <v>33827325.5</v>
      </c>
      <c r="L971" t="inlineStr"/>
      <c r="M971" t="n">
        <v>17695.9231</v>
      </c>
      <c r="N971" t="inlineStr">
        <is>
          <t>Supplier Reported Emissions</t>
        </is>
      </c>
      <c r="O971" t="b">
        <v>0</v>
      </c>
      <c r="P971" t="inlineStr">
        <is>
          <t>High</t>
        </is>
      </c>
      <c r="Q971" t="inlineStr">
        <is>
          <t>Revenue; Scope_Emissions</t>
        </is>
      </c>
      <c r="R971" t="inlineStr">
        <is>
          <t>Valid</t>
        </is>
      </c>
      <c r="S971" t="n">
        <v>2034</v>
      </c>
      <c r="T971" t="inlineStr">
        <is>
          <t>Supplier Target Pathway</t>
        </is>
      </c>
      <c r="U971" t="n">
        <v>27929.3897</v>
      </c>
      <c r="V971" t="n">
        <v>18377.5384</v>
      </c>
      <c r="W971" t="n">
        <v>20982.5888</v>
      </c>
      <c r="X971" t="n">
        <v>20982.5888</v>
      </c>
      <c r="Y971" t="n">
        <v>6946.8009</v>
      </c>
      <c r="Z971" t="n">
        <v>0.00062029</v>
      </c>
      <c r="AA971" t="n">
        <v>0.248727</v>
      </c>
      <c r="AB971" t="n">
        <v>2605.0503</v>
      </c>
      <c r="AC971" t="n">
        <v>434.1751</v>
      </c>
      <c r="AD971" t="n">
        <v>64676.8491</v>
      </c>
      <c r="AE971" t="n">
        <v>229363.7653</v>
      </c>
      <c r="AF971" t="n">
        <v>0.944</v>
      </c>
      <c r="AG971" t="inlineStr">
        <is>
          <t>Medium</t>
        </is>
      </c>
      <c r="AH971" t="inlineStr">
        <is>
          <t>On Track to Glide Path</t>
        </is>
      </c>
    </row>
    <row r="972">
      <c r="A972" t="inlineStr">
        <is>
          <t>SUP-0061</t>
        </is>
      </c>
      <c r="B972" t="inlineStr">
        <is>
          <t>Metals Supplier 061</t>
        </is>
      </c>
      <c r="C972" t="inlineStr">
        <is>
          <t>Metals</t>
        </is>
      </c>
      <c r="D972" t="n">
        <v>2024</v>
      </c>
      <c r="E972" t="n">
        <v>2018</v>
      </c>
      <c r="F972" t="n">
        <v>2040</v>
      </c>
      <c r="G972" t="n">
        <v>17695.9231</v>
      </c>
      <c r="H972" t="n">
        <v>3153.7341</v>
      </c>
      <c r="I972" t="inlineStr"/>
      <c r="J972" t="n">
        <v>10641.7766</v>
      </c>
      <c r="K972" t="n">
        <v>33827325.5</v>
      </c>
      <c r="L972" t="inlineStr"/>
      <c r="M972" t="n">
        <v>17695.9231</v>
      </c>
      <c r="N972" t="inlineStr">
        <is>
          <t>Supplier Reported Emissions</t>
        </is>
      </c>
      <c r="O972" t="b">
        <v>0</v>
      </c>
      <c r="P972" t="inlineStr">
        <is>
          <t>High</t>
        </is>
      </c>
      <c r="Q972" t="inlineStr">
        <is>
          <t>Revenue; Scope_Emissions</t>
        </is>
      </c>
      <c r="R972" t="inlineStr">
        <is>
          <t>Valid</t>
        </is>
      </c>
      <c r="S972" t="n">
        <v>2035</v>
      </c>
      <c r="T972" t="inlineStr">
        <is>
          <t>Supplier Target Pathway</t>
        </is>
      </c>
      <c r="U972" t="n">
        <v>27929.3897</v>
      </c>
      <c r="V972" t="n">
        <v>18377.5384</v>
      </c>
      <c r="W972" t="n">
        <v>20548.4137</v>
      </c>
      <c r="X972" t="n">
        <v>20548.4137</v>
      </c>
      <c r="Y972" t="n">
        <v>7380.976</v>
      </c>
      <c r="Z972" t="n">
        <v>0.00060745</v>
      </c>
      <c r="AA972" t="n">
        <v>0.264273</v>
      </c>
      <c r="AB972" t="n">
        <v>2170.8753</v>
      </c>
      <c r="AC972" t="n">
        <v>434.1751</v>
      </c>
      <c r="AD972" t="n">
        <v>44128.4354</v>
      </c>
      <c r="AE972" t="n">
        <v>249912.179</v>
      </c>
      <c r="AF972" t="n">
        <v>0.944</v>
      </c>
      <c r="AG972" t="inlineStr">
        <is>
          <t>Medium</t>
        </is>
      </c>
      <c r="AH972" t="inlineStr">
        <is>
          <t>On Track to Glide Path</t>
        </is>
      </c>
    </row>
    <row r="973">
      <c r="A973" t="inlineStr">
        <is>
          <t>SUP-0061</t>
        </is>
      </c>
      <c r="B973" t="inlineStr">
        <is>
          <t>Metals Supplier 061</t>
        </is>
      </c>
      <c r="C973" t="inlineStr">
        <is>
          <t>Metals</t>
        </is>
      </c>
      <c r="D973" t="n">
        <v>2024</v>
      </c>
      <c r="E973" t="n">
        <v>2018</v>
      </c>
      <c r="F973" t="n">
        <v>2040</v>
      </c>
      <c r="G973" t="n">
        <v>17695.9231</v>
      </c>
      <c r="H973" t="n">
        <v>3153.7341</v>
      </c>
      <c r="I973" t="inlineStr"/>
      <c r="J973" t="n">
        <v>10641.7766</v>
      </c>
      <c r="K973" t="n">
        <v>33827325.5</v>
      </c>
      <c r="L973" t="inlineStr"/>
      <c r="M973" t="n">
        <v>17695.9231</v>
      </c>
      <c r="N973" t="inlineStr">
        <is>
          <t>Supplier Reported Emissions</t>
        </is>
      </c>
      <c r="O973" t="b">
        <v>0</v>
      </c>
      <c r="P973" t="inlineStr">
        <is>
          <t>High</t>
        </is>
      </c>
      <c r="Q973" t="inlineStr">
        <is>
          <t>Revenue; Scope_Emissions</t>
        </is>
      </c>
      <c r="R973" t="inlineStr">
        <is>
          <t>Valid</t>
        </is>
      </c>
      <c r="S973" t="n">
        <v>2036</v>
      </c>
      <c r="T973" t="inlineStr">
        <is>
          <t>Supplier Target Pathway</t>
        </is>
      </c>
      <c r="U973" t="n">
        <v>27929.3897</v>
      </c>
      <c r="V973" t="n">
        <v>18377.5384</v>
      </c>
      <c r="W973" t="n">
        <v>20114.2387</v>
      </c>
      <c r="X973" t="n">
        <v>20114.2387</v>
      </c>
      <c r="Y973" t="n">
        <v>7815.151</v>
      </c>
      <c r="Z973" t="n">
        <v>0.00059462</v>
      </c>
      <c r="AA973" t="n">
        <v>0.279818</v>
      </c>
      <c r="AB973" t="n">
        <v>1736.7002</v>
      </c>
      <c r="AC973" t="n">
        <v>434.1751</v>
      </c>
      <c r="AD973" t="n">
        <v>24014.1967</v>
      </c>
      <c r="AE973" t="n">
        <v>270026.4177</v>
      </c>
      <c r="AF973" t="n">
        <v>0.944</v>
      </c>
      <c r="AG973" t="inlineStr">
        <is>
          <t>Medium</t>
        </is>
      </c>
      <c r="AH973" t="inlineStr">
        <is>
          <t>On Track to Glide Path</t>
        </is>
      </c>
    </row>
    <row r="974">
      <c r="A974" t="inlineStr">
        <is>
          <t>SUP-0061</t>
        </is>
      </c>
      <c r="B974" t="inlineStr">
        <is>
          <t>Metals Supplier 061</t>
        </is>
      </c>
      <c r="C974" t="inlineStr">
        <is>
          <t>Metals</t>
        </is>
      </c>
      <c r="D974" t="n">
        <v>2024</v>
      </c>
      <c r="E974" t="n">
        <v>2018</v>
      </c>
      <c r="F974" t="n">
        <v>2040</v>
      </c>
      <c r="G974" t="n">
        <v>17695.9231</v>
      </c>
      <c r="H974" t="n">
        <v>3153.7341</v>
      </c>
      <c r="I974" t="inlineStr"/>
      <c r="J974" t="n">
        <v>10641.7766</v>
      </c>
      <c r="K974" t="n">
        <v>33827325.5</v>
      </c>
      <c r="L974" t="inlineStr"/>
      <c r="M974" t="n">
        <v>17695.9231</v>
      </c>
      <c r="N974" t="inlineStr">
        <is>
          <t>Supplier Reported Emissions</t>
        </is>
      </c>
      <c r="O974" t="b">
        <v>0</v>
      </c>
      <c r="P974" t="inlineStr">
        <is>
          <t>High</t>
        </is>
      </c>
      <c r="Q974" t="inlineStr">
        <is>
          <t>Revenue; Scope_Emissions</t>
        </is>
      </c>
      <c r="R974" t="inlineStr">
        <is>
          <t>Valid</t>
        </is>
      </c>
      <c r="S974" t="n">
        <v>2037</v>
      </c>
      <c r="T974" t="inlineStr">
        <is>
          <t>Supplier Target Pathway</t>
        </is>
      </c>
      <c r="U974" t="n">
        <v>27929.3897</v>
      </c>
      <c r="V974" t="n">
        <v>18377.5384</v>
      </c>
      <c r="W974" t="n">
        <v>19680.0636</v>
      </c>
      <c r="X974" t="n">
        <v>19680.0636</v>
      </c>
      <c r="Y974" t="n">
        <v>8249.3261</v>
      </c>
      <c r="Z974" t="n">
        <v>0.0005817799999999999</v>
      </c>
      <c r="AA974" t="n">
        <v>0.295364</v>
      </c>
      <c r="AB974" t="n">
        <v>1302.5252</v>
      </c>
      <c r="AC974" t="n">
        <v>434.1751</v>
      </c>
      <c r="AD974" t="n">
        <v>4334.1331</v>
      </c>
      <c r="AE974" t="n">
        <v>289706.4813</v>
      </c>
      <c r="AF974" t="n">
        <v>0.944</v>
      </c>
      <c r="AG974" t="inlineStr">
        <is>
          <t>Medium</t>
        </is>
      </c>
      <c r="AH974" t="inlineStr">
        <is>
          <t>On Track to Glide Path</t>
        </is>
      </c>
    </row>
    <row r="975">
      <c r="A975" t="inlineStr">
        <is>
          <t>SUP-0061</t>
        </is>
      </c>
      <c r="B975" t="inlineStr">
        <is>
          <t>Metals Supplier 061</t>
        </is>
      </c>
      <c r="C975" t="inlineStr">
        <is>
          <t>Metals</t>
        </is>
      </c>
      <c r="D975" t="n">
        <v>2024</v>
      </c>
      <c r="E975" t="n">
        <v>2018</v>
      </c>
      <c r="F975" t="n">
        <v>2040</v>
      </c>
      <c r="G975" t="n">
        <v>17695.9231</v>
      </c>
      <c r="H975" t="n">
        <v>3153.7341</v>
      </c>
      <c r="I975" t="inlineStr"/>
      <c r="J975" t="n">
        <v>10641.7766</v>
      </c>
      <c r="K975" t="n">
        <v>33827325.5</v>
      </c>
      <c r="L975" t="inlineStr"/>
      <c r="M975" t="n">
        <v>17695.9231</v>
      </c>
      <c r="N975" t="inlineStr">
        <is>
          <t>Supplier Reported Emissions</t>
        </is>
      </c>
      <c r="O975" t="b">
        <v>0</v>
      </c>
      <c r="P975" t="inlineStr">
        <is>
          <t>High</t>
        </is>
      </c>
      <c r="Q975" t="inlineStr">
        <is>
          <t>Revenue; Scope_Emissions</t>
        </is>
      </c>
      <c r="R975" t="inlineStr">
        <is>
          <t>Valid</t>
        </is>
      </c>
      <c r="S975" t="n">
        <v>2038</v>
      </c>
      <c r="T975" t="inlineStr">
        <is>
          <t>Supplier Target Pathway</t>
        </is>
      </c>
      <c r="U975" t="n">
        <v>27929.3897</v>
      </c>
      <c r="V975" t="n">
        <v>18377.5384</v>
      </c>
      <c r="W975" t="n">
        <v>19245.8885</v>
      </c>
      <c r="X975" t="n">
        <v>19245.8885</v>
      </c>
      <c r="Y975" t="n">
        <v>8683.501200000001</v>
      </c>
      <c r="Z975" t="n">
        <v>0.00056895</v>
      </c>
      <c r="AA975" t="n">
        <v>0.310909</v>
      </c>
      <c r="AB975" t="n">
        <v>868.3501</v>
      </c>
      <c r="AC975" t="n">
        <v>434.1751</v>
      </c>
      <c r="AD975" t="n">
        <v>-14911.7554</v>
      </c>
      <c r="AE975" t="n">
        <v>308952.3698</v>
      </c>
      <c r="AF975" t="n">
        <v>0.944</v>
      </c>
      <c r="AG975" t="inlineStr">
        <is>
          <t>Medium</t>
        </is>
      </c>
      <c r="AH975" t="inlineStr">
        <is>
          <t>On Track to Glide Path</t>
        </is>
      </c>
    </row>
    <row r="976">
      <c r="A976" t="inlineStr">
        <is>
          <t>SUP-0061</t>
        </is>
      </c>
      <c r="B976" t="inlineStr">
        <is>
          <t>Metals Supplier 061</t>
        </is>
      </c>
      <c r="C976" t="inlineStr">
        <is>
          <t>Metals</t>
        </is>
      </c>
      <c r="D976" t="n">
        <v>2024</v>
      </c>
      <c r="E976" t="n">
        <v>2018</v>
      </c>
      <c r="F976" t="n">
        <v>2040</v>
      </c>
      <c r="G976" t="n">
        <v>17695.9231</v>
      </c>
      <c r="H976" t="n">
        <v>3153.7341</v>
      </c>
      <c r="I976" t="inlineStr"/>
      <c r="J976" t="n">
        <v>10641.7766</v>
      </c>
      <c r="K976" t="n">
        <v>33827325.5</v>
      </c>
      <c r="L976" t="inlineStr"/>
      <c r="M976" t="n">
        <v>17695.9231</v>
      </c>
      <c r="N976" t="inlineStr">
        <is>
          <t>Supplier Reported Emissions</t>
        </is>
      </c>
      <c r="O976" t="b">
        <v>0</v>
      </c>
      <c r="P976" t="inlineStr">
        <is>
          <t>High</t>
        </is>
      </c>
      <c r="Q976" t="inlineStr">
        <is>
          <t>Revenue; Scope_Emissions</t>
        </is>
      </c>
      <c r="R976" t="inlineStr">
        <is>
          <t>Valid</t>
        </is>
      </c>
      <c r="S976" t="n">
        <v>2039</v>
      </c>
      <c r="T976" t="inlineStr">
        <is>
          <t>Supplier Target Pathway</t>
        </is>
      </c>
      <c r="U976" t="n">
        <v>27929.3897</v>
      </c>
      <c r="V976" t="n">
        <v>18377.5384</v>
      </c>
      <c r="W976" t="n">
        <v>18811.7135</v>
      </c>
      <c r="X976" t="n">
        <v>18811.7135</v>
      </c>
      <c r="Y976" t="n">
        <v>9117.6762</v>
      </c>
      <c r="Z976" t="n">
        <v>0.00055611</v>
      </c>
      <c r="AA976" t="n">
        <v>0.326455</v>
      </c>
      <c r="AB976" t="n">
        <v>434.1751</v>
      </c>
      <c r="AC976" t="n">
        <v>434.1751</v>
      </c>
      <c r="AD976" t="n">
        <v>-33723.4689</v>
      </c>
      <c r="AE976" t="n">
        <v>327764.0833</v>
      </c>
      <c r="AF976" t="n">
        <v>0.944</v>
      </c>
      <c r="AG976" t="inlineStr">
        <is>
          <t>Medium</t>
        </is>
      </c>
      <c r="AH976" t="inlineStr">
        <is>
          <t>On Track to Glide Path</t>
        </is>
      </c>
    </row>
    <row r="977">
      <c r="A977" t="inlineStr">
        <is>
          <t>SUP-0061</t>
        </is>
      </c>
      <c r="B977" t="inlineStr">
        <is>
          <t>Metals Supplier 061</t>
        </is>
      </c>
      <c r="C977" t="inlineStr">
        <is>
          <t>Metals</t>
        </is>
      </c>
      <c r="D977" t="n">
        <v>2024</v>
      </c>
      <c r="E977" t="n">
        <v>2018</v>
      </c>
      <c r="F977" t="n">
        <v>2040</v>
      </c>
      <c r="G977" t="n">
        <v>17695.9231</v>
      </c>
      <c r="H977" t="n">
        <v>3153.7341</v>
      </c>
      <c r="I977" t="inlineStr"/>
      <c r="J977" t="n">
        <v>10641.7766</v>
      </c>
      <c r="K977" t="n">
        <v>33827325.5</v>
      </c>
      <c r="L977" t="inlineStr"/>
      <c r="M977" t="n">
        <v>17695.9231</v>
      </c>
      <c r="N977" t="inlineStr">
        <is>
          <t>Supplier Reported Emissions</t>
        </is>
      </c>
      <c r="O977" t="b">
        <v>0</v>
      </c>
      <c r="P977" t="inlineStr">
        <is>
          <t>High</t>
        </is>
      </c>
      <c r="Q977" t="inlineStr">
        <is>
          <t>Revenue; Scope_Emissions</t>
        </is>
      </c>
      <c r="R977" t="inlineStr">
        <is>
          <t>Valid</t>
        </is>
      </c>
      <c r="S977" t="n">
        <v>2040</v>
      </c>
      <c r="T977" t="inlineStr">
        <is>
          <t>Supplier Target Pathway</t>
        </is>
      </c>
      <c r="U977" t="n">
        <v>27929.3897</v>
      </c>
      <c r="V977" t="n">
        <v>18377.5384</v>
      </c>
      <c r="W977" t="n">
        <v>18377.5384</v>
      </c>
      <c r="X977" t="n">
        <v>18377.5384</v>
      </c>
      <c r="Y977" t="n">
        <v>9551.8513</v>
      </c>
      <c r="Z977" t="n">
        <v>0.00054327</v>
      </c>
      <c r="AA977" t="n">
        <v>0.342</v>
      </c>
      <c r="AB977" t="n">
        <v>0</v>
      </c>
      <c r="AC977" t="n">
        <v>434.1751</v>
      </c>
      <c r="AD977" t="n">
        <v>-52101.0073</v>
      </c>
      <c r="AE977" t="n">
        <v>346141.6217</v>
      </c>
      <c r="AF977" t="n">
        <v>0.944</v>
      </c>
      <c r="AG977" t="inlineStr">
        <is>
          <t>Low</t>
        </is>
      </c>
      <c r="AH977" t="inlineStr">
        <is>
          <t>On Track</t>
        </is>
      </c>
    </row>
    <row r="978">
      <c r="A978" t="inlineStr">
        <is>
          <t>SUP-0062</t>
        </is>
      </c>
      <c r="B978" t="inlineStr">
        <is>
          <t>Textiles Supplier 062</t>
        </is>
      </c>
      <c r="C978" t="inlineStr">
        <is>
          <t>Textiles</t>
        </is>
      </c>
      <c r="D978" t="n">
        <v>2024</v>
      </c>
      <c r="E978" t="n">
        <v>2018</v>
      </c>
      <c r="F978" t="n">
        <v>2030</v>
      </c>
      <c r="G978" t="inlineStr"/>
      <c r="H978" t="n">
        <v>812.8335</v>
      </c>
      <c r="I978" t="n">
        <v>264.4192</v>
      </c>
      <c r="J978" t="n">
        <v>1830.3096</v>
      </c>
      <c r="K978" t="n">
        <v>13738661.39</v>
      </c>
      <c r="L978" t="n">
        <v>94674571.62</v>
      </c>
      <c r="M978" t="n">
        <v>2907.5623</v>
      </c>
      <c r="N978" t="inlineStr">
        <is>
          <t>Scope 1 + Scope 2 + Scope 3</t>
        </is>
      </c>
      <c r="O978" t="b">
        <v>1</v>
      </c>
      <c r="P978" t="inlineStr">
        <is>
          <t>High</t>
        </is>
      </c>
      <c r="Q978" t="inlineStr">
        <is>
          <t>Reported_Emissions</t>
        </is>
      </c>
      <c r="R978" t="inlineStr">
        <is>
          <t>Valid</t>
        </is>
      </c>
      <c r="S978" t="n">
        <v>2025</v>
      </c>
      <c r="T978" t="inlineStr">
        <is>
          <t>Supplier Target Pathway</t>
        </is>
      </c>
      <c r="U978" t="n">
        <v>3984.6414</v>
      </c>
      <c r="V978" t="n">
        <v>1880.3523</v>
      </c>
      <c r="W978" t="n">
        <v>2757.1394</v>
      </c>
      <c r="X978" t="n">
        <v>2757.1394</v>
      </c>
      <c r="Y978" t="n">
        <v>1227.502</v>
      </c>
      <c r="Z978" t="n">
        <v>0.00020068</v>
      </c>
      <c r="AA978" t="n">
        <v>0.308058</v>
      </c>
      <c r="AB978" t="n">
        <v>876.7871</v>
      </c>
      <c r="AC978" t="n">
        <v>175.3574</v>
      </c>
      <c r="AD978" t="n">
        <v>8524.974399999999</v>
      </c>
      <c r="AE978" t="n">
        <v>2757.1394</v>
      </c>
      <c r="AF978" t="n">
        <v>0.99</v>
      </c>
      <c r="AG978" t="inlineStr">
        <is>
          <t>Critical</t>
        </is>
      </c>
      <c r="AH978" t="inlineStr">
        <is>
          <t>On Track to Glide Path</t>
        </is>
      </c>
    </row>
    <row r="979">
      <c r="A979" t="inlineStr">
        <is>
          <t>SUP-0062</t>
        </is>
      </c>
      <c r="B979" t="inlineStr">
        <is>
          <t>Textiles Supplier 062</t>
        </is>
      </c>
      <c r="C979" t="inlineStr">
        <is>
          <t>Textiles</t>
        </is>
      </c>
      <c r="D979" t="n">
        <v>2024</v>
      </c>
      <c r="E979" t="n">
        <v>2018</v>
      </c>
      <c r="F979" t="n">
        <v>2030</v>
      </c>
      <c r="G979" t="inlineStr"/>
      <c r="H979" t="n">
        <v>812.8335</v>
      </c>
      <c r="I979" t="n">
        <v>264.4192</v>
      </c>
      <c r="J979" t="n">
        <v>1830.3096</v>
      </c>
      <c r="K979" t="n">
        <v>13738661.39</v>
      </c>
      <c r="L979" t="n">
        <v>94674571.62</v>
      </c>
      <c r="M979" t="n">
        <v>2907.5623</v>
      </c>
      <c r="N979" t="inlineStr">
        <is>
          <t>Scope 1 + Scope 2 + Scope 3</t>
        </is>
      </c>
      <c r="O979" t="b">
        <v>1</v>
      </c>
      <c r="P979" t="inlineStr">
        <is>
          <t>High</t>
        </is>
      </c>
      <c r="Q979" t="inlineStr">
        <is>
          <t>Reported_Emissions</t>
        </is>
      </c>
      <c r="R979" t="inlineStr">
        <is>
          <t>Valid</t>
        </is>
      </c>
      <c r="S979" t="n">
        <v>2026</v>
      </c>
      <c r="T979" t="inlineStr">
        <is>
          <t>Supplier Target Pathway</t>
        </is>
      </c>
      <c r="U979" t="n">
        <v>3984.6414</v>
      </c>
      <c r="V979" t="n">
        <v>1880.3523</v>
      </c>
      <c r="W979" t="n">
        <v>2581.782</v>
      </c>
      <c r="X979" t="n">
        <v>2581.782</v>
      </c>
      <c r="Y979" t="n">
        <v>1402.8594</v>
      </c>
      <c r="Z979" t="n">
        <v>0.00018792</v>
      </c>
      <c r="AA979" t="n">
        <v>0.352067</v>
      </c>
      <c r="AB979" t="n">
        <v>701.4297</v>
      </c>
      <c r="AC979" t="n">
        <v>175.3574</v>
      </c>
      <c r="AD979" t="n">
        <v>5943.1924</v>
      </c>
      <c r="AE979" t="n">
        <v>5338.9214</v>
      </c>
      <c r="AF979" t="n">
        <v>0.99</v>
      </c>
      <c r="AG979" t="inlineStr">
        <is>
          <t>Critical</t>
        </is>
      </c>
      <c r="AH979" t="inlineStr">
        <is>
          <t>On Track to Glide Path</t>
        </is>
      </c>
    </row>
    <row r="980">
      <c r="A980" t="inlineStr">
        <is>
          <t>SUP-0062</t>
        </is>
      </c>
      <c r="B980" t="inlineStr">
        <is>
          <t>Textiles Supplier 062</t>
        </is>
      </c>
      <c r="C980" t="inlineStr">
        <is>
          <t>Textiles</t>
        </is>
      </c>
      <c r="D980" t="n">
        <v>2024</v>
      </c>
      <c r="E980" t="n">
        <v>2018</v>
      </c>
      <c r="F980" t="n">
        <v>2030</v>
      </c>
      <c r="G980" t="inlineStr"/>
      <c r="H980" t="n">
        <v>812.8335</v>
      </c>
      <c r="I980" t="n">
        <v>264.4192</v>
      </c>
      <c r="J980" t="n">
        <v>1830.3096</v>
      </c>
      <c r="K980" t="n">
        <v>13738661.39</v>
      </c>
      <c r="L980" t="n">
        <v>94674571.62</v>
      </c>
      <c r="M980" t="n">
        <v>2907.5623</v>
      </c>
      <c r="N980" t="inlineStr">
        <is>
          <t>Scope 1 + Scope 2 + Scope 3</t>
        </is>
      </c>
      <c r="O980" t="b">
        <v>1</v>
      </c>
      <c r="P980" t="inlineStr">
        <is>
          <t>High</t>
        </is>
      </c>
      <c r="Q980" t="inlineStr">
        <is>
          <t>Reported_Emissions</t>
        </is>
      </c>
      <c r="R980" t="inlineStr">
        <is>
          <t>Valid</t>
        </is>
      </c>
      <c r="S980" t="n">
        <v>2027</v>
      </c>
      <c r="T980" t="inlineStr">
        <is>
          <t>Supplier Target Pathway</t>
        </is>
      </c>
      <c r="U980" t="n">
        <v>3984.6414</v>
      </c>
      <c r="V980" t="n">
        <v>1880.3523</v>
      </c>
      <c r="W980" t="n">
        <v>2406.4246</v>
      </c>
      <c r="X980" t="n">
        <v>2406.4246</v>
      </c>
      <c r="Y980" t="n">
        <v>1578.2168</v>
      </c>
      <c r="Z980" t="n">
        <v>0.00017516</v>
      </c>
      <c r="AA980" t="n">
        <v>0.396075</v>
      </c>
      <c r="AB980" t="n">
        <v>526.0723</v>
      </c>
      <c r="AC980" t="n">
        <v>175.3574</v>
      </c>
      <c r="AD980" t="n">
        <v>3536.7678</v>
      </c>
      <c r="AE980" t="n">
        <v>7745.346</v>
      </c>
      <c r="AF980" t="n">
        <v>0.99</v>
      </c>
      <c r="AG980" t="inlineStr">
        <is>
          <t>High</t>
        </is>
      </c>
      <c r="AH980" t="inlineStr">
        <is>
          <t>On Track to Glide Path</t>
        </is>
      </c>
    </row>
    <row r="981">
      <c r="A981" t="inlineStr">
        <is>
          <t>SUP-0062</t>
        </is>
      </c>
      <c r="B981" t="inlineStr">
        <is>
          <t>Textiles Supplier 062</t>
        </is>
      </c>
      <c r="C981" t="inlineStr">
        <is>
          <t>Textiles</t>
        </is>
      </c>
      <c r="D981" t="n">
        <v>2024</v>
      </c>
      <c r="E981" t="n">
        <v>2018</v>
      </c>
      <c r="F981" t="n">
        <v>2030</v>
      </c>
      <c r="G981" t="inlineStr"/>
      <c r="H981" t="n">
        <v>812.8335</v>
      </c>
      <c r="I981" t="n">
        <v>264.4192</v>
      </c>
      <c r="J981" t="n">
        <v>1830.3096</v>
      </c>
      <c r="K981" t="n">
        <v>13738661.39</v>
      </c>
      <c r="L981" t="n">
        <v>94674571.62</v>
      </c>
      <c r="M981" t="n">
        <v>2907.5623</v>
      </c>
      <c r="N981" t="inlineStr">
        <is>
          <t>Scope 1 + Scope 2 + Scope 3</t>
        </is>
      </c>
      <c r="O981" t="b">
        <v>1</v>
      </c>
      <c r="P981" t="inlineStr">
        <is>
          <t>High</t>
        </is>
      </c>
      <c r="Q981" t="inlineStr">
        <is>
          <t>Reported_Emissions</t>
        </is>
      </c>
      <c r="R981" t="inlineStr">
        <is>
          <t>Valid</t>
        </is>
      </c>
      <c r="S981" t="n">
        <v>2028</v>
      </c>
      <c r="T981" t="inlineStr">
        <is>
          <t>Supplier Target Pathway</t>
        </is>
      </c>
      <c r="U981" t="n">
        <v>3984.6414</v>
      </c>
      <c r="V981" t="n">
        <v>1880.3523</v>
      </c>
      <c r="W981" t="n">
        <v>2231.0671</v>
      </c>
      <c r="X981" t="n">
        <v>2231.0671</v>
      </c>
      <c r="Y981" t="n">
        <v>1753.5743</v>
      </c>
      <c r="Z981" t="n">
        <v>0.00016239</v>
      </c>
      <c r="AA981" t="n">
        <v>0.440083</v>
      </c>
      <c r="AB981" t="n">
        <v>350.7149</v>
      </c>
      <c r="AC981" t="n">
        <v>175.3574</v>
      </c>
      <c r="AD981" t="n">
        <v>1305.7007</v>
      </c>
      <c r="AE981" t="n">
        <v>9976.4131</v>
      </c>
      <c r="AF981" t="n">
        <v>0.99</v>
      </c>
      <c r="AG981" t="inlineStr">
        <is>
          <t>High</t>
        </is>
      </c>
      <c r="AH981" t="inlineStr">
        <is>
          <t>On Track to Glide Path</t>
        </is>
      </c>
    </row>
    <row r="982">
      <c r="A982" t="inlineStr">
        <is>
          <t>SUP-0062</t>
        </is>
      </c>
      <c r="B982" t="inlineStr">
        <is>
          <t>Textiles Supplier 062</t>
        </is>
      </c>
      <c r="C982" t="inlineStr">
        <is>
          <t>Textiles</t>
        </is>
      </c>
      <c r="D982" t="n">
        <v>2024</v>
      </c>
      <c r="E982" t="n">
        <v>2018</v>
      </c>
      <c r="F982" t="n">
        <v>2030</v>
      </c>
      <c r="G982" t="inlineStr"/>
      <c r="H982" t="n">
        <v>812.8335</v>
      </c>
      <c r="I982" t="n">
        <v>264.4192</v>
      </c>
      <c r="J982" t="n">
        <v>1830.3096</v>
      </c>
      <c r="K982" t="n">
        <v>13738661.39</v>
      </c>
      <c r="L982" t="n">
        <v>94674571.62</v>
      </c>
      <c r="M982" t="n">
        <v>2907.5623</v>
      </c>
      <c r="N982" t="inlineStr">
        <is>
          <t>Scope 1 + Scope 2 + Scope 3</t>
        </is>
      </c>
      <c r="O982" t="b">
        <v>1</v>
      </c>
      <c r="P982" t="inlineStr">
        <is>
          <t>High</t>
        </is>
      </c>
      <c r="Q982" t="inlineStr">
        <is>
          <t>Reported_Emissions</t>
        </is>
      </c>
      <c r="R982" t="inlineStr">
        <is>
          <t>Valid</t>
        </is>
      </c>
      <c r="S982" t="n">
        <v>2029</v>
      </c>
      <c r="T982" t="inlineStr">
        <is>
          <t>Supplier Target Pathway</t>
        </is>
      </c>
      <c r="U982" t="n">
        <v>3984.6414</v>
      </c>
      <c r="V982" t="n">
        <v>1880.3523</v>
      </c>
      <c r="W982" t="n">
        <v>2055.7097</v>
      </c>
      <c r="X982" t="n">
        <v>2055.7097</v>
      </c>
      <c r="Y982" t="n">
        <v>1928.9317</v>
      </c>
      <c r="Z982" t="n">
        <v>0.00014963</v>
      </c>
      <c r="AA982" t="n">
        <v>0.484092</v>
      </c>
      <c r="AB982" t="n">
        <v>175.3574</v>
      </c>
      <c r="AC982" t="n">
        <v>175.3574</v>
      </c>
      <c r="AD982" t="n">
        <v>-750.009</v>
      </c>
      <c r="AE982" t="n">
        <v>12032.1228</v>
      </c>
      <c r="AF982" t="n">
        <v>0.99</v>
      </c>
      <c r="AG982" t="inlineStr">
        <is>
          <t>Medium</t>
        </is>
      </c>
      <c r="AH982" t="inlineStr">
        <is>
          <t>On Track to Glide Path</t>
        </is>
      </c>
    </row>
    <row r="983">
      <c r="A983" t="inlineStr">
        <is>
          <t>SUP-0062</t>
        </is>
      </c>
      <c r="B983" t="inlineStr">
        <is>
          <t>Textiles Supplier 062</t>
        </is>
      </c>
      <c r="C983" t="inlineStr">
        <is>
          <t>Textiles</t>
        </is>
      </c>
      <c r="D983" t="n">
        <v>2024</v>
      </c>
      <c r="E983" t="n">
        <v>2018</v>
      </c>
      <c r="F983" t="n">
        <v>2030</v>
      </c>
      <c r="G983" t="inlineStr"/>
      <c r="H983" t="n">
        <v>812.8335</v>
      </c>
      <c r="I983" t="n">
        <v>264.4192</v>
      </c>
      <c r="J983" t="n">
        <v>1830.3096</v>
      </c>
      <c r="K983" t="n">
        <v>13738661.39</v>
      </c>
      <c r="L983" t="n">
        <v>94674571.62</v>
      </c>
      <c r="M983" t="n">
        <v>2907.5623</v>
      </c>
      <c r="N983" t="inlineStr">
        <is>
          <t>Scope 1 + Scope 2 + Scope 3</t>
        </is>
      </c>
      <c r="O983" t="b">
        <v>1</v>
      </c>
      <c r="P983" t="inlineStr">
        <is>
          <t>High</t>
        </is>
      </c>
      <c r="Q983" t="inlineStr">
        <is>
          <t>Reported_Emissions</t>
        </is>
      </c>
      <c r="R983" t="inlineStr">
        <is>
          <t>Valid</t>
        </is>
      </c>
      <c r="S983" t="n">
        <v>2030</v>
      </c>
      <c r="T983" t="inlineStr">
        <is>
          <t>Supplier Target Pathway</t>
        </is>
      </c>
      <c r="U983" t="n">
        <v>3984.6414</v>
      </c>
      <c r="V983" t="n">
        <v>1880.3523</v>
      </c>
      <c r="W983" t="n">
        <v>1880.3523</v>
      </c>
      <c r="X983" t="n">
        <v>1880.3523</v>
      </c>
      <c r="Y983" t="n">
        <v>2104.2891</v>
      </c>
      <c r="Z983" t="n">
        <v>0.00013687</v>
      </c>
      <c r="AA983" t="n">
        <v>0.5281</v>
      </c>
      <c r="AB983" t="n">
        <v>0</v>
      </c>
      <c r="AC983" t="n">
        <v>175.3574</v>
      </c>
      <c r="AD983" t="n">
        <v>-2630.3613</v>
      </c>
      <c r="AE983" t="n">
        <v>13912.4751</v>
      </c>
      <c r="AF983" t="n">
        <v>0.99</v>
      </c>
      <c r="AG983" t="inlineStr">
        <is>
          <t>Low</t>
        </is>
      </c>
      <c r="AH983" t="inlineStr">
        <is>
          <t>On Track</t>
        </is>
      </c>
    </row>
    <row r="984">
      <c r="A984" t="inlineStr">
        <is>
          <t>SUP-0062</t>
        </is>
      </c>
      <c r="B984" t="inlineStr">
        <is>
          <t>Textiles Supplier 062</t>
        </is>
      </c>
      <c r="C984" t="inlineStr">
        <is>
          <t>Textiles</t>
        </is>
      </c>
      <c r="D984" t="n">
        <v>2024</v>
      </c>
      <c r="E984" t="n">
        <v>2018</v>
      </c>
      <c r="F984" t="n">
        <v>2030</v>
      </c>
      <c r="G984" t="inlineStr"/>
      <c r="H984" t="n">
        <v>812.8335</v>
      </c>
      <c r="I984" t="n">
        <v>264.4192</v>
      </c>
      <c r="J984" t="n">
        <v>1830.3096</v>
      </c>
      <c r="K984" t="n">
        <v>13738661.39</v>
      </c>
      <c r="L984" t="n">
        <v>94674571.62</v>
      </c>
      <c r="M984" t="n">
        <v>2907.5623</v>
      </c>
      <c r="N984" t="inlineStr">
        <is>
          <t>Scope 1 + Scope 2 + Scope 3</t>
        </is>
      </c>
      <c r="O984" t="b">
        <v>1</v>
      </c>
      <c r="P984" t="inlineStr">
        <is>
          <t>High</t>
        </is>
      </c>
      <c r="Q984" t="inlineStr">
        <is>
          <t>Reported_Emissions</t>
        </is>
      </c>
      <c r="R984" t="inlineStr">
        <is>
          <t>Valid</t>
        </is>
      </c>
      <c r="S984" t="n">
        <v>2031</v>
      </c>
      <c r="T984" t="inlineStr">
        <is>
          <t>Supplier Target Pathway</t>
        </is>
      </c>
      <c r="U984" t="n">
        <v>3984.6414</v>
      </c>
      <c r="V984" t="n">
        <v>1880.3523</v>
      </c>
      <c r="W984" t="n">
        <v>1880.3523</v>
      </c>
      <c r="X984" t="n">
        <v>1880.3523</v>
      </c>
      <c r="Y984" t="n">
        <v>2104.2891</v>
      </c>
      <c r="Z984" t="n">
        <v>0.00013687</v>
      </c>
      <c r="AA984" t="n">
        <v>0.5281</v>
      </c>
      <c r="AB984" t="n">
        <v>0</v>
      </c>
      <c r="AC984" t="n">
        <v>175.3574</v>
      </c>
      <c r="AD984" t="n">
        <v>-4510.7136</v>
      </c>
      <c r="AE984" t="n">
        <v>15792.8274</v>
      </c>
      <c r="AF984" t="n">
        <v>0.99</v>
      </c>
      <c r="AG984" t="inlineStr">
        <is>
          <t>Low</t>
        </is>
      </c>
      <c r="AH984" t="inlineStr">
        <is>
          <t>On Track</t>
        </is>
      </c>
    </row>
    <row r="985">
      <c r="A985" t="inlineStr">
        <is>
          <t>SUP-0062</t>
        </is>
      </c>
      <c r="B985" t="inlineStr">
        <is>
          <t>Textiles Supplier 062</t>
        </is>
      </c>
      <c r="C985" t="inlineStr">
        <is>
          <t>Textiles</t>
        </is>
      </c>
      <c r="D985" t="n">
        <v>2024</v>
      </c>
      <c r="E985" t="n">
        <v>2018</v>
      </c>
      <c r="F985" t="n">
        <v>2030</v>
      </c>
      <c r="G985" t="inlineStr"/>
      <c r="H985" t="n">
        <v>812.8335</v>
      </c>
      <c r="I985" t="n">
        <v>264.4192</v>
      </c>
      <c r="J985" t="n">
        <v>1830.3096</v>
      </c>
      <c r="K985" t="n">
        <v>13738661.39</v>
      </c>
      <c r="L985" t="n">
        <v>94674571.62</v>
      </c>
      <c r="M985" t="n">
        <v>2907.5623</v>
      </c>
      <c r="N985" t="inlineStr">
        <is>
          <t>Scope 1 + Scope 2 + Scope 3</t>
        </is>
      </c>
      <c r="O985" t="b">
        <v>1</v>
      </c>
      <c r="P985" t="inlineStr">
        <is>
          <t>High</t>
        </is>
      </c>
      <c r="Q985" t="inlineStr">
        <is>
          <t>Reported_Emissions</t>
        </is>
      </c>
      <c r="R985" t="inlineStr">
        <is>
          <t>Valid</t>
        </is>
      </c>
      <c r="S985" t="n">
        <v>2032</v>
      </c>
      <c r="T985" t="inlineStr">
        <is>
          <t>Supplier Target Pathway</t>
        </is>
      </c>
      <c r="U985" t="n">
        <v>3984.6414</v>
      </c>
      <c r="V985" t="n">
        <v>1880.3523</v>
      </c>
      <c r="W985" t="n">
        <v>1880.3523</v>
      </c>
      <c r="X985" t="n">
        <v>1880.3523</v>
      </c>
      <c r="Y985" t="n">
        <v>2104.2891</v>
      </c>
      <c r="Z985" t="n">
        <v>0.00013687</v>
      </c>
      <c r="AA985" t="n">
        <v>0.5281</v>
      </c>
      <c r="AB985" t="n">
        <v>0</v>
      </c>
      <c r="AC985" t="n">
        <v>175.3574</v>
      </c>
      <c r="AD985" t="n">
        <v>-6391.0659</v>
      </c>
      <c r="AE985" t="n">
        <v>17673.1797</v>
      </c>
      <c r="AF985" t="n">
        <v>0.99</v>
      </c>
      <c r="AG985" t="inlineStr">
        <is>
          <t>Low</t>
        </is>
      </c>
      <c r="AH985" t="inlineStr">
        <is>
          <t>On Track</t>
        </is>
      </c>
    </row>
    <row r="986">
      <c r="A986" t="inlineStr">
        <is>
          <t>SUP-0062</t>
        </is>
      </c>
      <c r="B986" t="inlineStr">
        <is>
          <t>Textiles Supplier 062</t>
        </is>
      </c>
      <c r="C986" t="inlineStr">
        <is>
          <t>Textiles</t>
        </is>
      </c>
      <c r="D986" t="n">
        <v>2024</v>
      </c>
      <c r="E986" t="n">
        <v>2018</v>
      </c>
      <c r="F986" t="n">
        <v>2030</v>
      </c>
      <c r="G986" t="inlineStr"/>
      <c r="H986" t="n">
        <v>812.8335</v>
      </c>
      <c r="I986" t="n">
        <v>264.4192</v>
      </c>
      <c r="J986" t="n">
        <v>1830.3096</v>
      </c>
      <c r="K986" t="n">
        <v>13738661.39</v>
      </c>
      <c r="L986" t="n">
        <v>94674571.62</v>
      </c>
      <c r="M986" t="n">
        <v>2907.5623</v>
      </c>
      <c r="N986" t="inlineStr">
        <is>
          <t>Scope 1 + Scope 2 + Scope 3</t>
        </is>
      </c>
      <c r="O986" t="b">
        <v>1</v>
      </c>
      <c r="P986" t="inlineStr">
        <is>
          <t>High</t>
        </is>
      </c>
      <c r="Q986" t="inlineStr">
        <is>
          <t>Reported_Emissions</t>
        </is>
      </c>
      <c r="R986" t="inlineStr">
        <is>
          <t>Valid</t>
        </is>
      </c>
      <c r="S986" t="n">
        <v>2033</v>
      </c>
      <c r="T986" t="inlineStr">
        <is>
          <t>Supplier Target Pathway</t>
        </is>
      </c>
      <c r="U986" t="n">
        <v>3984.6414</v>
      </c>
      <c r="V986" t="n">
        <v>1880.3523</v>
      </c>
      <c r="W986" t="n">
        <v>1880.3523</v>
      </c>
      <c r="X986" t="n">
        <v>1880.3523</v>
      </c>
      <c r="Y986" t="n">
        <v>2104.2891</v>
      </c>
      <c r="Z986" t="n">
        <v>0.00013687</v>
      </c>
      <c r="AA986" t="n">
        <v>0.5281</v>
      </c>
      <c r="AB986" t="n">
        <v>0</v>
      </c>
      <c r="AC986" t="n">
        <v>175.3574</v>
      </c>
      <c r="AD986" t="n">
        <v>-8271.4182</v>
      </c>
      <c r="AE986" t="n">
        <v>19553.532</v>
      </c>
      <c r="AF986" t="n">
        <v>0.99</v>
      </c>
      <c r="AG986" t="inlineStr">
        <is>
          <t>Low</t>
        </is>
      </c>
      <c r="AH986" t="inlineStr">
        <is>
          <t>On Track</t>
        </is>
      </c>
    </row>
    <row r="987">
      <c r="A987" t="inlineStr">
        <is>
          <t>SUP-0062</t>
        </is>
      </c>
      <c r="B987" t="inlineStr">
        <is>
          <t>Textiles Supplier 062</t>
        </is>
      </c>
      <c r="C987" t="inlineStr">
        <is>
          <t>Textiles</t>
        </is>
      </c>
      <c r="D987" t="n">
        <v>2024</v>
      </c>
      <c r="E987" t="n">
        <v>2018</v>
      </c>
      <c r="F987" t="n">
        <v>2030</v>
      </c>
      <c r="G987" t="inlineStr"/>
      <c r="H987" t="n">
        <v>812.8335</v>
      </c>
      <c r="I987" t="n">
        <v>264.4192</v>
      </c>
      <c r="J987" t="n">
        <v>1830.3096</v>
      </c>
      <c r="K987" t="n">
        <v>13738661.39</v>
      </c>
      <c r="L987" t="n">
        <v>94674571.62</v>
      </c>
      <c r="M987" t="n">
        <v>2907.5623</v>
      </c>
      <c r="N987" t="inlineStr">
        <is>
          <t>Scope 1 + Scope 2 + Scope 3</t>
        </is>
      </c>
      <c r="O987" t="b">
        <v>1</v>
      </c>
      <c r="P987" t="inlineStr">
        <is>
          <t>High</t>
        </is>
      </c>
      <c r="Q987" t="inlineStr">
        <is>
          <t>Reported_Emissions</t>
        </is>
      </c>
      <c r="R987" t="inlineStr">
        <is>
          <t>Valid</t>
        </is>
      </c>
      <c r="S987" t="n">
        <v>2034</v>
      </c>
      <c r="T987" t="inlineStr">
        <is>
          <t>Supplier Target Pathway</t>
        </is>
      </c>
      <c r="U987" t="n">
        <v>3984.6414</v>
      </c>
      <c r="V987" t="n">
        <v>1880.3523</v>
      </c>
      <c r="W987" t="n">
        <v>1880.3523</v>
      </c>
      <c r="X987" t="n">
        <v>1880.3523</v>
      </c>
      <c r="Y987" t="n">
        <v>2104.2891</v>
      </c>
      <c r="Z987" t="n">
        <v>0.00013687</v>
      </c>
      <c r="AA987" t="n">
        <v>0.5281</v>
      </c>
      <c r="AB987" t="n">
        <v>0</v>
      </c>
      <c r="AC987" t="n">
        <v>175.3574</v>
      </c>
      <c r="AD987" t="n">
        <v>-10151.7705</v>
      </c>
      <c r="AE987" t="n">
        <v>21433.8843</v>
      </c>
      <c r="AF987" t="n">
        <v>0.99</v>
      </c>
      <c r="AG987" t="inlineStr">
        <is>
          <t>Low</t>
        </is>
      </c>
      <c r="AH987" t="inlineStr">
        <is>
          <t>On Track</t>
        </is>
      </c>
    </row>
    <row r="988">
      <c r="A988" t="inlineStr">
        <is>
          <t>SUP-0062</t>
        </is>
      </c>
      <c r="B988" t="inlineStr">
        <is>
          <t>Textiles Supplier 062</t>
        </is>
      </c>
      <c r="C988" t="inlineStr">
        <is>
          <t>Textiles</t>
        </is>
      </c>
      <c r="D988" t="n">
        <v>2024</v>
      </c>
      <c r="E988" t="n">
        <v>2018</v>
      </c>
      <c r="F988" t="n">
        <v>2030</v>
      </c>
      <c r="G988" t="inlineStr"/>
      <c r="H988" t="n">
        <v>812.8335</v>
      </c>
      <c r="I988" t="n">
        <v>264.4192</v>
      </c>
      <c r="J988" t="n">
        <v>1830.3096</v>
      </c>
      <c r="K988" t="n">
        <v>13738661.39</v>
      </c>
      <c r="L988" t="n">
        <v>94674571.62</v>
      </c>
      <c r="M988" t="n">
        <v>2907.5623</v>
      </c>
      <c r="N988" t="inlineStr">
        <is>
          <t>Scope 1 + Scope 2 + Scope 3</t>
        </is>
      </c>
      <c r="O988" t="b">
        <v>1</v>
      </c>
      <c r="P988" t="inlineStr">
        <is>
          <t>High</t>
        </is>
      </c>
      <c r="Q988" t="inlineStr">
        <is>
          <t>Reported_Emissions</t>
        </is>
      </c>
      <c r="R988" t="inlineStr">
        <is>
          <t>Valid</t>
        </is>
      </c>
      <c r="S988" t="n">
        <v>2035</v>
      </c>
      <c r="T988" t="inlineStr">
        <is>
          <t>Supplier Target Pathway</t>
        </is>
      </c>
      <c r="U988" t="n">
        <v>3984.6414</v>
      </c>
      <c r="V988" t="n">
        <v>1880.3523</v>
      </c>
      <c r="W988" t="n">
        <v>1880.3523</v>
      </c>
      <c r="X988" t="n">
        <v>1880.3523</v>
      </c>
      <c r="Y988" t="n">
        <v>2104.2891</v>
      </c>
      <c r="Z988" t="n">
        <v>0.00013687</v>
      </c>
      <c r="AA988" t="n">
        <v>0.5281</v>
      </c>
      <c r="AB988" t="n">
        <v>0</v>
      </c>
      <c r="AC988" t="n">
        <v>175.3574</v>
      </c>
      <c r="AD988" t="n">
        <v>-12032.1228</v>
      </c>
      <c r="AE988" t="n">
        <v>23314.2366</v>
      </c>
      <c r="AF988" t="n">
        <v>0.99</v>
      </c>
      <c r="AG988" t="inlineStr">
        <is>
          <t>Low</t>
        </is>
      </c>
      <c r="AH988" t="inlineStr">
        <is>
          <t>On Track</t>
        </is>
      </c>
    </row>
    <row r="989">
      <c r="A989" t="inlineStr">
        <is>
          <t>SUP-0062</t>
        </is>
      </c>
      <c r="B989" t="inlineStr">
        <is>
          <t>Textiles Supplier 062</t>
        </is>
      </c>
      <c r="C989" t="inlineStr">
        <is>
          <t>Textiles</t>
        </is>
      </c>
      <c r="D989" t="n">
        <v>2024</v>
      </c>
      <c r="E989" t="n">
        <v>2018</v>
      </c>
      <c r="F989" t="n">
        <v>2030</v>
      </c>
      <c r="G989" t="inlineStr"/>
      <c r="H989" t="n">
        <v>812.8335</v>
      </c>
      <c r="I989" t="n">
        <v>264.4192</v>
      </c>
      <c r="J989" t="n">
        <v>1830.3096</v>
      </c>
      <c r="K989" t="n">
        <v>13738661.39</v>
      </c>
      <c r="L989" t="n">
        <v>94674571.62</v>
      </c>
      <c r="M989" t="n">
        <v>2907.5623</v>
      </c>
      <c r="N989" t="inlineStr">
        <is>
          <t>Scope 1 + Scope 2 + Scope 3</t>
        </is>
      </c>
      <c r="O989" t="b">
        <v>1</v>
      </c>
      <c r="P989" t="inlineStr">
        <is>
          <t>High</t>
        </is>
      </c>
      <c r="Q989" t="inlineStr">
        <is>
          <t>Reported_Emissions</t>
        </is>
      </c>
      <c r="R989" t="inlineStr">
        <is>
          <t>Valid</t>
        </is>
      </c>
      <c r="S989" t="n">
        <v>2036</v>
      </c>
      <c r="T989" t="inlineStr">
        <is>
          <t>Supplier Target Pathway</t>
        </is>
      </c>
      <c r="U989" t="n">
        <v>3984.6414</v>
      </c>
      <c r="V989" t="n">
        <v>1880.3523</v>
      </c>
      <c r="W989" t="n">
        <v>1880.3523</v>
      </c>
      <c r="X989" t="n">
        <v>1880.3523</v>
      </c>
      <c r="Y989" t="n">
        <v>2104.2891</v>
      </c>
      <c r="Z989" t="n">
        <v>0.00013687</v>
      </c>
      <c r="AA989" t="n">
        <v>0.5281</v>
      </c>
      <c r="AB989" t="n">
        <v>0</v>
      </c>
      <c r="AC989" t="n">
        <v>175.3574</v>
      </c>
      <c r="AD989" t="n">
        <v>-13912.4751</v>
      </c>
      <c r="AE989" t="n">
        <v>25194.5889</v>
      </c>
      <c r="AF989" t="n">
        <v>0.99</v>
      </c>
      <c r="AG989" t="inlineStr">
        <is>
          <t>Low</t>
        </is>
      </c>
      <c r="AH989" t="inlineStr">
        <is>
          <t>On Track</t>
        </is>
      </c>
    </row>
    <row r="990">
      <c r="A990" t="inlineStr">
        <is>
          <t>SUP-0062</t>
        </is>
      </c>
      <c r="B990" t="inlineStr">
        <is>
          <t>Textiles Supplier 062</t>
        </is>
      </c>
      <c r="C990" t="inlineStr">
        <is>
          <t>Textiles</t>
        </is>
      </c>
      <c r="D990" t="n">
        <v>2024</v>
      </c>
      <c r="E990" t="n">
        <v>2018</v>
      </c>
      <c r="F990" t="n">
        <v>2030</v>
      </c>
      <c r="G990" t="inlineStr"/>
      <c r="H990" t="n">
        <v>812.8335</v>
      </c>
      <c r="I990" t="n">
        <v>264.4192</v>
      </c>
      <c r="J990" t="n">
        <v>1830.3096</v>
      </c>
      <c r="K990" t="n">
        <v>13738661.39</v>
      </c>
      <c r="L990" t="n">
        <v>94674571.62</v>
      </c>
      <c r="M990" t="n">
        <v>2907.5623</v>
      </c>
      <c r="N990" t="inlineStr">
        <is>
          <t>Scope 1 + Scope 2 + Scope 3</t>
        </is>
      </c>
      <c r="O990" t="b">
        <v>1</v>
      </c>
      <c r="P990" t="inlineStr">
        <is>
          <t>High</t>
        </is>
      </c>
      <c r="Q990" t="inlineStr">
        <is>
          <t>Reported_Emissions</t>
        </is>
      </c>
      <c r="R990" t="inlineStr">
        <is>
          <t>Valid</t>
        </is>
      </c>
      <c r="S990" t="n">
        <v>2037</v>
      </c>
      <c r="T990" t="inlineStr">
        <is>
          <t>Supplier Target Pathway</t>
        </is>
      </c>
      <c r="U990" t="n">
        <v>3984.6414</v>
      </c>
      <c r="V990" t="n">
        <v>1880.3523</v>
      </c>
      <c r="W990" t="n">
        <v>1880.3523</v>
      </c>
      <c r="X990" t="n">
        <v>1880.3523</v>
      </c>
      <c r="Y990" t="n">
        <v>2104.2891</v>
      </c>
      <c r="Z990" t="n">
        <v>0.00013687</v>
      </c>
      <c r="AA990" t="n">
        <v>0.5281</v>
      </c>
      <c r="AB990" t="n">
        <v>0</v>
      </c>
      <c r="AC990" t="n">
        <v>175.3574</v>
      </c>
      <c r="AD990" t="n">
        <v>-15792.8274</v>
      </c>
      <c r="AE990" t="n">
        <v>27074.9412</v>
      </c>
      <c r="AF990" t="n">
        <v>0.99</v>
      </c>
      <c r="AG990" t="inlineStr">
        <is>
          <t>Low</t>
        </is>
      </c>
      <c r="AH990" t="inlineStr">
        <is>
          <t>On Track</t>
        </is>
      </c>
    </row>
    <row r="991">
      <c r="A991" t="inlineStr">
        <is>
          <t>SUP-0062</t>
        </is>
      </c>
      <c r="B991" t="inlineStr">
        <is>
          <t>Textiles Supplier 062</t>
        </is>
      </c>
      <c r="C991" t="inlineStr">
        <is>
          <t>Textiles</t>
        </is>
      </c>
      <c r="D991" t="n">
        <v>2024</v>
      </c>
      <c r="E991" t="n">
        <v>2018</v>
      </c>
      <c r="F991" t="n">
        <v>2030</v>
      </c>
      <c r="G991" t="inlineStr"/>
      <c r="H991" t="n">
        <v>812.8335</v>
      </c>
      <c r="I991" t="n">
        <v>264.4192</v>
      </c>
      <c r="J991" t="n">
        <v>1830.3096</v>
      </c>
      <c r="K991" t="n">
        <v>13738661.39</v>
      </c>
      <c r="L991" t="n">
        <v>94674571.62</v>
      </c>
      <c r="M991" t="n">
        <v>2907.5623</v>
      </c>
      <c r="N991" t="inlineStr">
        <is>
          <t>Scope 1 + Scope 2 + Scope 3</t>
        </is>
      </c>
      <c r="O991" t="b">
        <v>1</v>
      </c>
      <c r="P991" t="inlineStr">
        <is>
          <t>High</t>
        </is>
      </c>
      <c r="Q991" t="inlineStr">
        <is>
          <t>Reported_Emissions</t>
        </is>
      </c>
      <c r="R991" t="inlineStr">
        <is>
          <t>Valid</t>
        </is>
      </c>
      <c r="S991" t="n">
        <v>2038</v>
      </c>
      <c r="T991" t="inlineStr">
        <is>
          <t>Supplier Target Pathway</t>
        </is>
      </c>
      <c r="U991" t="n">
        <v>3984.6414</v>
      </c>
      <c r="V991" t="n">
        <v>1880.3523</v>
      </c>
      <c r="W991" t="n">
        <v>1880.3523</v>
      </c>
      <c r="X991" t="n">
        <v>1880.3523</v>
      </c>
      <c r="Y991" t="n">
        <v>2104.2891</v>
      </c>
      <c r="Z991" t="n">
        <v>0.00013687</v>
      </c>
      <c r="AA991" t="n">
        <v>0.5281</v>
      </c>
      <c r="AB991" t="n">
        <v>0</v>
      </c>
      <c r="AC991" t="n">
        <v>175.3574</v>
      </c>
      <c r="AD991" t="n">
        <v>-17673.1797</v>
      </c>
      <c r="AE991" t="n">
        <v>28955.2935</v>
      </c>
      <c r="AF991" t="n">
        <v>0.99</v>
      </c>
      <c r="AG991" t="inlineStr">
        <is>
          <t>Low</t>
        </is>
      </c>
      <c r="AH991" t="inlineStr">
        <is>
          <t>On Track</t>
        </is>
      </c>
    </row>
    <row r="992">
      <c r="A992" t="inlineStr">
        <is>
          <t>SUP-0062</t>
        </is>
      </c>
      <c r="B992" t="inlineStr">
        <is>
          <t>Textiles Supplier 062</t>
        </is>
      </c>
      <c r="C992" t="inlineStr">
        <is>
          <t>Textiles</t>
        </is>
      </c>
      <c r="D992" t="n">
        <v>2024</v>
      </c>
      <c r="E992" t="n">
        <v>2018</v>
      </c>
      <c r="F992" t="n">
        <v>2030</v>
      </c>
      <c r="G992" t="inlineStr"/>
      <c r="H992" t="n">
        <v>812.8335</v>
      </c>
      <c r="I992" t="n">
        <v>264.4192</v>
      </c>
      <c r="J992" t="n">
        <v>1830.3096</v>
      </c>
      <c r="K992" t="n">
        <v>13738661.39</v>
      </c>
      <c r="L992" t="n">
        <v>94674571.62</v>
      </c>
      <c r="M992" t="n">
        <v>2907.5623</v>
      </c>
      <c r="N992" t="inlineStr">
        <is>
          <t>Scope 1 + Scope 2 + Scope 3</t>
        </is>
      </c>
      <c r="O992" t="b">
        <v>1</v>
      </c>
      <c r="P992" t="inlineStr">
        <is>
          <t>High</t>
        </is>
      </c>
      <c r="Q992" t="inlineStr">
        <is>
          <t>Reported_Emissions</t>
        </is>
      </c>
      <c r="R992" t="inlineStr">
        <is>
          <t>Valid</t>
        </is>
      </c>
      <c r="S992" t="n">
        <v>2039</v>
      </c>
      <c r="T992" t="inlineStr">
        <is>
          <t>Supplier Target Pathway</t>
        </is>
      </c>
      <c r="U992" t="n">
        <v>3984.6414</v>
      </c>
      <c r="V992" t="n">
        <v>1880.3523</v>
      </c>
      <c r="W992" t="n">
        <v>1880.3523</v>
      </c>
      <c r="X992" t="n">
        <v>1880.3523</v>
      </c>
      <c r="Y992" t="n">
        <v>2104.2891</v>
      </c>
      <c r="Z992" t="n">
        <v>0.00013687</v>
      </c>
      <c r="AA992" t="n">
        <v>0.5281</v>
      </c>
      <c r="AB992" t="n">
        <v>0</v>
      </c>
      <c r="AC992" t="n">
        <v>175.3574</v>
      </c>
      <c r="AD992" t="n">
        <v>-19553.532</v>
      </c>
      <c r="AE992" t="n">
        <v>30835.6458</v>
      </c>
      <c r="AF992" t="n">
        <v>0.99</v>
      </c>
      <c r="AG992" t="inlineStr">
        <is>
          <t>Low</t>
        </is>
      </c>
      <c r="AH992" t="inlineStr">
        <is>
          <t>On Track</t>
        </is>
      </c>
    </row>
    <row r="993">
      <c r="A993" t="inlineStr">
        <is>
          <t>SUP-0062</t>
        </is>
      </c>
      <c r="B993" t="inlineStr">
        <is>
          <t>Textiles Supplier 062</t>
        </is>
      </c>
      <c r="C993" t="inlineStr">
        <is>
          <t>Textiles</t>
        </is>
      </c>
      <c r="D993" t="n">
        <v>2024</v>
      </c>
      <c r="E993" t="n">
        <v>2018</v>
      </c>
      <c r="F993" t="n">
        <v>2030</v>
      </c>
      <c r="G993" t="inlineStr"/>
      <c r="H993" t="n">
        <v>812.8335</v>
      </c>
      <c r="I993" t="n">
        <v>264.4192</v>
      </c>
      <c r="J993" t="n">
        <v>1830.3096</v>
      </c>
      <c r="K993" t="n">
        <v>13738661.39</v>
      </c>
      <c r="L993" t="n">
        <v>94674571.62</v>
      </c>
      <c r="M993" t="n">
        <v>2907.5623</v>
      </c>
      <c r="N993" t="inlineStr">
        <is>
          <t>Scope 1 + Scope 2 + Scope 3</t>
        </is>
      </c>
      <c r="O993" t="b">
        <v>1</v>
      </c>
      <c r="P993" t="inlineStr">
        <is>
          <t>High</t>
        </is>
      </c>
      <c r="Q993" t="inlineStr">
        <is>
          <t>Reported_Emissions</t>
        </is>
      </c>
      <c r="R993" t="inlineStr">
        <is>
          <t>Valid</t>
        </is>
      </c>
      <c r="S993" t="n">
        <v>2040</v>
      </c>
      <c r="T993" t="inlineStr">
        <is>
          <t>Supplier Target Pathway</t>
        </is>
      </c>
      <c r="U993" t="n">
        <v>3984.6414</v>
      </c>
      <c r="V993" t="n">
        <v>1880.3523</v>
      </c>
      <c r="W993" t="n">
        <v>1880.3523</v>
      </c>
      <c r="X993" t="n">
        <v>1880.3523</v>
      </c>
      <c r="Y993" t="n">
        <v>2104.2891</v>
      </c>
      <c r="Z993" t="n">
        <v>0.00013687</v>
      </c>
      <c r="AA993" t="n">
        <v>0.5281</v>
      </c>
      <c r="AB993" t="n">
        <v>0</v>
      </c>
      <c r="AC993" t="n">
        <v>175.3574</v>
      </c>
      <c r="AD993" t="n">
        <v>-21433.8843</v>
      </c>
      <c r="AE993" t="n">
        <v>32715.9981</v>
      </c>
      <c r="AF993" t="n">
        <v>0.99</v>
      </c>
      <c r="AG993" t="inlineStr">
        <is>
          <t>Low</t>
        </is>
      </c>
      <c r="AH993" t="inlineStr">
        <is>
          <t>On Track</t>
        </is>
      </c>
    </row>
    <row r="994">
      <c r="A994" t="inlineStr">
        <is>
          <t>SUP-0063</t>
        </is>
      </c>
      <c r="B994" t="inlineStr">
        <is>
          <t>Chemicals Supplier 063</t>
        </is>
      </c>
      <c r="C994" t="inlineStr">
        <is>
          <t>Chemicals</t>
        </is>
      </c>
      <c r="D994" t="n">
        <v>2024</v>
      </c>
      <c r="E994" t="n">
        <v>2020</v>
      </c>
      <c r="F994" t="n">
        <v>2030</v>
      </c>
      <c r="G994" t="inlineStr"/>
      <c r="H994" t="n">
        <v>8519.0365</v>
      </c>
      <c r="I994" t="inlineStr"/>
      <c r="J994" t="n">
        <v>20099.7406</v>
      </c>
      <c r="K994" t="n">
        <v>30605767</v>
      </c>
      <c r="L994" t="n">
        <v>286220134.32</v>
      </c>
      <c r="M994" t="n">
        <v>30651.3696</v>
      </c>
      <c r="N994" t="inlineStr">
        <is>
          <t>Spend-Based Estimate</t>
        </is>
      </c>
      <c r="O994" t="b">
        <v>1</v>
      </c>
      <c r="P994" t="inlineStr">
        <is>
          <t>Medium</t>
        </is>
      </c>
      <c r="Q994" t="inlineStr">
        <is>
          <t>Reported_Emissions; Scope_Emissions</t>
        </is>
      </c>
      <c r="R994" t="inlineStr">
        <is>
          <t>Valid</t>
        </is>
      </c>
      <c r="S994" t="n">
        <v>2025</v>
      </c>
      <c r="T994" t="inlineStr">
        <is>
          <t>Supplier Target Pathway</t>
        </is>
      </c>
      <c r="U994" t="n">
        <v>23254.7308</v>
      </c>
      <c r="V994" t="n">
        <v>11618.0635</v>
      </c>
      <c r="W994" t="n">
        <v>17436.3972</v>
      </c>
      <c r="X994" t="n">
        <v>17436.3972</v>
      </c>
      <c r="Y994" t="n">
        <v>5818.3336</v>
      </c>
      <c r="Z994" t="n">
        <v>0.00056971</v>
      </c>
      <c r="AA994" t="n">
        <v>0.2502</v>
      </c>
      <c r="AB994" t="n">
        <v>5818.3336</v>
      </c>
      <c r="AC994" t="n">
        <v>1163.6667</v>
      </c>
      <c r="AD994" t="n">
        <v>52271.9838</v>
      </c>
      <c r="AE994" t="n">
        <v>17436.3972</v>
      </c>
      <c r="AF994" t="n">
        <v>0.972</v>
      </c>
      <c r="AG994" t="inlineStr">
        <is>
          <t>Critical</t>
        </is>
      </c>
      <c r="AH994" t="inlineStr">
        <is>
          <t>On Track to Glide Path</t>
        </is>
      </c>
    </row>
    <row r="995">
      <c r="A995" t="inlineStr">
        <is>
          <t>SUP-0063</t>
        </is>
      </c>
      <c r="B995" t="inlineStr">
        <is>
          <t>Chemicals Supplier 063</t>
        </is>
      </c>
      <c r="C995" t="inlineStr">
        <is>
          <t>Chemicals</t>
        </is>
      </c>
      <c r="D995" t="n">
        <v>2024</v>
      </c>
      <c r="E995" t="n">
        <v>2020</v>
      </c>
      <c r="F995" t="n">
        <v>2030</v>
      </c>
      <c r="G995" t="inlineStr"/>
      <c r="H995" t="n">
        <v>8519.0365</v>
      </c>
      <c r="I995" t="inlineStr"/>
      <c r="J995" t="n">
        <v>20099.7406</v>
      </c>
      <c r="K995" t="n">
        <v>30605767</v>
      </c>
      <c r="L995" t="n">
        <v>286220134.32</v>
      </c>
      <c r="M995" t="n">
        <v>30651.3696</v>
      </c>
      <c r="N995" t="inlineStr">
        <is>
          <t>Spend-Based Estimate</t>
        </is>
      </c>
      <c r="O995" t="b">
        <v>1</v>
      </c>
      <c r="P995" t="inlineStr">
        <is>
          <t>Medium</t>
        </is>
      </c>
      <c r="Q995" t="inlineStr">
        <is>
          <t>Reported_Emissions; Scope_Emissions</t>
        </is>
      </c>
      <c r="R995" t="inlineStr">
        <is>
          <t>Valid</t>
        </is>
      </c>
      <c r="S995" t="n">
        <v>2026</v>
      </c>
      <c r="T995" t="inlineStr">
        <is>
          <t>Supplier Target Pathway</t>
        </is>
      </c>
      <c r="U995" t="n">
        <v>23254.7308</v>
      </c>
      <c r="V995" t="n">
        <v>11618.0635</v>
      </c>
      <c r="W995" t="n">
        <v>16272.7304</v>
      </c>
      <c r="X995" t="n">
        <v>16272.7304</v>
      </c>
      <c r="Y995" t="n">
        <v>6982.0004</v>
      </c>
      <c r="Z995" t="n">
        <v>0.00053169</v>
      </c>
      <c r="AA995" t="n">
        <v>0.30024</v>
      </c>
      <c r="AB995" t="n">
        <v>4654.6669</v>
      </c>
      <c r="AC995" t="n">
        <v>1163.6667</v>
      </c>
      <c r="AD995" t="n">
        <v>35999.2534</v>
      </c>
      <c r="AE995" t="n">
        <v>33709.1276</v>
      </c>
      <c r="AF995" t="n">
        <v>0.972</v>
      </c>
      <c r="AG995" t="inlineStr">
        <is>
          <t>Critical</t>
        </is>
      </c>
      <c r="AH995" t="inlineStr">
        <is>
          <t>On Track to Glide Path</t>
        </is>
      </c>
    </row>
    <row r="996">
      <c r="A996" t="inlineStr">
        <is>
          <t>SUP-0063</t>
        </is>
      </c>
      <c r="B996" t="inlineStr">
        <is>
          <t>Chemicals Supplier 063</t>
        </is>
      </c>
      <c r="C996" t="inlineStr">
        <is>
          <t>Chemicals</t>
        </is>
      </c>
      <c r="D996" t="n">
        <v>2024</v>
      </c>
      <c r="E996" t="n">
        <v>2020</v>
      </c>
      <c r="F996" t="n">
        <v>2030</v>
      </c>
      <c r="G996" t="inlineStr"/>
      <c r="H996" t="n">
        <v>8519.0365</v>
      </c>
      <c r="I996" t="inlineStr"/>
      <c r="J996" t="n">
        <v>20099.7406</v>
      </c>
      <c r="K996" t="n">
        <v>30605767</v>
      </c>
      <c r="L996" t="n">
        <v>286220134.32</v>
      </c>
      <c r="M996" t="n">
        <v>30651.3696</v>
      </c>
      <c r="N996" t="inlineStr">
        <is>
          <t>Spend-Based Estimate</t>
        </is>
      </c>
      <c r="O996" t="b">
        <v>1</v>
      </c>
      <c r="P996" t="inlineStr">
        <is>
          <t>Medium</t>
        </is>
      </c>
      <c r="Q996" t="inlineStr">
        <is>
          <t>Reported_Emissions; Scope_Emissions</t>
        </is>
      </c>
      <c r="R996" t="inlineStr">
        <is>
          <t>Valid</t>
        </is>
      </c>
      <c r="S996" t="n">
        <v>2027</v>
      </c>
      <c r="T996" t="inlineStr">
        <is>
          <t>Supplier Target Pathway</t>
        </is>
      </c>
      <c r="U996" t="n">
        <v>23254.7308</v>
      </c>
      <c r="V996" t="n">
        <v>11618.0635</v>
      </c>
      <c r="W996" t="n">
        <v>15109.0637</v>
      </c>
      <c r="X996" t="n">
        <v>15109.0637</v>
      </c>
      <c r="Y996" t="n">
        <v>8145.6671</v>
      </c>
      <c r="Z996" t="n">
        <v>0.00049367</v>
      </c>
      <c r="AA996" t="n">
        <v>0.35028</v>
      </c>
      <c r="AB996" t="n">
        <v>3491.0002</v>
      </c>
      <c r="AC996" t="n">
        <v>1163.6667</v>
      </c>
      <c r="AD996" t="n">
        <v>20890.1897</v>
      </c>
      <c r="AE996" t="n">
        <v>48818.1913</v>
      </c>
      <c r="AF996" t="n">
        <v>0.972</v>
      </c>
      <c r="AG996" t="inlineStr">
        <is>
          <t>High</t>
        </is>
      </c>
      <c r="AH996" t="inlineStr">
        <is>
          <t>On Track to Glide Path</t>
        </is>
      </c>
    </row>
    <row r="997">
      <c r="A997" t="inlineStr">
        <is>
          <t>SUP-0063</t>
        </is>
      </c>
      <c r="B997" t="inlineStr">
        <is>
          <t>Chemicals Supplier 063</t>
        </is>
      </c>
      <c r="C997" t="inlineStr">
        <is>
          <t>Chemicals</t>
        </is>
      </c>
      <c r="D997" t="n">
        <v>2024</v>
      </c>
      <c r="E997" t="n">
        <v>2020</v>
      </c>
      <c r="F997" t="n">
        <v>2030</v>
      </c>
      <c r="G997" t="inlineStr"/>
      <c r="H997" t="n">
        <v>8519.0365</v>
      </c>
      <c r="I997" t="inlineStr"/>
      <c r="J997" t="n">
        <v>20099.7406</v>
      </c>
      <c r="K997" t="n">
        <v>30605767</v>
      </c>
      <c r="L997" t="n">
        <v>286220134.32</v>
      </c>
      <c r="M997" t="n">
        <v>30651.3696</v>
      </c>
      <c r="N997" t="inlineStr">
        <is>
          <t>Spend-Based Estimate</t>
        </is>
      </c>
      <c r="O997" t="b">
        <v>1</v>
      </c>
      <c r="P997" t="inlineStr">
        <is>
          <t>Medium</t>
        </is>
      </c>
      <c r="Q997" t="inlineStr">
        <is>
          <t>Reported_Emissions; Scope_Emissions</t>
        </is>
      </c>
      <c r="R997" t="inlineStr">
        <is>
          <t>Valid</t>
        </is>
      </c>
      <c r="S997" t="n">
        <v>2028</v>
      </c>
      <c r="T997" t="inlineStr">
        <is>
          <t>Supplier Target Pathway</t>
        </is>
      </c>
      <c r="U997" t="n">
        <v>23254.7308</v>
      </c>
      <c r="V997" t="n">
        <v>11618.0635</v>
      </c>
      <c r="W997" t="n">
        <v>13945.397</v>
      </c>
      <c r="X997" t="n">
        <v>13945.397</v>
      </c>
      <c r="Y997" t="n">
        <v>9309.3338</v>
      </c>
      <c r="Z997" t="n">
        <v>0.00045565</v>
      </c>
      <c r="AA997" t="n">
        <v>0.40032</v>
      </c>
      <c r="AB997" t="n">
        <v>2327.3335</v>
      </c>
      <c r="AC997" t="n">
        <v>1163.6667</v>
      </c>
      <c r="AD997" t="n">
        <v>6944.7927</v>
      </c>
      <c r="AE997" t="n">
        <v>62763.5883</v>
      </c>
      <c r="AF997" t="n">
        <v>0.972</v>
      </c>
      <c r="AG997" t="inlineStr">
        <is>
          <t>High</t>
        </is>
      </c>
      <c r="AH997" t="inlineStr">
        <is>
          <t>On Track to Glide Path</t>
        </is>
      </c>
    </row>
    <row r="998">
      <c r="A998" t="inlineStr">
        <is>
          <t>SUP-0063</t>
        </is>
      </c>
      <c r="B998" t="inlineStr">
        <is>
          <t>Chemicals Supplier 063</t>
        </is>
      </c>
      <c r="C998" t="inlineStr">
        <is>
          <t>Chemicals</t>
        </is>
      </c>
      <c r="D998" t="n">
        <v>2024</v>
      </c>
      <c r="E998" t="n">
        <v>2020</v>
      </c>
      <c r="F998" t="n">
        <v>2030</v>
      </c>
      <c r="G998" t="inlineStr"/>
      <c r="H998" t="n">
        <v>8519.0365</v>
      </c>
      <c r="I998" t="inlineStr"/>
      <c r="J998" t="n">
        <v>20099.7406</v>
      </c>
      <c r="K998" t="n">
        <v>30605767</v>
      </c>
      <c r="L998" t="n">
        <v>286220134.32</v>
      </c>
      <c r="M998" t="n">
        <v>30651.3696</v>
      </c>
      <c r="N998" t="inlineStr">
        <is>
          <t>Spend-Based Estimate</t>
        </is>
      </c>
      <c r="O998" t="b">
        <v>1</v>
      </c>
      <c r="P998" t="inlineStr">
        <is>
          <t>Medium</t>
        </is>
      </c>
      <c r="Q998" t="inlineStr">
        <is>
          <t>Reported_Emissions; Scope_Emissions</t>
        </is>
      </c>
      <c r="R998" t="inlineStr">
        <is>
          <t>Valid</t>
        </is>
      </c>
      <c r="S998" t="n">
        <v>2029</v>
      </c>
      <c r="T998" t="inlineStr">
        <is>
          <t>Supplier Target Pathway</t>
        </is>
      </c>
      <c r="U998" t="n">
        <v>23254.7308</v>
      </c>
      <c r="V998" t="n">
        <v>11618.0635</v>
      </c>
      <c r="W998" t="n">
        <v>12781.7302</v>
      </c>
      <c r="X998" t="n">
        <v>12781.7302</v>
      </c>
      <c r="Y998" t="n">
        <v>10473.0006</v>
      </c>
      <c r="Z998" t="n">
        <v>0.00041762</v>
      </c>
      <c r="AA998" t="n">
        <v>0.45036</v>
      </c>
      <c r="AB998" t="n">
        <v>1163.6667</v>
      </c>
      <c r="AC998" t="n">
        <v>1163.6667</v>
      </c>
      <c r="AD998" t="n">
        <v>-5836.9375</v>
      </c>
      <c r="AE998" t="n">
        <v>75545.31849999999</v>
      </c>
      <c r="AF998" t="n">
        <v>0.972</v>
      </c>
      <c r="AG998" t="inlineStr">
        <is>
          <t>Medium</t>
        </is>
      </c>
      <c r="AH998" t="inlineStr">
        <is>
          <t>On Track to Glide Path</t>
        </is>
      </c>
    </row>
    <row r="999">
      <c r="A999" t="inlineStr">
        <is>
          <t>SUP-0063</t>
        </is>
      </c>
      <c r="B999" t="inlineStr">
        <is>
          <t>Chemicals Supplier 063</t>
        </is>
      </c>
      <c r="C999" t="inlineStr">
        <is>
          <t>Chemicals</t>
        </is>
      </c>
      <c r="D999" t="n">
        <v>2024</v>
      </c>
      <c r="E999" t="n">
        <v>2020</v>
      </c>
      <c r="F999" t="n">
        <v>2030</v>
      </c>
      <c r="G999" t="inlineStr"/>
      <c r="H999" t="n">
        <v>8519.0365</v>
      </c>
      <c r="I999" t="inlineStr"/>
      <c r="J999" t="n">
        <v>20099.7406</v>
      </c>
      <c r="K999" t="n">
        <v>30605767</v>
      </c>
      <c r="L999" t="n">
        <v>286220134.32</v>
      </c>
      <c r="M999" t="n">
        <v>30651.3696</v>
      </c>
      <c r="N999" t="inlineStr">
        <is>
          <t>Spend-Based Estimate</t>
        </is>
      </c>
      <c r="O999" t="b">
        <v>1</v>
      </c>
      <c r="P999" t="inlineStr">
        <is>
          <t>Medium</t>
        </is>
      </c>
      <c r="Q999" t="inlineStr">
        <is>
          <t>Reported_Emissions; Scope_Emissions</t>
        </is>
      </c>
      <c r="R999" t="inlineStr">
        <is>
          <t>Valid</t>
        </is>
      </c>
      <c r="S999" t="n">
        <v>2030</v>
      </c>
      <c r="T999" t="inlineStr">
        <is>
          <t>Supplier Target Pathway</t>
        </is>
      </c>
      <c r="U999" t="n">
        <v>23254.7308</v>
      </c>
      <c r="V999" t="n">
        <v>11618.0635</v>
      </c>
      <c r="W999" t="n">
        <v>11618.0635</v>
      </c>
      <c r="X999" t="n">
        <v>11618.0635</v>
      </c>
      <c r="Y999" t="n">
        <v>11636.6673</v>
      </c>
      <c r="Z999" t="n">
        <v>0.0003796</v>
      </c>
      <c r="AA999" t="n">
        <v>0.5004</v>
      </c>
      <c r="AB999" t="n">
        <v>0</v>
      </c>
      <c r="AC999" t="n">
        <v>1163.6667</v>
      </c>
      <c r="AD999" t="n">
        <v>-17455.001</v>
      </c>
      <c r="AE999" t="n">
        <v>87163.382</v>
      </c>
      <c r="AF999" t="n">
        <v>0.972</v>
      </c>
      <c r="AG999" t="inlineStr">
        <is>
          <t>Low</t>
        </is>
      </c>
      <c r="AH999" t="inlineStr">
        <is>
          <t>On Track</t>
        </is>
      </c>
    </row>
    <row r="1000">
      <c r="A1000" t="inlineStr">
        <is>
          <t>SUP-0063</t>
        </is>
      </c>
      <c r="B1000" t="inlineStr">
        <is>
          <t>Chemicals Supplier 063</t>
        </is>
      </c>
      <c r="C1000" t="inlineStr">
        <is>
          <t>Chemicals</t>
        </is>
      </c>
      <c r="D1000" t="n">
        <v>2024</v>
      </c>
      <c r="E1000" t="n">
        <v>2020</v>
      </c>
      <c r="F1000" t="n">
        <v>2030</v>
      </c>
      <c r="G1000" t="inlineStr"/>
      <c r="H1000" t="n">
        <v>8519.0365</v>
      </c>
      <c r="I1000" t="inlineStr"/>
      <c r="J1000" t="n">
        <v>20099.7406</v>
      </c>
      <c r="K1000" t="n">
        <v>30605767</v>
      </c>
      <c r="L1000" t="n">
        <v>286220134.32</v>
      </c>
      <c r="M1000" t="n">
        <v>30651.3696</v>
      </c>
      <c r="N1000" t="inlineStr">
        <is>
          <t>Spend-Based Estimate</t>
        </is>
      </c>
      <c r="O1000" t="b">
        <v>1</v>
      </c>
      <c r="P1000" t="inlineStr">
        <is>
          <t>Medium</t>
        </is>
      </c>
      <c r="Q1000" t="inlineStr">
        <is>
          <t>Reported_Emissions; Scope_Emissions</t>
        </is>
      </c>
      <c r="R1000" t="inlineStr">
        <is>
          <t>Valid</t>
        </is>
      </c>
      <c r="S1000" t="n">
        <v>2031</v>
      </c>
      <c r="T1000" t="inlineStr">
        <is>
          <t>Supplier Target Pathway</t>
        </is>
      </c>
      <c r="U1000" t="n">
        <v>23254.7308</v>
      </c>
      <c r="V1000" t="n">
        <v>11618.0635</v>
      </c>
      <c r="W1000" t="n">
        <v>11618.0635</v>
      </c>
      <c r="X1000" t="n">
        <v>11618.0635</v>
      </c>
      <c r="Y1000" t="n">
        <v>11636.6673</v>
      </c>
      <c r="Z1000" t="n">
        <v>0.0003796</v>
      </c>
      <c r="AA1000" t="n">
        <v>0.5004</v>
      </c>
      <c r="AB1000" t="n">
        <v>0</v>
      </c>
      <c r="AC1000" t="n">
        <v>1163.6667</v>
      </c>
      <c r="AD1000" t="n">
        <v>-29073.0645</v>
      </c>
      <c r="AE1000" t="n">
        <v>98781.4455</v>
      </c>
      <c r="AF1000" t="n">
        <v>0.972</v>
      </c>
      <c r="AG1000" t="inlineStr">
        <is>
          <t>Low</t>
        </is>
      </c>
      <c r="AH1000" t="inlineStr">
        <is>
          <t>On Track</t>
        </is>
      </c>
    </row>
    <row r="1001">
      <c r="A1001" t="inlineStr">
        <is>
          <t>SUP-0063</t>
        </is>
      </c>
      <c r="B1001" t="inlineStr">
        <is>
          <t>Chemicals Supplier 063</t>
        </is>
      </c>
      <c r="C1001" t="inlineStr">
        <is>
          <t>Chemicals</t>
        </is>
      </c>
      <c r="D1001" t="n">
        <v>2024</v>
      </c>
      <c r="E1001" t="n">
        <v>2020</v>
      </c>
      <c r="F1001" t="n">
        <v>2030</v>
      </c>
      <c r="G1001" t="inlineStr"/>
      <c r="H1001" t="n">
        <v>8519.0365</v>
      </c>
      <c r="I1001" t="inlineStr"/>
      <c r="J1001" t="n">
        <v>20099.7406</v>
      </c>
      <c r="K1001" t="n">
        <v>30605767</v>
      </c>
      <c r="L1001" t="n">
        <v>286220134.32</v>
      </c>
      <c r="M1001" t="n">
        <v>30651.3696</v>
      </c>
      <c r="N1001" t="inlineStr">
        <is>
          <t>Spend-Based Estimate</t>
        </is>
      </c>
      <c r="O1001" t="b">
        <v>1</v>
      </c>
      <c r="P1001" t="inlineStr">
        <is>
          <t>Medium</t>
        </is>
      </c>
      <c r="Q1001" t="inlineStr">
        <is>
          <t>Reported_Emissions; Scope_Emissions</t>
        </is>
      </c>
      <c r="R1001" t="inlineStr">
        <is>
          <t>Valid</t>
        </is>
      </c>
      <c r="S1001" t="n">
        <v>2032</v>
      </c>
      <c r="T1001" t="inlineStr">
        <is>
          <t>Supplier Target Pathway</t>
        </is>
      </c>
      <c r="U1001" t="n">
        <v>23254.7308</v>
      </c>
      <c r="V1001" t="n">
        <v>11618.0635</v>
      </c>
      <c r="W1001" t="n">
        <v>11618.0635</v>
      </c>
      <c r="X1001" t="n">
        <v>11618.0635</v>
      </c>
      <c r="Y1001" t="n">
        <v>11636.6673</v>
      </c>
      <c r="Z1001" t="n">
        <v>0.0003796</v>
      </c>
      <c r="AA1001" t="n">
        <v>0.5004</v>
      </c>
      <c r="AB1001" t="n">
        <v>0</v>
      </c>
      <c r="AC1001" t="n">
        <v>1163.6667</v>
      </c>
      <c r="AD1001" t="n">
        <v>-40691.128</v>
      </c>
      <c r="AE1001" t="n">
        <v>110399.509</v>
      </c>
      <c r="AF1001" t="n">
        <v>0.972</v>
      </c>
      <c r="AG1001" t="inlineStr">
        <is>
          <t>Low</t>
        </is>
      </c>
      <c r="AH1001" t="inlineStr">
        <is>
          <t>On Track</t>
        </is>
      </c>
    </row>
    <row r="1002">
      <c r="A1002" t="inlineStr">
        <is>
          <t>SUP-0063</t>
        </is>
      </c>
      <c r="B1002" t="inlineStr">
        <is>
          <t>Chemicals Supplier 063</t>
        </is>
      </c>
      <c r="C1002" t="inlineStr">
        <is>
          <t>Chemicals</t>
        </is>
      </c>
      <c r="D1002" t="n">
        <v>2024</v>
      </c>
      <c r="E1002" t="n">
        <v>2020</v>
      </c>
      <c r="F1002" t="n">
        <v>2030</v>
      </c>
      <c r="G1002" t="inlineStr"/>
      <c r="H1002" t="n">
        <v>8519.0365</v>
      </c>
      <c r="I1002" t="inlineStr"/>
      <c r="J1002" t="n">
        <v>20099.7406</v>
      </c>
      <c r="K1002" t="n">
        <v>30605767</v>
      </c>
      <c r="L1002" t="n">
        <v>286220134.32</v>
      </c>
      <c r="M1002" t="n">
        <v>30651.3696</v>
      </c>
      <c r="N1002" t="inlineStr">
        <is>
          <t>Spend-Based Estimate</t>
        </is>
      </c>
      <c r="O1002" t="b">
        <v>1</v>
      </c>
      <c r="P1002" t="inlineStr">
        <is>
          <t>Medium</t>
        </is>
      </c>
      <c r="Q1002" t="inlineStr">
        <is>
          <t>Reported_Emissions; Scope_Emissions</t>
        </is>
      </c>
      <c r="R1002" t="inlineStr">
        <is>
          <t>Valid</t>
        </is>
      </c>
      <c r="S1002" t="n">
        <v>2033</v>
      </c>
      <c r="T1002" t="inlineStr">
        <is>
          <t>Supplier Target Pathway</t>
        </is>
      </c>
      <c r="U1002" t="n">
        <v>23254.7308</v>
      </c>
      <c r="V1002" t="n">
        <v>11618.0635</v>
      </c>
      <c r="W1002" t="n">
        <v>11618.0635</v>
      </c>
      <c r="X1002" t="n">
        <v>11618.0635</v>
      </c>
      <c r="Y1002" t="n">
        <v>11636.6673</v>
      </c>
      <c r="Z1002" t="n">
        <v>0.0003796</v>
      </c>
      <c r="AA1002" t="n">
        <v>0.5004</v>
      </c>
      <c r="AB1002" t="n">
        <v>0</v>
      </c>
      <c r="AC1002" t="n">
        <v>1163.6667</v>
      </c>
      <c r="AD1002" t="n">
        <v>-52309.1915</v>
      </c>
      <c r="AE1002" t="n">
        <v>122017.5725</v>
      </c>
      <c r="AF1002" t="n">
        <v>0.972</v>
      </c>
      <c r="AG1002" t="inlineStr">
        <is>
          <t>Low</t>
        </is>
      </c>
      <c r="AH1002" t="inlineStr">
        <is>
          <t>On Track</t>
        </is>
      </c>
    </row>
    <row r="1003">
      <c r="A1003" t="inlineStr">
        <is>
          <t>SUP-0063</t>
        </is>
      </c>
      <c r="B1003" t="inlineStr">
        <is>
          <t>Chemicals Supplier 063</t>
        </is>
      </c>
      <c r="C1003" t="inlineStr">
        <is>
          <t>Chemicals</t>
        </is>
      </c>
      <c r="D1003" t="n">
        <v>2024</v>
      </c>
      <c r="E1003" t="n">
        <v>2020</v>
      </c>
      <c r="F1003" t="n">
        <v>2030</v>
      </c>
      <c r="G1003" t="inlineStr"/>
      <c r="H1003" t="n">
        <v>8519.0365</v>
      </c>
      <c r="I1003" t="inlineStr"/>
      <c r="J1003" t="n">
        <v>20099.7406</v>
      </c>
      <c r="K1003" t="n">
        <v>30605767</v>
      </c>
      <c r="L1003" t="n">
        <v>286220134.32</v>
      </c>
      <c r="M1003" t="n">
        <v>30651.3696</v>
      </c>
      <c r="N1003" t="inlineStr">
        <is>
          <t>Spend-Based Estimate</t>
        </is>
      </c>
      <c r="O1003" t="b">
        <v>1</v>
      </c>
      <c r="P1003" t="inlineStr">
        <is>
          <t>Medium</t>
        </is>
      </c>
      <c r="Q1003" t="inlineStr">
        <is>
          <t>Reported_Emissions; Scope_Emissions</t>
        </is>
      </c>
      <c r="R1003" t="inlineStr">
        <is>
          <t>Valid</t>
        </is>
      </c>
      <c r="S1003" t="n">
        <v>2034</v>
      </c>
      <c r="T1003" t="inlineStr">
        <is>
          <t>Supplier Target Pathway</t>
        </is>
      </c>
      <c r="U1003" t="n">
        <v>23254.7308</v>
      </c>
      <c r="V1003" t="n">
        <v>11618.0635</v>
      </c>
      <c r="W1003" t="n">
        <v>11618.0635</v>
      </c>
      <c r="X1003" t="n">
        <v>11618.0635</v>
      </c>
      <c r="Y1003" t="n">
        <v>11636.6673</v>
      </c>
      <c r="Z1003" t="n">
        <v>0.0003796</v>
      </c>
      <c r="AA1003" t="n">
        <v>0.5004</v>
      </c>
      <c r="AB1003" t="n">
        <v>0</v>
      </c>
      <c r="AC1003" t="n">
        <v>1163.6667</v>
      </c>
      <c r="AD1003" t="n">
        <v>-63927.255</v>
      </c>
      <c r="AE1003" t="n">
        <v>133635.636</v>
      </c>
      <c r="AF1003" t="n">
        <v>0.972</v>
      </c>
      <c r="AG1003" t="inlineStr">
        <is>
          <t>Low</t>
        </is>
      </c>
      <c r="AH1003" t="inlineStr">
        <is>
          <t>On Track</t>
        </is>
      </c>
    </row>
    <row r="1004">
      <c r="A1004" t="inlineStr">
        <is>
          <t>SUP-0063</t>
        </is>
      </c>
      <c r="B1004" t="inlineStr">
        <is>
          <t>Chemicals Supplier 063</t>
        </is>
      </c>
      <c r="C1004" t="inlineStr">
        <is>
          <t>Chemicals</t>
        </is>
      </c>
      <c r="D1004" t="n">
        <v>2024</v>
      </c>
      <c r="E1004" t="n">
        <v>2020</v>
      </c>
      <c r="F1004" t="n">
        <v>2030</v>
      </c>
      <c r="G1004" t="inlineStr"/>
      <c r="H1004" t="n">
        <v>8519.0365</v>
      </c>
      <c r="I1004" t="inlineStr"/>
      <c r="J1004" t="n">
        <v>20099.7406</v>
      </c>
      <c r="K1004" t="n">
        <v>30605767</v>
      </c>
      <c r="L1004" t="n">
        <v>286220134.32</v>
      </c>
      <c r="M1004" t="n">
        <v>30651.3696</v>
      </c>
      <c r="N1004" t="inlineStr">
        <is>
          <t>Spend-Based Estimate</t>
        </is>
      </c>
      <c r="O1004" t="b">
        <v>1</v>
      </c>
      <c r="P1004" t="inlineStr">
        <is>
          <t>Medium</t>
        </is>
      </c>
      <c r="Q1004" t="inlineStr">
        <is>
          <t>Reported_Emissions; Scope_Emissions</t>
        </is>
      </c>
      <c r="R1004" t="inlineStr">
        <is>
          <t>Valid</t>
        </is>
      </c>
      <c r="S1004" t="n">
        <v>2035</v>
      </c>
      <c r="T1004" t="inlineStr">
        <is>
          <t>Supplier Target Pathway</t>
        </is>
      </c>
      <c r="U1004" t="n">
        <v>23254.7308</v>
      </c>
      <c r="V1004" t="n">
        <v>11618.0635</v>
      </c>
      <c r="W1004" t="n">
        <v>11618.0635</v>
      </c>
      <c r="X1004" t="n">
        <v>11618.0635</v>
      </c>
      <c r="Y1004" t="n">
        <v>11636.6673</v>
      </c>
      <c r="Z1004" t="n">
        <v>0.0003796</v>
      </c>
      <c r="AA1004" t="n">
        <v>0.5004</v>
      </c>
      <c r="AB1004" t="n">
        <v>0</v>
      </c>
      <c r="AC1004" t="n">
        <v>1163.6667</v>
      </c>
      <c r="AD1004" t="n">
        <v>-75545.31849999999</v>
      </c>
      <c r="AE1004" t="n">
        <v>145253.6995</v>
      </c>
      <c r="AF1004" t="n">
        <v>0.972</v>
      </c>
      <c r="AG1004" t="inlineStr">
        <is>
          <t>Low</t>
        </is>
      </c>
      <c r="AH1004" t="inlineStr">
        <is>
          <t>On Track</t>
        </is>
      </c>
    </row>
    <row r="1005">
      <c r="A1005" t="inlineStr">
        <is>
          <t>SUP-0063</t>
        </is>
      </c>
      <c r="B1005" t="inlineStr">
        <is>
          <t>Chemicals Supplier 063</t>
        </is>
      </c>
      <c r="C1005" t="inlineStr">
        <is>
          <t>Chemicals</t>
        </is>
      </c>
      <c r="D1005" t="n">
        <v>2024</v>
      </c>
      <c r="E1005" t="n">
        <v>2020</v>
      </c>
      <c r="F1005" t="n">
        <v>2030</v>
      </c>
      <c r="G1005" t="inlineStr"/>
      <c r="H1005" t="n">
        <v>8519.0365</v>
      </c>
      <c r="I1005" t="inlineStr"/>
      <c r="J1005" t="n">
        <v>20099.7406</v>
      </c>
      <c r="K1005" t="n">
        <v>30605767</v>
      </c>
      <c r="L1005" t="n">
        <v>286220134.32</v>
      </c>
      <c r="M1005" t="n">
        <v>30651.3696</v>
      </c>
      <c r="N1005" t="inlineStr">
        <is>
          <t>Spend-Based Estimate</t>
        </is>
      </c>
      <c r="O1005" t="b">
        <v>1</v>
      </c>
      <c r="P1005" t="inlineStr">
        <is>
          <t>Medium</t>
        </is>
      </c>
      <c r="Q1005" t="inlineStr">
        <is>
          <t>Reported_Emissions; Scope_Emissions</t>
        </is>
      </c>
      <c r="R1005" t="inlineStr">
        <is>
          <t>Valid</t>
        </is>
      </c>
      <c r="S1005" t="n">
        <v>2036</v>
      </c>
      <c r="T1005" t="inlineStr">
        <is>
          <t>Supplier Target Pathway</t>
        </is>
      </c>
      <c r="U1005" t="n">
        <v>23254.7308</v>
      </c>
      <c r="V1005" t="n">
        <v>11618.0635</v>
      </c>
      <c r="W1005" t="n">
        <v>11618.0635</v>
      </c>
      <c r="X1005" t="n">
        <v>11618.0635</v>
      </c>
      <c r="Y1005" t="n">
        <v>11636.6673</v>
      </c>
      <c r="Z1005" t="n">
        <v>0.0003796</v>
      </c>
      <c r="AA1005" t="n">
        <v>0.5004</v>
      </c>
      <c r="AB1005" t="n">
        <v>0</v>
      </c>
      <c r="AC1005" t="n">
        <v>1163.6667</v>
      </c>
      <c r="AD1005" t="n">
        <v>-87163.382</v>
      </c>
      <c r="AE1005" t="n">
        <v>156871.763</v>
      </c>
      <c r="AF1005" t="n">
        <v>0.972</v>
      </c>
      <c r="AG1005" t="inlineStr">
        <is>
          <t>Low</t>
        </is>
      </c>
      <c r="AH1005" t="inlineStr">
        <is>
          <t>On Track</t>
        </is>
      </c>
    </row>
    <row r="1006">
      <c r="A1006" t="inlineStr">
        <is>
          <t>SUP-0063</t>
        </is>
      </c>
      <c r="B1006" t="inlineStr">
        <is>
          <t>Chemicals Supplier 063</t>
        </is>
      </c>
      <c r="C1006" t="inlineStr">
        <is>
          <t>Chemicals</t>
        </is>
      </c>
      <c r="D1006" t="n">
        <v>2024</v>
      </c>
      <c r="E1006" t="n">
        <v>2020</v>
      </c>
      <c r="F1006" t="n">
        <v>2030</v>
      </c>
      <c r="G1006" t="inlineStr"/>
      <c r="H1006" t="n">
        <v>8519.0365</v>
      </c>
      <c r="I1006" t="inlineStr"/>
      <c r="J1006" t="n">
        <v>20099.7406</v>
      </c>
      <c r="K1006" t="n">
        <v>30605767</v>
      </c>
      <c r="L1006" t="n">
        <v>286220134.32</v>
      </c>
      <c r="M1006" t="n">
        <v>30651.3696</v>
      </c>
      <c r="N1006" t="inlineStr">
        <is>
          <t>Spend-Based Estimate</t>
        </is>
      </c>
      <c r="O1006" t="b">
        <v>1</v>
      </c>
      <c r="P1006" t="inlineStr">
        <is>
          <t>Medium</t>
        </is>
      </c>
      <c r="Q1006" t="inlineStr">
        <is>
          <t>Reported_Emissions; Scope_Emissions</t>
        </is>
      </c>
      <c r="R1006" t="inlineStr">
        <is>
          <t>Valid</t>
        </is>
      </c>
      <c r="S1006" t="n">
        <v>2037</v>
      </c>
      <c r="T1006" t="inlineStr">
        <is>
          <t>Supplier Target Pathway</t>
        </is>
      </c>
      <c r="U1006" t="n">
        <v>23254.7308</v>
      </c>
      <c r="V1006" t="n">
        <v>11618.0635</v>
      </c>
      <c r="W1006" t="n">
        <v>11618.0635</v>
      </c>
      <c r="X1006" t="n">
        <v>11618.0635</v>
      </c>
      <c r="Y1006" t="n">
        <v>11636.6673</v>
      </c>
      <c r="Z1006" t="n">
        <v>0.0003796</v>
      </c>
      <c r="AA1006" t="n">
        <v>0.5004</v>
      </c>
      <c r="AB1006" t="n">
        <v>0</v>
      </c>
      <c r="AC1006" t="n">
        <v>1163.6667</v>
      </c>
      <c r="AD1006" t="n">
        <v>-98781.4455</v>
      </c>
      <c r="AE1006" t="n">
        <v>168489.8265</v>
      </c>
      <c r="AF1006" t="n">
        <v>0.972</v>
      </c>
      <c r="AG1006" t="inlineStr">
        <is>
          <t>Low</t>
        </is>
      </c>
      <c r="AH1006" t="inlineStr">
        <is>
          <t>On Track</t>
        </is>
      </c>
    </row>
    <row r="1007">
      <c r="A1007" t="inlineStr">
        <is>
          <t>SUP-0063</t>
        </is>
      </c>
      <c r="B1007" t="inlineStr">
        <is>
          <t>Chemicals Supplier 063</t>
        </is>
      </c>
      <c r="C1007" t="inlineStr">
        <is>
          <t>Chemicals</t>
        </is>
      </c>
      <c r="D1007" t="n">
        <v>2024</v>
      </c>
      <c r="E1007" t="n">
        <v>2020</v>
      </c>
      <c r="F1007" t="n">
        <v>2030</v>
      </c>
      <c r="G1007" t="inlineStr"/>
      <c r="H1007" t="n">
        <v>8519.0365</v>
      </c>
      <c r="I1007" t="inlineStr"/>
      <c r="J1007" t="n">
        <v>20099.7406</v>
      </c>
      <c r="K1007" t="n">
        <v>30605767</v>
      </c>
      <c r="L1007" t="n">
        <v>286220134.32</v>
      </c>
      <c r="M1007" t="n">
        <v>30651.3696</v>
      </c>
      <c r="N1007" t="inlineStr">
        <is>
          <t>Spend-Based Estimate</t>
        </is>
      </c>
      <c r="O1007" t="b">
        <v>1</v>
      </c>
      <c r="P1007" t="inlineStr">
        <is>
          <t>Medium</t>
        </is>
      </c>
      <c r="Q1007" t="inlineStr">
        <is>
          <t>Reported_Emissions; Scope_Emissions</t>
        </is>
      </c>
      <c r="R1007" t="inlineStr">
        <is>
          <t>Valid</t>
        </is>
      </c>
      <c r="S1007" t="n">
        <v>2038</v>
      </c>
      <c r="T1007" t="inlineStr">
        <is>
          <t>Supplier Target Pathway</t>
        </is>
      </c>
      <c r="U1007" t="n">
        <v>23254.7308</v>
      </c>
      <c r="V1007" t="n">
        <v>11618.0635</v>
      </c>
      <c r="W1007" t="n">
        <v>11618.0635</v>
      </c>
      <c r="X1007" t="n">
        <v>11618.0635</v>
      </c>
      <c r="Y1007" t="n">
        <v>11636.6673</v>
      </c>
      <c r="Z1007" t="n">
        <v>0.0003796</v>
      </c>
      <c r="AA1007" t="n">
        <v>0.5004</v>
      </c>
      <c r="AB1007" t="n">
        <v>0</v>
      </c>
      <c r="AC1007" t="n">
        <v>1163.6667</v>
      </c>
      <c r="AD1007" t="n">
        <v>-110399.509</v>
      </c>
      <c r="AE1007" t="n">
        <v>180107.89</v>
      </c>
      <c r="AF1007" t="n">
        <v>0.972</v>
      </c>
      <c r="AG1007" t="inlineStr">
        <is>
          <t>Low</t>
        </is>
      </c>
      <c r="AH1007" t="inlineStr">
        <is>
          <t>On Track</t>
        </is>
      </c>
    </row>
    <row r="1008">
      <c r="A1008" t="inlineStr">
        <is>
          <t>SUP-0063</t>
        </is>
      </c>
      <c r="B1008" t="inlineStr">
        <is>
          <t>Chemicals Supplier 063</t>
        </is>
      </c>
      <c r="C1008" t="inlineStr">
        <is>
          <t>Chemicals</t>
        </is>
      </c>
      <c r="D1008" t="n">
        <v>2024</v>
      </c>
      <c r="E1008" t="n">
        <v>2020</v>
      </c>
      <c r="F1008" t="n">
        <v>2030</v>
      </c>
      <c r="G1008" t="inlineStr"/>
      <c r="H1008" t="n">
        <v>8519.0365</v>
      </c>
      <c r="I1008" t="inlineStr"/>
      <c r="J1008" t="n">
        <v>20099.7406</v>
      </c>
      <c r="K1008" t="n">
        <v>30605767</v>
      </c>
      <c r="L1008" t="n">
        <v>286220134.32</v>
      </c>
      <c r="M1008" t="n">
        <v>30651.3696</v>
      </c>
      <c r="N1008" t="inlineStr">
        <is>
          <t>Spend-Based Estimate</t>
        </is>
      </c>
      <c r="O1008" t="b">
        <v>1</v>
      </c>
      <c r="P1008" t="inlineStr">
        <is>
          <t>Medium</t>
        </is>
      </c>
      <c r="Q1008" t="inlineStr">
        <is>
          <t>Reported_Emissions; Scope_Emissions</t>
        </is>
      </c>
      <c r="R1008" t="inlineStr">
        <is>
          <t>Valid</t>
        </is>
      </c>
      <c r="S1008" t="n">
        <v>2039</v>
      </c>
      <c r="T1008" t="inlineStr">
        <is>
          <t>Supplier Target Pathway</t>
        </is>
      </c>
      <c r="U1008" t="n">
        <v>23254.7308</v>
      </c>
      <c r="V1008" t="n">
        <v>11618.0635</v>
      </c>
      <c r="W1008" t="n">
        <v>11618.0635</v>
      </c>
      <c r="X1008" t="n">
        <v>11618.0635</v>
      </c>
      <c r="Y1008" t="n">
        <v>11636.6673</v>
      </c>
      <c r="Z1008" t="n">
        <v>0.0003796</v>
      </c>
      <c r="AA1008" t="n">
        <v>0.5004</v>
      </c>
      <c r="AB1008" t="n">
        <v>0</v>
      </c>
      <c r="AC1008" t="n">
        <v>1163.6667</v>
      </c>
      <c r="AD1008" t="n">
        <v>-122017.5725</v>
      </c>
      <c r="AE1008" t="n">
        <v>191725.9535</v>
      </c>
      <c r="AF1008" t="n">
        <v>0.972</v>
      </c>
      <c r="AG1008" t="inlineStr">
        <is>
          <t>Low</t>
        </is>
      </c>
      <c r="AH1008" t="inlineStr">
        <is>
          <t>On Track</t>
        </is>
      </c>
    </row>
    <row r="1009">
      <c r="A1009" t="inlineStr">
        <is>
          <t>SUP-0063</t>
        </is>
      </c>
      <c r="B1009" t="inlineStr">
        <is>
          <t>Chemicals Supplier 063</t>
        </is>
      </c>
      <c r="C1009" t="inlineStr">
        <is>
          <t>Chemicals</t>
        </is>
      </c>
      <c r="D1009" t="n">
        <v>2024</v>
      </c>
      <c r="E1009" t="n">
        <v>2020</v>
      </c>
      <c r="F1009" t="n">
        <v>2030</v>
      </c>
      <c r="G1009" t="inlineStr"/>
      <c r="H1009" t="n">
        <v>8519.0365</v>
      </c>
      <c r="I1009" t="inlineStr"/>
      <c r="J1009" t="n">
        <v>20099.7406</v>
      </c>
      <c r="K1009" t="n">
        <v>30605767</v>
      </c>
      <c r="L1009" t="n">
        <v>286220134.32</v>
      </c>
      <c r="M1009" t="n">
        <v>30651.3696</v>
      </c>
      <c r="N1009" t="inlineStr">
        <is>
          <t>Spend-Based Estimate</t>
        </is>
      </c>
      <c r="O1009" t="b">
        <v>1</v>
      </c>
      <c r="P1009" t="inlineStr">
        <is>
          <t>Medium</t>
        </is>
      </c>
      <c r="Q1009" t="inlineStr">
        <is>
          <t>Reported_Emissions; Scope_Emissions</t>
        </is>
      </c>
      <c r="R1009" t="inlineStr">
        <is>
          <t>Valid</t>
        </is>
      </c>
      <c r="S1009" t="n">
        <v>2040</v>
      </c>
      <c r="T1009" t="inlineStr">
        <is>
          <t>Supplier Target Pathway</t>
        </is>
      </c>
      <c r="U1009" t="n">
        <v>23254.7308</v>
      </c>
      <c r="V1009" t="n">
        <v>11618.0635</v>
      </c>
      <c r="W1009" t="n">
        <v>11618.0635</v>
      </c>
      <c r="X1009" t="n">
        <v>11618.0635</v>
      </c>
      <c r="Y1009" t="n">
        <v>11636.6673</v>
      </c>
      <c r="Z1009" t="n">
        <v>0.0003796</v>
      </c>
      <c r="AA1009" t="n">
        <v>0.5004</v>
      </c>
      <c r="AB1009" t="n">
        <v>0</v>
      </c>
      <c r="AC1009" t="n">
        <v>1163.6667</v>
      </c>
      <c r="AD1009" t="n">
        <v>-133635.636</v>
      </c>
      <c r="AE1009" t="n">
        <v>203344.017</v>
      </c>
      <c r="AF1009" t="n">
        <v>0.972</v>
      </c>
      <c r="AG1009" t="inlineStr">
        <is>
          <t>Low</t>
        </is>
      </c>
      <c r="AH1009" t="inlineStr">
        <is>
          <t>On Track</t>
        </is>
      </c>
    </row>
    <row r="1010">
      <c r="A1010" t="inlineStr">
        <is>
          <t>SUP-0064</t>
        </is>
      </c>
      <c r="B1010" t="inlineStr">
        <is>
          <t>Metals Supplier 064</t>
        </is>
      </c>
      <c r="C1010" t="inlineStr">
        <is>
          <t>Metals</t>
        </is>
      </c>
      <c r="D1010" t="n">
        <v>2024</v>
      </c>
      <c r="E1010" t="n">
        <v>2015</v>
      </c>
      <c r="F1010" t="n">
        <v>2030</v>
      </c>
      <c r="G1010" t="n">
        <v>18512.3188</v>
      </c>
      <c r="H1010" t="n">
        <v>2048.6314</v>
      </c>
      <c r="I1010" t="n">
        <v>3300.836</v>
      </c>
      <c r="J1010" t="n">
        <v>11675.9642</v>
      </c>
      <c r="K1010" t="n">
        <v>19059648.02</v>
      </c>
      <c r="L1010" t="n">
        <v>199927239.31</v>
      </c>
      <c r="M1010" t="n">
        <v>18512.3188</v>
      </c>
      <c r="N1010" t="inlineStr">
        <is>
          <t>Supplier Reported Emissions</t>
        </is>
      </c>
      <c r="O1010" t="b">
        <v>0</v>
      </c>
      <c r="P1010" t="inlineStr">
        <is>
          <t>High</t>
        </is>
      </c>
      <c r="Q1010" t="inlineStr">
        <is>
          <t>None</t>
        </is>
      </c>
      <c r="R1010" t="inlineStr">
        <is>
          <t>Valid</t>
        </is>
      </c>
      <c r="S1010" t="n">
        <v>2025</v>
      </c>
      <c r="T1010" t="inlineStr">
        <is>
          <t>Industry Haircut Pathway</t>
        </is>
      </c>
      <c r="U1010" t="n">
        <v>100457.0157</v>
      </c>
      <c r="V1010" t="n">
        <v>61760.9733</v>
      </c>
      <c r="W1010" t="n">
        <v>74659.6541</v>
      </c>
      <c r="X1010" t="n">
        <v>74659.6541</v>
      </c>
      <c r="Y1010" t="n">
        <v>25797.3616</v>
      </c>
      <c r="Z1010" t="n">
        <v>0.00391716</v>
      </c>
      <c r="AA1010" t="n">
        <v>0.2568</v>
      </c>
      <c r="AB1010" t="n">
        <v>12898.6808</v>
      </c>
      <c r="AC1010" t="n">
        <v>2579.7362</v>
      </c>
      <c r="AD1010" t="n">
        <v>295906.1857</v>
      </c>
      <c r="AE1010" t="n">
        <v>74659.6541</v>
      </c>
      <c r="AF1010" t="n">
        <v>0.883</v>
      </c>
      <c r="AG1010" t="inlineStr">
        <is>
          <t>High</t>
        </is>
      </c>
      <c r="AH1010" t="inlineStr">
        <is>
          <t>On Track to Glide Path</t>
        </is>
      </c>
    </row>
    <row r="1011">
      <c r="A1011" t="inlineStr">
        <is>
          <t>SUP-0064</t>
        </is>
      </c>
      <c r="B1011" t="inlineStr">
        <is>
          <t>Metals Supplier 064</t>
        </is>
      </c>
      <c r="C1011" t="inlineStr">
        <is>
          <t>Metals</t>
        </is>
      </c>
      <c r="D1011" t="n">
        <v>2024</v>
      </c>
      <c r="E1011" t="n">
        <v>2015</v>
      </c>
      <c r="F1011" t="n">
        <v>2030</v>
      </c>
      <c r="G1011" t="n">
        <v>18512.3188</v>
      </c>
      <c r="H1011" t="n">
        <v>2048.6314</v>
      </c>
      <c r="I1011" t="n">
        <v>3300.836</v>
      </c>
      <c r="J1011" t="n">
        <v>11675.9642</v>
      </c>
      <c r="K1011" t="n">
        <v>19059648.02</v>
      </c>
      <c r="L1011" t="n">
        <v>199927239.31</v>
      </c>
      <c r="M1011" t="n">
        <v>18512.3188</v>
      </c>
      <c r="N1011" t="inlineStr">
        <is>
          <t>Supplier Reported Emissions</t>
        </is>
      </c>
      <c r="O1011" t="b">
        <v>0</v>
      </c>
      <c r="P1011" t="inlineStr">
        <is>
          <t>High</t>
        </is>
      </c>
      <c r="Q1011" t="inlineStr">
        <is>
          <t>None</t>
        </is>
      </c>
      <c r="R1011" t="inlineStr">
        <is>
          <t>Valid</t>
        </is>
      </c>
      <c r="S1011" t="n">
        <v>2026</v>
      </c>
      <c r="T1011" t="inlineStr">
        <is>
          <t>Industry Haircut Pathway</t>
        </is>
      </c>
      <c r="U1011" t="n">
        <v>100457.0157</v>
      </c>
      <c r="V1011" t="n">
        <v>61760.9733</v>
      </c>
      <c r="W1011" t="n">
        <v>72079.9179</v>
      </c>
      <c r="X1011" t="n">
        <v>72079.9179</v>
      </c>
      <c r="Y1011" t="n">
        <v>28377.0978</v>
      </c>
      <c r="Z1011" t="n">
        <v>0.00378181</v>
      </c>
      <c r="AA1011" t="n">
        <v>0.28248</v>
      </c>
      <c r="AB1011" t="n">
        <v>10318.9447</v>
      </c>
      <c r="AC1011" t="n">
        <v>2579.7362</v>
      </c>
      <c r="AD1011" t="n">
        <v>223826.2678</v>
      </c>
      <c r="AE1011" t="n">
        <v>146739.572</v>
      </c>
      <c r="AF1011" t="n">
        <v>0.883</v>
      </c>
      <c r="AG1011" t="inlineStr">
        <is>
          <t>High</t>
        </is>
      </c>
      <c r="AH1011" t="inlineStr">
        <is>
          <t>On Track to Glide Path</t>
        </is>
      </c>
    </row>
    <row r="1012">
      <c r="A1012" t="inlineStr">
        <is>
          <t>SUP-0064</t>
        </is>
      </c>
      <c r="B1012" t="inlineStr">
        <is>
          <t>Metals Supplier 064</t>
        </is>
      </c>
      <c r="C1012" t="inlineStr">
        <is>
          <t>Metals</t>
        </is>
      </c>
      <c r="D1012" t="n">
        <v>2024</v>
      </c>
      <c r="E1012" t="n">
        <v>2015</v>
      </c>
      <c r="F1012" t="n">
        <v>2030</v>
      </c>
      <c r="G1012" t="n">
        <v>18512.3188</v>
      </c>
      <c r="H1012" t="n">
        <v>2048.6314</v>
      </c>
      <c r="I1012" t="n">
        <v>3300.836</v>
      </c>
      <c r="J1012" t="n">
        <v>11675.9642</v>
      </c>
      <c r="K1012" t="n">
        <v>19059648.02</v>
      </c>
      <c r="L1012" t="n">
        <v>199927239.31</v>
      </c>
      <c r="M1012" t="n">
        <v>18512.3188</v>
      </c>
      <c r="N1012" t="inlineStr">
        <is>
          <t>Supplier Reported Emissions</t>
        </is>
      </c>
      <c r="O1012" t="b">
        <v>0</v>
      </c>
      <c r="P1012" t="inlineStr">
        <is>
          <t>High</t>
        </is>
      </c>
      <c r="Q1012" t="inlineStr">
        <is>
          <t>None</t>
        </is>
      </c>
      <c r="R1012" t="inlineStr">
        <is>
          <t>Valid</t>
        </is>
      </c>
      <c r="S1012" t="n">
        <v>2027</v>
      </c>
      <c r="T1012" t="inlineStr">
        <is>
          <t>Industry Haircut Pathway</t>
        </is>
      </c>
      <c r="U1012" t="n">
        <v>100457.0157</v>
      </c>
      <c r="V1012" t="n">
        <v>61760.9733</v>
      </c>
      <c r="W1012" t="n">
        <v>69500.1817</v>
      </c>
      <c r="X1012" t="n">
        <v>69500.1817</v>
      </c>
      <c r="Y1012" t="n">
        <v>30956.834</v>
      </c>
      <c r="Z1012" t="n">
        <v>0.00364646</v>
      </c>
      <c r="AA1012" t="n">
        <v>0.30816</v>
      </c>
      <c r="AB1012" t="n">
        <v>7739.2085</v>
      </c>
      <c r="AC1012" t="n">
        <v>2579.7362</v>
      </c>
      <c r="AD1012" t="n">
        <v>154326.0861</v>
      </c>
      <c r="AE1012" t="n">
        <v>216239.7537</v>
      </c>
      <c r="AF1012" t="n">
        <v>0.883</v>
      </c>
      <c r="AG1012" t="inlineStr">
        <is>
          <t>Medium</t>
        </is>
      </c>
      <c r="AH1012" t="inlineStr">
        <is>
          <t>On Track to Glide Path</t>
        </is>
      </c>
    </row>
    <row r="1013">
      <c r="A1013" t="inlineStr">
        <is>
          <t>SUP-0064</t>
        </is>
      </c>
      <c r="B1013" t="inlineStr">
        <is>
          <t>Metals Supplier 064</t>
        </is>
      </c>
      <c r="C1013" t="inlineStr">
        <is>
          <t>Metals</t>
        </is>
      </c>
      <c r="D1013" t="n">
        <v>2024</v>
      </c>
      <c r="E1013" t="n">
        <v>2015</v>
      </c>
      <c r="F1013" t="n">
        <v>2030</v>
      </c>
      <c r="G1013" t="n">
        <v>18512.3188</v>
      </c>
      <c r="H1013" t="n">
        <v>2048.6314</v>
      </c>
      <c r="I1013" t="n">
        <v>3300.836</v>
      </c>
      <c r="J1013" t="n">
        <v>11675.9642</v>
      </c>
      <c r="K1013" t="n">
        <v>19059648.02</v>
      </c>
      <c r="L1013" t="n">
        <v>199927239.31</v>
      </c>
      <c r="M1013" t="n">
        <v>18512.3188</v>
      </c>
      <c r="N1013" t="inlineStr">
        <is>
          <t>Supplier Reported Emissions</t>
        </is>
      </c>
      <c r="O1013" t="b">
        <v>0</v>
      </c>
      <c r="P1013" t="inlineStr">
        <is>
          <t>High</t>
        </is>
      </c>
      <c r="Q1013" t="inlineStr">
        <is>
          <t>None</t>
        </is>
      </c>
      <c r="R1013" t="inlineStr">
        <is>
          <t>Valid</t>
        </is>
      </c>
      <c r="S1013" t="n">
        <v>2028</v>
      </c>
      <c r="T1013" t="inlineStr">
        <is>
          <t>Industry Haircut Pathway</t>
        </is>
      </c>
      <c r="U1013" t="n">
        <v>100457.0157</v>
      </c>
      <c r="V1013" t="n">
        <v>61760.9733</v>
      </c>
      <c r="W1013" t="n">
        <v>66920.44560000001</v>
      </c>
      <c r="X1013" t="n">
        <v>66920.44560000001</v>
      </c>
      <c r="Y1013" t="n">
        <v>33536.5701</v>
      </c>
      <c r="Z1013" t="n">
        <v>0.00351111</v>
      </c>
      <c r="AA1013" t="n">
        <v>0.33384</v>
      </c>
      <c r="AB1013" t="n">
        <v>5159.4723</v>
      </c>
      <c r="AC1013" t="n">
        <v>2579.7362</v>
      </c>
      <c r="AD1013" t="n">
        <v>87405.64049999999</v>
      </c>
      <c r="AE1013" t="n">
        <v>283160.1993</v>
      </c>
      <c r="AF1013" t="n">
        <v>0.883</v>
      </c>
      <c r="AG1013" t="inlineStr">
        <is>
          <t>Medium</t>
        </is>
      </c>
      <c r="AH1013" t="inlineStr">
        <is>
          <t>On Track to Glide Path</t>
        </is>
      </c>
    </row>
    <row r="1014">
      <c r="A1014" t="inlineStr">
        <is>
          <t>SUP-0064</t>
        </is>
      </c>
      <c r="B1014" t="inlineStr">
        <is>
          <t>Metals Supplier 064</t>
        </is>
      </c>
      <c r="C1014" t="inlineStr">
        <is>
          <t>Metals</t>
        </is>
      </c>
      <c r="D1014" t="n">
        <v>2024</v>
      </c>
      <c r="E1014" t="n">
        <v>2015</v>
      </c>
      <c r="F1014" t="n">
        <v>2030</v>
      </c>
      <c r="G1014" t="n">
        <v>18512.3188</v>
      </c>
      <c r="H1014" t="n">
        <v>2048.6314</v>
      </c>
      <c r="I1014" t="n">
        <v>3300.836</v>
      </c>
      <c r="J1014" t="n">
        <v>11675.9642</v>
      </c>
      <c r="K1014" t="n">
        <v>19059648.02</v>
      </c>
      <c r="L1014" t="n">
        <v>199927239.31</v>
      </c>
      <c r="M1014" t="n">
        <v>18512.3188</v>
      </c>
      <c r="N1014" t="inlineStr">
        <is>
          <t>Supplier Reported Emissions</t>
        </is>
      </c>
      <c r="O1014" t="b">
        <v>0</v>
      </c>
      <c r="P1014" t="inlineStr">
        <is>
          <t>High</t>
        </is>
      </c>
      <c r="Q1014" t="inlineStr">
        <is>
          <t>None</t>
        </is>
      </c>
      <c r="R1014" t="inlineStr">
        <is>
          <t>Valid</t>
        </is>
      </c>
      <c r="S1014" t="n">
        <v>2029</v>
      </c>
      <c r="T1014" t="inlineStr">
        <is>
          <t>Industry Haircut Pathway</t>
        </is>
      </c>
      <c r="U1014" t="n">
        <v>100457.0157</v>
      </c>
      <c r="V1014" t="n">
        <v>61760.9733</v>
      </c>
      <c r="W1014" t="n">
        <v>64340.7094</v>
      </c>
      <c r="X1014" t="n">
        <v>64340.7094</v>
      </c>
      <c r="Y1014" t="n">
        <v>36116.3063</v>
      </c>
      <c r="Z1014" t="n">
        <v>0.00337576</v>
      </c>
      <c r="AA1014" t="n">
        <v>0.35952</v>
      </c>
      <c r="AB1014" t="n">
        <v>2579.7362</v>
      </c>
      <c r="AC1014" t="n">
        <v>2579.7362</v>
      </c>
      <c r="AD1014" t="n">
        <v>23064.9311</v>
      </c>
      <c r="AE1014" t="n">
        <v>347500.9087</v>
      </c>
      <c r="AF1014" t="n">
        <v>0.883</v>
      </c>
      <c r="AG1014" t="inlineStr">
        <is>
          <t>Medium</t>
        </is>
      </c>
      <c r="AH1014" t="inlineStr">
        <is>
          <t>On Track to Glide Path</t>
        </is>
      </c>
    </row>
    <row r="1015">
      <c r="A1015" t="inlineStr">
        <is>
          <t>SUP-0064</t>
        </is>
      </c>
      <c r="B1015" t="inlineStr">
        <is>
          <t>Metals Supplier 064</t>
        </is>
      </c>
      <c r="C1015" t="inlineStr">
        <is>
          <t>Metals</t>
        </is>
      </c>
      <c r="D1015" t="n">
        <v>2024</v>
      </c>
      <c r="E1015" t="n">
        <v>2015</v>
      </c>
      <c r="F1015" t="n">
        <v>2030</v>
      </c>
      <c r="G1015" t="n">
        <v>18512.3188</v>
      </c>
      <c r="H1015" t="n">
        <v>2048.6314</v>
      </c>
      <c r="I1015" t="n">
        <v>3300.836</v>
      </c>
      <c r="J1015" t="n">
        <v>11675.9642</v>
      </c>
      <c r="K1015" t="n">
        <v>19059648.02</v>
      </c>
      <c r="L1015" t="n">
        <v>199927239.31</v>
      </c>
      <c r="M1015" t="n">
        <v>18512.3188</v>
      </c>
      <c r="N1015" t="inlineStr">
        <is>
          <t>Supplier Reported Emissions</t>
        </is>
      </c>
      <c r="O1015" t="b">
        <v>0</v>
      </c>
      <c r="P1015" t="inlineStr">
        <is>
          <t>High</t>
        </is>
      </c>
      <c r="Q1015" t="inlineStr">
        <is>
          <t>None</t>
        </is>
      </c>
      <c r="R1015" t="inlineStr">
        <is>
          <t>Valid</t>
        </is>
      </c>
      <c r="S1015" t="n">
        <v>2030</v>
      </c>
      <c r="T1015" t="inlineStr">
        <is>
          <t>Industry Haircut Pathway</t>
        </is>
      </c>
      <c r="U1015" t="n">
        <v>100457.0157</v>
      </c>
      <c r="V1015" t="n">
        <v>61760.9733</v>
      </c>
      <c r="W1015" t="n">
        <v>61760.9733</v>
      </c>
      <c r="X1015" t="n">
        <v>61760.9733</v>
      </c>
      <c r="Y1015" t="n">
        <v>38696.0424</v>
      </c>
      <c r="Z1015" t="n">
        <v>0.0032404</v>
      </c>
      <c r="AA1015" t="n">
        <v>0.3852</v>
      </c>
      <c r="AB1015" t="n">
        <v>0</v>
      </c>
      <c r="AC1015" t="n">
        <v>2579.7362</v>
      </c>
      <c r="AD1015" t="n">
        <v>-38696.0422</v>
      </c>
      <c r="AE1015" t="n">
        <v>409261.882</v>
      </c>
      <c r="AF1015" t="n">
        <v>0.883</v>
      </c>
      <c r="AG1015" t="inlineStr">
        <is>
          <t>Low</t>
        </is>
      </c>
      <c r="AH1015" t="inlineStr">
        <is>
          <t>On Track</t>
        </is>
      </c>
    </row>
    <row r="1016">
      <c r="A1016" t="inlineStr">
        <is>
          <t>SUP-0064</t>
        </is>
      </c>
      <c r="B1016" t="inlineStr">
        <is>
          <t>Metals Supplier 064</t>
        </is>
      </c>
      <c r="C1016" t="inlineStr">
        <is>
          <t>Metals</t>
        </is>
      </c>
      <c r="D1016" t="n">
        <v>2024</v>
      </c>
      <c r="E1016" t="n">
        <v>2015</v>
      </c>
      <c r="F1016" t="n">
        <v>2030</v>
      </c>
      <c r="G1016" t="n">
        <v>18512.3188</v>
      </c>
      <c r="H1016" t="n">
        <v>2048.6314</v>
      </c>
      <c r="I1016" t="n">
        <v>3300.836</v>
      </c>
      <c r="J1016" t="n">
        <v>11675.9642</v>
      </c>
      <c r="K1016" t="n">
        <v>19059648.02</v>
      </c>
      <c r="L1016" t="n">
        <v>199927239.31</v>
      </c>
      <c r="M1016" t="n">
        <v>18512.3188</v>
      </c>
      <c r="N1016" t="inlineStr">
        <is>
          <t>Supplier Reported Emissions</t>
        </is>
      </c>
      <c r="O1016" t="b">
        <v>0</v>
      </c>
      <c r="P1016" t="inlineStr">
        <is>
          <t>High</t>
        </is>
      </c>
      <c r="Q1016" t="inlineStr">
        <is>
          <t>None</t>
        </is>
      </c>
      <c r="R1016" t="inlineStr">
        <is>
          <t>Valid</t>
        </is>
      </c>
      <c r="S1016" t="n">
        <v>2031</v>
      </c>
      <c r="T1016" t="inlineStr">
        <is>
          <t>Industry Haircut Pathway</t>
        </is>
      </c>
      <c r="U1016" t="n">
        <v>100457.0157</v>
      </c>
      <c r="V1016" t="n">
        <v>61760.9733</v>
      </c>
      <c r="W1016" t="n">
        <v>61760.9733</v>
      </c>
      <c r="X1016" t="n">
        <v>61760.9733</v>
      </c>
      <c r="Y1016" t="n">
        <v>38696.0424</v>
      </c>
      <c r="Z1016" t="n">
        <v>0.0032404</v>
      </c>
      <c r="AA1016" t="n">
        <v>0.3852</v>
      </c>
      <c r="AB1016" t="n">
        <v>0</v>
      </c>
      <c r="AC1016" t="n">
        <v>2579.7362</v>
      </c>
      <c r="AD1016" t="n">
        <v>-100457.0155</v>
      </c>
      <c r="AE1016" t="n">
        <v>471022.8553</v>
      </c>
      <c r="AF1016" t="n">
        <v>0.883</v>
      </c>
      <c r="AG1016" t="inlineStr">
        <is>
          <t>Low</t>
        </is>
      </c>
      <c r="AH1016" t="inlineStr">
        <is>
          <t>On Track</t>
        </is>
      </c>
    </row>
    <row r="1017">
      <c r="A1017" t="inlineStr">
        <is>
          <t>SUP-0064</t>
        </is>
      </c>
      <c r="B1017" t="inlineStr">
        <is>
          <t>Metals Supplier 064</t>
        </is>
      </c>
      <c r="C1017" t="inlineStr">
        <is>
          <t>Metals</t>
        </is>
      </c>
      <c r="D1017" t="n">
        <v>2024</v>
      </c>
      <c r="E1017" t="n">
        <v>2015</v>
      </c>
      <c r="F1017" t="n">
        <v>2030</v>
      </c>
      <c r="G1017" t="n">
        <v>18512.3188</v>
      </c>
      <c r="H1017" t="n">
        <v>2048.6314</v>
      </c>
      <c r="I1017" t="n">
        <v>3300.836</v>
      </c>
      <c r="J1017" t="n">
        <v>11675.9642</v>
      </c>
      <c r="K1017" t="n">
        <v>19059648.02</v>
      </c>
      <c r="L1017" t="n">
        <v>199927239.31</v>
      </c>
      <c r="M1017" t="n">
        <v>18512.3188</v>
      </c>
      <c r="N1017" t="inlineStr">
        <is>
          <t>Supplier Reported Emissions</t>
        </is>
      </c>
      <c r="O1017" t="b">
        <v>0</v>
      </c>
      <c r="P1017" t="inlineStr">
        <is>
          <t>High</t>
        </is>
      </c>
      <c r="Q1017" t="inlineStr">
        <is>
          <t>None</t>
        </is>
      </c>
      <c r="R1017" t="inlineStr">
        <is>
          <t>Valid</t>
        </is>
      </c>
      <c r="S1017" t="n">
        <v>2032</v>
      </c>
      <c r="T1017" t="inlineStr">
        <is>
          <t>Industry Haircut Pathway</t>
        </is>
      </c>
      <c r="U1017" t="n">
        <v>100457.0157</v>
      </c>
      <c r="V1017" t="n">
        <v>61760.9733</v>
      </c>
      <c r="W1017" t="n">
        <v>61760.9733</v>
      </c>
      <c r="X1017" t="n">
        <v>61760.9733</v>
      </c>
      <c r="Y1017" t="n">
        <v>38696.0424</v>
      </c>
      <c r="Z1017" t="n">
        <v>0.0032404</v>
      </c>
      <c r="AA1017" t="n">
        <v>0.3852</v>
      </c>
      <c r="AB1017" t="n">
        <v>0</v>
      </c>
      <c r="AC1017" t="n">
        <v>2579.7362</v>
      </c>
      <c r="AD1017" t="n">
        <v>-162217.9888</v>
      </c>
      <c r="AE1017" t="n">
        <v>532783.8286</v>
      </c>
      <c r="AF1017" t="n">
        <v>0.883</v>
      </c>
      <c r="AG1017" t="inlineStr">
        <is>
          <t>Low</t>
        </is>
      </c>
      <c r="AH1017" t="inlineStr">
        <is>
          <t>On Track</t>
        </is>
      </c>
    </row>
    <row r="1018">
      <c r="A1018" t="inlineStr">
        <is>
          <t>SUP-0064</t>
        </is>
      </c>
      <c r="B1018" t="inlineStr">
        <is>
          <t>Metals Supplier 064</t>
        </is>
      </c>
      <c r="C1018" t="inlineStr">
        <is>
          <t>Metals</t>
        </is>
      </c>
      <c r="D1018" t="n">
        <v>2024</v>
      </c>
      <c r="E1018" t="n">
        <v>2015</v>
      </c>
      <c r="F1018" t="n">
        <v>2030</v>
      </c>
      <c r="G1018" t="n">
        <v>18512.3188</v>
      </c>
      <c r="H1018" t="n">
        <v>2048.6314</v>
      </c>
      <c r="I1018" t="n">
        <v>3300.836</v>
      </c>
      <c r="J1018" t="n">
        <v>11675.9642</v>
      </c>
      <c r="K1018" t="n">
        <v>19059648.02</v>
      </c>
      <c r="L1018" t="n">
        <v>199927239.31</v>
      </c>
      <c r="M1018" t="n">
        <v>18512.3188</v>
      </c>
      <c r="N1018" t="inlineStr">
        <is>
          <t>Supplier Reported Emissions</t>
        </is>
      </c>
      <c r="O1018" t="b">
        <v>0</v>
      </c>
      <c r="P1018" t="inlineStr">
        <is>
          <t>High</t>
        </is>
      </c>
      <c r="Q1018" t="inlineStr">
        <is>
          <t>None</t>
        </is>
      </c>
      <c r="R1018" t="inlineStr">
        <is>
          <t>Valid</t>
        </is>
      </c>
      <c r="S1018" t="n">
        <v>2033</v>
      </c>
      <c r="T1018" t="inlineStr">
        <is>
          <t>Industry Haircut Pathway</t>
        </is>
      </c>
      <c r="U1018" t="n">
        <v>100457.0157</v>
      </c>
      <c r="V1018" t="n">
        <v>61760.9733</v>
      </c>
      <c r="W1018" t="n">
        <v>61760.9733</v>
      </c>
      <c r="X1018" t="n">
        <v>61760.9733</v>
      </c>
      <c r="Y1018" t="n">
        <v>38696.0424</v>
      </c>
      <c r="Z1018" t="n">
        <v>0.0032404</v>
      </c>
      <c r="AA1018" t="n">
        <v>0.3852</v>
      </c>
      <c r="AB1018" t="n">
        <v>0</v>
      </c>
      <c r="AC1018" t="n">
        <v>2579.7362</v>
      </c>
      <c r="AD1018" t="n">
        <v>-223978.9621</v>
      </c>
      <c r="AE1018" t="n">
        <v>594544.8019</v>
      </c>
      <c r="AF1018" t="n">
        <v>0.883</v>
      </c>
      <c r="AG1018" t="inlineStr">
        <is>
          <t>Low</t>
        </is>
      </c>
      <c r="AH1018" t="inlineStr">
        <is>
          <t>On Track</t>
        </is>
      </c>
    </row>
    <row r="1019">
      <c r="A1019" t="inlineStr">
        <is>
          <t>SUP-0064</t>
        </is>
      </c>
      <c r="B1019" t="inlineStr">
        <is>
          <t>Metals Supplier 064</t>
        </is>
      </c>
      <c r="C1019" t="inlineStr">
        <is>
          <t>Metals</t>
        </is>
      </c>
      <c r="D1019" t="n">
        <v>2024</v>
      </c>
      <c r="E1019" t="n">
        <v>2015</v>
      </c>
      <c r="F1019" t="n">
        <v>2030</v>
      </c>
      <c r="G1019" t="n">
        <v>18512.3188</v>
      </c>
      <c r="H1019" t="n">
        <v>2048.6314</v>
      </c>
      <c r="I1019" t="n">
        <v>3300.836</v>
      </c>
      <c r="J1019" t="n">
        <v>11675.9642</v>
      </c>
      <c r="K1019" t="n">
        <v>19059648.02</v>
      </c>
      <c r="L1019" t="n">
        <v>199927239.31</v>
      </c>
      <c r="M1019" t="n">
        <v>18512.3188</v>
      </c>
      <c r="N1019" t="inlineStr">
        <is>
          <t>Supplier Reported Emissions</t>
        </is>
      </c>
      <c r="O1019" t="b">
        <v>0</v>
      </c>
      <c r="P1019" t="inlineStr">
        <is>
          <t>High</t>
        </is>
      </c>
      <c r="Q1019" t="inlineStr">
        <is>
          <t>None</t>
        </is>
      </c>
      <c r="R1019" t="inlineStr">
        <is>
          <t>Valid</t>
        </is>
      </c>
      <c r="S1019" t="n">
        <v>2034</v>
      </c>
      <c r="T1019" t="inlineStr">
        <is>
          <t>Industry Haircut Pathway</t>
        </is>
      </c>
      <c r="U1019" t="n">
        <v>100457.0157</v>
      </c>
      <c r="V1019" t="n">
        <v>61760.9733</v>
      </c>
      <c r="W1019" t="n">
        <v>61760.9733</v>
      </c>
      <c r="X1019" t="n">
        <v>61760.9733</v>
      </c>
      <c r="Y1019" t="n">
        <v>38696.0424</v>
      </c>
      <c r="Z1019" t="n">
        <v>0.0032404</v>
      </c>
      <c r="AA1019" t="n">
        <v>0.3852</v>
      </c>
      <c r="AB1019" t="n">
        <v>0</v>
      </c>
      <c r="AC1019" t="n">
        <v>2579.7362</v>
      </c>
      <c r="AD1019" t="n">
        <v>-285739.9354</v>
      </c>
      <c r="AE1019" t="n">
        <v>656305.7752</v>
      </c>
      <c r="AF1019" t="n">
        <v>0.883</v>
      </c>
      <c r="AG1019" t="inlineStr">
        <is>
          <t>Low</t>
        </is>
      </c>
      <c r="AH1019" t="inlineStr">
        <is>
          <t>On Track</t>
        </is>
      </c>
    </row>
    <row r="1020">
      <c r="A1020" t="inlineStr">
        <is>
          <t>SUP-0064</t>
        </is>
      </c>
      <c r="B1020" t="inlineStr">
        <is>
          <t>Metals Supplier 064</t>
        </is>
      </c>
      <c r="C1020" t="inlineStr">
        <is>
          <t>Metals</t>
        </is>
      </c>
      <c r="D1020" t="n">
        <v>2024</v>
      </c>
      <c r="E1020" t="n">
        <v>2015</v>
      </c>
      <c r="F1020" t="n">
        <v>2030</v>
      </c>
      <c r="G1020" t="n">
        <v>18512.3188</v>
      </c>
      <c r="H1020" t="n">
        <v>2048.6314</v>
      </c>
      <c r="I1020" t="n">
        <v>3300.836</v>
      </c>
      <c r="J1020" t="n">
        <v>11675.9642</v>
      </c>
      <c r="K1020" t="n">
        <v>19059648.02</v>
      </c>
      <c r="L1020" t="n">
        <v>199927239.31</v>
      </c>
      <c r="M1020" t="n">
        <v>18512.3188</v>
      </c>
      <c r="N1020" t="inlineStr">
        <is>
          <t>Supplier Reported Emissions</t>
        </is>
      </c>
      <c r="O1020" t="b">
        <v>0</v>
      </c>
      <c r="P1020" t="inlineStr">
        <is>
          <t>High</t>
        </is>
      </c>
      <c r="Q1020" t="inlineStr">
        <is>
          <t>None</t>
        </is>
      </c>
      <c r="R1020" t="inlineStr">
        <is>
          <t>Valid</t>
        </is>
      </c>
      <c r="S1020" t="n">
        <v>2035</v>
      </c>
      <c r="T1020" t="inlineStr">
        <is>
          <t>Industry Haircut Pathway</t>
        </is>
      </c>
      <c r="U1020" t="n">
        <v>100457.0157</v>
      </c>
      <c r="V1020" t="n">
        <v>61760.9733</v>
      </c>
      <c r="W1020" t="n">
        <v>61760.9733</v>
      </c>
      <c r="X1020" t="n">
        <v>61760.9733</v>
      </c>
      <c r="Y1020" t="n">
        <v>38696.0424</v>
      </c>
      <c r="Z1020" t="n">
        <v>0.0032404</v>
      </c>
      <c r="AA1020" t="n">
        <v>0.3852</v>
      </c>
      <c r="AB1020" t="n">
        <v>0</v>
      </c>
      <c r="AC1020" t="n">
        <v>2579.7362</v>
      </c>
      <c r="AD1020" t="n">
        <v>-347500.9087</v>
      </c>
      <c r="AE1020" t="n">
        <v>718066.7485</v>
      </c>
      <c r="AF1020" t="n">
        <v>0.883</v>
      </c>
      <c r="AG1020" t="inlineStr">
        <is>
          <t>Low</t>
        </is>
      </c>
      <c r="AH1020" t="inlineStr">
        <is>
          <t>On Track</t>
        </is>
      </c>
    </row>
    <row r="1021">
      <c r="A1021" t="inlineStr">
        <is>
          <t>SUP-0064</t>
        </is>
      </c>
      <c r="B1021" t="inlineStr">
        <is>
          <t>Metals Supplier 064</t>
        </is>
      </c>
      <c r="C1021" t="inlineStr">
        <is>
          <t>Metals</t>
        </is>
      </c>
      <c r="D1021" t="n">
        <v>2024</v>
      </c>
      <c r="E1021" t="n">
        <v>2015</v>
      </c>
      <c r="F1021" t="n">
        <v>2030</v>
      </c>
      <c r="G1021" t="n">
        <v>18512.3188</v>
      </c>
      <c r="H1021" t="n">
        <v>2048.6314</v>
      </c>
      <c r="I1021" t="n">
        <v>3300.836</v>
      </c>
      <c r="J1021" t="n">
        <v>11675.9642</v>
      </c>
      <c r="K1021" t="n">
        <v>19059648.02</v>
      </c>
      <c r="L1021" t="n">
        <v>199927239.31</v>
      </c>
      <c r="M1021" t="n">
        <v>18512.3188</v>
      </c>
      <c r="N1021" t="inlineStr">
        <is>
          <t>Supplier Reported Emissions</t>
        </is>
      </c>
      <c r="O1021" t="b">
        <v>0</v>
      </c>
      <c r="P1021" t="inlineStr">
        <is>
          <t>High</t>
        </is>
      </c>
      <c r="Q1021" t="inlineStr">
        <is>
          <t>None</t>
        </is>
      </c>
      <c r="R1021" t="inlineStr">
        <is>
          <t>Valid</t>
        </is>
      </c>
      <c r="S1021" t="n">
        <v>2036</v>
      </c>
      <c r="T1021" t="inlineStr">
        <is>
          <t>Industry Haircut Pathway</t>
        </is>
      </c>
      <c r="U1021" t="n">
        <v>100457.0157</v>
      </c>
      <c r="V1021" t="n">
        <v>61760.9733</v>
      </c>
      <c r="W1021" t="n">
        <v>61760.9733</v>
      </c>
      <c r="X1021" t="n">
        <v>61760.9733</v>
      </c>
      <c r="Y1021" t="n">
        <v>38696.0424</v>
      </c>
      <c r="Z1021" t="n">
        <v>0.0032404</v>
      </c>
      <c r="AA1021" t="n">
        <v>0.3852</v>
      </c>
      <c r="AB1021" t="n">
        <v>0</v>
      </c>
      <c r="AC1021" t="n">
        <v>2579.7362</v>
      </c>
      <c r="AD1021" t="n">
        <v>-409261.882</v>
      </c>
      <c r="AE1021" t="n">
        <v>779827.7218000001</v>
      </c>
      <c r="AF1021" t="n">
        <v>0.883</v>
      </c>
      <c r="AG1021" t="inlineStr">
        <is>
          <t>Low</t>
        </is>
      </c>
      <c r="AH1021" t="inlineStr">
        <is>
          <t>On Track</t>
        </is>
      </c>
    </row>
    <row r="1022">
      <c r="A1022" t="inlineStr">
        <is>
          <t>SUP-0064</t>
        </is>
      </c>
      <c r="B1022" t="inlineStr">
        <is>
          <t>Metals Supplier 064</t>
        </is>
      </c>
      <c r="C1022" t="inlineStr">
        <is>
          <t>Metals</t>
        </is>
      </c>
      <c r="D1022" t="n">
        <v>2024</v>
      </c>
      <c r="E1022" t="n">
        <v>2015</v>
      </c>
      <c r="F1022" t="n">
        <v>2030</v>
      </c>
      <c r="G1022" t="n">
        <v>18512.3188</v>
      </c>
      <c r="H1022" t="n">
        <v>2048.6314</v>
      </c>
      <c r="I1022" t="n">
        <v>3300.836</v>
      </c>
      <c r="J1022" t="n">
        <v>11675.9642</v>
      </c>
      <c r="K1022" t="n">
        <v>19059648.02</v>
      </c>
      <c r="L1022" t="n">
        <v>199927239.31</v>
      </c>
      <c r="M1022" t="n">
        <v>18512.3188</v>
      </c>
      <c r="N1022" t="inlineStr">
        <is>
          <t>Supplier Reported Emissions</t>
        </is>
      </c>
      <c r="O1022" t="b">
        <v>0</v>
      </c>
      <c r="P1022" t="inlineStr">
        <is>
          <t>High</t>
        </is>
      </c>
      <c r="Q1022" t="inlineStr">
        <is>
          <t>None</t>
        </is>
      </c>
      <c r="R1022" t="inlineStr">
        <is>
          <t>Valid</t>
        </is>
      </c>
      <c r="S1022" t="n">
        <v>2037</v>
      </c>
      <c r="T1022" t="inlineStr">
        <is>
          <t>Industry Haircut Pathway</t>
        </is>
      </c>
      <c r="U1022" t="n">
        <v>100457.0157</v>
      </c>
      <c r="V1022" t="n">
        <v>61760.9733</v>
      </c>
      <c r="W1022" t="n">
        <v>61760.9733</v>
      </c>
      <c r="X1022" t="n">
        <v>61760.9733</v>
      </c>
      <c r="Y1022" t="n">
        <v>38696.0424</v>
      </c>
      <c r="Z1022" t="n">
        <v>0.0032404</v>
      </c>
      <c r="AA1022" t="n">
        <v>0.3852</v>
      </c>
      <c r="AB1022" t="n">
        <v>0</v>
      </c>
      <c r="AC1022" t="n">
        <v>2579.7362</v>
      </c>
      <c r="AD1022" t="n">
        <v>-471022.8553</v>
      </c>
      <c r="AE1022" t="n">
        <v>841588.6951</v>
      </c>
      <c r="AF1022" t="n">
        <v>0.883</v>
      </c>
      <c r="AG1022" t="inlineStr">
        <is>
          <t>Low</t>
        </is>
      </c>
      <c r="AH1022" t="inlineStr">
        <is>
          <t>On Track</t>
        </is>
      </c>
    </row>
    <row r="1023">
      <c r="A1023" t="inlineStr">
        <is>
          <t>SUP-0064</t>
        </is>
      </c>
      <c r="B1023" t="inlineStr">
        <is>
          <t>Metals Supplier 064</t>
        </is>
      </c>
      <c r="C1023" t="inlineStr">
        <is>
          <t>Metals</t>
        </is>
      </c>
      <c r="D1023" t="n">
        <v>2024</v>
      </c>
      <c r="E1023" t="n">
        <v>2015</v>
      </c>
      <c r="F1023" t="n">
        <v>2030</v>
      </c>
      <c r="G1023" t="n">
        <v>18512.3188</v>
      </c>
      <c r="H1023" t="n">
        <v>2048.6314</v>
      </c>
      <c r="I1023" t="n">
        <v>3300.836</v>
      </c>
      <c r="J1023" t="n">
        <v>11675.9642</v>
      </c>
      <c r="K1023" t="n">
        <v>19059648.02</v>
      </c>
      <c r="L1023" t="n">
        <v>199927239.31</v>
      </c>
      <c r="M1023" t="n">
        <v>18512.3188</v>
      </c>
      <c r="N1023" t="inlineStr">
        <is>
          <t>Supplier Reported Emissions</t>
        </is>
      </c>
      <c r="O1023" t="b">
        <v>0</v>
      </c>
      <c r="P1023" t="inlineStr">
        <is>
          <t>High</t>
        </is>
      </c>
      <c r="Q1023" t="inlineStr">
        <is>
          <t>None</t>
        </is>
      </c>
      <c r="R1023" t="inlineStr">
        <is>
          <t>Valid</t>
        </is>
      </c>
      <c r="S1023" t="n">
        <v>2038</v>
      </c>
      <c r="T1023" t="inlineStr">
        <is>
          <t>Industry Haircut Pathway</t>
        </is>
      </c>
      <c r="U1023" t="n">
        <v>100457.0157</v>
      </c>
      <c r="V1023" t="n">
        <v>61760.9733</v>
      </c>
      <c r="W1023" t="n">
        <v>61760.9733</v>
      </c>
      <c r="X1023" t="n">
        <v>61760.9733</v>
      </c>
      <c r="Y1023" t="n">
        <v>38696.0424</v>
      </c>
      <c r="Z1023" t="n">
        <v>0.0032404</v>
      </c>
      <c r="AA1023" t="n">
        <v>0.3852</v>
      </c>
      <c r="AB1023" t="n">
        <v>0</v>
      </c>
      <c r="AC1023" t="n">
        <v>2579.7362</v>
      </c>
      <c r="AD1023" t="n">
        <v>-532783.8286</v>
      </c>
      <c r="AE1023" t="n">
        <v>903349.6684</v>
      </c>
      <c r="AF1023" t="n">
        <v>0.883</v>
      </c>
      <c r="AG1023" t="inlineStr">
        <is>
          <t>Low</t>
        </is>
      </c>
      <c r="AH1023" t="inlineStr">
        <is>
          <t>On Track</t>
        </is>
      </c>
    </row>
    <row r="1024">
      <c r="A1024" t="inlineStr">
        <is>
          <t>SUP-0064</t>
        </is>
      </c>
      <c r="B1024" t="inlineStr">
        <is>
          <t>Metals Supplier 064</t>
        </is>
      </c>
      <c r="C1024" t="inlineStr">
        <is>
          <t>Metals</t>
        </is>
      </c>
      <c r="D1024" t="n">
        <v>2024</v>
      </c>
      <c r="E1024" t="n">
        <v>2015</v>
      </c>
      <c r="F1024" t="n">
        <v>2030</v>
      </c>
      <c r="G1024" t="n">
        <v>18512.3188</v>
      </c>
      <c r="H1024" t="n">
        <v>2048.6314</v>
      </c>
      <c r="I1024" t="n">
        <v>3300.836</v>
      </c>
      <c r="J1024" t="n">
        <v>11675.9642</v>
      </c>
      <c r="K1024" t="n">
        <v>19059648.02</v>
      </c>
      <c r="L1024" t="n">
        <v>199927239.31</v>
      </c>
      <c r="M1024" t="n">
        <v>18512.3188</v>
      </c>
      <c r="N1024" t="inlineStr">
        <is>
          <t>Supplier Reported Emissions</t>
        </is>
      </c>
      <c r="O1024" t="b">
        <v>0</v>
      </c>
      <c r="P1024" t="inlineStr">
        <is>
          <t>High</t>
        </is>
      </c>
      <c r="Q1024" t="inlineStr">
        <is>
          <t>None</t>
        </is>
      </c>
      <c r="R1024" t="inlineStr">
        <is>
          <t>Valid</t>
        </is>
      </c>
      <c r="S1024" t="n">
        <v>2039</v>
      </c>
      <c r="T1024" t="inlineStr">
        <is>
          <t>Industry Haircut Pathway</t>
        </is>
      </c>
      <c r="U1024" t="n">
        <v>100457.0157</v>
      </c>
      <c r="V1024" t="n">
        <v>61760.9733</v>
      </c>
      <c r="W1024" t="n">
        <v>61760.9733</v>
      </c>
      <c r="X1024" t="n">
        <v>61760.9733</v>
      </c>
      <c r="Y1024" t="n">
        <v>38696.0424</v>
      </c>
      <c r="Z1024" t="n">
        <v>0.0032404</v>
      </c>
      <c r="AA1024" t="n">
        <v>0.3852</v>
      </c>
      <c r="AB1024" t="n">
        <v>0</v>
      </c>
      <c r="AC1024" t="n">
        <v>2579.7362</v>
      </c>
      <c r="AD1024" t="n">
        <v>-594544.8019</v>
      </c>
      <c r="AE1024" t="n">
        <v>965110.6417</v>
      </c>
      <c r="AF1024" t="n">
        <v>0.883</v>
      </c>
      <c r="AG1024" t="inlineStr">
        <is>
          <t>Low</t>
        </is>
      </c>
      <c r="AH1024" t="inlineStr">
        <is>
          <t>On Track</t>
        </is>
      </c>
    </row>
    <row r="1025">
      <c r="A1025" t="inlineStr">
        <is>
          <t>SUP-0064</t>
        </is>
      </c>
      <c r="B1025" t="inlineStr">
        <is>
          <t>Metals Supplier 064</t>
        </is>
      </c>
      <c r="C1025" t="inlineStr">
        <is>
          <t>Metals</t>
        </is>
      </c>
      <c r="D1025" t="n">
        <v>2024</v>
      </c>
      <c r="E1025" t="n">
        <v>2015</v>
      </c>
      <c r="F1025" t="n">
        <v>2030</v>
      </c>
      <c r="G1025" t="n">
        <v>18512.3188</v>
      </c>
      <c r="H1025" t="n">
        <v>2048.6314</v>
      </c>
      <c r="I1025" t="n">
        <v>3300.836</v>
      </c>
      <c r="J1025" t="n">
        <v>11675.9642</v>
      </c>
      <c r="K1025" t="n">
        <v>19059648.02</v>
      </c>
      <c r="L1025" t="n">
        <v>199927239.31</v>
      </c>
      <c r="M1025" t="n">
        <v>18512.3188</v>
      </c>
      <c r="N1025" t="inlineStr">
        <is>
          <t>Supplier Reported Emissions</t>
        </is>
      </c>
      <c r="O1025" t="b">
        <v>0</v>
      </c>
      <c r="P1025" t="inlineStr">
        <is>
          <t>High</t>
        </is>
      </c>
      <c r="Q1025" t="inlineStr">
        <is>
          <t>None</t>
        </is>
      </c>
      <c r="R1025" t="inlineStr">
        <is>
          <t>Valid</t>
        </is>
      </c>
      <c r="S1025" t="n">
        <v>2040</v>
      </c>
      <c r="T1025" t="inlineStr">
        <is>
          <t>Industry Haircut Pathway</t>
        </is>
      </c>
      <c r="U1025" t="n">
        <v>100457.0157</v>
      </c>
      <c r="V1025" t="n">
        <v>61760.9733</v>
      </c>
      <c r="W1025" t="n">
        <v>61760.9733</v>
      </c>
      <c r="X1025" t="n">
        <v>61760.9733</v>
      </c>
      <c r="Y1025" t="n">
        <v>38696.0424</v>
      </c>
      <c r="Z1025" t="n">
        <v>0.0032404</v>
      </c>
      <c r="AA1025" t="n">
        <v>0.3852</v>
      </c>
      <c r="AB1025" t="n">
        <v>0</v>
      </c>
      <c r="AC1025" t="n">
        <v>2579.7362</v>
      </c>
      <c r="AD1025" t="n">
        <v>-656305.7752</v>
      </c>
      <c r="AE1025" t="n">
        <v>1026871.615</v>
      </c>
      <c r="AF1025" t="n">
        <v>0.883</v>
      </c>
      <c r="AG1025" t="inlineStr">
        <is>
          <t>Low</t>
        </is>
      </c>
      <c r="AH1025" t="inlineStr">
        <is>
          <t>On Track</t>
        </is>
      </c>
    </row>
    <row r="1026">
      <c r="A1026" t="inlineStr">
        <is>
          <t>SUP-0065</t>
        </is>
      </c>
      <c r="B1026" t="inlineStr">
        <is>
          <t>Agriculture Supplier 065</t>
        </is>
      </c>
      <c r="C1026" t="inlineStr">
        <is>
          <t>Agriculture</t>
        </is>
      </c>
      <c r="D1026" t="n">
        <v>2024</v>
      </c>
      <c r="E1026" t="n">
        <v>2018</v>
      </c>
      <c r="F1026" t="n">
        <v>2035</v>
      </c>
      <c r="G1026" t="n">
        <v>38736.1091</v>
      </c>
      <c r="H1026" t="n">
        <v>9246.0502</v>
      </c>
      <c r="I1026" t="n">
        <v>2428.4262</v>
      </c>
      <c r="J1026" t="n">
        <v>26965.3392</v>
      </c>
      <c r="K1026" t="n">
        <v>44281266.89</v>
      </c>
      <c r="L1026" t="n">
        <v>213728746.93</v>
      </c>
      <c r="M1026" t="n">
        <v>38736.1091</v>
      </c>
      <c r="N1026" t="inlineStr">
        <is>
          <t>Supplier Reported Emissions</t>
        </is>
      </c>
      <c r="O1026" t="b">
        <v>0</v>
      </c>
      <c r="P1026" t="inlineStr">
        <is>
          <t>High</t>
        </is>
      </c>
      <c r="Q1026" t="inlineStr">
        <is>
          <t>None</t>
        </is>
      </c>
      <c r="R1026" t="inlineStr">
        <is>
          <t>Valid</t>
        </is>
      </c>
      <c r="S1026" t="n">
        <v>2025</v>
      </c>
      <c r="T1026" t="inlineStr">
        <is>
          <t>Supplier Target Pathway</t>
        </is>
      </c>
      <c r="U1026" t="n">
        <v>31748.1602</v>
      </c>
      <c r="V1026" t="n">
        <v>18413.9329</v>
      </c>
      <c r="W1026" t="n">
        <v>26257.596</v>
      </c>
      <c r="X1026" t="n">
        <v>26257.596</v>
      </c>
      <c r="Y1026" t="n">
        <v>5490.5642</v>
      </c>
      <c r="Z1026" t="n">
        <v>0.00059297</v>
      </c>
      <c r="AA1026" t="n">
        <v>0.172941</v>
      </c>
      <c r="AB1026" t="n">
        <v>7843.6631</v>
      </c>
      <c r="AC1026" t="n">
        <v>784.3663</v>
      </c>
      <c r="AD1026" t="n">
        <v>176295.6659</v>
      </c>
      <c r="AE1026" t="n">
        <v>26257.596</v>
      </c>
      <c r="AF1026" t="n">
        <v>0.99</v>
      </c>
      <c r="AG1026" t="inlineStr">
        <is>
          <t>Critical</t>
        </is>
      </c>
      <c r="AH1026" t="inlineStr">
        <is>
          <t>On Track to Glide Path</t>
        </is>
      </c>
    </row>
    <row r="1027">
      <c r="A1027" t="inlineStr">
        <is>
          <t>SUP-0065</t>
        </is>
      </c>
      <c r="B1027" t="inlineStr">
        <is>
          <t>Agriculture Supplier 065</t>
        </is>
      </c>
      <c r="C1027" t="inlineStr">
        <is>
          <t>Agriculture</t>
        </is>
      </c>
      <c r="D1027" t="n">
        <v>2024</v>
      </c>
      <c r="E1027" t="n">
        <v>2018</v>
      </c>
      <c r="F1027" t="n">
        <v>2035</v>
      </c>
      <c r="G1027" t="n">
        <v>38736.1091</v>
      </c>
      <c r="H1027" t="n">
        <v>9246.0502</v>
      </c>
      <c r="I1027" t="n">
        <v>2428.4262</v>
      </c>
      <c r="J1027" t="n">
        <v>26965.3392</v>
      </c>
      <c r="K1027" t="n">
        <v>44281266.89</v>
      </c>
      <c r="L1027" t="n">
        <v>213728746.93</v>
      </c>
      <c r="M1027" t="n">
        <v>38736.1091</v>
      </c>
      <c r="N1027" t="inlineStr">
        <is>
          <t>Supplier Reported Emissions</t>
        </is>
      </c>
      <c r="O1027" t="b">
        <v>0</v>
      </c>
      <c r="P1027" t="inlineStr">
        <is>
          <t>High</t>
        </is>
      </c>
      <c r="Q1027" t="inlineStr">
        <is>
          <t>None</t>
        </is>
      </c>
      <c r="R1027" t="inlineStr">
        <is>
          <t>Valid</t>
        </is>
      </c>
      <c r="S1027" t="n">
        <v>2026</v>
      </c>
      <c r="T1027" t="inlineStr">
        <is>
          <t>Supplier Target Pathway</t>
        </is>
      </c>
      <c r="U1027" t="n">
        <v>31748.1602</v>
      </c>
      <c r="V1027" t="n">
        <v>18413.9329</v>
      </c>
      <c r="W1027" t="n">
        <v>25473.2297</v>
      </c>
      <c r="X1027" t="n">
        <v>25473.2297</v>
      </c>
      <c r="Y1027" t="n">
        <v>6274.9305</v>
      </c>
      <c r="Z1027" t="n">
        <v>0.00057526</v>
      </c>
      <c r="AA1027" t="n">
        <v>0.197647</v>
      </c>
      <c r="AB1027" t="n">
        <v>7059.2968</v>
      </c>
      <c r="AC1027" t="n">
        <v>784.3663</v>
      </c>
      <c r="AD1027" t="n">
        <v>150822.4362</v>
      </c>
      <c r="AE1027" t="n">
        <v>51730.8257</v>
      </c>
      <c r="AF1027" t="n">
        <v>0.99</v>
      </c>
      <c r="AG1027" t="inlineStr">
        <is>
          <t>Critical</t>
        </is>
      </c>
      <c r="AH1027" t="inlineStr">
        <is>
          <t>On Track to Glide Path</t>
        </is>
      </c>
    </row>
    <row r="1028">
      <c r="A1028" t="inlineStr">
        <is>
          <t>SUP-0065</t>
        </is>
      </c>
      <c r="B1028" t="inlineStr">
        <is>
          <t>Agriculture Supplier 065</t>
        </is>
      </c>
      <c r="C1028" t="inlineStr">
        <is>
          <t>Agriculture</t>
        </is>
      </c>
      <c r="D1028" t="n">
        <v>2024</v>
      </c>
      <c r="E1028" t="n">
        <v>2018</v>
      </c>
      <c r="F1028" t="n">
        <v>2035</v>
      </c>
      <c r="G1028" t="n">
        <v>38736.1091</v>
      </c>
      <c r="H1028" t="n">
        <v>9246.0502</v>
      </c>
      <c r="I1028" t="n">
        <v>2428.4262</v>
      </c>
      <c r="J1028" t="n">
        <v>26965.3392</v>
      </c>
      <c r="K1028" t="n">
        <v>44281266.89</v>
      </c>
      <c r="L1028" t="n">
        <v>213728746.93</v>
      </c>
      <c r="M1028" t="n">
        <v>38736.1091</v>
      </c>
      <c r="N1028" t="inlineStr">
        <is>
          <t>Supplier Reported Emissions</t>
        </is>
      </c>
      <c r="O1028" t="b">
        <v>0</v>
      </c>
      <c r="P1028" t="inlineStr">
        <is>
          <t>High</t>
        </is>
      </c>
      <c r="Q1028" t="inlineStr">
        <is>
          <t>None</t>
        </is>
      </c>
      <c r="R1028" t="inlineStr">
        <is>
          <t>Valid</t>
        </is>
      </c>
      <c r="S1028" t="n">
        <v>2027</v>
      </c>
      <c r="T1028" t="inlineStr">
        <is>
          <t>Supplier Target Pathway</t>
        </is>
      </c>
      <c r="U1028" t="n">
        <v>31748.1602</v>
      </c>
      <c r="V1028" t="n">
        <v>18413.9329</v>
      </c>
      <c r="W1028" t="n">
        <v>24688.8634</v>
      </c>
      <c r="X1028" t="n">
        <v>24688.8634</v>
      </c>
      <c r="Y1028" t="n">
        <v>7059.2968</v>
      </c>
      <c r="Z1028" t="n">
        <v>0.00055755</v>
      </c>
      <c r="AA1028" t="n">
        <v>0.222353</v>
      </c>
      <c r="AB1028" t="n">
        <v>6274.9305</v>
      </c>
      <c r="AC1028" t="n">
        <v>784.3663</v>
      </c>
      <c r="AD1028" t="n">
        <v>126133.5728</v>
      </c>
      <c r="AE1028" t="n">
        <v>76419.6891</v>
      </c>
      <c r="AF1028" t="n">
        <v>0.99</v>
      </c>
      <c r="AG1028" t="inlineStr">
        <is>
          <t>High</t>
        </is>
      </c>
      <c r="AH1028" t="inlineStr">
        <is>
          <t>On Track to Glide Path</t>
        </is>
      </c>
    </row>
    <row r="1029">
      <c r="A1029" t="inlineStr">
        <is>
          <t>SUP-0065</t>
        </is>
      </c>
      <c r="B1029" t="inlineStr">
        <is>
          <t>Agriculture Supplier 065</t>
        </is>
      </c>
      <c r="C1029" t="inlineStr">
        <is>
          <t>Agriculture</t>
        </is>
      </c>
      <c r="D1029" t="n">
        <v>2024</v>
      </c>
      <c r="E1029" t="n">
        <v>2018</v>
      </c>
      <c r="F1029" t="n">
        <v>2035</v>
      </c>
      <c r="G1029" t="n">
        <v>38736.1091</v>
      </c>
      <c r="H1029" t="n">
        <v>9246.0502</v>
      </c>
      <c r="I1029" t="n">
        <v>2428.4262</v>
      </c>
      <c r="J1029" t="n">
        <v>26965.3392</v>
      </c>
      <c r="K1029" t="n">
        <v>44281266.89</v>
      </c>
      <c r="L1029" t="n">
        <v>213728746.93</v>
      </c>
      <c r="M1029" t="n">
        <v>38736.1091</v>
      </c>
      <c r="N1029" t="inlineStr">
        <is>
          <t>Supplier Reported Emissions</t>
        </is>
      </c>
      <c r="O1029" t="b">
        <v>0</v>
      </c>
      <c r="P1029" t="inlineStr">
        <is>
          <t>High</t>
        </is>
      </c>
      <c r="Q1029" t="inlineStr">
        <is>
          <t>None</t>
        </is>
      </c>
      <c r="R1029" t="inlineStr">
        <is>
          <t>Valid</t>
        </is>
      </c>
      <c r="S1029" t="n">
        <v>2028</v>
      </c>
      <c r="T1029" t="inlineStr">
        <is>
          <t>Supplier Target Pathway</t>
        </is>
      </c>
      <c r="U1029" t="n">
        <v>31748.1602</v>
      </c>
      <c r="V1029" t="n">
        <v>18413.9329</v>
      </c>
      <c r="W1029" t="n">
        <v>23904.4971</v>
      </c>
      <c r="X1029" t="n">
        <v>23904.4971</v>
      </c>
      <c r="Y1029" t="n">
        <v>7843.6631</v>
      </c>
      <c r="Z1029" t="n">
        <v>0.00053983</v>
      </c>
      <c r="AA1029" t="n">
        <v>0.247059</v>
      </c>
      <c r="AB1029" t="n">
        <v>5490.5642</v>
      </c>
      <c r="AC1029" t="n">
        <v>784.3663</v>
      </c>
      <c r="AD1029" t="n">
        <v>102229.0757</v>
      </c>
      <c r="AE1029" t="n">
        <v>100324.1862</v>
      </c>
      <c r="AF1029" t="n">
        <v>0.99</v>
      </c>
      <c r="AG1029" t="inlineStr">
        <is>
          <t>High</t>
        </is>
      </c>
      <c r="AH1029" t="inlineStr">
        <is>
          <t>On Track to Glide Path</t>
        </is>
      </c>
    </row>
    <row r="1030">
      <c r="A1030" t="inlineStr">
        <is>
          <t>SUP-0065</t>
        </is>
      </c>
      <c r="B1030" t="inlineStr">
        <is>
          <t>Agriculture Supplier 065</t>
        </is>
      </c>
      <c r="C1030" t="inlineStr">
        <is>
          <t>Agriculture</t>
        </is>
      </c>
      <c r="D1030" t="n">
        <v>2024</v>
      </c>
      <c r="E1030" t="n">
        <v>2018</v>
      </c>
      <c r="F1030" t="n">
        <v>2035</v>
      </c>
      <c r="G1030" t="n">
        <v>38736.1091</v>
      </c>
      <c r="H1030" t="n">
        <v>9246.0502</v>
      </c>
      <c r="I1030" t="n">
        <v>2428.4262</v>
      </c>
      <c r="J1030" t="n">
        <v>26965.3392</v>
      </c>
      <c r="K1030" t="n">
        <v>44281266.89</v>
      </c>
      <c r="L1030" t="n">
        <v>213728746.93</v>
      </c>
      <c r="M1030" t="n">
        <v>38736.1091</v>
      </c>
      <c r="N1030" t="inlineStr">
        <is>
          <t>Supplier Reported Emissions</t>
        </is>
      </c>
      <c r="O1030" t="b">
        <v>0</v>
      </c>
      <c r="P1030" t="inlineStr">
        <is>
          <t>High</t>
        </is>
      </c>
      <c r="Q1030" t="inlineStr">
        <is>
          <t>None</t>
        </is>
      </c>
      <c r="R1030" t="inlineStr">
        <is>
          <t>Valid</t>
        </is>
      </c>
      <c r="S1030" t="n">
        <v>2029</v>
      </c>
      <c r="T1030" t="inlineStr">
        <is>
          <t>Supplier Target Pathway</t>
        </is>
      </c>
      <c r="U1030" t="n">
        <v>31748.1602</v>
      </c>
      <c r="V1030" t="n">
        <v>18413.9329</v>
      </c>
      <c r="W1030" t="n">
        <v>23120.1308</v>
      </c>
      <c r="X1030" t="n">
        <v>23120.1308</v>
      </c>
      <c r="Y1030" t="n">
        <v>8628.029399999999</v>
      </c>
      <c r="Z1030" t="n">
        <v>0.00052212</v>
      </c>
      <c r="AA1030" t="n">
        <v>0.271765</v>
      </c>
      <c r="AB1030" t="n">
        <v>4706.1979</v>
      </c>
      <c r="AC1030" t="n">
        <v>784.3663</v>
      </c>
      <c r="AD1030" t="n">
        <v>79108.9449</v>
      </c>
      <c r="AE1030" t="n">
        <v>123444.317</v>
      </c>
      <c r="AF1030" t="n">
        <v>0.99</v>
      </c>
      <c r="AG1030" t="inlineStr">
        <is>
          <t>High</t>
        </is>
      </c>
      <c r="AH1030" t="inlineStr">
        <is>
          <t>On Track to Glide Path</t>
        </is>
      </c>
    </row>
    <row r="1031">
      <c r="A1031" t="inlineStr">
        <is>
          <t>SUP-0065</t>
        </is>
      </c>
      <c r="B1031" t="inlineStr">
        <is>
          <t>Agriculture Supplier 065</t>
        </is>
      </c>
      <c r="C1031" t="inlineStr">
        <is>
          <t>Agriculture</t>
        </is>
      </c>
      <c r="D1031" t="n">
        <v>2024</v>
      </c>
      <c r="E1031" t="n">
        <v>2018</v>
      </c>
      <c r="F1031" t="n">
        <v>2035</v>
      </c>
      <c r="G1031" t="n">
        <v>38736.1091</v>
      </c>
      <c r="H1031" t="n">
        <v>9246.0502</v>
      </c>
      <c r="I1031" t="n">
        <v>2428.4262</v>
      </c>
      <c r="J1031" t="n">
        <v>26965.3392</v>
      </c>
      <c r="K1031" t="n">
        <v>44281266.89</v>
      </c>
      <c r="L1031" t="n">
        <v>213728746.93</v>
      </c>
      <c r="M1031" t="n">
        <v>38736.1091</v>
      </c>
      <c r="N1031" t="inlineStr">
        <is>
          <t>Supplier Reported Emissions</t>
        </is>
      </c>
      <c r="O1031" t="b">
        <v>0</v>
      </c>
      <c r="P1031" t="inlineStr">
        <is>
          <t>High</t>
        </is>
      </c>
      <c r="Q1031" t="inlineStr">
        <is>
          <t>None</t>
        </is>
      </c>
      <c r="R1031" t="inlineStr">
        <is>
          <t>Valid</t>
        </is>
      </c>
      <c r="S1031" t="n">
        <v>2030</v>
      </c>
      <c r="T1031" t="inlineStr">
        <is>
          <t>Supplier Target Pathway</t>
        </is>
      </c>
      <c r="U1031" t="n">
        <v>31748.1602</v>
      </c>
      <c r="V1031" t="n">
        <v>18413.9329</v>
      </c>
      <c r="W1031" t="n">
        <v>22335.7645</v>
      </c>
      <c r="X1031" t="n">
        <v>22335.7645</v>
      </c>
      <c r="Y1031" t="n">
        <v>9412.395699999999</v>
      </c>
      <c r="Z1031" t="n">
        <v>0.0005044099999999999</v>
      </c>
      <c r="AA1031" t="n">
        <v>0.296471</v>
      </c>
      <c r="AB1031" t="n">
        <v>3921.8316</v>
      </c>
      <c r="AC1031" t="n">
        <v>784.3663</v>
      </c>
      <c r="AD1031" t="n">
        <v>56773.1804</v>
      </c>
      <c r="AE1031" t="n">
        <v>145780.0815</v>
      </c>
      <c r="AF1031" t="n">
        <v>0.99</v>
      </c>
      <c r="AG1031" t="inlineStr">
        <is>
          <t>High</t>
        </is>
      </c>
      <c r="AH1031" t="inlineStr">
        <is>
          <t>On Track to Glide Path</t>
        </is>
      </c>
    </row>
    <row r="1032">
      <c r="A1032" t="inlineStr">
        <is>
          <t>SUP-0065</t>
        </is>
      </c>
      <c r="B1032" t="inlineStr">
        <is>
          <t>Agriculture Supplier 065</t>
        </is>
      </c>
      <c r="C1032" t="inlineStr">
        <is>
          <t>Agriculture</t>
        </is>
      </c>
      <c r="D1032" t="n">
        <v>2024</v>
      </c>
      <c r="E1032" t="n">
        <v>2018</v>
      </c>
      <c r="F1032" t="n">
        <v>2035</v>
      </c>
      <c r="G1032" t="n">
        <v>38736.1091</v>
      </c>
      <c r="H1032" t="n">
        <v>9246.0502</v>
      </c>
      <c r="I1032" t="n">
        <v>2428.4262</v>
      </c>
      <c r="J1032" t="n">
        <v>26965.3392</v>
      </c>
      <c r="K1032" t="n">
        <v>44281266.89</v>
      </c>
      <c r="L1032" t="n">
        <v>213728746.93</v>
      </c>
      <c r="M1032" t="n">
        <v>38736.1091</v>
      </c>
      <c r="N1032" t="inlineStr">
        <is>
          <t>Supplier Reported Emissions</t>
        </is>
      </c>
      <c r="O1032" t="b">
        <v>0</v>
      </c>
      <c r="P1032" t="inlineStr">
        <is>
          <t>High</t>
        </is>
      </c>
      <c r="Q1032" t="inlineStr">
        <is>
          <t>None</t>
        </is>
      </c>
      <c r="R1032" t="inlineStr">
        <is>
          <t>Valid</t>
        </is>
      </c>
      <c r="S1032" t="n">
        <v>2031</v>
      </c>
      <c r="T1032" t="inlineStr">
        <is>
          <t>Supplier Target Pathway</t>
        </is>
      </c>
      <c r="U1032" t="n">
        <v>31748.1602</v>
      </c>
      <c r="V1032" t="n">
        <v>18413.9329</v>
      </c>
      <c r="W1032" t="n">
        <v>21551.3982</v>
      </c>
      <c r="X1032" t="n">
        <v>21551.3982</v>
      </c>
      <c r="Y1032" t="n">
        <v>10196.762</v>
      </c>
      <c r="Z1032" t="n">
        <v>0.00048669</v>
      </c>
      <c r="AA1032" t="n">
        <v>0.321176</v>
      </c>
      <c r="AB1032" t="n">
        <v>3137.4652</v>
      </c>
      <c r="AC1032" t="n">
        <v>784.3663</v>
      </c>
      <c r="AD1032" t="n">
        <v>35221.7822</v>
      </c>
      <c r="AE1032" t="n">
        <v>167331.4797</v>
      </c>
      <c r="AF1032" t="n">
        <v>0.99</v>
      </c>
      <c r="AG1032" t="inlineStr">
        <is>
          <t>High</t>
        </is>
      </c>
      <c r="AH1032" t="inlineStr">
        <is>
          <t>On Track to Glide Path</t>
        </is>
      </c>
    </row>
    <row r="1033">
      <c r="A1033" t="inlineStr">
        <is>
          <t>SUP-0065</t>
        </is>
      </c>
      <c r="B1033" t="inlineStr">
        <is>
          <t>Agriculture Supplier 065</t>
        </is>
      </c>
      <c r="C1033" t="inlineStr">
        <is>
          <t>Agriculture</t>
        </is>
      </c>
      <c r="D1033" t="n">
        <v>2024</v>
      </c>
      <c r="E1033" t="n">
        <v>2018</v>
      </c>
      <c r="F1033" t="n">
        <v>2035</v>
      </c>
      <c r="G1033" t="n">
        <v>38736.1091</v>
      </c>
      <c r="H1033" t="n">
        <v>9246.0502</v>
      </c>
      <c r="I1033" t="n">
        <v>2428.4262</v>
      </c>
      <c r="J1033" t="n">
        <v>26965.3392</v>
      </c>
      <c r="K1033" t="n">
        <v>44281266.89</v>
      </c>
      <c r="L1033" t="n">
        <v>213728746.93</v>
      </c>
      <c r="M1033" t="n">
        <v>38736.1091</v>
      </c>
      <c r="N1033" t="inlineStr">
        <is>
          <t>Supplier Reported Emissions</t>
        </is>
      </c>
      <c r="O1033" t="b">
        <v>0</v>
      </c>
      <c r="P1033" t="inlineStr">
        <is>
          <t>High</t>
        </is>
      </c>
      <c r="Q1033" t="inlineStr">
        <is>
          <t>None</t>
        </is>
      </c>
      <c r="R1033" t="inlineStr">
        <is>
          <t>Valid</t>
        </is>
      </c>
      <c r="S1033" t="n">
        <v>2032</v>
      </c>
      <c r="T1033" t="inlineStr">
        <is>
          <t>Supplier Target Pathway</t>
        </is>
      </c>
      <c r="U1033" t="n">
        <v>31748.1602</v>
      </c>
      <c r="V1033" t="n">
        <v>18413.9329</v>
      </c>
      <c r="W1033" t="n">
        <v>20767.0318</v>
      </c>
      <c r="X1033" t="n">
        <v>20767.0318</v>
      </c>
      <c r="Y1033" t="n">
        <v>10981.1284</v>
      </c>
      <c r="Z1033" t="n">
        <v>0.00046898</v>
      </c>
      <c r="AA1033" t="n">
        <v>0.345882</v>
      </c>
      <c r="AB1033" t="n">
        <v>2353.0989</v>
      </c>
      <c r="AC1033" t="n">
        <v>784.3663</v>
      </c>
      <c r="AD1033" t="n">
        <v>14454.7504</v>
      </c>
      <c r="AE1033" t="n">
        <v>188098.5115</v>
      </c>
      <c r="AF1033" t="n">
        <v>0.99</v>
      </c>
      <c r="AG1033" t="inlineStr">
        <is>
          <t>Medium</t>
        </is>
      </c>
      <c r="AH1033" t="inlineStr">
        <is>
          <t>On Track to Glide Path</t>
        </is>
      </c>
    </row>
    <row r="1034">
      <c r="A1034" t="inlineStr">
        <is>
          <t>SUP-0065</t>
        </is>
      </c>
      <c r="B1034" t="inlineStr">
        <is>
          <t>Agriculture Supplier 065</t>
        </is>
      </c>
      <c r="C1034" t="inlineStr">
        <is>
          <t>Agriculture</t>
        </is>
      </c>
      <c r="D1034" t="n">
        <v>2024</v>
      </c>
      <c r="E1034" t="n">
        <v>2018</v>
      </c>
      <c r="F1034" t="n">
        <v>2035</v>
      </c>
      <c r="G1034" t="n">
        <v>38736.1091</v>
      </c>
      <c r="H1034" t="n">
        <v>9246.0502</v>
      </c>
      <c r="I1034" t="n">
        <v>2428.4262</v>
      </c>
      <c r="J1034" t="n">
        <v>26965.3392</v>
      </c>
      <c r="K1034" t="n">
        <v>44281266.89</v>
      </c>
      <c r="L1034" t="n">
        <v>213728746.93</v>
      </c>
      <c r="M1034" t="n">
        <v>38736.1091</v>
      </c>
      <c r="N1034" t="inlineStr">
        <is>
          <t>Supplier Reported Emissions</t>
        </is>
      </c>
      <c r="O1034" t="b">
        <v>0</v>
      </c>
      <c r="P1034" t="inlineStr">
        <is>
          <t>High</t>
        </is>
      </c>
      <c r="Q1034" t="inlineStr">
        <is>
          <t>None</t>
        </is>
      </c>
      <c r="R1034" t="inlineStr">
        <is>
          <t>Valid</t>
        </is>
      </c>
      <c r="S1034" t="n">
        <v>2033</v>
      </c>
      <c r="T1034" t="inlineStr">
        <is>
          <t>Supplier Target Pathway</t>
        </is>
      </c>
      <c r="U1034" t="n">
        <v>31748.1602</v>
      </c>
      <c r="V1034" t="n">
        <v>18413.9329</v>
      </c>
      <c r="W1034" t="n">
        <v>19982.6655</v>
      </c>
      <c r="X1034" t="n">
        <v>19982.6655</v>
      </c>
      <c r="Y1034" t="n">
        <v>11765.4947</v>
      </c>
      <c r="Z1034" t="n">
        <v>0.00045127</v>
      </c>
      <c r="AA1034" t="n">
        <v>0.370588</v>
      </c>
      <c r="AB1034" t="n">
        <v>1568.7326</v>
      </c>
      <c r="AC1034" t="n">
        <v>784.3663</v>
      </c>
      <c r="AD1034" t="n">
        <v>-5527.9151</v>
      </c>
      <c r="AE1034" t="n">
        <v>208081.177</v>
      </c>
      <c r="AF1034" t="n">
        <v>0.99</v>
      </c>
      <c r="AG1034" t="inlineStr">
        <is>
          <t>Medium</t>
        </is>
      </c>
      <c r="AH1034" t="inlineStr">
        <is>
          <t>On Track to Glide Path</t>
        </is>
      </c>
    </row>
    <row r="1035">
      <c r="A1035" t="inlineStr">
        <is>
          <t>SUP-0065</t>
        </is>
      </c>
      <c r="B1035" t="inlineStr">
        <is>
          <t>Agriculture Supplier 065</t>
        </is>
      </c>
      <c r="C1035" t="inlineStr">
        <is>
          <t>Agriculture</t>
        </is>
      </c>
      <c r="D1035" t="n">
        <v>2024</v>
      </c>
      <c r="E1035" t="n">
        <v>2018</v>
      </c>
      <c r="F1035" t="n">
        <v>2035</v>
      </c>
      <c r="G1035" t="n">
        <v>38736.1091</v>
      </c>
      <c r="H1035" t="n">
        <v>9246.0502</v>
      </c>
      <c r="I1035" t="n">
        <v>2428.4262</v>
      </c>
      <c r="J1035" t="n">
        <v>26965.3392</v>
      </c>
      <c r="K1035" t="n">
        <v>44281266.89</v>
      </c>
      <c r="L1035" t="n">
        <v>213728746.93</v>
      </c>
      <c r="M1035" t="n">
        <v>38736.1091</v>
      </c>
      <c r="N1035" t="inlineStr">
        <is>
          <t>Supplier Reported Emissions</t>
        </is>
      </c>
      <c r="O1035" t="b">
        <v>0</v>
      </c>
      <c r="P1035" t="inlineStr">
        <is>
          <t>High</t>
        </is>
      </c>
      <c r="Q1035" t="inlineStr">
        <is>
          <t>None</t>
        </is>
      </c>
      <c r="R1035" t="inlineStr">
        <is>
          <t>Valid</t>
        </is>
      </c>
      <c r="S1035" t="n">
        <v>2034</v>
      </c>
      <c r="T1035" t="inlineStr">
        <is>
          <t>Supplier Target Pathway</t>
        </is>
      </c>
      <c r="U1035" t="n">
        <v>31748.1602</v>
      </c>
      <c r="V1035" t="n">
        <v>18413.9329</v>
      </c>
      <c r="W1035" t="n">
        <v>19198.2992</v>
      </c>
      <c r="X1035" t="n">
        <v>19198.2992</v>
      </c>
      <c r="Y1035" t="n">
        <v>12549.861</v>
      </c>
      <c r="Z1035" t="n">
        <v>0.00043355</v>
      </c>
      <c r="AA1035" t="n">
        <v>0.395294</v>
      </c>
      <c r="AB1035" t="n">
        <v>784.3663</v>
      </c>
      <c r="AC1035" t="n">
        <v>784.3663</v>
      </c>
      <c r="AD1035" t="n">
        <v>-24726.2143</v>
      </c>
      <c r="AE1035" t="n">
        <v>227279.4762</v>
      </c>
      <c r="AF1035" t="n">
        <v>0.99</v>
      </c>
      <c r="AG1035" t="inlineStr">
        <is>
          <t>Medium</t>
        </is>
      </c>
      <c r="AH1035" t="inlineStr">
        <is>
          <t>On Track to Glide Path</t>
        </is>
      </c>
    </row>
    <row r="1036">
      <c r="A1036" t="inlineStr">
        <is>
          <t>SUP-0065</t>
        </is>
      </c>
      <c r="B1036" t="inlineStr">
        <is>
          <t>Agriculture Supplier 065</t>
        </is>
      </c>
      <c r="C1036" t="inlineStr">
        <is>
          <t>Agriculture</t>
        </is>
      </c>
      <c r="D1036" t="n">
        <v>2024</v>
      </c>
      <c r="E1036" t="n">
        <v>2018</v>
      </c>
      <c r="F1036" t="n">
        <v>2035</v>
      </c>
      <c r="G1036" t="n">
        <v>38736.1091</v>
      </c>
      <c r="H1036" t="n">
        <v>9246.0502</v>
      </c>
      <c r="I1036" t="n">
        <v>2428.4262</v>
      </c>
      <c r="J1036" t="n">
        <v>26965.3392</v>
      </c>
      <c r="K1036" t="n">
        <v>44281266.89</v>
      </c>
      <c r="L1036" t="n">
        <v>213728746.93</v>
      </c>
      <c r="M1036" t="n">
        <v>38736.1091</v>
      </c>
      <c r="N1036" t="inlineStr">
        <is>
          <t>Supplier Reported Emissions</t>
        </is>
      </c>
      <c r="O1036" t="b">
        <v>0</v>
      </c>
      <c r="P1036" t="inlineStr">
        <is>
          <t>High</t>
        </is>
      </c>
      <c r="Q1036" t="inlineStr">
        <is>
          <t>None</t>
        </is>
      </c>
      <c r="R1036" t="inlineStr">
        <is>
          <t>Valid</t>
        </is>
      </c>
      <c r="S1036" t="n">
        <v>2035</v>
      </c>
      <c r="T1036" t="inlineStr">
        <is>
          <t>Supplier Target Pathway</t>
        </is>
      </c>
      <c r="U1036" t="n">
        <v>31748.1602</v>
      </c>
      <c r="V1036" t="n">
        <v>18413.9329</v>
      </c>
      <c r="W1036" t="n">
        <v>18413.9329</v>
      </c>
      <c r="X1036" t="n">
        <v>18413.9329</v>
      </c>
      <c r="Y1036" t="n">
        <v>13334.2273</v>
      </c>
      <c r="Z1036" t="n">
        <v>0.00041584</v>
      </c>
      <c r="AA1036" t="n">
        <v>0.42</v>
      </c>
      <c r="AB1036" t="n">
        <v>0</v>
      </c>
      <c r="AC1036" t="n">
        <v>784.3663</v>
      </c>
      <c r="AD1036" t="n">
        <v>-43140.1472</v>
      </c>
      <c r="AE1036" t="n">
        <v>245693.4091</v>
      </c>
      <c r="AF1036" t="n">
        <v>0.99</v>
      </c>
      <c r="AG1036" t="inlineStr">
        <is>
          <t>Low</t>
        </is>
      </c>
      <c r="AH1036" t="inlineStr">
        <is>
          <t>On Track</t>
        </is>
      </c>
    </row>
    <row r="1037">
      <c r="A1037" t="inlineStr">
        <is>
          <t>SUP-0065</t>
        </is>
      </c>
      <c r="B1037" t="inlineStr">
        <is>
          <t>Agriculture Supplier 065</t>
        </is>
      </c>
      <c r="C1037" t="inlineStr">
        <is>
          <t>Agriculture</t>
        </is>
      </c>
      <c r="D1037" t="n">
        <v>2024</v>
      </c>
      <c r="E1037" t="n">
        <v>2018</v>
      </c>
      <c r="F1037" t="n">
        <v>2035</v>
      </c>
      <c r="G1037" t="n">
        <v>38736.1091</v>
      </c>
      <c r="H1037" t="n">
        <v>9246.0502</v>
      </c>
      <c r="I1037" t="n">
        <v>2428.4262</v>
      </c>
      <c r="J1037" t="n">
        <v>26965.3392</v>
      </c>
      <c r="K1037" t="n">
        <v>44281266.89</v>
      </c>
      <c r="L1037" t="n">
        <v>213728746.93</v>
      </c>
      <c r="M1037" t="n">
        <v>38736.1091</v>
      </c>
      <c r="N1037" t="inlineStr">
        <is>
          <t>Supplier Reported Emissions</t>
        </is>
      </c>
      <c r="O1037" t="b">
        <v>0</v>
      </c>
      <c r="P1037" t="inlineStr">
        <is>
          <t>High</t>
        </is>
      </c>
      <c r="Q1037" t="inlineStr">
        <is>
          <t>None</t>
        </is>
      </c>
      <c r="R1037" t="inlineStr">
        <is>
          <t>Valid</t>
        </is>
      </c>
      <c r="S1037" t="n">
        <v>2036</v>
      </c>
      <c r="T1037" t="inlineStr">
        <is>
          <t>Supplier Target Pathway</t>
        </is>
      </c>
      <c r="U1037" t="n">
        <v>31748.1602</v>
      </c>
      <c r="V1037" t="n">
        <v>18413.9329</v>
      </c>
      <c r="W1037" t="n">
        <v>18413.9329</v>
      </c>
      <c r="X1037" t="n">
        <v>18413.9329</v>
      </c>
      <c r="Y1037" t="n">
        <v>13334.2273</v>
      </c>
      <c r="Z1037" t="n">
        <v>0.00041584</v>
      </c>
      <c r="AA1037" t="n">
        <v>0.42</v>
      </c>
      <c r="AB1037" t="n">
        <v>0</v>
      </c>
      <c r="AC1037" t="n">
        <v>784.3663</v>
      </c>
      <c r="AD1037" t="n">
        <v>-61554.0801</v>
      </c>
      <c r="AE1037" t="n">
        <v>264107.342</v>
      </c>
      <c r="AF1037" t="n">
        <v>0.99</v>
      </c>
      <c r="AG1037" t="inlineStr">
        <is>
          <t>Low</t>
        </is>
      </c>
      <c r="AH1037" t="inlineStr">
        <is>
          <t>On Track</t>
        </is>
      </c>
    </row>
    <row r="1038">
      <c r="A1038" t="inlineStr">
        <is>
          <t>SUP-0065</t>
        </is>
      </c>
      <c r="B1038" t="inlineStr">
        <is>
          <t>Agriculture Supplier 065</t>
        </is>
      </c>
      <c r="C1038" t="inlineStr">
        <is>
          <t>Agriculture</t>
        </is>
      </c>
      <c r="D1038" t="n">
        <v>2024</v>
      </c>
      <c r="E1038" t="n">
        <v>2018</v>
      </c>
      <c r="F1038" t="n">
        <v>2035</v>
      </c>
      <c r="G1038" t="n">
        <v>38736.1091</v>
      </c>
      <c r="H1038" t="n">
        <v>9246.0502</v>
      </c>
      <c r="I1038" t="n">
        <v>2428.4262</v>
      </c>
      <c r="J1038" t="n">
        <v>26965.3392</v>
      </c>
      <c r="K1038" t="n">
        <v>44281266.89</v>
      </c>
      <c r="L1038" t="n">
        <v>213728746.93</v>
      </c>
      <c r="M1038" t="n">
        <v>38736.1091</v>
      </c>
      <c r="N1038" t="inlineStr">
        <is>
          <t>Supplier Reported Emissions</t>
        </is>
      </c>
      <c r="O1038" t="b">
        <v>0</v>
      </c>
      <c r="P1038" t="inlineStr">
        <is>
          <t>High</t>
        </is>
      </c>
      <c r="Q1038" t="inlineStr">
        <is>
          <t>None</t>
        </is>
      </c>
      <c r="R1038" t="inlineStr">
        <is>
          <t>Valid</t>
        </is>
      </c>
      <c r="S1038" t="n">
        <v>2037</v>
      </c>
      <c r="T1038" t="inlineStr">
        <is>
          <t>Supplier Target Pathway</t>
        </is>
      </c>
      <c r="U1038" t="n">
        <v>31748.1602</v>
      </c>
      <c r="V1038" t="n">
        <v>18413.9329</v>
      </c>
      <c r="W1038" t="n">
        <v>18413.9329</v>
      </c>
      <c r="X1038" t="n">
        <v>18413.9329</v>
      </c>
      <c r="Y1038" t="n">
        <v>13334.2273</v>
      </c>
      <c r="Z1038" t="n">
        <v>0.00041584</v>
      </c>
      <c r="AA1038" t="n">
        <v>0.42</v>
      </c>
      <c r="AB1038" t="n">
        <v>0</v>
      </c>
      <c r="AC1038" t="n">
        <v>784.3663</v>
      </c>
      <c r="AD1038" t="n">
        <v>-79968.01300000001</v>
      </c>
      <c r="AE1038" t="n">
        <v>282521.2749</v>
      </c>
      <c r="AF1038" t="n">
        <v>0.99</v>
      </c>
      <c r="AG1038" t="inlineStr">
        <is>
          <t>Low</t>
        </is>
      </c>
      <c r="AH1038" t="inlineStr">
        <is>
          <t>On Track</t>
        </is>
      </c>
    </row>
    <row r="1039">
      <c r="A1039" t="inlineStr">
        <is>
          <t>SUP-0065</t>
        </is>
      </c>
      <c r="B1039" t="inlineStr">
        <is>
          <t>Agriculture Supplier 065</t>
        </is>
      </c>
      <c r="C1039" t="inlineStr">
        <is>
          <t>Agriculture</t>
        </is>
      </c>
      <c r="D1039" t="n">
        <v>2024</v>
      </c>
      <c r="E1039" t="n">
        <v>2018</v>
      </c>
      <c r="F1039" t="n">
        <v>2035</v>
      </c>
      <c r="G1039" t="n">
        <v>38736.1091</v>
      </c>
      <c r="H1039" t="n">
        <v>9246.0502</v>
      </c>
      <c r="I1039" t="n">
        <v>2428.4262</v>
      </c>
      <c r="J1039" t="n">
        <v>26965.3392</v>
      </c>
      <c r="K1039" t="n">
        <v>44281266.89</v>
      </c>
      <c r="L1039" t="n">
        <v>213728746.93</v>
      </c>
      <c r="M1039" t="n">
        <v>38736.1091</v>
      </c>
      <c r="N1039" t="inlineStr">
        <is>
          <t>Supplier Reported Emissions</t>
        </is>
      </c>
      <c r="O1039" t="b">
        <v>0</v>
      </c>
      <c r="P1039" t="inlineStr">
        <is>
          <t>High</t>
        </is>
      </c>
      <c r="Q1039" t="inlineStr">
        <is>
          <t>None</t>
        </is>
      </c>
      <c r="R1039" t="inlineStr">
        <is>
          <t>Valid</t>
        </is>
      </c>
      <c r="S1039" t="n">
        <v>2038</v>
      </c>
      <c r="T1039" t="inlineStr">
        <is>
          <t>Supplier Target Pathway</t>
        </is>
      </c>
      <c r="U1039" t="n">
        <v>31748.1602</v>
      </c>
      <c r="V1039" t="n">
        <v>18413.9329</v>
      </c>
      <c r="W1039" t="n">
        <v>18413.9329</v>
      </c>
      <c r="X1039" t="n">
        <v>18413.9329</v>
      </c>
      <c r="Y1039" t="n">
        <v>13334.2273</v>
      </c>
      <c r="Z1039" t="n">
        <v>0.00041584</v>
      </c>
      <c r="AA1039" t="n">
        <v>0.42</v>
      </c>
      <c r="AB1039" t="n">
        <v>0</v>
      </c>
      <c r="AC1039" t="n">
        <v>784.3663</v>
      </c>
      <c r="AD1039" t="n">
        <v>-98381.94590000001</v>
      </c>
      <c r="AE1039" t="n">
        <v>300935.2078</v>
      </c>
      <c r="AF1039" t="n">
        <v>0.99</v>
      </c>
      <c r="AG1039" t="inlineStr">
        <is>
          <t>Low</t>
        </is>
      </c>
      <c r="AH1039" t="inlineStr">
        <is>
          <t>On Track</t>
        </is>
      </c>
    </row>
    <row r="1040">
      <c r="A1040" t="inlineStr">
        <is>
          <t>SUP-0065</t>
        </is>
      </c>
      <c r="B1040" t="inlineStr">
        <is>
          <t>Agriculture Supplier 065</t>
        </is>
      </c>
      <c r="C1040" t="inlineStr">
        <is>
          <t>Agriculture</t>
        </is>
      </c>
      <c r="D1040" t="n">
        <v>2024</v>
      </c>
      <c r="E1040" t="n">
        <v>2018</v>
      </c>
      <c r="F1040" t="n">
        <v>2035</v>
      </c>
      <c r="G1040" t="n">
        <v>38736.1091</v>
      </c>
      <c r="H1040" t="n">
        <v>9246.0502</v>
      </c>
      <c r="I1040" t="n">
        <v>2428.4262</v>
      </c>
      <c r="J1040" t="n">
        <v>26965.3392</v>
      </c>
      <c r="K1040" t="n">
        <v>44281266.89</v>
      </c>
      <c r="L1040" t="n">
        <v>213728746.93</v>
      </c>
      <c r="M1040" t="n">
        <v>38736.1091</v>
      </c>
      <c r="N1040" t="inlineStr">
        <is>
          <t>Supplier Reported Emissions</t>
        </is>
      </c>
      <c r="O1040" t="b">
        <v>0</v>
      </c>
      <c r="P1040" t="inlineStr">
        <is>
          <t>High</t>
        </is>
      </c>
      <c r="Q1040" t="inlineStr">
        <is>
          <t>None</t>
        </is>
      </c>
      <c r="R1040" t="inlineStr">
        <is>
          <t>Valid</t>
        </is>
      </c>
      <c r="S1040" t="n">
        <v>2039</v>
      </c>
      <c r="T1040" t="inlineStr">
        <is>
          <t>Supplier Target Pathway</t>
        </is>
      </c>
      <c r="U1040" t="n">
        <v>31748.1602</v>
      </c>
      <c r="V1040" t="n">
        <v>18413.9329</v>
      </c>
      <c r="W1040" t="n">
        <v>18413.9329</v>
      </c>
      <c r="X1040" t="n">
        <v>18413.9329</v>
      </c>
      <c r="Y1040" t="n">
        <v>13334.2273</v>
      </c>
      <c r="Z1040" t="n">
        <v>0.00041584</v>
      </c>
      <c r="AA1040" t="n">
        <v>0.42</v>
      </c>
      <c r="AB1040" t="n">
        <v>0</v>
      </c>
      <c r="AC1040" t="n">
        <v>784.3663</v>
      </c>
      <c r="AD1040" t="n">
        <v>-116795.8788</v>
      </c>
      <c r="AE1040" t="n">
        <v>319349.1407</v>
      </c>
      <c r="AF1040" t="n">
        <v>0.99</v>
      </c>
      <c r="AG1040" t="inlineStr">
        <is>
          <t>Low</t>
        </is>
      </c>
      <c r="AH1040" t="inlineStr">
        <is>
          <t>On Track</t>
        </is>
      </c>
    </row>
    <row r="1041">
      <c r="A1041" t="inlineStr">
        <is>
          <t>SUP-0065</t>
        </is>
      </c>
      <c r="B1041" t="inlineStr">
        <is>
          <t>Agriculture Supplier 065</t>
        </is>
      </c>
      <c r="C1041" t="inlineStr">
        <is>
          <t>Agriculture</t>
        </is>
      </c>
      <c r="D1041" t="n">
        <v>2024</v>
      </c>
      <c r="E1041" t="n">
        <v>2018</v>
      </c>
      <c r="F1041" t="n">
        <v>2035</v>
      </c>
      <c r="G1041" t="n">
        <v>38736.1091</v>
      </c>
      <c r="H1041" t="n">
        <v>9246.0502</v>
      </c>
      <c r="I1041" t="n">
        <v>2428.4262</v>
      </c>
      <c r="J1041" t="n">
        <v>26965.3392</v>
      </c>
      <c r="K1041" t="n">
        <v>44281266.89</v>
      </c>
      <c r="L1041" t="n">
        <v>213728746.93</v>
      </c>
      <c r="M1041" t="n">
        <v>38736.1091</v>
      </c>
      <c r="N1041" t="inlineStr">
        <is>
          <t>Supplier Reported Emissions</t>
        </is>
      </c>
      <c r="O1041" t="b">
        <v>0</v>
      </c>
      <c r="P1041" t="inlineStr">
        <is>
          <t>High</t>
        </is>
      </c>
      <c r="Q1041" t="inlineStr">
        <is>
          <t>None</t>
        </is>
      </c>
      <c r="R1041" t="inlineStr">
        <is>
          <t>Valid</t>
        </is>
      </c>
      <c r="S1041" t="n">
        <v>2040</v>
      </c>
      <c r="T1041" t="inlineStr">
        <is>
          <t>Supplier Target Pathway</t>
        </is>
      </c>
      <c r="U1041" t="n">
        <v>31748.1602</v>
      </c>
      <c r="V1041" t="n">
        <v>18413.9329</v>
      </c>
      <c r="W1041" t="n">
        <v>18413.9329</v>
      </c>
      <c r="X1041" t="n">
        <v>18413.9329</v>
      </c>
      <c r="Y1041" t="n">
        <v>13334.2273</v>
      </c>
      <c r="Z1041" t="n">
        <v>0.00041584</v>
      </c>
      <c r="AA1041" t="n">
        <v>0.42</v>
      </c>
      <c r="AB1041" t="n">
        <v>0</v>
      </c>
      <c r="AC1041" t="n">
        <v>784.3663</v>
      </c>
      <c r="AD1041" t="n">
        <v>-135209.8117</v>
      </c>
      <c r="AE1041" t="n">
        <v>337763.0736</v>
      </c>
      <c r="AF1041" t="n">
        <v>0.99</v>
      </c>
      <c r="AG1041" t="inlineStr">
        <is>
          <t>Low</t>
        </is>
      </c>
      <c r="AH1041" t="inlineStr">
        <is>
          <t>On Track</t>
        </is>
      </c>
    </row>
    <row r="1042">
      <c r="A1042" t="inlineStr">
        <is>
          <t>SUP-0066</t>
        </is>
      </c>
      <c r="B1042" t="inlineStr">
        <is>
          <t>Electronics Supplier 066</t>
        </is>
      </c>
      <c r="C1042" t="inlineStr">
        <is>
          <t>Electronics</t>
        </is>
      </c>
      <c r="D1042" t="n">
        <v>2024</v>
      </c>
      <c r="E1042" t="n">
        <v>2020</v>
      </c>
      <c r="F1042" t="n">
        <v>2030</v>
      </c>
      <c r="G1042" t="inlineStr"/>
      <c r="H1042" t="n">
        <v>4979.1041</v>
      </c>
      <c r="I1042" t="n">
        <v>2553.9998</v>
      </c>
      <c r="J1042" t="n">
        <v>14364.8108</v>
      </c>
      <c r="K1042" t="n">
        <v>18221953.51</v>
      </c>
      <c r="L1042" t="n">
        <v>74041728.31999999</v>
      </c>
      <c r="M1042" t="n">
        <v>21897.9147</v>
      </c>
      <c r="N1042" t="inlineStr">
        <is>
          <t>Scope 1 + Scope 2 + Scope 3</t>
        </is>
      </c>
      <c r="O1042" t="b">
        <v>1</v>
      </c>
      <c r="P1042" t="inlineStr">
        <is>
          <t>High</t>
        </is>
      </c>
      <c r="Q1042" t="inlineStr">
        <is>
          <t>Reported_Emissions</t>
        </is>
      </c>
      <c r="R1042" t="inlineStr">
        <is>
          <t>Valid</t>
        </is>
      </c>
      <c r="S1042" t="n">
        <v>2025</v>
      </c>
      <c r="T1042" t="inlineStr">
        <is>
          <t>Supplier Target Pathway</t>
        </is>
      </c>
      <c r="U1042" t="n">
        <v>14330.0069</v>
      </c>
      <c r="V1042" t="n">
        <v>9472.134599999999</v>
      </c>
      <c r="W1042" t="n">
        <v>11901.0707</v>
      </c>
      <c r="X1042" t="n">
        <v>11901.0707</v>
      </c>
      <c r="Y1042" t="n">
        <v>2428.9362</v>
      </c>
      <c r="Z1042" t="n">
        <v>0.00065312</v>
      </c>
      <c r="AA1042" t="n">
        <v>0.1695</v>
      </c>
      <c r="AB1042" t="n">
        <v>2428.9362</v>
      </c>
      <c r="AC1042" t="n">
        <v>485.7872</v>
      </c>
      <c r="AD1042" t="n">
        <v>44931.7369</v>
      </c>
      <c r="AE1042" t="n">
        <v>11901.0707</v>
      </c>
      <c r="AF1042" t="n">
        <v>0.99</v>
      </c>
      <c r="AG1042" t="inlineStr">
        <is>
          <t>High</t>
        </is>
      </c>
      <c r="AH1042" t="inlineStr">
        <is>
          <t>On Track to Glide Path</t>
        </is>
      </c>
    </row>
    <row r="1043">
      <c r="A1043" t="inlineStr">
        <is>
          <t>SUP-0066</t>
        </is>
      </c>
      <c r="B1043" t="inlineStr">
        <is>
          <t>Electronics Supplier 066</t>
        </is>
      </c>
      <c r="C1043" t="inlineStr">
        <is>
          <t>Electronics</t>
        </is>
      </c>
      <c r="D1043" t="n">
        <v>2024</v>
      </c>
      <c r="E1043" t="n">
        <v>2020</v>
      </c>
      <c r="F1043" t="n">
        <v>2030</v>
      </c>
      <c r="G1043" t="inlineStr"/>
      <c r="H1043" t="n">
        <v>4979.1041</v>
      </c>
      <c r="I1043" t="n">
        <v>2553.9998</v>
      </c>
      <c r="J1043" t="n">
        <v>14364.8108</v>
      </c>
      <c r="K1043" t="n">
        <v>18221953.51</v>
      </c>
      <c r="L1043" t="n">
        <v>74041728.31999999</v>
      </c>
      <c r="M1043" t="n">
        <v>21897.9147</v>
      </c>
      <c r="N1043" t="inlineStr">
        <is>
          <t>Scope 1 + Scope 2 + Scope 3</t>
        </is>
      </c>
      <c r="O1043" t="b">
        <v>1</v>
      </c>
      <c r="P1043" t="inlineStr">
        <is>
          <t>High</t>
        </is>
      </c>
      <c r="Q1043" t="inlineStr">
        <is>
          <t>Reported_Emissions</t>
        </is>
      </c>
      <c r="R1043" t="inlineStr">
        <is>
          <t>Valid</t>
        </is>
      </c>
      <c r="S1043" t="n">
        <v>2026</v>
      </c>
      <c r="T1043" t="inlineStr">
        <is>
          <t>Supplier Target Pathway</t>
        </is>
      </c>
      <c r="U1043" t="n">
        <v>14330.0069</v>
      </c>
      <c r="V1043" t="n">
        <v>9472.134599999999</v>
      </c>
      <c r="W1043" t="n">
        <v>11415.2835</v>
      </c>
      <c r="X1043" t="n">
        <v>11415.2835</v>
      </c>
      <c r="Y1043" t="n">
        <v>2914.7234</v>
      </c>
      <c r="Z1043" t="n">
        <v>0.00062646</v>
      </c>
      <c r="AA1043" t="n">
        <v>0.2034</v>
      </c>
      <c r="AB1043" t="n">
        <v>1943.1489</v>
      </c>
      <c r="AC1043" t="n">
        <v>485.7872</v>
      </c>
      <c r="AD1043" t="n">
        <v>33516.4534</v>
      </c>
      <c r="AE1043" t="n">
        <v>23316.3542</v>
      </c>
      <c r="AF1043" t="n">
        <v>0.99</v>
      </c>
      <c r="AG1043" t="inlineStr">
        <is>
          <t>High</t>
        </is>
      </c>
      <c r="AH1043" t="inlineStr">
        <is>
          <t>On Track to Glide Path</t>
        </is>
      </c>
    </row>
    <row r="1044">
      <c r="A1044" t="inlineStr">
        <is>
          <t>SUP-0066</t>
        </is>
      </c>
      <c r="B1044" t="inlineStr">
        <is>
          <t>Electronics Supplier 066</t>
        </is>
      </c>
      <c r="C1044" t="inlineStr">
        <is>
          <t>Electronics</t>
        </is>
      </c>
      <c r="D1044" t="n">
        <v>2024</v>
      </c>
      <c r="E1044" t="n">
        <v>2020</v>
      </c>
      <c r="F1044" t="n">
        <v>2030</v>
      </c>
      <c r="G1044" t="inlineStr"/>
      <c r="H1044" t="n">
        <v>4979.1041</v>
      </c>
      <c r="I1044" t="n">
        <v>2553.9998</v>
      </c>
      <c r="J1044" t="n">
        <v>14364.8108</v>
      </c>
      <c r="K1044" t="n">
        <v>18221953.51</v>
      </c>
      <c r="L1044" t="n">
        <v>74041728.31999999</v>
      </c>
      <c r="M1044" t="n">
        <v>21897.9147</v>
      </c>
      <c r="N1044" t="inlineStr">
        <is>
          <t>Scope 1 + Scope 2 + Scope 3</t>
        </is>
      </c>
      <c r="O1044" t="b">
        <v>1</v>
      </c>
      <c r="P1044" t="inlineStr">
        <is>
          <t>High</t>
        </is>
      </c>
      <c r="Q1044" t="inlineStr">
        <is>
          <t>Reported_Emissions</t>
        </is>
      </c>
      <c r="R1044" t="inlineStr">
        <is>
          <t>Valid</t>
        </is>
      </c>
      <c r="S1044" t="n">
        <v>2027</v>
      </c>
      <c r="T1044" t="inlineStr">
        <is>
          <t>Supplier Target Pathway</t>
        </is>
      </c>
      <c r="U1044" t="n">
        <v>14330.0069</v>
      </c>
      <c r="V1044" t="n">
        <v>9472.134599999999</v>
      </c>
      <c r="W1044" t="n">
        <v>10929.4963</v>
      </c>
      <c r="X1044" t="n">
        <v>10929.4963</v>
      </c>
      <c r="Y1044" t="n">
        <v>3400.5106</v>
      </c>
      <c r="Z1044" t="n">
        <v>0.0005998000000000001</v>
      </c>
      <c r="AA1044" t="n">
        <v>0.2373</v>
      </c>
      <c r="AB1044" t="n">
        <v>1457.3617</v>
      </c>
      <c r="AC1044" t="n">
        <v>485.7872</v>
      </c>
      <c r="AD1044" t="n">
        <v>22586.9571</v>
      </c>
      <c r="AE1044" t="n">
        <v>34245.8505</v>
      </c>
      <c r="AF1044" t="n">
        <v>0.99</v>
      </c>
      <c r="AG1044" t="inlineStr">
        <is>
          <t>High</t>
        </is>
      </c>
      <c r="AH1044" t="inlineStr">
        <is>
          <t>On Track to Glide Path</t>
        </is>
      </c>
    </row>
    <row r="1045">
      <c r="A1045" t="inlineStr">
        <is>
          <t>SUP-0066</t>
        </is>
      </c>
      <c r="B1045" t="inlineStr">
        <is>
          <t>Electronics Supplier 066</t>
        </is>
      </c>
      <c r="C1045" t="inlineStr">
        <is>
          <t>Electronics</t>
        </is>
      </c>
      <c r="D1045" t="n">
        <v>2024</v>
      </c>
      <c r="E1045" t="n">
        <v>2020</v>
      </c>
      <c r="F1045" t="n">
        <v>2030</v>
      </c>
      <c r="G1045" t="inlineStr"/>
      <c r="H1045" t="n">
        <v>4979.1041</v>
      </c>
      <c r="I1045" t="n">
        <v>2553.9998</v>
      </c>
      <c r="J1045" t="n">
        <v>14364.8108</v>
      </c>
      <c r="K1045" t="n">
        <v>18221953.51</v>
      </c>
      <c r="L1045" t="n">
        <v>74041728.31999999</v>
      </c>
      <c r="M1045" t="n">
        <v>21897.9147</v>
      </c>
      <c r="N1045" t="inlineStr">
        <is>
          <t>Scope 1 + Scope 2 + Scope 3</t>
        </is>
      </c>
      <c r="O1045" t="b">
        <v>1</v>
      </c>
      <c r="P1045" t="inlineStr">
        <is>
          <t>High</t>
        </is>
      </c>
      <c r="Q1045" t="inlineStr">
        <is>
          <t>Reported_Emissions</t>
        </is>
      </c>
      <c r="R1045" t="inlineStr">
        <is>
          <t>Valid</t>
        </is>
      </c>
      <c r="S1045" t="n">
        <v>2028</v>
      </c>
      <c r="T1045" t="inlineStr">
        <is>
          <t>Supplier Target Pathway</t>
        </is>
      </c>
      <c r="U1045" t="n">
        <v>14330.0069</v>
      </c>
      <c r="V1045" t="n">
        <v>9472.134599999999</v>
      </c>
      <c r="W1045" t="n">
        <v>10443.709</v>
      </c>
      <c r="X1045" t="n">
        <v>10443.709</v>
      </c>
      <c r="Y1045" t="n">
        <v>3886.2979</v>
      </c>
      <c r="Z1045" t="n">
        <v>0.00057314</v>
      </c>
      <c r="AA1045" t="n">
        <v>0.2712</v>
      </c>
      <c r="AB1045" t="n">
        <v>971.5744999999999</v>
      </c>
      <c r="AC1045" t="n">
        <v>485.7872</v>
      </c>
      <c r="AD1045" t="n">
        <v>12143.2481</v>
      </c>
      <c r="AE1045" t="n">
        <v>44689.5595</v>
      </c>
      <c r="AF1045" t="n">
        <v>0.99</v>
      </c>
      <c r="AG1045" t="inlineStr">
        <is>
          <t>Medium</t>
        </is>
      </c>
      <c r="AH1045" t="inlineStr">
        <is>
          <t>On Track to Glide Path</t>
        </is>
      </c>
    </row>
    <row r="1046">
      <c r="A1046" t="inlineStr">
        <is>
          <t>SUP-0066</t>
        </is>
      </c>
      <c r="B1046" t="inlineStr">
        <is>
          <t>Electronics Supplier 066</t>
        </is>
      </c>
      <c r="C1046" t="inlineStr">
        <is>
          <t>Electronics</t>
        </is>
      </c>
      <c r="D1046" t="n">
        <v>2024</v>
      </c>
      <c r="E1046" t="n">
        <v>2020</v>
      </c>
      <c r="F1046" t="n">
        <v>2030</v>
      </c>
      <c r="G1046" t="inlineStr"/>
      <c r="H1046" t="n">
        <v>4979.1041</v>
      </c>
      <c r="I1046" t="n">
        <v>2553.9998</v>
      </c>
      <c r="J1046" t="n">
        <v>14364.8108</v>
      </c>
      <c r="K1046" t="n">
        <v>18221953.51</v>
      </c>
      <c r="L1046" t="n">
        <v>74041728.31999999</v>
      </c>
      <c r="M1046" t="n">
        <v>21897.9147</v>
      </c>
      <c r="N1046" t="inlineStr">
        <is>
          <t>Scope 1 + Scope 2 + Scope 3</t>
        </is>
      </c>
      <c r="O1046" t="b">
        <v>1</v>
      </c>
      <c r="P1046" t="inlineStr">
        <is>
          <t>High</t>
        </is>
      </c>
      <c r="Q1046" t="inlineStr">
        <is>
          <t>Reported_Emissions</t>
        </is>
      </c>
      <c r="R1046" t="inlineStr">
        <is>
          <t>Valid</t>
        </is>
      </c>
      <c r="S1046" t="n">
        <v>2029</v>
      </c>
      <c r="T1046" t="inlineStr">
        <is>
          <t>Supplier Target Pathway</t>
        </is>
      </c>
      <c r="U1046" t="n">
        <v>14330.0069</v>
      </c>
      <c r="V1046" t="n">
        <v>9472.134599999999</v>
      </c>
      <c r="W1046" t="n">
        <v>9957.9218</v>
      </c>
      <c r="X1046" t="n">
        <v>9957.9218</v>
      </c>
      <c r="Y1046" t="n">
        <v>4372.0851</v>
      </c>
      <c r="Z1046" t="n">
        <v>0.00054648</v>
      </c>
      <c r="AA1046" t="n">
        <v>0.3051</v>
      </c>
      <c r="AB1046" t="n">
        <v>485.7872</v>
      </c>
      <c r="AC1046" t="n">
        <v>485.7872</v>
      </c>
      <c r="AD1046" t="n">
        <v>2185.3263</v>
      </c>
      <c r="AE1046" t="n">
        <v>54647.4813</v>
      </c>
      <c r="AF1046" t="n">
        <v>0.99</v>
      </c>
      <c r="AG1046" t="inlineStr">
        <is>
          <t>Medium</t>
        </is>
      </c>
      <c r="AH1046" t="inlineStr">
        <is>
          <t>On Track to Glide Path</t>
        </is>
      </c>
    </row>
    <row r="1047">
      <c r="A1047" t="inlineStr">
        <is>
          <t>SUP-0066</t>
        </is>
      </c>
      <c r="B1047" t="inlineStr">
        <is>
          <t>Electronics Supplier 066</t>
        </is>
      </c>
      <c r="C1047" t="inlineStr">
        <is>
          <t>Electronics</t>
        </is>
      </c>
      <c r="D1047" t="n">
        <v>2024</v>
      </c>
      <c r="E1047" t="n">
        <v>2020</v>
      </c>
      <c r="F1047" t="n">
        <v>2030</v>
      </c>
      <c r="G1047" t="inlineStr"/>
      <c r="H1047" t="n">
        <v>4979.1041</v>
      </c>
      <c r="I1047" t="n">
        <v>2553.9998</v>
      </c>
      <c r="J1047" t="n">
        <v>14364.8108</v>
      </c>
      <c r="K1047" t="n">
        <v>18221953.51</v>
      </c>
      <c r="L1047" t="n">
        <v>74041728.31999999</v>
      </c>
      <c r="M1047" t="n">
        <v>21897.9147</v>
      </c>
      <c r="N1047" t="inlineStr">
        <is>
          <t>Scope 1 + Scope 2 + Scope 3</t>
        </is>
      </c>
      <c r="O1047" t="b">
        <v>1</v>
      </c>
      <c r="P1047" t="inlineStr">
        <is>
          <t>High</t>
        </is>
      </c>
      <c r="Q1047" t="inlineStr">
        <is>
          <t>Reported_Emissions</t>
        </is>
      </c>
      <c r="R1047" t="inlineStr">
        <is>
          <t>Valid</t>
        </is>
      </c>
      <c r="S1047" t="n">
        <v>2030</v>
      </c>
      <c r="T1047" t="inlineStr">
        <is>
          <t>Supplier Target Pathway</t>
        </is>
      </c>
      <c r="U1047" t="n">
        <v>14330.0069</v>
      </c>
      <c r="V1047" t="n">
        <v>9472.134599999999</v>
      </c>
      <c r="W1047" t="n">
        <v>9472.134599999999</v>
      </c>
      <c r="X1047" t="n">
        <v>9472.134599999999</v>
      </c>
      <c r="Y1047" t="n">
        <v>4857.8723</v>
      </c>
      <c r="Z1047" t="n">
        <v>0.00051982</v>
      </c>
      <c r="AA1047" t="n">
        <v>0.339</v>
      </c>
      <c r="AB1047" t="n">
        <v>0</v>
      </c>
      <c r="AC1047" t="n">
        <v>485.7872</v>
      </c>
      <c r="AD1047" t="n">
        <v>-7286.8083</v>
      </c>
      <c r="AE1047" t="n">
        <v>64119.6159</v>
      </c>
      <c r="AF1047" t="n">
        <v>0.99</v>
      </c>
      <c r="AG1047" t="inlineStr">
        <is>
          <t>Low</t>
        </is>
      </c>
      <c r="AH1047" t="inlineStr">
        <is>
          <t>On Track</t>
        </is>
      </c>
    </row>
    <row r="1048">
      <c r="A1048" t="inlineStr">
        <is>
          <t>SUP-0066</t>
        </is>
      </c>
      <c r="B1048" t="inlineStr">
        <is>
          <t>Electronics Supplier 066</t>
        </is>
      </c>
      <c r="C1048" t="inlineStr">
        <is>
          <t>Electronics</t>
        </is>
      </c>
      <c r="D1048" t="n">
        <v>2024</v>
      </c>
      <c r="E1048" t="n">
        <v>2020</v>
      </c>
      <c r="F1048" t="n">
        <v>2030</v>
      </c>
      <c r="G1048" t="inlineStr"/>
      <c r="H1048" t="n">
        <v>4979.1041</v>
      </c>
      <c r="I1048" t="n">
        <v>2553.9998</v>
      </c>
      <c r="J1048" t="n">
        <v>14364.8108</v>
      </c>
      <c r="K1048" t="n">
        <v>18221953.51</v>
      </c>
      <c r="L1048" t="n">
        <v>74041728.31999999</v>
      </c>
      <c r="M1048" t="n">
        <v>21897.9147</v>
      </c>
      <c r="N1048" t="inlineStr">
        <is>
          <t>Scope 1 + Scope 2 + Scope 3</t>
        </is>
      </c>
      <c r="O1048" t="b">
        <v>1</v>
      </c>
      <c r="P1048" t="inlineStr">
        <is>
          <t>High</t>
        </is>
      </c>
      <c r="Q1048" t="inlineStr">
        <is>
          <t>Reported_Emissions</t>
        </is>
      </c>
      <c r="R1048" t="inlineStr">
        <is>
          <t>Valid</t>
        </is>
      </c>
      <c r="S1048" t="n">
        <v>2031</v>
      </c>
      <c r="T1048" t="inlineStr">
        <is>
          <t>Supplier Target Pathway</t>
        </is>
      </c>
      <c r="U1048" t="n">
        <v>14330.0069</v>
      </c>
      <c r="V1048" t="n">
        <v>9472.134599999999</v>
      </c>
      <c r="W1048" t="n">
        <v>9472.134599999999</v>
      </c>
      <c r="X1048" t="n">
        <v>9472.134599999999</v>
      </c>
      <c r="Y1048" t="n">
        <v>4857.8723</v>
      </c>
      <c r="Z1048" t="n">
        <v>0.00051982</v>
      </c>
      <c r="AA1048" t="n">
        <v>0.339</v>
      </c>
      <c r="AB1048" t="n">
        <v>0</v>
      </c>
      <c r="AC1048" t="n">
        <v>485.7872</v>
      </c>
      <c r="AD1048" t="n">
        <v>-16758.9429</v>
      </c>
      <c r="AE1048" t="n">
        <v>73591.75049999999</v>
      </c>
      <c r="AF1048" t="n">
        <v>0.99</v>
      </c>
      <c r="AG1048" t="inlineStr">
        <is>
          <t>Low</t>
        </is>
      </c>
      <c r="AH1048" t="inlineStr">
        <is>
          <t>On Track</t>
        </is>
      </c>
    </row>
    <row r="1049">
      <c r="A1049" t="inlineStr">
        <is>
          <t>SUP-0066</t>
        </is>
      </c>
      <c r="B1049" t="inlineStr">
        <is>
          <t>Electronics Supplier 066</t>
        </is>
      </c>
      <c r="C1049" t="inlineStr">
        <is>
          <t>Electronics</t>
        </is>
      </c>
      <c r="D1049" t="n">
        <v>2024</v>
      </c>
      <c r="E1049" t="n">
        <v>2020</v>
      </c>
      <c r="F1049" t="n">
        <v>2030</v>
      </c>
      <c r="G1049" t="inlineStr"/>
      <c r="H1049" t="n">
        <v>4979.1041</v>
      </c>
      <c r="I1049" t="n">
        <v>2553.9998</v>
      </c>
      <c r="J1049" t="n">
        <v>14364.8108</v>
      </c>
      <c r="K1049" t="n">
        <v>18221953.51</v>
      </c>
      <c r="L1049" t="n">
        <v>74041728.31999999</v>
      </c>
      <c r="M1049" t="n">
        <v>21897.9147</v>
      </c>
      <c r="N1049" t="inlineStr">
        <is>
          <t>Scope 1 + Scope 2 + Scope 3</t>
        </is>
      </c>
      <c r="O1049" t="b">
        <v>1</v>
      </c>
      <c r="P1049" t="inlineStr">
        <is>
          <t>High</t>
        </is>
      </c>
      <c r="Q1049" t="inlineStr">
        <is>
          <t>Reported_Emissions</t>
        </is>
      </c>
      <c r="R1049" t="inlineStr">
        <is>
          <t>Valid</t>
        </is>
      </c>
      <c r="S1049" t="n">
        <v>2032</v>
      </c>
      <c r="T1049" t="inlineStr">
        <is>
          <t>Supplier Target Pathway</t>
        </is>
      </c>
      <c r="U1049" t="n">
        <v>14330.0069</v>
      </c>
      <c r="V1049" t="n">
        <v>9472.134599999999</v>
      </c>
      <c r="W1049" t="n">
        <v>9472.134599999999</v>
      </c>
      <c r="X1049" t="n">
        <v>9472.134599999999</v>
      </c>
      <c r="Y1049" t="n">
        <v>4857.8723</v>
      </c>
      <c r="Z1049" t="n">
        <v>0.00051982</v>
      </c>
      <c r="AA1049" t="n">
        <v>0.339</v>
      </c>
      <c r="AB1049" t="n">
        <v>0</v>
      </c>
      <c r="AC1049" t="n">
        <v>485.7872</v>
      </c>
      <c r="AD1049" t="n">
        <v>-26231.0775</v>
      </c>
      <c r="AE1049" t="n">
        <v>83063.8851</v>
      </c>
      <c r="AF1049" t="n">
        <v>0.99</v>
      </c>
      <c r="AG1049" t="inlineStr">
        <is>
          <t>Low</t>
        </is>
      </c>
      <c r="AH1049" t="inlineStr">
        <is>
          <t>On Track</t>
        </is>
      </c>
    </row>
    <row r="1050">
      <c r="A1050" t="inlineStr">
        <is>
          <t>SUP-0066</t>
        </is>
      </c>
      <c r="B1050" t="inlineStr">
        <is>
          <t>Electronics Supplier 066</t>
        </is>
      </c>
      <c r="C1050" t="inlineStr">
        <is>
          <t>Electronics</t>
        </is>
      </c>
      <c r="D1050" t="n">
        <v>2024</v>
      </c>
      <c r="E1050" t="n">
        <v>2020</v>
      </c>
      <c r="F1050" t="n">
        <v>2030</v>
      </c>
      <c r="G1050" t="inlineStr"/>
      <c r="H1050" t="n">
        <v>4979.1041</v>
      </c>
      <c r="I1050" t="n">
        <v>2553.9998</v>
      </c>
      <c r="J1050" t="n">
        <v>14364.8108</v>
      </c>
      <c r="K1050" t="n">
        <v>18221953.51</v>
      </c>
      <c r="L1050" t="n">
        <v>74041728.31999999</v>
      </c>
      <c r="M1050" t="n">
        <v>21897.9147</v>
      </c>
      <c r="N1050" t="inlineStr">
        <is>
          <t>Scope 1 + Scope 2 + Scope 3</t>
        </is>
      </c>
      <c r="O1050" t="b">
        <v>1</v>
      </c>
      <c r="P1050" t="inlineStr">
        <is>
          <t>High</t>
        </is>
      </c>
      <c r="Q1050" t="inlineStr">
        <is>
          <t>Reported_Emissions</t>
        </is>
      </c>
      <c r="R1050" t="inlineStr">
        <is>
          <t>Valid</t>
        </is>
      </c>
      <c r="S1050" t="n">
        <v>2033</v>
      </c>
      <c r="T1050" t="inlineStr">
        <is>
          <t>Supplier Target Pathway</t>
        </is>
      </c>
      <c r="U1050" t="n">
        <v>14330.0069</v>
      </c>
      <c r="V1050" t="n">
        <v>9472.134599999999</v>
      </c>
      <c r="W1050" t="n">
        <v>9472.134599999999</v>
      </c>
      <c r="X1050" t="n">
        <v>9472.134599999999</v>
      </c>
      <c r="Y1050" t="n">
        <v>4857.8723</v>
      </c>
      <c r="Z1050" t="n">
        <v>0.00051982</v>
      </c>
      <c r="AA1050" t="n">
        <v>0.339</v>
      </c>
      <c r="AB1050" t="n">
        <v>0</v>
      </c>
      <c r="AC1050" t="n">
        <v>485.7872</v>
      </c>
      <c r="AD1050" t="n">
        <v>-35703.2121</v>
      </c>
      <c r="AE1050" t="n">
        <v>92536.0197</v>
      </c>
      <c r="AF1050" t="n">
        <v>0.99</v>
      </c>
      <c r="AG1050" t="inlineStr">
        <is>
          <t>Low</t>
        </is>
      </c>
      <c r="AH1050" t="inlineStr">
        <is>
          <t>On Track</t>
        </is>
      </c>
    </row>
    <row r="1051">
      <c r="A1051" t="inlineStr">
        <is>
          <t>SUP-0066</t>
        </is>
      </c>
      <c r="B1051" t="inlineStr">
        <is>
          <t>Electronics Supplier 066</t>
        </is>
      </c>
      <c r="C1051" t="inlineStr">
        <is>
          <t>Electronics</t>
        </is>
      </c>
      <c r="D1051" t="n">
        <v>2024</v>
      </c>
      <c r="E1051" t="n">
        <v>2020</v>
      </c>
      <c r="F1051" t="n">
        <v>2030</v>
      </c>
      <c r="G1051" t="inlineStr"/>
      <c r="H1051" t="n">
        <v>4979.1041</v>
      </c>
      <c r="I1051" t="n">
        <v>2553.9998</v>
      </c>
      <c r="J1051" t="n">
        <v>14364.8108</v>
      </c>
      <c r="K1051" t="n">
        <v>18221953.51</v>
      </c>
      <c r="L1051" t="n">
        <v>74041728.31999999</v>
      </c>
      <c r="M1051" t="n">
        <v>21897.9147</v>
      </c>
      <c r="N1051" t="inlineStr">
        <is>
          <t>Scope 1 + Scope 2 + Scope 3</t>
        </is>
      </c>
      <c r="O1051" t="b">
        <v>1</v>
      </c>
      <c r="P1051" t="inlineStr">
        <is>
          <t>High</t>
        </is>
      </c>
      <c r="Q1051" t="inlineStr">
        <is>
          <t>Reported_Emissions</t>
        </is>
      </c>
      <c r="R1051" t="inlineStr">
        <is>
          <t>Valid</t>
        </is>
      </c>
      <c r="S1051" t="n">
        <v>2034</v>
      </c>
      <c r="T1051" t="inlineStr">
        <is>
          <t>Supplier Target Pathway</t>
        </is>
      </c>
      <c r="U1051" t="n">
        <v>14330.0069</v>
      </c>
      <c r="V1051" t="n">
        <v>9472.134599999999</v>
      </c>
      <c r="W1051" t="n">
        <v>9472.134599999999</v>
      </c>
      <c r="X1051" t="n">
        <v>9472.134599999999</v>
      </c>
      <c r="Y1051" t="n">
        <v>4857.8723</v>
      </c>
      <c r="Z1051" t="n">
        <v>0.00051982</v>
      </c>
      <c r="AA1051" t="n">
        <v>0.339</v>
      </c>
      <c r="AB1051" t="n">
        <v>0</v>
      </c>
      <c r="AC1051" t="n">
        <v>485.7872</v>
      </c>
      <c r="AD1051" t="n">
        <v>-45175.3467</v>
      </c>
      <c r="AE1051" t="n">
        <v>102008.1543</v>
      </c>
      <c r="AF1051" t="n">
        <v>0.99</v>
      </c>
      <c r="AG1051" t="inlineStr">
        <is>
          <t>Low</t>
        </is>
      </c>
      <c r="AH1051" t="inlineStr">
        <is>
          <t>On Track</t>
        </is>
      </c>
    </row>
    <row r="1052">
      <c r="A1052" t="inlineStr">
        <is>
          <t>SUP-0066</t>
        </is>
      </c>
      <c r="B1052" t="inlineStr">
        <is>
          <t>Electronics Supplier 066</t>
        </is>
      </c>
      <c r="C1052" t="inlineStr">
        <is>
          <t>Electronics</t>
        </is>
      </c>
      <c r="D1052" t="n">
        <v>2024</v>
      </c>
      <c r="E1052" t="n">
        <v>2020</v>
      </c>
      <c r="F1052" t="n">
        <v>2030</v>
      </c>
      <c r="G1052" t="inlineStr"/>
      <c r="H1052" t="n">
        <v>4979.1041</v>
      </c>
      <c r="I1052" t="n">
        <v>2553.9998</v>
      </c>
      <c r="J1052" t="n">
        <v>14364.8108</v>
      </c>
      <c r="K1052" t="n">
        <v>18221953.51</v>
      </c>
      <c r="L1052" t="n">
        <v>74041728.31999999</v>
      </c>
      <c r="M1052" t="n">
        <v>21897.9147</v>
      </c>
      <c r="N1052" t="inlineStr">
        <is>
          <t>Scope 1 + Scope 2 + Scope 3</t>
        </is>
      </c>
      <c r="O1052" t="b">
        <v>1</v>
      </c>
      <c r="P1052" t="inlineStr">
        <is>
          <t>High</t>
        </is>
      </c>
      <c r="Q1052" t="inlineStr">
        <is>
          <t>Reported_Emissions</t>
        </is>
      </c>
      <c r="R1052" t="inlineStr">
        <is>
          <t>Valid</t>
        </is>
      </c>
      <c r="S1052" t="n">
        <v>2035</v>
      </c>
      <c r="T1052" t="inlineStr">
        <is>
          <t>Supplier Target Pathway</t>
        </is>
      </c>
      <c r="U1052" t="n">
        <v>14330.0069</v>
      </c>
      <c r="V1052" t="n">
        <v>9472.134599999999</v>
      </c>
      <c r="W1052" t="n">
        <v>9472.134599999999</v>
      </c>
      <c r="X1052" t="n">
        <v>9472.134599999999</v>
      </c>
      <c r="Y1052" t="n">
        <v>4857.8723</v>
      </c>
      <c r="Z1052" t="n">
        <v>0.00051982</v>
      </c>
      <c r="AA1052" t="n">
        <v>0.339</v>
      </c>
      <c r="AB1052" t="n">
        <v>0</v>
      </c>
      <c r="AC1052" t="n">
        <v>485.7872</v>
      </c>
      <c r="AD1052" t="n">
        <v>-54647.4813</v>
      </c>
      <c r="AE1052" t="n">
        <v>111480.2889</v>
      </c>
      <c r="AF1052" t="n">
        <v>0.99</v>
      </c>
      <c r="AG1052" t="inlineStr">
        <is>
          <t>Low</t>
        </is>
      </c>
      <c r="AH1052" t="inlineStr">
        <is>
          <t>On Track</t>
        </is>
      </c>
    </row>
    <row r="1053">
      <c r="A1053" t="inlineStr">
        <is>
          <t>SUP-0066</t>
        </is>
      </c>
      <c r="B1053" t="inlineStr">
        <is>
          <t>Electronics Supplier 066</t>
        </is>
      </c>
      <c r="C1053" t="inlineStr">
        <is>
          <t>Electronics</t>
        </is>
      </c>
      <c r="D1053" t="n">
        <v>2024</v>
      </c>
      <c r="E1053" t="n">
        <v>2020</v>
      </c>
      <c r="F1053" t="n">
        <v>2030</v>
      </c>
      <c r="G1053" t="inlineStr"/>
      <c r="H1053" t="n">
        <v>4979.1041</v>
      </c>
      <c r="I1053" t="n">
        <v>2553.9998</v>
      </c>
      <c r="J1053" t="n">
        <v>14364.8108</v>
      </c>
      <c r="K1053" t="n">
        <v>18221953.51</v>
      </c>
      <c r="L1053" t="n">
        <v>74041728.31999999</v>
      </c>
      <c r="M1053" t="n">
        <v>21897.9147</v>
      </c>
      <c r="N1053" t="inlineStr">
        <is>
          <t>Scope 1 + Scope 2 + Scope 3</t>
        </is>
      </c>
      <c r="O1053" t="b">
        <v>1</v>
      </c>
      <c r="P1053" t="inlineStr">
        <is>
          <t>High</t>
        </is>
      </c>
      <c r="Q1053" t="inlineStr">
        <is>
          <t>Reported_Emissions</t>
        </is>
      </c>
      <c r="R1053" t="inlineStr">
        <is>
          <t>Valid</t>
        </is>
      </c>
      <c r="S1053" t="n">
        <v>2036</v>
      </c>
      <c r="T1053" t="inlineStr">
        <is>
          <t>Supplier Target Pathway</t>
        </is>
      </c>
      <c r="U1053" t="n">
        <v>14330.0069</v>
      </c>
      <c r="V1053" t="n">
        <v>9472.134599999999</v>
      </c>
      <c r="W1053" t="n">
        <v>9472.134599999999</v>
      </c>
      <c r="X1053" t="n">
        <v>9472.134599999999</v>
      </c>
      <c r="Y1053" t="n">
        <v>4857.8723</v>
      </c>
      <c r="Z1053" t="n">
        <v>0.00051982</v>
      </c>
      <c r="AA1053" t="n">
        <v>0.339</v>
      </c>
      <c r="AB1053" t="n">
        <v>0</v>
      </c>
      <c r="AC1053" t="n">
        <v>485.7872</v>
      </c>
      <c r="AD1053" t="n">
        <v>-64119.6159</v>
      </c>
      <c r="AE1053" t="n">
        <v>120952.4235</v>
      </c>
      <c r="AF1053" t="n">
        <v>0.99</v>
      </c>
      <c r="AG1053" t="inlineStr">
        <is>
          <t>Low</t>
        </is>
      </c>
      <c r="AH1053" t="inlineStr">
        <is>
          <t>On Track</t>
        </is>
      </c>
    </row>
    <row r="1054">
      <c r="A1054" t="inlineStr">
        <is>
          <t>SUP-0066</t>
        </is>
      </c>
      <c r="B1054" t="inlineStr">
        <is>
          <t>Electronics Supplier 066</t>
        </is>
      </c>
      <c r="C1054" t="inlineStr">
        <is>
          <t>Electronics</t>
        </is>
      </c>
      <c r="D1054" t="n">
        <v>2024</v>
      </c>
      <c r="E1054" t="n">
        <v>2020</v>
      </c>
      <c r="F1054" t="n">
        <v>2030</v>
      </c>
      <c r="G1054" t="inlineStr"/>
      <c r="H1054" t="n">
        <v>4979.1041</v>
      </c>
      <c r="I1054" t="n">
        <v>2553.9998</v>
      </c>
      <c r="J1054" t="n">
        <v>14364.8108</v>
      </c>
      <c r="K1054" t="n">
        <v>18221953.51</v>
      </c>
      <c r="L1054" t="n">
        <v>74041728.31999999</v>
      </c>
      <c r="M1054" t="n">
        <v>21897.9147</v>
      </c>
      <c r="N1054" t="inlineStr">
        <is>
          <t>Scope 1 + Scope 2 + Scope 3</t>
        </is>
      </c>
      <c r="O1054" t="b">
        <v>1</v>
      </c>
      <c r="P1054" t="inlineStr">
        <is>
          <t>High</t>
        </is>
      </c>
      <c r="Q1054" t="inlineStr">
        <is>
          <t>Reported_Emissions</t>
        </is>
      </c>
      <c r="R1054" t="inlineStr">
        <is>
          <t>Valid</t>
        </is>
      </c>
      <c r="S1054" t="n">
        <v>2037</v>
      </c>
      <c r="T1054" t="inlineStr">
        <is>
          <t>Supplier Target Pathway</t>
        </is>
      </c>
      <c r="U1054" t="n">
        <v>14330.0069</v>
      </c>
      <c r="V1054" t="n">
        <v>9472.134599999999</v>
      </c>
      <c r="W1054" t="n">
        <v>9472.134599999999</v>
      </c>
      <c r="X1054" t="n">
        <v>9472.134599999999</v>
      </c>
      <c r="Y1054" t="n">
        <v>4857.8723</v>
      </c>
      <c r="Z1054" t="n">
        <v>0.00051982</v>
      </c>
      <c r="AA1054" t="n">
        <v>0.339</v>
      </c>
      <c r="AB1054" t="n">
        <v>0</v>
      </c>
      <c r="AC1054" t="n">
        <v>485.7872</v>
      </c>
      <c r="AD1054" t="n">
        <v>-73591.75049999999</v>
      </c>
      <c r="AE1054" t="n">
        <v>130424.5581</v>
      </c>
      <c r="AF1054" t="n">
        <v>0.99</v>
      </c>
      <c r="AG1054" t="inlineStr">
        <is>
          <t>Low</t>
        </is>
      </c>
      <c r="AH1054" t="inlineStr">
        <is>
          <t>On Track</t>
        </is>
      </c>
    </row>
    <row r="1055">
      <c r="A1055" t="inlineStr">
        <is>
          <t>SUP-0066</t>
        </is>
      </c>
      <c r="B1055" t="inlineStr">
        <is>
          <t>Electronics Supplier 066</t>
        </is>
      </c>
      <c r="C1055" t="inlineStr">
        <is>
          <t>Electronics</t>
        </is>
      </c>
      <c r="D1055" t="n">
        <v>2024</v>
      </c>
      <c r="E1055" t="n">
        <v>2020</v>
      </c>
      <c r="F1055" t="n">
        <v>2030</v>
      </c>
      <c r="G1055" t="inlineStr"/>
      <c r="H1055" t="n">
        <v>4979.1041</v>
      </c>
      <c r="I1055" t="n">
        <v>2553.9998</v>
      </c>
      <c r="J1055" t="n">
        <v>14364.8108</v>
      </c>
      <c r="K1055" t="n">
        <v>18221953.51</v>
      </c>
      <c r="L1055" t="n">
        <v>74041728.31999999</v>
      </c>
      <c r="M1055" t="n">
        <v>21897.9147</v>
      </c>
      <c r="N1055" t="inlineStr">
        <is>
          <t>Scope 1 + Scope 2 + Scope 3</t>
        </is>
      </c>
      <c r="O1055" t="b">
        <v>1</v>
      </c>
      <c r="P1055" t="inlineStr">
        <is>
          <t>High</t>
        </is>
      </c>
      <c r="Q1055" t="inlineStr">
        <is>
          <t>Reported_Emissions</t>
        </is>
      </c>
      <c r="R1055" t="inlineStr">
        <is>
          <t>Valid</t>
        </is>
      </c>
      <c r="S1055" t="n">
        <v>2038</v>
      </c>
      <c r="T1055" t="inlineStr">
        <is>
          <t>Supplier Target Pathway</t>
        </is>
      </c>
      <c r="U1055" t="n">
        <v>14330.0069</v>
      </c>
      <c r="V1055" t="n">
        <v>9472.134599999999</v>
      </c>
      <c r="W1055" t="n">
        <v>9472.134599999999</v>
      </c>
      <c r="X1055" t="n">
        <v>9472.134599999999</v>
      </c>
      <c r="Y1055" t="n">
        <v>4857.8723</v>
      </c>
      <c r="Z1055" t="n">
        <v>0.00051982</v>
      </c>
      <c r="AA1055" t="n">
        <v>0.339</v>
      </c>
      <c r="AB1055" t="n">
        <v>0</v>
      </c>
      <c r="AC1055" t="n">
        <v>485.7872</v>
      </c>
      <c r="AD1055" t="n">
        <v>-83063.8851</v>
      </c>
      <c r="AE1055" t="n">
        <v>139896.6927</v>
      </c>
      <c r="AF1055" t="n">
        <v>0.99</v>
      </c>
      <c r="AG1055" t="inlineStr">
        <is>
          <t>Low</t>
        </is>
      </c>
      <c r="AH1055" t="inlineStr">
        <is>
          <t>On Track</t>
        </is>
      </c>
    </row>
    <row r="1056">
      <c r="A1056" t="inlineStr">
        <is>
          <t>SUP-0066</t>
        </is>
      </c>
      <c r="B1056" t="inlineStr">
        <is>
          <t>Electronics Supplier 066</t>
        </is>
      </c>
      <c r="C1056" t="inlineStr">
        <is>
          <t>Electronics</t>
        </is>
      </c>
      <c r="D1056" t="n">
        <v>2024</v>
      </c>
      <c r="E1056" t="n">
        <v>2020</v>
      </c>
      <c r="F1056" t="n">
        <v>2030</v>
      </c>
      <c r="G1056" t="inlineStr"/>
      <c r="H1056" t="n">
        <v>4979.1041</v>
      </c>
      <c r="I1056" t="n">
        <v>2553.9998</v>
      </c>
      <c r="J1056" t="n">
        <v>14364.8108</v>
      </c>
      <c r="K1056" t="n">
        <v>18221953.51</v>
      </c>
      <c r="L1056" t="n">
        <v>74041728.31999999</v>
      </c>
      <c r="M1056" t="n">
        <v>21897.9147</v>
      </c>
      <c r="N1056" t="inlineStr">
        <is>
          <t>Scope 1 + Scope 2 + Scope 3</t>
        </is>
      </c>
      <c r="O1056" t="b">
        <v>1</v>
      </c>
      <c r="P1056" t="inlineStr">
        <is>
          <t>High</t>
        </is>
      </c>
      <c r="Q1056" t="inlineStr">
        <is>
          <t>Reported_Emissions</t>
        </is>
      </c>
      <c r="R1056" t="inlineStr">
        <is>
          <t>Valid</t>
        </is>
      </c>
      <c r="S1056" t="n">
        <v>2039</v>
      </c>
      <c r="T1056" t="inlineStr">
        <is>
          <t>Supplier Target Pathway</t>
        </is>
      </c>
      <c r="U1056" t="n">
        <v>14330.0069</v>
      </c>
      <c r="V1056" t="n">
        <v>9472.134599999999</v>
      </c>
      <c r="W1056" t="n">
        <v>9472.134599999999</v>
      </c>
      <c r="X1056" t="n">
        <v>9472.134599999999</v>
      </c>
      <c r="Y1056" t="n">
        <v>4857.8723</v>
      </c>
      <c r="Z1056" t="n">
        <v>0.00051982</v>
      </c>
      <c r="AA1056" t="n">
        <v>0.339</v>
      </c>
      <c r="AB1056" t="n">
        <v>0</v>
      </c>
      <c r="AC1056" t="n">
        <v>485.7872</v>
      </c>
      <c r="AD1056" t="n">
        <v>-92536.0197</v>
      </c>
      <c r="AE1056" t="n">
        <v>149368.8273</v>
      </c>
      <c r="AF1056" t="n">
        <v>0.99</v>
      </c>
      <c r="AG1056" t="inlineStr">
        <is>
          <t>Low</t>
        </is>
      </c>
      <c r="AH1056" t="inlineStr">
        <is>
          <t>On Track</t>
        </is>
      </c>
    </row>
    <row r="1057">
      <c r="A1057" t="inlineStr">
        <is>
          <t>SUP-0066</t>
        </is>
      </c>
      <c r="B1057" t="inlineStr">
        <is>
          <t>Electronics Supplier 066</t>
        </is>
      </c>
      <c r="C1057" t="inlineStr">
        <is>
          <t>Electronics</t>
        </is>
      </c>
      <c r="D1057" t="n">
        <v>2024</v>
      </c>
      <c r="E1057" t="n">
        <v>2020</v>
      </c>
      <c r="F1057" t="n">
        <v>2030</v>
      </c>
      <c r="G1057" t="inlineStr"/>
      <c r="H1057" t="n">
        <v>4979.1041</v>
      </c>
      <c r="I1057" t="n">
        <v>2553.9998</v>
      </c>
      <c r="J1057" t="n">
        <v>14364.8108</v>
      </c>
      <c r="K1057" t="n">
        <v>18221953.51</v>
      </c>
      <c r="L1057" t="n">
        <v>74041728.31999999</v>
      </c>
      <c r="M1057" t="n">
        <v>21897.9147</v>
      </c>
      <c r="N1057" t="inlineStr">
        <is>
          <t>Scope 1 + Scope 2 + Scope 3</t>
        </is>
      </c>
      <c r="O1057" t="b">
        <v>1</v>
      </c>
      <c r="P1057" t="inlineStr">
        <is>
          <t>High</t>
        </is>
      </c>
      <c r="Q1057" t="inlineStr">
        <is>
          <t>Reported_Emissions</t>
        </is>
      </c>
      <c r="R1057" t="inlineStr">
        <is>
          <t>Valid</t>
        </is>
      </c>
      <c r="S1057" t="n">
        <v>2040</v>
      </c>
      <c r="T1057" t="inlineStr">
        <is>
          <t>Supplier Target Pathway</t>
        </is>
      </c>
      <c r="U1057" t="n">
        <v>14330.0069</v>
      </c>
      <c r="V1057" t="n">
        <v>9472.134599999999</v>
      </c>
      <c r="W1057" t="n">
        <v>9472.134599999999</v>
      </c>
      <c r="X1057" t="n">
        <v>9472.134599999999</v>
      </c>
      <c r="Y1057" t="n">
        <v>4857.8723</v>
      </c>
      <c r="Z1057" t="n">
        <v>0.00051982</v>
      </c>
      <c r="AA1057" t="n">
        <v>0.339</v>
      </c>
      <c r="AB1057" t="n">
        <v>0</v>
      </c>
      <c r="AC1057" t="n">
        <v>485.7872</v>
      </c>
      <c r="AD1057" t="n">
        <v>-102008.1543</v>
      </c>
      <c r="AE1057" t="n">
        <v>158840.9619</v>
      </c>
      <c r="AF1057" t="n">
        <v>0.99</v>
      </c>
      <c r="AG1057" t="inlineStr">
        <is>
          <t>Low</t>
        </is>
      </c>
      <c r="AH1057" t="inlineStr">
        <is>
          <t>On Track</t>
        </is>
      </c>
    </row>
    <row r="1058">
      <c r="A1058" t="inlineStr">
        <is>
          <t>SUP-0067</t>
        </is>
      </c>
      <c r="B1058" t="inlineStr">
        <is>
          <t>Professional Supplier 067</t>
        </is>
      </c>
      <c r="C1058" t="inlineStr">
        <is>
          <t>Professional Services</t>
        </is>
      </c>
      <c r="D1058" t="n">
        <v>2024</v>
      </c>
      <c r="E1058" t="n">
        <v>2015</v>
      </c>
      <c r="F1058" t="n">
        <v>2040</v>
      </c>
      <c r="G1058" t="n">
        <v>651.9724</v>
      </c>
      <c r="H1058" t="n">
        <v>153.9712</v>
      </c>
      <c r="I1058" t="n">
        <v>56.952</v>
      </c>
      <c r="J1058" t="n">
        <v>421.5212</v>
      </c>
      <c r="K1058" t="n">
        <v>7629416.26</v>
      </c>
      <c r="L1058" t="n">
        <v>17989140.65</v>
      </c>
      <c r="M1058" t="n">
        <v>651.9724</v>
      </c>
      <c r="N1058" t="inlineStr">
        <is>
          <t>Supplier Reported Emissions</t>
        </is>
      </c>
      <c r="O1058" t="b">
        <v>0</v>
      </c>
      <c r="P1058" t="inlineStr">
        <is>
          <t>High</t>
        </is>
      </c>
      <c r="Q1058" t="inlineStr">
        <is>
          <t>None</t>
        </is>
      </c>
      <c r="R1058" t="inlineStr">
        <is>
          <t>Valid</t>
        </is>
      </c>
      <c r="S1058" t="n">
        <v>2025</v>
      </c>
      <c r="T1058" t="inlineStr">
        <is>
          <t>Historical Trend Pathway</t>
        </is>
      </c>
      <c r="U1058" t="n">
        <v>604.8328</v>
      </c>
      <c r="V1058" t="n">
        <v>574.5912</v>
      </c>
      <c r="W1058" t="n">
        <v>663.877</v>
      </c>
      <c r="X1058" t="n">
        <v>592.7361</v>
      </c>
      <c r="Y1058" t="n">
        <v>-59.0442</v>
      </c>
      <c r="Z1058" t="n">
        <v>8.702e-05</v>
      </c>
      <c r="AA1058" t="n">
        <v>-0.097621</v>
      </c>
      <c r="AB1058" t="n">
        <v>89.2859</v>
      </c>
      <c r="AC1058" t="n">
        <v>1.2097</v>
      </c>
      <c r="AD1058" t="n">
        <v>8529.582200000001</v>
      </c>
      <c r="AE1058" t="n">
        <v>663.877</v>
      </c>
      <c r="AF1058" t="n">
        <v>0.848</v>
      </c>
      <c r="AG1058" t="inlineStr">
        <is>
          <t>High</t>
        </is>
      </c>
      <c r="AH1058" t="inlineStr">
        <is>
          <t>Off Track</t>
        </is>
      </c>
    </row>
    <row r="1059">
      <c r="A1059" t="inlineStr">
        <is>
          <t>SUP-0067</t>
        </is>
      </c>
      <c r="B1059" t="inlineStr">
        <is>
          <t>Professional Supplier 067</t>
        </is>
      </c>
      <c r="C1059" t="inlineStr">
        <is>
          <t>Professional Services</t>
        </is>
      </c>
      <c r="D1059" t="n">
        <v>2024</v>
      </c>
      <c r="E1059" t="n">
        <v>2015</v>
      </c>
      <c r="F1059" t="n">
        <v>2040</v>
      </c>
      <c r="G1059" t="n">
        <v>651.9724</v>
      </c>
      <c r="H1059" t="n">
        <v>153.9712</v>
      </c>
      <c r="I1059" t="n">
        <v>56.952</v>
      </c>
      <c r="J1059" t="n">
        <v>421.5212</v>
      </c>
      <c r="K1059" t="n">
        <v>7629416.26</v>
      </c>
      <c r="L1059" t="n">
        <v>17989140.65</v>
      </c>
      <c r="M1059" t="n">
        <v>651.9724</v>
      </c>
      <c r="N1059" t="inlineStr">
        <is>
          <t>Supplier Reported Emissions</t>
        </is>
      </c>
      <c r="O1059" t="b">
        <v>0</v>
      </c>
      <c r="P1059" t="inlineStr">
        <is>
          <t>High</t>
        </is>
      </c>
      <c r="Q1059" t="inlineStr">
        <is>
          <t>None</t>
        </is>
      </c>
      <c r="R1059" t="inlineStr">
        <is>
          <t>Valid</t>
        </is>
      </c>
      <c r="S1059" t="n">
        <v>2026</v>
      </c>
      <c r="T1059" t="inlineStr">
        <is>
          <t>Historical Trend Pathway</t>
        </is>
      </c>
      <c r="U1059" t="n">
        <v>604.8328</v>
      </c>
      <c r="V1059" t="n">
        <v>574.5912</v>
      </c>
      <c r="W1059" t="n">
        <v>675.999</v>
      </c>
      <c r="X1059" t="n">
        <v>591.5265000000001</v>
      </c>
      <c r="Y1059" t="n">
        <v>-71.1662</v>
      </c>
      <c r="Z1059" t="n">
        <v>8.86e-05</v>
      </c>
      <c r="AA1059" t="n">
        <v>-0.117663</v>
      </c>
      <c r="AB1059" t="n">
        <v>101.4079</v>
      </c>
      <c r="AC1059" t="n">
        <v>1.2097</v>
      </c>
      <c r="AD1059" t="n">
        <v>7853.5832</v>
      </c>
      <c r="AE1059" t="n">
        <v>1339.876</v>
      </c>
      <c r="AF1059" t="n">
        <v>0.848</v>
      </c>
      <c r="AG1059" t="inlineStr">
        <is>
          <t>High</t>
        </is>
      </c>
      <c r="AH1059" t="inlineStr">
        <is>
          <t>Off Track</t>
        </is>
      </c>
    </row>
    <row r="1060">
      <c r="A1060" t="inlineStr">
        <is>
          <t>SUP-0067</t>
        </is>
      </c>
      <c r="B1060" t="inlineStr">
        <is>
          <t>Professional Supplier 067</t>
        </is>
      </c>
      <c r="C1060" t="inlineStr">
        <is>
          <t>Professional Services</t>
        </is>
      </c>
      <c r="D1060" t="n">
        <v>2024</v>
      </c>
      <c r="E1060" t="n">
        <v>2015</v>
      </c>
      <c r="F1060" t="n">
        <v>2040</v>
      </c>
      <c r="G1060" t="n">
        <v>651.9724</v>
      </c>
      <c r="H1060" t="n">
        <v>153.9712</v>
      </c>
      <c r="I1060" t="n">
        <v>56.952</v>
      </c>
      <c r="J1060" t="n">
        <v>421.5212</v>
      </c>
      <c r="K1060" t="n">
        <v>7629416.26</v>
      </c>
      <c r="L1060" t="n">
        <v>17989140.65</v>
      </c>
      <c r="M1060" t="n">
        <v>651.9724</v>
      </c>
      <c r="N1060" t="inlineStr">
        <is>
          <t>Supplier Reported Emissions</t>
        </is>
      </c>
      <c r="O1060" t="b">
        <v>0</v>
      </c>
      <c r="P1060" t="inlineStr">
        <is>
          <t>High</t>
        </is>
      </c>
      <c r="Q1060" t="inlineStr">
        <is>
          <t>None</t>
        </is>
      </c>
      <c r="R1060" t="inlineStr">
        <is>
          <t>Valid</t>
        </is>
      </c>
      <c r="S1060" t="n">
        <v>2027</v>
      </c>
      <c r="T1060" t="inlineStr">
        <is>
          <t>Historical Trend Pathway</t>
        </is>
      </c>
      <c r="U1060" t="n">
        <v>604.8328</v>
      </c>
      <c r="V1060" t="n">
        <v>574.5912</v>
      </c>
      <c r="W1060" t="n">
        <v>688.3424</v>
      </c>
      <c r="X1060" t="n">
        <v>590.3167999999999</v>
      </c>
      <c r="Y1060" t="n">
        <v>-83.50960000000001</v>
      </c>
      <c r="Z1060" t="n">
        <v>9.022e-05</v>
      </c>
      <c r="AA1060" t="n">
        <v>-0.13807</v>
      </c>
      <c r="AB1060" t="n">
        <v>113.7512</v>
      </c>
      <c r="AC1060" t="n">
        <v>1.2097</v>
      </c>
      <c r="AD1060" t="n">
        <v>7165.2408</v>
      </c>
      <c r="AE1060" t="n">
        <v>2028.2184</v>
      </c>
      <c r="AF1060" t="n">
        <v>0.848</v>
      </c>
      <c r="AG1060" t="inlineStr">
        <is>
          <t>High</t>
        </is>
      </c>
      <c r="AH1060" t="inlineStr">
        <is>
          <t>Off Track</t>
        </is>
      </c>
    </row>
    <row r="1061">
      <c r="A1061" t="inlineStr">
        <is>
          <t>SUP-0067</t>
        </is>
      </c>
      <c r="B1061" t="inlineStr">
        <is>
          <t>Professional Supplier 067</t>
        </is>
      </c>
      <c r="C1061" t="inlineStr">
        <is>
          <t>Professional Services</t>
        </is>
      </c>
      <c r="D1061" t="n">
        <v>2024</v>
      </c>
      <c r="E1061" t="n">
        <v>2015</v>
      </c>
      <c r="F1061" t="n">
        <v>2040</v>
      </c>
      <c r="G1061" t="n">
        <v>651.9724</v>
      </c>
      <c r="H1061" t="n">
        <v>153.9712</v>
      </c>
      <c r="I1061" t="n">
        <v>56.952</v>
      </c>
      <c r="J1061" t="n">
        <v>421.5212</v>
      </c>
      <c r="K1061" t="n">
        <v>7629416.26</v>
      </c>
      <c r="L1061" t="n">
        <v>17989140.65</v>
      </c>
      <c r="M1061" t="n">
        <v>651.9724</v>
      </c>
      <c r="N1061" t="inlineStr">
        <is>
          <t>Supplier Reported Emissions</t>
        </is>
      </c>
      <c r="O1061" t="b">
        <v>0</v>
      </c>
      <c r="P1061" t="inlineStr">
        <is>
          <t>High</t>
        </is>
      </c>
      <c r="Q1061" t="inlineStr">
        <is>
          <t>None</t>
        </is>
      </c>
      <c r="R1061" t="inlineStr">
        <is>
          <t>Valid</t>
        </is>
      </c>
      <c r="S1061" t="n">
        <v>2028</v>
      </c>
      <c r="T1061" t="inlineStr">
        <is>
          <t>Historical Trend Pathway</t>
        </is>
      </c>
      <c r="U1061" t="n">
        <v>604.8328</v>
      </c>
      <c r="V1061" t="n">
        <v>574.5912</v>
      </c>
      <c r="W1061" t="n">
        <v>700.9111</v>
      </c>
      <c r="X1061" t="n">
        <v>589.1070999999999</v>
      </c>
      <c r="Y1061" t="n">
        <v>-96.0783</v>
      </c>
      <c r="Z1061" t="n">
        <v>9.187e-05</v>
      </c>
      <c r="AA1061" t="n">
        <v>-0.158851</v>
      </c>
      <c r="AB1061" t="n">
        <v>126.3199</v>
      </c>
      <c r="AC1061" t="n">
        <v>1.2097</v>
      </c>
      <c r="AD1061" t="n">
        <v>6464.3297</v>
      </c>
      <c r="AE1061" t="n">
        <v>2729.1295</v>
      </c>
      <c r="AF1061" t="n">
        <v>0.848</v>
      </c>
      <c r="AG1061" t="inlineStr">
        <is>
          <t>High</t>
        </is>
      </c>
      <c r="AH1061" t="inlineStr">
        <is>
          <t>Off Track</t>
        </is>
      </c>
    </row>
    <row r="1062">
      <c r="A1062" t="inlineStr">
        <is>
          <t>SUP-0067</t>
        </is>
      </c>
      <c r="B1062" t="inlineStr">
        <is>
          <t>Professional Supplier 067</t>
        </is>
      </c>
      <c r="C1062" t="inlineStr">
        <is>
          <t>Professional Services</t>
        </is>
      </c>
      <c r="D1062" t="n">
        <v>2024</v>
      </c>
      <c r="E1062" t="n">
        <v>2015</v>
      </c>
      <c r="F1062" t="n">
        <v>2040</v>
      </c>
      <c r="G1062" t="n">
        <v>651.9724</v>
      </c>
      <c r="H1062" t="n">
        <v>153.9712</v>
      </c>
      <c r="I1062" t="n">
        <v>56.952</v>
      </c>
      <c r="J1062" t="n">
        <v>421.5212</v>
      </c>
      <c r="K1062" t="n">
        <v>7629416.26</v>
      </c>
      <c r="L1062" t="n">
        <v>17989140.65</v>
      </c>
      <c r="M1062" t="n">
        <v>651.9724</v>
      </c>
      <c r="N1062" t="inlineStr">
        <is>
          <t>Supplier Reported Emissions</t>
        </is>
      </c>
      <c r="O1062" t="b">
        <v>0</v>
      </c>
      <c r="P1062" t="inlineStr">
        <is>
          <t>High</t>
        </is>
      </c>
      <c r="Q1062" t="inlineStr">
        <is>
          <t>None</t>
        </is>
      </c>
      <c r="R1062" t="inlineStr">
        <is>
          <t>Valid</t>
        </is>
      </c>
      <c r="S1062" t="n">
        <v>2029</v>
      </c>
      <c r="T1062" t="inlineStr">
        <is>
          <t>Historical Trend Pathway</t>
        </is>
      </c>
      <c r="U1062" t="n">
        <v>604.8328</v>
      </c>
      <c r="V1062" t="n">
        <v>574.5912</v>
      </c>
      <c r="W1062" t="n">
        <v>713.7093</v>
      </c>
      <c r="X1062" t="n">
        <v>587.8975</v>
      </c>
      <c r="Y1062" t="n">
        <v>-108.8765</v>
      </c>
      <c r="Z1062" t="n">
        <v>9.355e-05</v>
      </c>
      <c r="AA1062" t="n">
        <v>-0.180011</v>
      </c>
      <c r="AB1062" t="n">
        <v>139.1181</v>
      </c>
      <c r="AC1062" t="n">
        <v>1.2097</v>
      </c>
      <c r="AD1062" t="n">
        <v>5750.6204</v>
      </c>
      <c r="AE1062" t="n">
        <v>3442.8388</v>
      </c>
      <c r="AF1062" t="n">
        <v>0.848</v>
      </c>
      <c r="AG1062" t="inlineStr">
        <is>
          <t>High</t>
        </is>
      </c>
      <c r="AH1062" t="inlineStr">
        <is>
          <t>Off Track</t>
        </is>
      </c>
    </row>
    <row r="1063">
      <c r="A1063" t="inlineStr">
        <is>
          <t>SUP-0067</t>
        </is>
      </c>
      <c r="B1063" t="inlineStr">
        <is>
          <t>Professional Supplier 067</t>
        </is>
      </c>
      <c r="C1063" t="inlineStr">
        <is>
          <t>Professional Services</t>
        </is>
      </c>
      <c r="D1063" t="n">
        <v>2024</v>
      </c>
      <c r="E1063" t="n">
        <v>2015</v>
      </c>
      <c r="F1063" t="n">
        <v>2040</v>
      </c>
      <c r="G1063" t="n">
        <v>651.9724</v>
      </c>
      <c r="H1063" t="n">
        <v>153.9712</v>
      </c>
      <c r="I1063" t="n">
        <v>56.952</v>
      </c>
      <c r="J1063" t="n">
        <v>421.5212</v>
      </c>
      <c r="K1063" t="n">
        <v>7629416.26</v>
      </c>
      <c r="L1063" t="n">
        <v>17989140.65</v>
      </c>
      <c r="M1063" t="n">
        <v>651.9724</v>
      </c>
      <c r="N1063" t="inlineStr">
        <is>
          <t>Supplier Reported Emissions</t>
        </is>
      </c>
      <c r="O1063" t="b">
        <v>0</v>
      </c>
      <c r="P1063" t="inlineStr">
        <is>
          <t>High</t>
        </is>
      </c>
      <c r="Q1063" t="inlineStr">
        <is>
          <t>None</t>
        </is>
      </c>
      <c r="R1063" t="inlineStr">
        <is>
          <t>Valid</t>
        </is>
      </c>
      <c r="S1063" t="n">
        <v>2030</v>
      </c>
      <c r="T1063" t="inlineStr">
        <is>
          <t>Historical Trend Pathway</t>
        </is>
      </c>
      <c r="U1063" t="n">
        <v>604.8328</v>
      </c>
      <c r="V1063" t="n">
        <v>574.5912</v>
      </c>
      <c r="W1063" t="n">
        <v>726.7412</v>
      </c>
      <c r="X1063" t="n">
        <v>586.6878</v>
      </c>
      <c r="Y1063" t="n">
        <v>-121.9084</v>
      </c>
      <c r="Z1063" t="n">
        <v>9.526000000000001e-05</v>
      </c>
      <c r="AA1063" t="n">
        <v>-0.201557</v>
      </c>
      <c r="AB1063" t="n">
        <v>152.15</v>
      </c>
      <c r="AC1063" t="n">
        <v>1.2097</v>
      </c>
      <c r="AD1063" t="n">
        <v>5023.8792</v>
      </c>
      <c r="AE1063" t="n">
        <v>4169.58</v>
      </c>
      <c r="AF1063" t="n">
        <v>0.848</v>
      </c>
      <c r="AG1063" t="inlineStr">
        <is>
          <t>High</t>
        </is>
      </c>
      <c r="AH1063" t="inlineStr">
        <is>
          <t>Off Track</t>
        </is>
      </c>
    </row>
    <row r="1064">
      <c r="A1064" t="inlineStr">
        <is>
          <t>SUP-0067</t>
        </is>
      </c>
      <c r="B1064" t="inlineStr">
        <is>
          <t>Professional Supplier 067</t>
        </is>
      </c>
      <c r="C1064" t="inlineStr">
        <is>
          <t>Professional Services</t>
        </is>
      </c>
      <c r="D1064" t="n">
        <v>2024</v>
      </c>
      <c r="E1064" t="n">
        <v>2015</v>
      </c>
      <c r="F1064" t="n">
        <v>2040</v>
      </c>
      <c r="G1064" t="n">
        <v>651.9724</v>
      </c>
      <c r="H1064" t="n">
        <v>153.9712</v>
      </c>
      <c r="I1064" t="n">
        <v>56.952</v>
      </c>
      <c r="J1064" t="n">
        <v>421.5212</v>
      </c>
      <c r="K1064" t="n">
        <v>7629416.26</v>
      </c>
      <c r="L1064" t="n">
        <v>17989140.65</v>
      </c>
      <c r="M1064" t="n">
        <v>651.9724</v>
      </c>
      <c r="N1064" t="inlineStr">
        <is>
          <t>Supplier Reported Emissions</t>
        </is>
      </c>
      <c r="O1064" t="b">
        <v>0</v>
      </c>
      <c r="P1064" t="inlineStr">
        <is>
          <t>High</t>
        </is>
      </c>
      <c r="Q1064" t="inlineStr">
        <is>
          <t>None</t>
        </is>
      </c>
      <c r="R1064" t="inlineStr">
        <is>
          <t>Valid</t>
        </is>
      </c>
      <c r="S1064" t="n">
        <v>2031</v>
      </c>
      <c r="T1064" t="inlineStr">
        <is>
          <t>Historical Trend Pathway</t>
        </is>
      </c>
      <c r="U1064" t="n">
        <v>604.8328</v>
      </c>
      <c r="V1064" t="n">
        <v>574.5912</v>
      </c>
      <c r="W1064" t="n">
        <v>740.0111000000001</v>
      </c>
      <c r="X1064" t="n">
        <v>585.4782</v>
      </c>
      <c r="Y1064" t="n">
        <v>-135.1783</v>
      </c>
      <c r="Z1064" t="n">
        <v>9.699e-05</v>
      </c>
      <c r="AA1064" t="n">
        <v>-0.223497</v>
      </c>
      <c r="AB1064" t="n">
        <v>165.4199</v>
      </c>
      <c r="AC1064" t="n">
        <v>1.2097</v>
      </c>
      <c r="AD1064" t="n">
        <v>4283.8681</v>
      </c>
      <c r="AE1064" t="n">
        <v>4909.5911</v>
      </c>
      <c r="AF1064" t="n">
        <v>0.848</v>
      </c>
      <c r="AG1064" t="inlineStr">
        <is>
          <t>High</t>
        </is>
      </c>
      <c r="AH1064" t="inlineStr">
        <is>
          <t>Off Track</t>
        </is>
      </c>
    </row>
    <row r="1065">
      <c r="A1065" t="inlineStr">
        <is>
          <t>SUP-0067</t>
        </is>
      </c>
      <c r="B1065" t="inlineStr">
        <is>
          <t>Professional Supplier 067</t>
        </is>
      </c>
      <c r="C1065" t="inlineStr">
        <is>
          <t>Professional Services</t>
        </is>
      </c>
      <c r="D1065" t="n">
        <v>2024</v>
      </c>
      <c r="E1065" t="n">
        <v>2015</v>
      </c>
      <c r="F1065" t="n">
        <v>2040</v>
      </c>
      <c r="G1065" t="n">
        <v>651.9724</v>
      </c>
      <c r="H1065" t="n">
        <v>153.9712</v>
      </c>
      <c r="I1065" t="n">
        <v>56.952</v>
      </c>
      <c r="J1065" t="n">
        <v>421.5212</v>
      </c>
      <c r="K1065" t="n">
        <v>7629416.26</v>
      </c>
      <c r="L1065" t="n">
        <v>17989140.65</v>
      </c>
      <c r="M1065" t="n">
        <v>651.9724</v>
      </c>
      <c r="N1065" t="inlineStr">
        <is>
          <t>Supplier Reported Emissions</t>
        </is>
      </c>
      <c r="O1065" t="b">
        <v>0</v>
      </c>
      <c r="P1065" t="inlineStr">
        <is>
          <t>High</t>
        </is>
      </c>
      <c r="Q1065" t="inlineStr">
        <is>
          <t>None</t>
        </is>
      </c>
      <c r="R1065" t="inlineStr">
        <is>
          <t>Valid</t>
        </is>
      </c>
      <c r="S1065" t="n">
        <v>2032</v>
      </c>
      <c r="T1065" t="inlineStr">
        <is>
          <t>Historical Trend Pathway</t>
        </is>
      </c>
      <c r="U1065" t="n">
        <v>604.8328</v>
      </c>
      <c r="V1065" t="n">
        <v>574.5912</v>
      </c>
      <c r="W1065" t="n">
        <v>753.5232</v>
      </c>
      <c r="X1065" t="n">
        <v>584.2685</v>
      </c>
      <c r="Y1065" t="n">
        <v>-148.6904</v>
      </c>
      <c r="Z1065" t="n">
        <v>9.877e-05</v>
      </c>
      <c r="AA1065" t="n">
        <v>-0.245837</v>
      </c>
      <c r="AB1065" t="n">
        <v>178.9321</v>
      </c>
      <c r="AC1065" t="n">
        <v>1.2097</v>
      </c>
      <c r="AD1065" t="n">
        <v>3530.3449</v>
      </c>
      <c r="AE1065" t="n">
        <v>5663.1143</v>
      </c>
      <c r="AF1065" t="n">
        <v>0.848</v>
      </c>
      <c r="AG1065" t="inlineStr">
        <is>
          <t>High</t>
        </is>
      </c>
      <c r="AH1065" t="inlineStr">
        <is>
          <t>Off Track</t>
        </is>
      </c>
    </row>
    <row r="1066">
      <c r="A1066" t="inlineStr">
        <is>
          <t>SUP-0067</t>
        </is>
      </c>
      <c r="B1066" t="inlineStr">
        <is>
          <t>Professional Supplier 067</t>
        </is>
      </c>
      <c r="C1066" t="inlineStr">
        <is>
          <t>Professional Services</t>
        </is>
      </c>
      <c r="D1066" t="n">
        <v>2024</v>
      </c>
      <c r="E1066" t="n">
        <v>2015</v>
      </c>
      <c r="F1066" t="n">
        <v>2040</v>
      </c>
      <c r="G1066" t="n">
        <v>651.9724</v>
      </c>
      <c r="H1066" t="n">
        <v>153.9712</v>
      </c>
      <c r="I1066" t="n">
        <v>56.952</v>
      </c>
      <c r="J1066" t="n">
        <v>421.5212</v>
      </c>
      <c r="K1066" t="n">
        <v>7629416.26</v>
      </c>
      <c r="L1066" t="n">
        <v>17989140.65</v>
      </c>
      <c r="M1066" t="n">
        <v>651.9724</v>
      </c>
      <c r="N1066" t="inlineStr">
        <is>
          <t>Supplier Reported Emissions</t>
        </is>
      </c>
      <c r="O1066" t="b">
        <v>0</v>
      </c>
      <c r="P1066" t="inlineStr">
        <is>
          <t>High</t>
        </is>
      </c>
      <c r="Q1066" t="inlineStr">
        <is>
          <t>None</t>
        </is>
      </c>
      <c r="R1066" t="inlineStr">
        <is>
          <t>Valid</t>
        </is>
      </c>
      <c r="S1066" t="n">
        <v>2033</v>
      </c>
      <c r="T1066" t="inlineStr">
        <is>
          <t>Historical Trend Pathway</t>
        </is>
      </c>
      <c r="U1066" t="n">
        <v>604.8328</v>
      </c>
      <c r="V1066" t="n">
        <v>574.5912</v>
      </c>
      <c r="W1066" t="n">
        <v>767.2821</v>
      </c>
      <c r="X1066" t="n">
        <v>583.0588</v>
      </c>
      <c r="Y1066" t="n">
        <v>-162.4493</v>
      </c>
      <c r="Z1066" t="n">
        <v>0.00010057</v>
      </c>
      <c r="AA1066" t="n">
        <v>-0.268585</v>
      </c>
      <c r="AB1066" t="n">
        <v>192.6909</v>
      </c>
      <c r="AC1066" t="n">
        <v>1.2097</v>
      </c>
      <c r="AD1066" t="n">
        <v>2763.0628</v>
      </c>
      <c r="AE1066" t="n">
        <v>6430.3964</v>
      </c>
      <c r="AF1066" t="n">
        <v>0.848</v>
      </c>
      <c r="AG1066" t="inlineStr">
        <is>
          <t>High</t>
        </is>
      </c>
      <c r="AH1066" t="inlineStr">
        <is>
          <t>Off Track</t>
        </is>
      </c>
    </row>
    <row r="1067">
      <c r="A1067" t="inlineStr">
        <is>
          <t>SUP-0067</t>
        </is>
      </c>
      <c r="B1067" t="inlineStr">
        <is>
          <t>Professional Supplier 067</t>
        </is>
      </c>
      <c r="C1067" t="inlineStr">
        <is>
          <t>Professional Services</t>
        </is>
      </c>
      <c r="D1067" t="n">
        <v>2024</v>
      </c>
      <c r="E1067" t="n">
        <v>2015</v>
      </c>
      <c r="F1067" t="n">
        <v>2040</v>
      </c>
      <c r="G1067" t="n">
        <v>651.9724</v>
      </c>
      <c r="H1067" t="n">
        <v>153.9712</v>
      </c>
      <c r="I1067" t="n">
        <v>56.952</v>
      </c>
      <c r="J1067" t="n">
        <v>421.5212</v>
      </c>
      <c r="K1067" t="n">
        <v>7629416.26</v>
      </c>
      <c r="L1067" t="n">
        <v>17989140.65</v>
      </c>
      <c r="M1067" t="n">
        <v>651.9724</v>
      </c>
      <c r="N1067" t="inlineStr">
        <is>
          <t>Supplier Reported Emissions</t>
        </is>
      </c>
      <c r="O1067" t="b">
        <v>0</v>
      </c>
      <c r="P1067" t="inlineStr">
        <is>
          <t>High</t>
        </is>
      </c>
      <c r="Q1067" t="inlineStr">
        <is>
          <t>None</t>
        </is>
      </c>
      <c r="R1067" t="inlineStr">
        <is>
          <t>Valid</t>
        </is>
      </c>
      <c r="S1067" t="n">
        <v>2034</v>
      </c>
      <c r="T1067" t="inlineStr">
        <is>
          <t>Historical Trend Pathway</t>
        </is>
      </c>
      <c r="U1067" t="n">
        <v>604.8328</v>
      </c>
      <c r="V1067" t="n">
        <v>574.5912</v>
      </c>
      <c r="W1067" t="n">
        <v>781.2922</v>
      </c>
      <c r="X1067" t="n">
        <v>581.8492</v>
      </c>
      <c r="Y1067" t="n">
        <v>-176.4594</v>
      </c>
      <c r="Z1067" t="n">
        <v>0.00010241</v>
      </c>
      <c r="AA1067" t="n">
        <v>-0.291749</v>
      </c>
      <c r="AB1067" t="n">
        <v>206.701</v>
      </c>
      <c r="AC1067" t="n">
        <v>1.2097</v>
      </c>
      <c r="AD1067" t="n">
        <v>1981.7706</v>
      </c>
      <c r="AE1067" t="n">
        <v>7211.6886</v>
      </c>
      <c r="AF1067" t="n">
        <v>0.848</v>
      </c>
      <c r="AG1067" t="inlineStr">
        <is>
          <t>Critical</t>
        </is>
      </c>
      <c r="AH1067" t="inlineStr">
        <is>
          <t>Off Track</t>
        </is>
      </c>
    </row>
    <row r="1068">
      <c r="A1068" t="inlineStr">
        <is>
          <t>SUP-0067</t>
        </is>
      </c>
      <c r="B1068" t="inlineStr">
        <is>
          <t>Professional Supplier 067</t>
        </is>
      </c>
      <c r="C1068" t="inlineStr">
        <is>
          <t>Professional Services</t>
        </is>
      </c>
      <c r="D1068" t="n">
        <v>2024</v>
      </c>
      <c r="E1068" t="n">
        <v>2015</v>
      </c>
      <c r="F1068" t="n">
        <v>2040</v>
      </c>
      <c r="G1068" t="n">
        <v>651.9724</v>
      </c>
      <c r="H1068" t="n">
        <v>153.9712</v>
      </c>
      <c r="I1068" t="n">
        <v>56.952</v>
      </c>
      <c r="J1068" t="n">
        <v>421.5212</v>
      </c>
      <c r="K1068" t="n">
        <v>7629416.26</v>
      </c>
      <c r="L1068" t="n">
        <v>17989140.65</v>
      </c>
      <c r="M1068" t="n">
        <v>651.9724</v>
      </c>
      <c r="N1068" t="inlineStr">
        <is>
          <t>Supplier Reported Emissions</t>
        </is>
      </c>
      <c r="O1068" t="b">
        <v>0</v>
      </c>
      <c r="P1068" t="inlineStr">
        <is>
          <t>High</t>
        </is>
      </c>
      <c r="Q1068" t="inlineStr">
        <is>
          <t>None</t>
        </is>
      </c>
      <c r="R1068" t="inlineStr">
        <is>
          <t>Valid</t>
        </is>
      </c>
      <c r="S1068" t="n">
        <v>2035</v>
      </c>
      <c r="T1068" t="inlineStr">
        <is>
          <t>Historical Trend Pathway</t>
        </is>
      </c>
      <c r="U1068" t="n">
        <v>604.8328</v>
      </c>
      <c r="V1068" t="n">
        <v>574.5912</v>
      </c>
      <c r="W1068" t="n">
        <v>795.5581</v>
      </c>
      <c r="X1068" t="n">
        <v>580.6395</v>
      </c>
      <c r="Y1068" t="n">
        <v>-190.7253</v>
      </c>
      <c r="Z1068" t="n">
        <v>0.00010428</v>
      </c>
      <c r="AA1068" t="n">
        <v>-0.315336</v>
      </c>
      <c r="AB1068" t="n">
        <v>220.967</v>
      </c>
      <c r="AC1068" t="n">
        <v>1.2097</v>
      </c>
      <c r="AD1068" t="n">
        <v>1186.2125</v>
      </c>
      <c r="AE1068" t="n">
        <v>8007.2467</v>
      </c>
      <c r="AF1068" t="n">
        <v>0.848</v>
      </c>
      <c r="AG1068" t="inlineStr">
        <is>
          <t>Critical</t>
        </is>
      </c>
      <c r="AH1068" t="inlineStr">
        <is>
          <t>Off Track</t>
        </is>
      </c>
    </row>
    <row r="1069">
      <c r="A1069" t="inlineStr">
        <is>
          <t>SUP-0067</t>
        </is>
      </c>
      <c r="B1069" t="inlineStr">
        <is>
          <t>Professional Supplier 067</t>
        </is>
      </c>
      <c r="C1069" t="inlineStr">
        <is>
          <t>Professional Services</t>
        </is>
      </c>
      <c r="D1069" t="n">
        <v>2024</v>
      </c>
      <c r="E1069" t="n">
        <v>2015</v>
      </c>
      <c r="F1069" t="n">
        <v>2040</v>
      </c>
      <c r="G1069" t="n">
        <v>651.9724</v>
      </c>
      <c r="H1069" t="n">
        <v>153.9712</v>
      </c>
      <c r="I1069" t="n">
        <v>56.952</v>
      </c>
      <c r="J1069" t="n">
        <v>421.5212</v>
      </c>
      <c r="K1069" t="n">
        <v>7629416.26</v>
      </c>
      <c r="L1069" t="n">
        <v>17989140.65</v>
      </c>
      <c r="M1069" t="n">
        <v>651.9724</v>
      </c>
      <c r="N1069" t="inlineStr">
        <is>
          <t>Supplier Reported Emissions</t>
        </is>
      </c>
      <c r="O1069" t="b">
        <v>0</v>
      </c>
      <c r="P1069" t="inlineStr">
        <is>
          <t>High</t>
        </is>
      </c>
      <c r="Q1069" t="inlineStr">
        <is>
          <t>None</t>
        </is>
      </c>
      <c r="R1069" t="inlineStr">
        <is>
          <t>Valid</t>
        </is>
      </c>
      <c r="S1069" t="n">
        <v>2036</v>
      </c>
      <c r="T1069" t="inlineStr">
        <is>
          <t>Historical Trend Pathway</t>
        </is>
      </c>
      <c r="U1069" t="n">
        <v>604.8328</v>
      </c>
      <c r="V1069" t="n">
        <v>574.5912</v>
      </c>
      <c r="W1069" t="n">
        <v>810.0845</v>
      </c>
      <c r="X1069" t="n">
        <v>579.4298</v>
      </c>
      <c r="Y1069" t="n">
        <v>-205.2517</v>
      </c>
      <c r="Z1069" t="n">
        <v>0.00010618</v>
      </c>
      <c r="AA1069" t="n">
        <v>-0.339353</v>
      </c>
      <c r="AB1069" t="n">
        <v>235.4934</v>
      </c>
      <c r="AC1069" t="n">
        <v>1.2097</v>
      </c>
      <c r="AD1069" t="n">
        <v>376.128</v>
      </c>
      <c r="AE1069" t="n">
        <v>8817.331200000001</v>
      </c>
      <c r="AF1069" t="n">
        <v>0.848</v>
      </c>
      <c r="AG1069" t="inlineStr">
        <is>
          <t>Critical</t>
        </is>
      </c>
      <c r="AH1069" t="inlineStr">
        <is>
          <t>Off Track</t>
        </is>
      </c>
    </row>
    <row r="1070">
      <c r="A1070" t="inlineStr">
        <is>
          <t>SUP-0067</t>
        </is>
      </c>
      <c r="B1070" t="inlineStr">
        <is>
          <t>Professional Supplier 067</t>
        </is>
      </c>
      <c r="C1070" t="inlineStr">
        <is>
          <t>Professional Services</t>
        </is>
      </c>
      <c r="D1070" t="n">
        <v>2024</v>
      </c>
      <c r="E1070" t="n">
        <v>2015</v>
      </c>
      <c r="F1070" t="n">
        <v>2040</v>
      </c>
      <c r="G1070" t="n">
        <v>651.9724</v>
      </c>
      <c r="H1070" t="n">
        <v>153.9712</v>
      </c>
      <c r="I1070" t="n">
        <v>56.952</v>
      </c>
      <c r="J1070" t="n">
        <v>421.5212</v>
      </c>
      <c r="K1070" t="n">
        <v>7629416.26</v>
      </c>
      <c r="L1070" t="n">
        <v>17989140.65</v>
      </c>
      <c r="M1070" t="n">
        <v>651.9724</v>
      </c>
      <c r="N1070" t="inlineStr">
        <is>
          <t>Supplier Reported Emissions</t>
        </is>
      </c>
      <c r="O1070" t="b">
        <v>0</v>
      </c>
      <c r="P1070" t="inlineStr">
        <is>
          <t>High</t>
        </is>
      </c>
      <c r="Q1070" t="inlineStr">
        <is>
          <t>None</t>
        </is>
      </c>
      <c r="R1070" t="inlineStr">
        <is>
          <t>Valid</t>
        </is>
      </c>
      <c r="S1070" t="n">
        <v>2037</v>
      </c>
      <c r="T1070" t="inlineStr">
        <is>
          <t>Historical Trend Pathway</t>
        </is>
      </c>
      <c r="U1070" t="n">
        <v>604.8328</v>
      </c>
      <c r="V1070" t="n">
        <v>574.5912</v>
      </c>
      <c r="W1070" t="n">
        <v>824.8762</v>
      </c>
      <c r="X1070" t="n">
        <v>578.2202</v>
      </c>
      <c r="Y1070" t="n">
        <v>-220.0434</v>
      </c>
      <c r="Z1070" t="n">
        <v>0.00010812</v>
      </c>
      <c r="AA1070" t="n">
        <v>-0.363809</v>
      </c>
      <c r="AB1070" t="n">
        <v>250.285</v>
      </c>
      <c r="AC1070" t="n">
        <v>1.2097</v>
      </c>
      <c r="AD1070" t="n">
        <v>-448.7482</v>
      </c>
      <c r="AE1070" t="n">
        <v>9642.207399999999</v>
      </c>
      <c r="AF1070" t="n">
        <v>0.848</v>
      </c>
      <c r="AG1070" t="inlineStr">
        <is>
          <t>Critical</t>
        </is>
      </c>
      <c r="AH1070" t="inlineStr">
        <is>
          <t>Off Track</t>
        </is>
      </c>
    </row>
    <row r="1071">
      <c r="A1071" t="inlineStr">
        <is>
          <t>SUP-0067</t>
        </is>
      </c>
      <c r="B1071" t="inlineStr">
        <is>
          <t>Professional Supplier 067</t>
        </is>
      </c>
      <c r="C1071" t="inlineStr">
        <is>
          <t>Professional Services</t>
        </is>
      </c>
      <c r="D1071" t="n">
        <v>2024</v>
      </c>
      <c r="E1071" t="n">
        <v>2015</v>
      </c>
      <c r="F1071" t="n">
        <v>2040</v>
      </c>
      <c r="G1071" t="n">
        <v>651.9724</v>
      </c>
      <c r="H1071" t="n">
        <v>153.9712</v>
      </c>
      <c r="I1071" t="n">
        <v>56.952</v>
      </c>
      <c r="J1071" t="n">
        <v>421.5212</v>
      </c>
      <c r="K1071" t="n">
        <v>7629416.26</v>
      </c>
      <c r="L1071" t="n">
        <v>17989140.65</v>
      </c>
      <c r="M1071" t="n">
        <v>651.9724</v>
      </c>
      <c r="N1071" t="inlineStr">
        <is>
          <t>Supplier Reported Emissions</t>
        </is>
      </c>
      <c r="O1071" t="b">
        <v>0</v>
      </c>
      <c r="P1071" t="inlineStr">
        <is>
          <t>High</t>
        </is>
      </c>
      <c r="Q1071" t="inlineStr">
        <is>
          <t>None</t>
        </is>
      </c>
      <c r="R1071" t="inlineStr">
        <is>
          <t>Valid</t>
        </is>
      </c>
      <c r="S1071" t="n">
        <v>2038</v>
      </c>
      <c r="T1071" t="inlineStr">
        <is>
          <t>Historical Trend Pathway</t>
        </is>
      </c>
      <c r="U1071" t="n">
        <v>604.8328</v>
      </c>
      <c r="V1071" t="n">
        <v>574.5912</v>
      </c>
      <c r="W1071" t="n">
        <v>839.9379</v>
      </c>
      <c r="X1071" t="n">
        <v>577.0105</v>
      </c>
      <c r="Y1071" t="n">
        <v>-235.1051</v>
      </c>
      <c r="Z1071" t="n">
        <v>0.00011009</v>
      </c>
      <c r="AA1071" t="n">
        <v>-0.388711</v>
      </c>
      <c r="AB1071" t="n">
        <v>265.3468</v>
      </c>
      <c r="AC1071" t="n">
        <v>1.2097</v>
      </c>
      <c r="AD1071" t="n">
        <v>-1288.6861</v>
      </c>
      <c r="AE1071" t="n">
        <v>10482.1453</v>
      </c>
      <c r="AF1071" t="n">
        <v>0.848</v>
      </c>
      <c r="AG1071" t="inlineStr">
        <is>
          <t>Critical</t>
        </is>
      </c>
      <c r="AH1071" t="inlineStr">
        <is>
          <t>Off Track</t>
        </is>
      </c>
    </row>
    <row r="1072">
      <c r="A1072" t="inlineStr">
        <is>
          <t>SUP-0067</t>
        </is>
      </c>
      <c r="B1072" t="inlineStr">
        <is>
          <t>Professional Supplier 067</t>
        </is>
      </c>
      <c r="C1072" t="inlineStr">
        <is>
          <t>Professional Services</t>
        </is>
      </c>
      <c r="D1072" t="n">
        <v>2024</v>
      </c>
      <c r="E1072" t="n">
        <v>2015</v>
      </c>
      <c r="F1072" t="n">
        <v>2040</v>
      </c>
      <c r="G1072" t="n">
        <v>651.9724</v>
      </c>
      <c r="H1072" t="n">
        <v>153.9712</v>
      </c>
      <c r="I1072" t="n">
        <v>56.952</v>
      </c>
      <c r="J1072" t="n">
        <v>421.5212</v>
      </c>
      <c r="K1072" t="n">
        <v>7629416.26</v>
      </c>
      <c r="L1072" t="n">
        <v>17989140.65</v>
      </c>
      <c r="M1072" t="n">
        <v>651.9724</v>
      </c>
      <c r="N1072" t="inlineStr">
        <is>
          <t>Supplier Reported Emissions</t>
        </is>
      </c>
      <c r="O1072" t="b">
        <v>0</v>
      </c>
      <c r="P1072" t="inlineStr">
        <is>
          <t>High</t>
        </is>
      </c>
      <c r="Q1072" t="inlineStr">
        <is>
          <t>None</t>
        </is>
      </c>
      <c r="R1072" t="inlineStr">
        <is>
          <t>Valid</t>
        </is>
      </c>
      <c r="S1072" t="n">
        <v>2039</v>
      </c>
      <c r="T1072" t="inlineStr">
        <is>
          <t>Historical Trend Pathway</t>
        </is>
      </c>
      <c r="U1072" t="n">
        <v>604.8328</v>
      </c>
      <c r="V1072" t="n">
        <v>574.5912</v>
      </c>
      <c r="W1072" t="n">
        <v>855.2747000000001</v>
      </c>
      <c r="X1072" t="n">
        <v>575.8008</v>
      </c>
      <c r="Y1072" t="n">
        <v>-250.4419</v>
      </c>
      <c r="Z1072" t="n">
        <v>0.0001121</v>
      </c>
      <c r="AA1072" t="n">
        <v>-0.414068</v>
      </c>
      <c r="AB1072" t="n">
        <v>280.6835</v>
      </c>
      <c r="AC1072" t="n">
        <v>1.2097</v>
      </c>
      <c r="AD1072" t="n">
        <v>-2143.9608</v>
      </c>
      <c r="AE1072" t="n">
        <v>11337.42</v>
      </c>
      <c r="AF1072" t="n">
        <v>0.848</v>
      </c>
      <c r="AG1072" t="inlineStr">
        <is>
          <t>Critical</t>
        </is>
      </c>
      <c r="AH1072" t="inlineStr">
        <is>
          <t>Off Track</t>
        </is>
      </c>
    </row>
    <row r="1073">
      <c r="A1073" t="inlineStr">
        <is>
          <t>SUP-0067</t>
        </is>
      </c>
      <c r="B1073" t="inlineStr">
        <is>
          <t>Professional Supplier 067</t>
        </is>
      </c>
      <c r="C1073" t="inlineStr">
        <is>
          <t>Professional Services</t>
        </is>
      </c>
      <c r="D1073" t="n">
        <v>2024</v>
      </c>
      <c r="E1073" t="n">
        <v>2015</v>
      </c>
      <c r="F1073" t="n">
        <v>2040</v>
      </c>
      <c r="G1073" t="n">
        <v>651.9724</v>
      </c>
      <c r="H1073" t="n">
        <v>153.9712</v>
      </c>
      <c r="I1073" t="n">
        <v>56.952</v>
      </c>
      <c r="J1073" t="n">
        <v>421.5212</v>
      </c>
      <c r="K1073" t="n">
        <v>7629416.26</v>
      </c>
      <c r="L1073" t="n">
        <v>17989140.65</v>
      </c>
      <c r="M1073" t="n">
        <v>651.9724</v>
      </c>
      <c r="N1073" t="inlineStr">
        <is>
          <t>Supplier Reported Emissions</t>
        </is>
      </c>
      <c r="O1073" t="b">
        <v>0</v>
      </c>
      <c r="P1073" t="inlineStr">
        <is>
          <t>High</t>
        </is>
      </c>
      <c r="Q1073" t="inlineStr">
        <is>
          <t>None</t>
        </is>
      </c>
      <c r="R1073" t="inlineStr">
        <is>
          <t>Valid</t>
        </is>
      </c>
      <c r="S1073" t="n">
        <v>2040</v>
      </c>
      <c r="T1073" t="inlineStr">
        <is>
          <t>Historical Trend Pathway</t>
        </is>
      </c>
      <c r="U1073" t="n">
        <v>604.8328</v>
      </c>
      <c r="V1073" t="n">
        <v>574.5912</v>
      </c>
      <c r="W1073" t="n">
        <v>870.8915</v>
      </c>
      <c r="X1073" t="n">
        <v>574.5912</v>
      </c>
      <c r="Y1073" t="n">
        <v>-266.0587</v>
      </c>
      <c r="Z1073" t="n">
        <v>0.00011415</v>
      </c>
      <c r="AA1073" t="n">
        <v>-0.439888</v>
      </c>
      <c r="AB1073" t="n">
        <v>296.3004</v>
      </c>
      <c r="AC1073" t="n">
        <v>1.2097</v>
      </c>
      <c r="AD1073" t="n">
        <v>-3014.8523</v>
      </c>
      <c r="AE1073" t="n">
        <v>12208.3115</v>
      </c>
      <c r="AF1073" t="n">
        <v>0.848</v>
      </c>
      <c r="AG1073" t="inlineStr">
        <is>
          <t>Critical</t>
        </is>
      </c>
      <c r="AH1073" t="inlineStr">
        <is>
          <t>Off Track</t>
        </is>
      </c>
    </row>
    <row r="1074">
      <c r="A1074" t="inlineStr">
        <is>
          <t>SUP-0068</t>
        </is>
      </c>
      <c r="B1074" t="inlineStr">
        <is>
          <t>Agriculture Supplier 068</t>
        </is>
      </c>
      <c r="C1074" t="inlineStr">
        <is>
          <t>Agriculture</t>
        </is>
      </c>
      <c r="D1074" t="n">
        <v>2024</v>
      </c>
      <c r="E1074" t="n">
        <v>2015</v>
      </c>
      <c r="F1074" t="n">
        <v>2040</v>
      </c>
      <c r="G1074" t="inlineStr"/>
      <c r="H1074" t="n">
        <v>3224.8132</v>
      </c>
      <c r="I1074" t="n">
        <v>3640.0194</v>
      </c>
      <c r="J1074" t="n">
        <v>18773.2091</v>
      </c>
      <c r="K1074" t="n">
        <v>31870058.85</v>
      </c>
      <c r="L1074" t="n">
        <v>130860369.21</v>
      </c>
      <c r="M1074" t="n">
        <v>25638.0417</v>
      </c>
      <c r="N1074" t="inlineStr">
        <is>
          <t>Scope 1 + Scope 2 + Scope 3</t>
        </is>
      </c>
      <c r="O1074" t="b">
        <v>1</v>
      </c>
      <c r="P1074" t="inlineStr">
        <is>
          <t>High</t>
        </is>
      </c>
      <c r="Q1074" t="inlineStr">
        <is>
          <t>Reported_Emissions</t>
        </is>
      </c>
      <c r="R1074" t="inlineStr">
        <is>
          <t>Valid</t>
        </is>
      </c>
      <c r="S1074" t="n">
        <v>2025</v>
      </c>
      <c r="T1074" t="inlineStr">
        <is>
          <t>Historical Trend Pathway</t>
        </is>
      </c>
      <c r="U1074" t="n">
        <v>22220.7311</v>
      </c>
      <c r="V1074" t="n">
        <v>21109.6945</v>
      </c>
      <c r="W1074" t="n">
        <v>26281.6809</v>
      </c>
      <c r="X1074" t="n">
        <v>21776.3165</v>
      </c>
      <c r="Y1074" t="n">
        <v>-4060.9498</v>
      </c>
      <c r="Z1074" t="n">
        <v>0.00082465</v>
      </c>
      <c r="AA1074" t="n">
        <v>-0.182755</v>
      </c>
      <c r="AB1074" t="n">
        <v>5171.9863</v>
      </c>
      <c r="AC1074" t="n">
        <v>44.4415</v>
      </c>
      <c r="AD1074" t="n">
        <v>311473.4311</v>
      </c>
      <c r="AE1074" t="n">
        <v>26281.6809</v>
      </c>
      <c r="AF1074" t="n">
        <v>0.848</v>
      </c>
      <c r="AG1074" t="inlineStr">
        <is>
          <t>High</t>
        </is>
      </c>
      <c r="AH1074" t="inlineStr">
        <is>
          <t>Off Track</t>
        </is>
      </c>
    </row>
    <row r="1075">
      <c r="A1075" t="inlineStr">
        <is>
          <t>SUP-0068</t>
        </is>
      </c>
      <c r="B1075" t="inlineStr">
        <is>
          <t>Agriculture Supplier 068</t>
        </is>
      </c>
      <c r="C1075" t="inlineStr">
        <is>
          <t>Agriculture</t>
        </is>
      </c>
      <c r="D1075" t="n">
        <v>2024</v>
      </c>
      <c r="E1075" t="n">
        <v>2015</v>
      </c>
      <c r="F1075" t="n">
        <v>2040</v>
      </c>
      <c r="G1075" t="inlineStr"/>
      <c r="H1075" t="n">
        <v>3224.8132</v>
      </c>
      <c r="I1075" t="n">
        <v>3640.0194</v>
      </c>
      <c r="J1075" t="n">
        <v>18773.2091</v>
      </c>
      <c r="K1075" t="n">
        <v>31870058.85</v>
      </c>
      <c r="L1075" t="n">
        <v>130860369.21</v>
      </c>
      <c r="M1075" t="n">
        <v>25638.0417</v>
      </c>
      <c r="N1075" t="inlineStr">
        <is>
          <t>Scope 1 + Scope 2 + Scope 3</t>
        </is>
      </c>
      <c r="O1075" t="b">
        <v>1</v>
      </c>
      <c r="P1075" t="inlineStr">
        <is>
          <t>High</t>
        </is>
      </c>
      <c r="Q1075" t="inlineStr">
        <is>
          <t>Reported_Emissions</t>
        </is>
      </c>
      <c r="R1075" t="inlineStr">
        <is>
          <t>Valid</t>
        </is>
      </c>
      <c r="S1075" t="n">
        <v>2026</v>
      </c>
      <c r="T1075" t="inlineStr">
        <is>
          <t>Historical Trend Pathway</t>
        </is>
      </c>
      <c r="U1075" t="n">
        <v>22220.7311</v>
      </c>
      <c r="V1075" t="n">
        <v>21109.6945</v>
      </c>
      <c r="W1075" t="n">
        <v>26941.4785</v>
      </c>
      <c r="X1075" t="n">
        <v>21731.875</v>
      </c>
      <c r="Y1075" t="n">
        <v>-4720.7474</v>
      </c>
      <c r="Z1075" t="n">
        <v>0.00084535</v>
      </c>
      <c r="AA1075" t="n">
        <v>-0.212448</v>
      </c>
      <c r="AB1075" t="n">
        <v>5831.784</v>
      </c>
      <c r="AC1075" t="n">
        <v>44.4415</v>
      </c>
      <c r="AD1075" t="n">
        <v>284531.9526</v>
      </c>
      <c r="AE1075" t="n">
        <v>53223.1594</v>
      </c>
      <c r="AF1075" t="n">
        <v>0.848</v>
      </c>
      <c r="AG1075" t="inlineStr">
        <is>
          <t>High</t>
        </is>
      </c>
      <c r="AH1075" t="inlineStr">
        <is>
          <t>Off Track</t>
        </is>
      </c>
    </row>
    <row r="1076">
      <c r="A1076" t="inlineStr">
        <is>
          <t>SUP-0068</t>
        </is>
      </c>
      <c r="B1076" t="inlineStr">
        <is>
          <t>Agriculture Supplier 068</t>
        </is>
      </c>
      <c r="C1076" t="inlineStr">
        <is>
          <t>Agriculture</t>
        </is>
      </c>
      <c r="D1076" t="n">
        <v>2024</v>
      </c>
      <c r="E1076" t="n">
        <v>2015</v>
      </c>
      <c r="F1076" t="n">
        <v>2040</v>
      </c>
      <c r="G1076" t="inlineStr"/>
      <c r="H1076" t="n">
        <v>3224.8132</v>
      </c>
      <c r="I1076" t="n">
        <v>3640.0194</v>
      </c>
      <c r="J1076" t="n">
        <v>18773.2091</v>
      </c>
      <c r="K1076" t="n">
        <v>31870058.85</v>
      </c>
      <c r="L1076" t="n">
        <v>130860369.21</v>
      </c>
      <c r="M1076" t="n">
        <v>25638.0417</v>
      </c>
      <c r="N1076" t="inlineStr">
        <is>
          <t>Scope 1 + Scope 2 + Scope 3</t>
        </is>
      </c>
      <c r="O1076" t="b">
        <v>1</v>
      </c>
      <c r="P1076" t="inlineStr">
        <is>
          <t>High</t>
        </is>
      </c>
      <c r="Q1076" t="inlineStr">
        <is>
          <t>Reported_Emissions</t>
        </is>
      </c>
      <c r="R1076" t="inlineStr">
        <is>
          <t>Valid</t>
        </is>
      </c>
      <c r="S1076" t="n">
        <v>2027</v>
      </c>
      <c r="T1076" t="inlineStr">
        <is>
          <t>Historical Trend Pathway</t>
        </is>
      </c>
      <c r="U1076" t="n">
        <v>22220.7311</v>
      </c>
      <c r="V1076" t="n">
        <v>21109.6945</v>
      </c>
      <c r="W1076" t="n">
        <v>27617.8403</v>
      </c>
      <c r="X1076" t="n">
        <v>21687.4336</v>
      </c>
      <c r="Y1076" t="n">
        <v>-5397.1092</v>
      </c>
      <c r="Z1076" t="n">
        <v>0.00086658</v>
      </c>
      <c r="AA1076" t="n">
        <v>-0.242886</v>
      </c>
      <c r="AB1076" t="n">
        <v>6508.1458</v>
      </c>
      <c r="AC1076" t="n">
        <v>44.4415</v>
      </c>
      <c r="AD1076" t="n">
        <v>256914.1123</v>
      </c>
      <c r="AE1076" t="n">
        <v>80840.9997</v>
      </c>
      <c r="AF1076" t="n">
        <v>0.848</v>
      </c>
      <c r="AG1076" t="inlineStr">
        <is>
          <t>High</t>
        </is>
      </c>
      <c r="AH1076" t="inlineStr">
        <is>
          <t>Off Track</t>
        </is>
      </c>
    </row>
    <row r="1077">
      <c r="A1077" t="inlineStr">
        <is>
          <t>SUP-0068</t>
        </is>
      </c>
      <c r="B1077" t="inlineStr">
        <is>
          <t>Agriculture Supplier 068</t>
        </is>
      </c>
      <c r="C1077" t="inlineStr">
        <is>
          <t>Agriculture</t>
        </is>
      </c>
      <c r="D1077" t="n">
        <v>2024</v>
      </c>
      <c r="E1077" t="n">
        <v>2015</v>
      </c>
      <c r="F1077" t="n">
        <v>2040</v>
      </c>
      <c r="G1077" t="inlineStr"/>
      <c r="H1077" t="n">
        <v>3224.8132</v>
      </c>
      <c r="I1077" t="n">
        <v>3640.0194</v>
      </c>
      <c r="J1077" t="n">
        <v>18773.2091</v>
      </c>
      <c r="K1077" t="n">
        <v>31870058.85</v>
      </c>
      <c r="L1077" t="n">
        <v>130860369.21</v>
      </c>
      <c r="M1077" t="n">
        <v>25638.0417</v>
      </c>
      <c r="N1077" t="inlineStr">
        <is>
          <t>Scope 1 + Scope 2 + Scope 3</t>
        </is>
      </c>
      <c r="O1077" t="b">
        <v>1</v>
      </c>
      <c r="P1077" t="inlineStr">
        <is>
          <t>High</t>
        </is>
      </c>
      <c r="Q1077" t="inlineStr">
        <is>
          <t>Reported_Emissions</t>
        </is>
      </c>
      <c r="R1077" t="inlineStr">
        <is>
          <t>Valid</t>
        </is>
      </c>
      <c r="S1077" t="n">
        <v>2028</v>
      </c>
      <c r="T1077" t="inlineStr">
        <is>
          <t>Historical Trend Pathway</t>
        </is>
      </c>
      <c r="U1077" t="n">
        <v>22220.7311</v>
      </c>
      <c r="V1077" t="n">
        <v>21109.6945</v>
      </c>
      <c r="W1077" t="n">
        <v>28311.1821</v>
      </c>
      <c r="X1077" t="n">
        <v>21642.9921</v>
      </c>
      <c r="Y1077" t="n">
        <v>-6090.451</v>
      </c>
      <c r="Z1077" t="n">
        <v>0.00088833</v>
      </c>
      <c r="AA1077" t="n">
        <v>-0.274089</v>
      </c>
      <c r="AB1077" t="n">
        <v>7201.4875</v>
      </c>
      <c r="AC1077" t="n">
        <v>44.4415</v>
      </c>
      <c r="AD1077" t="n">
        <v>228602.9302</v>
      </c>
      <c r="AE1077" t="n">
        <v>109152.1818</v>
      </c>
      <c r="AF1077" t="n">
        <v>0.848</v>
      </c>
      <c r="AG1077" t="inlineStr">
        <is>
          <t>High</t>
        </is>
      </c>
      <c r="AH1077" t="inlineStr">
        <is>
          <t>Off Track</t>
        </is>
      </c>
    </row>
    <row r="1078">
      <c r="A1078" t="inlineStr">
        <is>
          <t>SUP-0068</t>
        </is>
      </c>
      <c r="B1078" t="inlineStr">
        <is>
          <t>Agriculture Supplier 068</t>
        </is>
      </c>
      <c r="C1078" t="inlineStr">
        <is>
          <t>Agriculture</t>
        </is>
      </c>
      <c r="D1078" t="n">
        <v>2024</v>
      </c>
      <c r="E1078" t="n">
        <v>2015</v>
      </c>
      <c r="F1078" t="n">
        <v>2040</v>
      </c>
      <c r="G1078" t="inlineStr"/>
      <c r="H1078" t="n">
        <v>3224.8132</v>
      </c>
      <c r="I1078" t="n">
        <v>3640.0194</v>
      </c>
      <c r="J1078" t="n">
        <v>18773.2091</v>
      </c>
      <c r="K1078" t="n">
        <v>31870058.85</v>
      </c>
      <c r="L1078" t="n">
        <v>130860369.21</v>
      </c>
      <c r="M1078" t="n">
        <v>25638.0417</v>
      </c>
      <c r="N1078" t="inlineStr">
        <is>
          <t>Scope 1 + Scope 2 + Scope 3</t>
        </is>
      </c>
      <c r="O1078" t="b">
        <v>1</v>
      </c>
      <c r="P1078" t="inlineStr">
        <is>
          <t>High</t>
        </is>
      </c>
      <c r="Q1078" t="inlineStr">
        <is>
          <t>Reported_Emissions</t>
        </is>
      </c>
      <c r="R1078" t="inlineStr">
        <is>
          <t>Valid</t>
        </is>
      </c>
      <c r="S1078" t="n">
        <v>2029</v>
      </c>
      <c r="T1078" t="inlineStr">
        <is>
          <t>Historical Trend Pathway</t>
        </is>
      </c>
      <c r="U1078" t="n">
        <v>22220.7311</v>
      </c>
      <c r="V1078" t="n">
        <v>21109.6945</v>
      </c>
      <c r="W1078" t="n">
        <v>29021.93</v>
      </c>
      <c r="X1078" t="n">
        <v>21598.5506</v>
      </c>
      <c r="Y1078" t="n">
        <v>-6801.1989</v>
      </c>
      <c r="Z1078" t="n">
        <v>0.0009106299999999999</v>
      </c>
      <c r="AA1078" t="n">
        <v>-0.306074</v>
      </c>
      <c r="AB1078" t="n">
        <v>7912.2355</v>
      </c>
      <c r="AC1078" t="n">
        <v>44.4415</v>
      </c>
      <c r="AD1078" t="n">
        <v>199581.0002</v>
      </c>
      <c r="AE1078" t="n">
        <v>138174.1118</v>
      </c>
      <c r="AF1078" t="n">
        <v>0.848</v>
      </c>
      <c r="AG1078" t="inlineStr">
        <is>
          <t>Critical</t>
        </is>
      </c>
      <c r="AH1078" t="inlineStr">
        <is>
          <t>Off Track</t>
        </is>
      </c>
    </row>
    <row r="1079">
      <c r="A1079" t="inlineStr">
        <is>
          <t>SUP-0068</t>
        </is>
      </c>
      <c r="B1079" t="inlineStr">
        <is>
          <t>Agriculture Supplier 068</t>
        </is>
      </c>
      <c r="C1079" t="inlineStr">
        <is>
          <t>Agriculture</t>
        </is>
      </c>
      <c r="D1079" t="n">
        <v>2024</v>
      </c>
      <c r="E1079" t="n">
        <v>2015</v>
      </c>
      <c r="F1079" t="n">
        <v>2040</v>
      </c>
      <c r="G1079" t="inlineStr"/>
      <c r="H1079" t="n">
        <v>3224.8132</v>
      </c>
      <c r="I1079" t="n">
        <v>3640.0194</v>
      </c>
      <c r="J1079" t="n">
        <v>18773.2091</v>
      </c>
      <c r="K1079" t="n">
        <v>31870058.85</v>
      </c>
      <c r="L1079" t="n">
        <v>130860369.21</v>
      </c>
      <c r="M1079" t="n">
        <v>25638.0417</v>
      </c>
      <c r="N1079" t="inlineStr">
        <is>
          <t>Scope 1 + Scope 2 + Scope 3</t>
        </is>
      </c>
      <c r="O1079" t="b">
        <v>1</v>
      </c>
      <c r="P1079" t="inlineStr">
        <is>
          <t>High</t>
        </is>
      </c>
      <c r="Q1079" t="inlineStr">
        <is>
          <t>Reported_Emissions</t>
        </is>
      </c>
      <c r="R1079" t="inlineStr">
        <is>
          <t>Valid</t>
        </is>
      </c>
      <c r="S1079" t="n">
        <v>2030</v>
      </c>
      <c r="T1079" t="inlineStr">
        <is>
          <t>Historical Trend Pathway</t>
        </is>
      </c>
      <c r="U1079" t="n">
        <v>22220.7311</v>
      </c>
      <c r="V1079" t="n">
        <v>21109.6945</v>
      </c>
      <c r="W1079" t="n">
        <v>29750.5212</v>
      </c>
      <c r="X1079" t="n">
        <v>21554.1092</v>
      </c>
      <c r="Y1079" t="n">
        <v>-7529.7901</v>
      </c>
      <c r="Z1079" t="n">
        <v>0.00093349</v>
      </c>
      <c r="AA1079" t="n">
        <v>-0.338863</v>
      </c>
      <c r="AB1079" t="n">
        <v>8640.8267</v>
      </c>
      <c r="AC1079" t="n">
        <v>44.4415</v>
      </c>
      <c r="AD1079" t="n">
        <v>169830.479</v>
      </c>
      <c r="AE1079" t="n">
        <v>167924.633</v>
      </c>
      <c r="AF1079" t="n">
        <v>0.848</v>
      </c>
      <c r="AG1079" t="inlineStr">
        <is>
          <t>Critical</t>
        </is>
      </c>
      <c r="AH1079" t="inlineStr">
        <is>
          <t>Off Track</t>
        </is>
      </c>
    </row>
    <row r="1080">
      <c r="A1080" t="inlineStr">
        <is>
          <t>SUP-0068</t>
        </is>
      </c>
      <c r="B1080" t="inlineStr">
        <is>
          <t>Agriculture Supplier 068</t>
        </is>
      </c>
      <c r="C1080" t="inlineStr">
        <is>
          <t>Agriculture</t>
        </is>
      </c>
      <c r="D1080" t="n">
        <v>2024</v>
      </c>
      <c r="E1080" t="n">
        <v>2015</v>
      </c>
      <c r="F1080" t="n">
        <v>2040</v>
      </c>
      <c r="G1080" t="inlineStr"/>
      <c r="H1080" t="n">
        <v>3224.8132</v>
      </c>
      <c r="I1080" t="n">
        <v>3640.0194</v>
      </c>
      <c r="J1080" t="n">
        <v>18773.2091</v>
      </c>
      <c r="K1080" t="n">
        <v>31870058.85</v>
      </c>
      <c r="L1080" t="n">
        <v>130860369.21</v>
      </c>
      <c r="M1080" t="n">
        <v>25638.0417</v>
      </c>
      <c r="N1080" t="inlineStr">
        <is>
          <t>Scope 1 + Scope 2 + Scope 3</t>
        </is>
      </c>
      <c r="O1080" t="b">
        <v>1</v>
      </c>
      <c r="P1080" t="inlineStr">
        <is>
          <t>High</t>
        </is>
      </c>
      <c r="Q1080" t="inlineStr">
        <is>
          <t>Reported_Emissions</t>
        </is>
      </c>
      <c r="R1080" t="inlineStr">
        <is>
          <t>Valid</t>
        </is>
      </c>
      <c r="S1080" t="n">
        <v>2031</v>
      </c>
      <c r="T1080" t="inlineStr">
        <is>
          <t>Historical Trend Pathway</t>
        </is>
      </c>
      <c r="U1080" t="n">
        <v>22220.7311</v>
      </c>
      <c r="V1080" t="n">
        <v>21109.6945</v>
      </c>
      <c r="W1080" t="n">
        <v>30497.4036</v>
      </c>
      <c r="X1080" t="n">
        <v>21509.6677</v>
      </c>
      <c r="Y1080" t="n">
        <v>-8276.672500000001</v>
      </c>
      <c r="Z1080" t="n">
        <v>0.00095693</v>
      </c>
      <c r="AA1080" t="n">
        <v>-0.372475</v>
      </c>
      <c r="AB1080" t="n">
        <v>9387.7091</v>
      </c>
      <c r="AC1080" t="n">
        <v>44.4415</v>
      </c>
      <c r="AD1080" t="n">
        <v>139333.0754</v>
      </c>
      <c r="AE1080" t="n">
        <v>198422.0366</v>
      </c>
      <c r="AF1080" t="n">
        <v>0.848</v>
      </c>
      <c r="AG1080" t="inlineStr">
        <is>
          <t>Critical</t>
        </is>
      </c>
      <c r="AH1080" t="inlineStr">
        <is>
          <t>Off Track</t>
        </is>
      </c>
    </row>
    <row r="1081">
      <c r="A1081" t="inlineStr">
        <is>
          <t>SUP-0068</t>
        </is>
      </c>
      <c r="B1081" t="inlineStr">
        <is>
          <t>Agriculture Supplier 068</t>
        </is>
      </c>
      <c r="C1081" t="inlineStr">
        <is>
          <t>Agriculture</t>
        </is>
      </c>
      <c r="D1081" t="n">
        <v>2024</v>
      </c>
      <c r="E1081" t="n">
        <v>2015</v>
      </c>
      <c r="F1081" t="n">
        <v>2040</v>
      </c>
      <c r="G1081" t="inlineStr"/>
      <c r="H1081" t="n">
        <v>3224.8132</v>
      </c>
      <c r="I1081" t="n">
        <v>3640.0194</v>
      </c>
      <c r="J1081" t="n">
        <v>18773.2091</v>
      </c>
      <c r="K1081" t="n">
        <v>31870058.85</v>
      </c>
      <c r="L1081" t="n">
        <v>130860369.21</v>
      </c>
      <c r="M1081" t="n">
        <v>25638.0417</v>
      </c>
      <c r="N1081" t="inlineStr">
        <is>
          <t>Scope 1 + Scope 2 + Scope 3</t>
        </is>
      </c>
      <c r="O1081" t="b">
        <v>1</v>
      </c>
      <c r="P1081" t="inlineStr">
        <is>
          <t>High</t>
        </is>
      </c>
      <c r="Q1081" t="inlineStr">
        <is>
          <t>Reported_Emissions</t>
        </is>
      </c>
      <c r="R1081" t="inlineStr">
        <is>
          <t>Valid</t>
        </is>
      </c>
      <c r="S1081" t="n">
        <v>2032</v>
      </c>
      <c r="T1081" t="inlineStr">
        <is>
          <t>Historical Trend Pathway</t>
        </is>
      </c>
      <c r="U1081" t="n">
        <v>22220.7311</v>
      </c>
      <c r="V1081" t="n">
        <v>21109.6945</v>
      </c>
      <c r="W1081" t="n">
        <v>31263.0364</v>
      </c>
      <c r="X1081" t="n">
        <v>21465.2262</v>
      </c>
      <c r="Y1081" t="n">
        <v>-9042.3053</v>
      </c>
      <c r="Z1081" t="n">
        <v>0.00098095</v>
      </c>
      <c r="AA1081" t="n">
        <v>-0.406931</v>
      </c>
      <c r="AB1081" t="n">
        <v>10153.3418</v>
      </c>
      <c r="AC1081" t="n">
        <v>44.4415</v>
      </c>
      <c r="AD1081" t="n">
        <v>108070.039</v>
      </c>
      <c r="AE1081" t="n">
        <v>229685.073</v>
      </c>
      <c r="AF1081" t="n">
        <v>0.848</v>
      </c>
      <c r="AG1081" t="inlineStr">
        <is>
          <t>Critical</t>
        </is>
      </c>
      <c r="AH1081" t="inlineStr">
        <is>
          <t>Off Track</t>
        </is>
      </c>
    </row>
    <row r="1082">
      <c r="A1082" t="inlineStr">
        <is>
          <t>SUP-0068</t>
        </is>
      </c>
      <c r="B1082" t="inlineStr">
        <is>
          <t>Agriculture Supplier 068</t>
        </is>
      </c>
      <c r="C1082" t="inlineStr">
        <is>
          <t>Agriculture</t>
        </is>
      </c>
      <c r="D1082" t="n">
        <v>2024</v>
      </c>
      <c r="E1082" t="n">
        <v>2015</v>
      </c>
      <c r="F1082" t="n">
        <v>2040</v>
      </c>
      <c r="G1082" t="inlineStr"/>
      <c r="H1082" t="n">
        <v>3224.8132</v>
      </c>
      <c r="I1082" t="n">
        <v>3640.0194</v>
      </c>
      <c r="J1082" t="n">
        <v>18773.2091</v>
      </c>
      <c r="K1082" t="n">
        <v>31870058.85</v>
      </c>
      <c r="L1082" t="n">
        <v>130860369.21</v>
      </c>
      <c r="M1082" t="n">
        <v>25638.0417</v>
      </c>
      <c r="N1082" t="inlineStr">
        <is>
          <t>Scope 1 + Scope 2 + Scope 3</t>
        </is>
      </c>
      <c r="O1082" t="b">
        <v>1</v>
      </c>
      <c r="P1082" t="inlineStr">
        <is>
          <t>High</t>
        </is>
      </c>
      <c r="Q1082" t="inlineStr">
        <is>
          <t>Reported_Emissions</t>
        </is>
      </c>
      <c r="R1082" t="inlineStr">
        <is>
          <t>Valid</t>
        </is>
      </c>
      <c r="S1082" t="n">
        <v>2033</v>
      </c>
      <c r="T1082" t="inlineStr">
        <is>
          <t>Historical Trend Pathway</t>
        </is>
      </c>
      <c r="U1082" t="n">
        <v>22220.7311</v>
      </c>
      <c r="V1082" t="n">
        <v>21109.6945</v>
      </c>
      <c r="W1082" t="n">
        <v>32047.8902</v>
      </c>
      <c r="X1082" t="n">
        <v>21420.7848</v>
      </c>
      <c r="Y1082" t="n">
        <v>-9827.159100000001</v>
      </c>
      <c r="Z1082" t="n">
        <v>0.00100558</v>
      </c>
      <c r="AA1082" t="n">
        <v>-0.442252</v>
      </c>
      <c r="AB1082" t="n">
        <v>10938.1957</v>
      </c>
      <c r="AC1082" t="n">
        <v>44.4415</v>
      </c>
      <c r="AD1082" t="n">
        <v>76022.1488</v>
      </c>
      <c r="AE1082" t="n">
        <v>261732.9632</v>
      </c>
      <c r="AF1082" t="n">
        <v>0.848</v>
      </c>
      <c r="AG1082" t="inlineStr">
        <is>
          <t>Critical</t>
        </is>
      </c>
      <c r="AH1082" t="inlineStr">
        <is>
          <t>Off Track</t>
        </is>
      </c>
    </row>
    <row r="1083">
      <c r="A1083" t="inlineStr">
        <is>
          <t>SUP-0068</t>
        </is>
      </c>
      <c r="B1083" t="inlineStr">
        <is>
          <t>Agriculture Supplier 068</t>
        </is>
      </c>
      <c r="C1083" t="inlineStr">
        <is>
          <t>Agriculture</t>
        </is>
      </c>
      <c r="D1083" t="n">
        <v>2024</v>
      </c>
      <c r="E1083" t="n">
        <v>2015</v>
      </c>
      <c r="F1083" t="n">
        <v>2040</v>
      </c>
      <c r="G1083" t="inlineStr"/>
      <c r="H1083" t="n">
        <v>3224.8132</v>
      </c>
      <c r="I1083" t="n">
        <v>3640.0194</v>
      </c>
      <c r="J1083" t="n">
        <v>18773.2091</v>
      </c>
      <c r="K1083" t="n">
        <v>31870058.85</v>
      </c>
      <c r="L1083" t="n">
        <v>130860369.21</v>
      </c>
      <c r="M1083" t="n">
        <v>25638.0417</v>
      </c>
      <c r="N1083" t="inlineStr">
        <is>
          <t>Scope 1 + Scope 2 + Scope 3</t>
        </is>
      </c>
      <c r="O1083" t="b">
        <v>1</v>
      </c>
      <c r="P1083" t="inlineStr">
        <is>
          <t>High</t>
        </is>
      </c>
      <c r="Q1083" t="inlineStr">
        <is>
          <t>Reported_Emissions</t>
        </is>
      </c>
      <c r="R1083" t="inlineStr">
        <is>
          <t>Valid</t>
        </is>
      </c>
      <c r="S1083" t="n">
        <v>2034</v>
      </c>
      <c r="T1083" t="inlineStr">
        <is>
          <t>Historical Trend Pathway</t>
        </is>
      </c>
      <c r="U1083" t="n">
        <v>22220.7311</v>
      </c>
      <c r="V1083" t="n">
        <v>21109.6945</v>
      </c>
      <c r="W1083" t="n">
        <v>32852.4477</v>
      </c>
      <c r="X1083" t="n">
        <v>21376.3433</v>
      </c>
      <c r="Y1083" t="n">
        <v>-10631.7166</v>
      </c>
      <c r="Z1083" t="n">
        <v>0.00103082</v>
      </c>
      <c r="AA1083" t="n">
        <v>-0.478459</v>
      </c>
      <c r="AB1083" t="n">
        <v>11742.7531</v>
      </c>
      <c r="AC1083" t="n">
        <v>44.4415</v>
      </c>
      <c r="AD1083" t="n">
        <v>43169.7011</v>
      </c>
      <c r="AE1083" t="n">
        <v>294585.4109</v>
      </c>
      <c r="AF1083" t="n">
        <v>0.848</v>
      </c>
      <c r="AG1083" t="inlineStr">
        <is>
          <t>Critical</t>
        </is>
      </c>
      <c r="AH1083" t="inlineStr">
        <is>
          <t>Off Track</t>
        </is>
      </c>
    </row>
    <row r="1084">
      <c r="A1084" t="inlineStr">
        <is>
          <t>SUP-0068</t>
        </is>
      </c>
      <c r="B1084" t="inlineStr">
        <is>
          <t>Agriculture Supplier 068</t>
        </is>
      </c>
      <c r="C1084" t="inlineStr">
        <is>
          <t>Agriculture</t>
        </is>
      </c>
      <c r="D1084" t="n">
        <v>2024</v>
      </c>
      <c r="E1084" t="n">
        <v>2015</v>
      </c>
      <c r="F1084" t="n">
        <v>2040</v>
      </c>
      <c r="G1084" t="inlineStr"/>
      <c r="H1084" t="n">
        <v>3224.8132</v>
      </c>
      <c r="I1084" t="n">
        <v>3640.0194</v>
      </c>
      <c r="J1084" t="n">
        <v>18773.2091</v>
      </c>
      <c r="K1084" t="n">
        <v>31870058.85</v>
      </c>
      <c r="L1084" t="n">
        <v>130860369.21</v>
      </c>
      <c r="M1084" t="n">
        <v>25638.0417</v>
      </c>
      <c r="N1084" t="inlineStr">
        <is>
          <t>Scope 1 + Scope 2 + Scope 3</t>
        </is>
      </c>
      <c r="O1084" t="b">
        <v>1</v>
      </c>
      <c r="P1084" t="inlineStr">
        <is>
          <t>High</t>
        </is>
      </c>
      <c r="Q1084" t="inlineStr">
        <is>
          <t>Reported_Emissions</t>
        </is>
      </c>
      <c r="R1084" t="inlineStr">
        <is>
          <t>Valid</t>
        </is>
      </c>
      <c r="S1084" t="n">
        <v>2035</v>
      </c>
      <c r="T1084" t="inlineStr">
        <is>
          <t>Historical Trend Pathway</t>
        </is>
      </c>
      <c r="U1084" t="n">
        <v>22220.7311</v>
      </c>
      <c r="V1084" t="n">
        <v>21109.6945</v>
      </c>
      <c r="W1084" t="n">
        <v>33677.2034</v>
      </c>
      <c r="X1084" t="n">
        <v>21331.9019</v>
      </c>
      <c r="Y1084" t="n">
        <v>-11456.4723</v>
      </c>
      <c r="Z1084" t="n">
        <v>0.0010567</v>
      </c>
      <c r="AA1084" t="n">
        <v>-0.515576</v>
      </c>
      <c r="AB1084" t="n">
        <v>12567.5089</v>
      </c>
      <c r="AC1084" t="n">
        <v>44.4415</v>
      </c>
      <c r="AD1084" t="n">
        <v>9492.4977</v>
      </c>
      <c r="AE1084" t="n">
        <v>328262.6143</v>
      </c>
      <c r="AF1084" t="n">
        <v>0.848</v>
      </c>
      <c r="AG1084" t="inlineStr">
        <is>
          <t>Critical</t>
        </is>
      </c>
      <c r="AH1084" t="inlineStr">
        <is>
          <t>Off Track</t>
        </is>
      </c>
    </row>
    <row r="1085">
      <c r="A1085" t="inlineStr">
        <is>
          <t>SUP-0068</t>
        </is>
      </c>
      <c r="B1085" t="inlineStr">
        <is>
          <t>Agriculture Supplier 068</t>
        </is>
      </c>
      <c r="C1085" t="inlineStr">
        <is>
          <t>Agriculture</t>
        </is>
      </c>
      <c r="D1085" t="n">
        <v>2024</v>
      </c>
      <c r="E1085" t="n">
        <v>2015</v>
      </c>
      <c r="F1085" t="n">
        <v>2040</v>
      </c>
      <c r="G1085" t="inlineStr"/>
      <c r="H1085" t="n">
        <v>3224.8132</v>
      </c>
      <c r="I1085" t="n">
        <v>3640.0194</v>
      </c>
      <c r="J1085" t="n">
        <v>18773.2091</v>
      </c>
      <c r="K1085" t="n">
        <v>31870058.85</v>
      </c>
      <c r="L1085" t="n">
        <v>130860369.21</v>
      </c>
      <c r="M1085" t="n">
        <v>25638.0417</v>
      </c>
      <c r="N1085" t="inlineStr">
        <is>
          <t>Scope 1 + Scope 2 + Scope 3</t>
        </is>
      </c>
      <c r="O1085" t="b">
        <v>1</v>
      </c>
      <c r="P1085" t="inlineStr">
        <is>
          <t>High</t>
        </is>
      </c>
      <c r="Q1085" t="inlineStr">
        <is>
          <t>Reported_Emissions</t>
        </is>
      </c>
      <c r="R1085" t="inlineStr">
        <is>
          <t>Valid</t>
        </is>
      </c>
      <c r="S1085" t="n">
        <v>2036</v>
      </c>
      <c r="T1085" t="inlineStr">
        <is>
          <t>Historical Trend Pathway</t>
        </is>
      </c>
      <c r="U1085" t="n">
        <v>22220.7311</v>
      </c>
      <c r="V1085" t="n">
        <v>21109.6945</v>
      </c>
      <c r="W1085" t="n">
        <v>34522.6646</v>
      </c>
      <c r="X1085" t="n">
        <v>21287.4604</v>
      </c>
      <c r="Y1085" t="n">
        <v>-12301.9335</v>
      </c>
      <c r="Z1085" t="n">
        <v>0.00108323</v>
      </c>
      <c r="AA1085" t="n">
        <v>-0.553624</v>
      </c>
      <c r="AB1085" t="n">
        <v>13412.97</v>
      </c>
      <c r="AC1085" t="n">
        <v>44.4415</v>
      </c>
      <c r="AD1085" t="n">
        <v>-25030.1669</v>
      </c>
      <c r="AE1085" t="n">
        <v>362785.2789</v>
      </c>
      <c r="AF1085" t="n">
        <v>0.848</v>
      </c>
      <c r="AG1085" t="inlineStr">
        <is>
          <t>Critical</t>
        </is>
      </c>
      <c r="AH1085" t="inlineStr">
        <is>
          <t>Off Track</t>
        </is>
      </c>
    </row>
    <row r="1086">
      <c r="A1086" t="inlineStr">
        <is>
          <t>SUP-0068</t>
        </is>
      </c>
      <c r="B1086" t="inlineStr">
        <is>
          <t>Agriculture Supplier 068</t>
        </is>
      </c>
      <c r="C1086" t="inlineStr">
        <is>
          <t>Agriculture</t>
        </is>
      </c>
      <c r="D1086" t="n">
        <v>2024</v>
      </c>
      <c r="E1086" t="n">
        <v>2015</v>
      </c>
      <c r="F1086" t="n">
        <v>2040</v>
      </c>
      <c r="G1086" t="inlineStr"/>
      <c r="H1086" t="n">
        <v>3224.8132</v>
      </c>
      <c r="I1086" t="n">
        <v>3640.0194</v>
      </c>
      <c r="J1086" t="n">
        <v>18773.2091</v>
      </c>
      <c r="K1086" t="n">
        <v>31870058.85</v>
      </c>
      <c r="L1086" t="n">
        <v>130860369.21</v>
      </c>
      <c r="M1086" t="n">
        <v>25638.0417</v>
      </c>
      <c r="N1086" t="inlineStr">
        <is>
          <t>Scope 1 + Scope 2 + Scope 3</t>
        </is>
      </c>
      <c r="O1086" t="b">
        <v>1</v>
      </c>
      <c r="P1086" t="inlineStr">
        <is>
          <t>High</t>
        </is>
      </c>
      <c r="Q1086" t="inlineStr">
        <is>
          <t>Reported_Emissions</t>
        </is>
      </c>
      <c r="R1086" t="inlineStr">
        <is>
          <t>Valid</t>
        </is>
      </c>
      <c r="S1086" t="n">
        <v>2037</v>
      </c>
      <c r="T1086" t="inlineStr">
        <is>
          <t>Historical Trend Pathway</t>
        </is>
      </c>
      <c r="U1086" t="n">
        <v>22220.7311</v>
      </c>
      <c r="V1086" t="n">
        <v>21109.6945</v>
      </c>
      <c r="W1086" t="n">
        <v>35389.3509</v>
      </c>
      <c r="X1086" t="n">
        <v>21243.0189</v>
      </c>
      <c r="Y1086" t="n">
        <v>-13168.6198</v>
      </c>
      <c r="Z1086" t="n">
        <v>0.00111043</v>
      </c>
      <c r="AA1086" t="n">
        <v>-0.592628</v>
      </c>
      <c r="AB1086" t="n">
        <v>14279.6564</v>
      </c>
      <c r="AC1086" t="n">
        <v>44.4415</v>
      </c>
      <c r="AD1086" t="n">
        <v>-60419.5178</v>
      </c>
      <c r="AE1086" t="n">
        <v>398174.6298</v>
      </c>
      <c r="AF1086" t="n">
        <v>0.848</v>
      </c>
      <c r="AG1086" t="inlineStr">
        <is>
          <t>Critical</t>
        </is>
      </c>
      <c r="AH1086" t="inlineStr">
        <is>
          <t>Off Track</t>
        </is>
      </c>
    </row>
    <row r="1087">
      <c r="A1087" t="inlineStr">
        <is>
          <t>SUP-0068</t>
        </is>
      </c>
      <c r="B1087" t="inlineStr">
        <is>
          <t>Agriculture Supplier 068</t>
        </is>
      </c>
      <c r="C1087" t="inlineStr">
        <is>
          <t>Agriculture</t>
        </is>
      </c>
      <c r="D1087" t="n">
        <v>2024</v>
      </c>
      <c r="E1087" t="n">
        <v>2015</v>
      </c>
      <c r="F1087" t="n">
        <v>2040</v>
      </c>
      <c r="G1087" t="inlineStr"/>
      <c r="H1087" t="n">
        <v>3224.8132</v>
      </c>
      <c r="I1087" t="n">
        <v>3640.0194</v>
      </c>
      <c r="J1087" t="n">
        <v>18773.2091</v>
      </c>
      <c r="K1087" t="n">
        <v>31870058.85</v>
      </c>
      <c r="L1087" t="n">
        <v>130860369.21</v>
      </c>
      <c r="M1087" t="n">
        <v>25638.0417</v>
      </c>
      <c r="N1087" t="inlineStr">
        <is>
          <t>Scope 1 + Scope 2 + Scope 3</t>
        </is>
      </c>
      <c r="O1087" t="b">
        <v>1</v>
      </c>
      <c r="P1087" t="inlineStr">
        <is>
          <t>High</t>
        </is>
      </c>
      <c r="Q1087" t="inlineStr">
        <is>
          <t>Reported_Emissions</t>
        </is>
      </c>
      <c r="R1087" t="inlineStr">
        <is>
          <t>Valid</t>
        </is>
      </c>
      <c r="S1087" t="n">
        <v>2038</v>
      </c>
      <c r="T1087" t="inlineStr">
        <is>
          <t>Historical Trend Pathway</t>
        </is>
      </c>
      <c r="U1087" t="n">
        <v>22220.7311</v>
      </c>
      <c r="V1087" t="n">
        <v>21109.6945</v>
      </c>
      <c r="W1087" t="n">
        <v>36277.7952</v>
      </c>
      <c r="X1087" t="n">
        <v>21198.5775</v>
      </c>
      <c r="Y1087" t="n">
        <v>-14057.0641</v>
      </c>
      <c r="Z1087" t="n">
        <v>0.0011383</v>
      </c>
      <c r="AA1087" t="n">
        <v>-0.63261</v>
      </c>
      <c r="AB1087" t="n">
        <v>15168.1007</v>
      </c>
      <c r="AC1087" t="n">
        <v>44.4415</v>
      </c>
      <c r="AD1087" t="n">
        <v>-96697.31299999999</v>
      </c>
      <c r="AE1087" t="n">
        <v>434452.425</v>
      </c>
      <c r="AF1087" t="n">
        <v>0.848</v>
      </c>
      <c r="AG1087" t="inlineStr">
        <is>
          <t>Critical</t>
        </is>
      </c>
      <c r="AH1087" t="inlineStr">
        <is>
          <t>Off Track</t>
        </is>
      </c>
    </row>
    <row r="1088">
      <c r="A1088" t="inlineStr">
        <is>
          <t>SUP-0068</t>
        </is>
      </c>
      <c r="B1088" t="inlineStr">
        <is>
          <t>Agriculture Supplier 068</t>
        </is>
      </c>
      <c r="C1088" t="inlineStr">
        <is>
          <t>Agriculture</t>
        </is>
      </c>
      <c r="D1088" t="n">
        <v>2024</v>
      </c>
      <c r="E1088" t="n">
        <v>2015</v>
      </c>
      <c r="F1088" t="n">
        <v>2040</v>
      </c>
      <c r="G1088" t="inlineStr"/>
      <c r="H1088" t="n">
        <v>3224.8132</v>
      </c>
      <c r="I1088" t="n">
        <v>3640.0194</v>
      </c>
      <c r="J1088" t="n">
        <v>18773.2091</v>
      </c>
      <c r="K1088" t="n">
        <v>31870058.85</v>
      </c>
      <c r="L1088" t="n">
        <v>130860369.21</v>
      </c>
      <c r="M1088" t="n">
        <v>25638.0417</v>
      </c>
      <c r="N1088" t="inlineStr">
        <is>
          <t>Scope 1 + Scope 2 + Scope 3</t>
        </is>
      </c>
      <c r="O1088" t="b">
        <v>1</v>
      </c>
      <c r="P1088" t="inlineStr">
        <is>
          <t>High</t>
        </is>
      </c>
      <c r="Q1088" t="inlineStr">
        <is>
          <t>Reported_Emissions</t>
        </is>
      </c>
      <c r="R1088" t="inlineStr">
        <is>
          <t>Valid</t>
        </is>
      </c>
      <c r="S1088" t="n">
        <v>2039</v>
      </c>
      <c r="T1088" t="inlineStr">
        <is>
          <t>Historical Trend Pathway</t>
        </is>
      </c>
      <c r="U1088" t="n">
        <v>22220.7311</v>
      </c>
      <c r="V1088" t="n">
        <v>21109.6945</v>
      </c>
      <c r="W1088" t="n">
        <v>37188.5439</v>
      </c>
      <c r="X1088" t="n">
        <v>21154.136</v>
      </c>
      <c r="Y1088" t="n">
        <v>-14967.8128</v>
      </c>
      <c r="Z1088" t="n">
        <v>0.00116688</v>
      </c>
      <c r="AA1088" t="n">
        <v>-0.673597</v>
      </c>
      <c r="AB1088" t="n">
        <v>16078.8493</v>
      </c>
      <c r="AC1088" t="n">
        <v>44.4415</v>
      </c>
      <c r="AD1088" t="n">
        <v>-133885.8569</v>
      </c>
      <c r="AE1088" t="n">
        <v>471640.9689</v>
      </c>
      <c r="AF1088" t="n">
        <v>0.848</v>
      </c>
      <c r="AG1088" t="inlineStr">
        <is>
          <t>Critical</t>
        </is>
      </c>
      <c r="AH1088" t="inlineStr">
        <is>
          <t>Off Track</t>
        </is>
      </c>
    </row>
    <row r="1089">
      <c r="A1089" t="inlineStr">
        <is>
          <t>SUP-0068</t>
        </is>
      </c>
      <c r="B1089" t="inlineStr">
        <is>
          <t>Agriculture Supplier 068</t>
        </is>
      </c>
      <c r="C1089" t="inlineStr">
        <is>
          <t>Agriculture</t>
        </is>
      </c>
      <c r="D1089" t="n">
        <v>2024</v>
      </c>
      <c r="E1089" t="n">
        <v>2015</v>
      </c>
      <c r="F1089" t="n">
        <v>2040</v>
      </c>
      <c r="G1089" t="inlineStr"/>
      <c r="H1089" t="n">
        <v>3224.8132</v>
      </c>
      <c r="I1089" t="n">
        <v>3640.0194</v>
      </c>
      <c r="J1089" t="n">
        <v>18773.2091</v>
      </c>
      <c r="K1089" t="n">
        <v>31870058.85</v>
      </c>
      <c r="L1089" t="n">
        <v>130860369.21</v>
      </c>
      <c r="M1089" t="n">
        <v>25638.0417</v>
      </c>
      <c r="N1089" t="inlineStr">
        <is>
          <t>Scope 1 + Scope 2 + Scope 3</t>
        </is>
      </c>
      <c r="O1089" t="b">
        <v>1</v>
      </c>
      <c r="P1089" t="inlineStr">
        <is>
          <t>High</t>
        </is>
      </c>
      <c r="Q1089" t="inlineStr">
        <is>
          <t>Reported_Emissions</t>
        </is>
      </c>
      <c r="R1089" t="inlineStr">
        <is>
          <t>Valid</t>
        </is>
      </c>
      <c r="S1089" t="n">
        <v>2040</v>
      </c>
      <c r="T1089" t="inlineStr">
        <is>
          <t>Historical Trend Pathway</t>
        </is>
      </c>
      <c r="U1089" t="n">
        <v>22220.7311</v>
      </c>
      <c r="V1089" t="n">
        <v>21109.6945</v>
      </c>
      <c r="W1089" t="n">
        <v>38122.1567</v>
      </c>
      <c r="X1089" t="n">
        <v>21109.6945</v>
      </c>
      <c r="Y1089" t="n">
        <v>-15901.4256</v>
      </c>
      <c r="Z1089" t="n">
        <v>0.00119617</v>
      </c>
      <c r="AA1089" t="n">
        <v>-0.715612</v>
      </c>
      <c r="AB1089" t="n">
        <v>17012.4621</v>
      </c>
      <c r="AC1089" t="n">
        <v>44.4415</v>
      </c>
      <c r="AD1089" t="n">
        <v>-172008.0136</v>
      </c>
      <c r="AE1089" t="n">
        <v>509763.1256</v>
      </c>
      <c r="AF1089" t="n">
        <v>0.848</v>
      </c>
      <c r="AG1089" t="inlineStr">
        <is>
          <t>Critical</t>
        </is>
      </c>
      <c r="AH1089" t="inlineStr">
        <is>
          <t>Off Track</t>
        </is>
      </c>
    </row>
    <row r="1090">
      <c r="A1090" t="inlineStr">
        <is>
          <t>SUP-0069</t>
        </is>
      </c>
      <c r="B1090" t="inlineStr">
        <is>
          <t>Chemicals Supplier 069</t>
        </is>
      </c>
      <c r="C1090" t="inlineStr">
        <is>
          <t>Chemicals</t>
        </is>
      </c>
      <c r="D1090" t="n">
        <v>2024</v>
      </c>
      <c r="E1090" t="n">
        <v>2015</v>
      </c>
      <c r="F1090" t="n">
        <v>2035</v>
      </c>
      <c r="G1090" t="inlineStr"/>
      <c r="H1090" t="n">
        <v>934.7424</v>
      </c>
      <c r="I1090" t="n">
        <v>405.3859</v>
      </c>
      <c r="J1090" t="n">
        <v>2409.031</v>
      </c>
      <c r="K1090" t="n">
        <v>4989127.78</v>
      </c>
      <c r="L1090" t="n">
        <v>41403627.46</v>
      </c>
      <c r="M1090" t="n">
        <v>3749.1593</v>
      </c>
      <c r="N1090" t="inlineStr">
        <is>
          <t>Scope 1 + Scope 2 + Scope 3</t>
        </is>
      </c>
      <c r="O1090" t="b">
        <v>1</v>
      </c>
      <c r="P1090" t="inlineStr">
        <is>
          <t>High</t>
        </is>
      </c>
      <c r="Q1090" t="inlineStr">
        <is>
          <t>Reported_Emissions</t>
        </is>
      </c>
      <c r="R1090" t="inlineStr">
        <is>
          <t>Valid</t>
        </is>
      </c>
      <c r="S1090" t="n">
        <v>2025</v>
      </c>
      <c r="T1090" t="inlineStr">
        <is>
          <t>Industry Haircut Pathway</t>
        </is>
      </c>
      <c r="U1090" t="n">
        <v>5792.5041</v>
      </c>
      <c r="V1090" t="n">
        <v>2763.6037</v>
      </c>
      <c r="W1090" t="n">
        <v>4278.0539</v>
      </c>
      <c r="X1090" t="n">
        <v>4278.0539</v>
      </c>
      <c r="Y1090" t="n">
        <v>1514.4502</v>
      </c>
      <c r="Z1090" t="n">
        <v>0.00085748</v>
      </c>
      <c r="AA1090" t="n">
        <v>0.26145</v>
      </c>
      <c r="AB1090" t="n">
        <v>1514.4502</v>
      </c>
      <c r="AC1090" t="n">
        <v>151.445</v>
      </c>
      <c r="AD1090" t="n">
        <v>26121.5868</v>
      </c>
      <c r="AE1090" t="n">
        <v>4278.0539</v>
      </c>
      <c r="AF1090" t="n">
        <v>0.886</v>
      </c>
      <c r="AG1090" t="inlineStr">
        <is>
          <t>Critical</t>
        </is>
      </c>
      <c r="AH1090" t="inlineStr">
        <is>
          <t>On Track to Glide Path</t>
        </is>
      </c>
    </row>
    <row r="1091">
      <c r="A1091" t="inlineStr">
        <is>
          <t>SUP-0069</t>
        </is>
      </c>
      <c r="B1091" t="inlineStr">
        <is>
          <t>Chemicals Supplier 069</t>
        </is>
      </c>
      <c r="C1091" t="inlineStr">
        <is>
          <t>Chemicals</t>
        </is>
      </c>
      <c r="D1091" t="n">
        <v>2024</v>
      </c>
      <c r="E1091" t="n">
        <v>2015</v>
      </c>
      <c r="F1091" t="n">
        <v>2035</v>
      </c>
      <c r="G1091" t="inlineStr"/>
      <c r="H1091" t="n">
        <v>934.7424</v>
      </c>
      <c r="I1091" t="n">
        <v>405.3859</v>
      </c>
      <c r="J1091" t="n">
        <v>2409.031</v>
      </c>
      <c r="K1091" t="n">
        <v>4989127.78</v>
      </c>
      <c r="L1091" t="n">
        <v>41403627.46</v>
      </c>
      <c r="M1091" t="n">
        <v>3749.1593</v>
      </c>
      <c r="N1091" t="inlineStr">
        <is>
          <t>Scope 1 + Scope 2 + Scope 3</t>
        </is>
      </c>
      <c r="O1091" t="b">
        <v>1</v>
      </c>
      <c r="P1091" t="inlineStr">
        <is>
          <t>High</t>
        </is>
      </c>
      <c r="Q1091" t="inlineStr">
        <is>
          <t>Reported_Emissions</t>
        </is>
      </c>
      <c r="R1091" t="inlineStr">
        <is>
          <t>Valid</t>
        </is>
      </c>
      <c r="S1091" t="n">
        <v>2026</v>
      </c>
      <c r="T1091" t="inlineStr">
        <is>
          <t>Industry Haircut Pathway</t>
        </is>
      </c>
      <c r="U1091" t="n">
        <v>5792.5041</v>
      </c>
      <c r="V1091" t="n">
        <v>2763.6037</v>
      </c>
      <c r="W1091" t="n">
        <v>4126.6089</v>
      </c>
      <c r="X1091" t="n">
        <v>4126.6089</v>
      </c>
      <c r="Y1091" t="n">
        <v>1665.8952</v>
      </c>
      <c r="Z1091" t="n">
        <v>0.00082712</v>
      </c>
      <c r="AA1091" t="n">
        <v>0.287595</v>
      </c>
      <c r="AB1091" t="n">
        <v>1363.0052</v>
      </c>
      <c r="AC1091" t="n">
        <v>151.445</v>
      </c>
      <c r="AD1091" t="n">
        <v>21994.9779</v>
      </c>
      <c r="AE1091" t="n">
        <v>8404.6628</v>
      </c>
      <c r="AF1091" t="n">
        <v>0.886</v>
      </c>
      <c r="AG1091" t="inlineStr">
        <is>
          <t>Critical</t>
        </is>
      </c>
      <c r="AH1091" t="inlineStr">
        <is>
          <t>On Track to Glide Path</t>
        </is>
      </c>
    </row>
    <row r="1092">
      <c r="A1092" t="inlineStr">
        <is>
          <t>SUP-0069</t>
        </is>
      </c>
      <c r="B1092" t="inlineStr">
        <is>
          <t>Chemicals Supplier 069</t>
        </is>
      </c>
      <c r="C1092" t="inlineStr">
        <is>
          <t>Chemicals</t>
        </is>
      </c>
      <c r="D1092" t="n">
        <v>2024</v>
      </c>
      <c r="E1092" t="n">
        <v>2015</v>
      </c>
      <c r="F1092" t="n">
        <v>2035</v>
      </c>
      <c r="G1092" t="inlineStr"/>
      <c r="H1092" t="n">
        <v>934.7424</v>
      </c>
      <c r="I1092" t="n">
        <v>405.3859</v>
      </c>
      <c r="J1092" t="n">
        <v>2409.031</v>
      </c>
      <c r="K1092" t="n">
        <v>4989127.78</v>
      </c>
      <c r="L1092" t="n">
        <v>41403627.46</v>
      </c>
      <c r="M1092" t="n">
        <v>3749.1593</v>
      </c>
      <c r="N1092" t="inlineStr">
        <is>
          <t>Scope 1 + Scope 2 + Scope 3</t>
        </is>
      </c>
      <c r="O1092" t="b">
        <v>1</v>
      </c>
      <c r="P1092" t="inlineStr">
        <is>
          <t>High</t>
        </is>
      </c>
      <c r="Q1092" t="inlineStr">
        <is>
          <t>Reported_Emissions</t>
        </is>
      </c>
      <c r="R1092" t="inlineStr">
        <is>
          <t>Valid</t>
        </is>
      </c>
      <c r="S1092" t="n">
        <v>2027</v>
      </c>
      <c r="T1092" t="inlineStr">
        <is>
          <t>Industry Haircut Pathway</t>
        </is>
      </c>
      <c r="U1092" t="n">
        <v>5792.5041</v>
      </c>
      <c r="V1092" t="n">
        <v>2763.6037</v>
      </c>
      <c r="W1092" t="n">
        <v>3975.1639</v>
      </c>
      <c r="X1092" t="n">
        <v>3975.1639</v>
      </c>
      <c r="Y1092" t="n">
        <v>1817.3402</v>
      </c>
      <c r="Z1092" t="n">
        <v>0.00079677</v>
      </c>
      <c r="AA1092" t="n">
        <v>0.31374</v>
      </c>
      <c r="AB1092" t="n">
        <v>1211.5602</v>
      </c>
      <c r="AC1092" t="n">
        <v>151.445</v>
      </c>
      <c r="AD1092" t="n">
        <v>18019.814</v>
      </c>
      <c r="AE1092" t="n">
        <v>12379.8267</v>
      </c>
      <c r="AF1092" t="n">
        <v>0.886</v>
      </c>
      <c r="AG1092" t="inlineStr">
        <is>
          <t>Critical</t>
        </is>
      </c>
      <c r="AH1092" t="inlineStr">
        <is>
          <t>On Track to Glide Path</t>
        </is>
      </c>
    </row>
    <row r="1093">
      <c r="A1093" t="inlineStr">
        <is>
          <t>SUP-0069</t>
        </is>
      </c>
      <c r="B1093" t="inlineStr">
        <is>
          <t>Chemicals Supplier 069</t>
        </is>
      </c>
      <c r="C1093" t="inlineStr">
        <is>
          <t>Chemicals</t>
        </is>
      </c>
      <c r="D1093" t="n">
        <v>2024</v>
      </c>
      <c r="E1093" t="n">
        <v>2015</v>
      </c>
      <c r="F1093" t="n">
        <v>2035</v>
      </c>
      <c r="G1093" t="inlineStr"/>
      <c r="H1093" t="n">
        <v>934.7424</v>
      </c>
      <c r="I1093" t="n">
        <v>405.3859</v>
      </c>
      <c r="J1093" t="n">
        <v>2409.031</v>
      </c>
      <c r="K1093" t="n">
        <v>4989127.78</v>
      </c>
      <c r="L1093" t="n">
        <v>41403627.46</v>
      </c>
      <c r="M1093" t="n">
        <v>3749.1593</v>
      </c>
      <c r="N1093" t="inlineStr">
        <is>
          <t>Scope 1 + Scope 2 + Scope 3</t>
        </is>
      </c>
      <c r="O1093" t="b">
        <v>1</v>
      </c>
      <c r="P1093" t="inlineStr">
        <is>
          <t>High</t>
        </is>
      </c>
      <c r="Q1093" t="inlineStr">
        <is>
          <t>Reported_Emissions</t>
        </is>
      </c>
      <c r="R1093" t="inlineStr">
        <is>
          <t>Valid</t>
        </is>
      </c>
      <c r="S1093" t="n">
        <v>2028</v>
      </c>
      <c r="T1093" t="inlineStr">
        <is>
          <t>Industry Haircut Pathway</t>
        </is>
      </c>
      <c r="U1093" t="n">
        <v>5792.5041</v>
      </c>
      <c r="V1093" t="n">
        <v>2763.6037</v>
      </c>
      <c r="W1093" t="n">
        <v>3823.7188</v>
      </c>
      <c r="X1093" t="n">
        <v>3823.7188</v>
      </c>
      <c r="Y1093" t="n">
        <v>1968.7853</v>
      </c>
      <c r="Z1093" t="n">
        <v>0.00076641</v>
      </c>
      <c r="AA1093" t="n">
        <v>0.339885</v>
      </c>
      <c r="AB1093" t="n">
        <v>1060.1151</v>
      </c>
      <c r="AC1093" t="n">
        <v>151.445</v>
      </c>
      <c r="AD1093" t="n">
        <v>14196.0952</v>
      </c>
      <c r="AE1093" t="n">
        <v>16203.5455</v>
      </c>
      <c r="AF1093" t="n">
        <v>0.886</v>
      </c>
      <c r="AG1093" t="inlineStr">
        <is>
          <t>Critical</t>
        </is>
      </c>
      <c r="AH1093" t="inlineStr">
        <is>
          <t>On Track to Glide Path</t>
        </is>
      </c>
    </row>
    <row r="1094">
      <c r="A1094" t="inlineStr">
        <is>
          <t>SUP-0069</t>
        </is>
      </c>
      <c r="B1094" t="inlineStr">
        <is>
          <t>Chemicals Supplier 069</t>
        </is>
      </c>
      <c r="C1094" t="inlineStr">
        <is>
          <t>Chemicals</t>
        </is>
      </c>
      <c r="D1094" t="n">
        <v>2024</v>
      </c>
      <c r="E1094" t="n">
        <v>2015</v>
      </c>
      <c r="F1094" t="n">
        <v>2035</v>
      </c>
      <c r="G1094" t="inlineStr"/>
      <c r="H1094" t="n">
        <v>934.7424</v>
      </c>
      <c r="I1094" t="n">
        <v>405.3859</v>
      </c>
      <c r="J1094" t="n">
        <v>2409.031</v>
      </c>
      <c r="K1094" t="n">
        <v>4989127.78</v>
      </c>
      <c r="L1094" t="n">
        <v>41403627.46</v>
      </c>
      <c r="M1094" t="n">
        <v>3749.1593</v>
      </c>
      <c r="N1094" t="inlineStr">
        <is>
          <t>Scope 1 + Scope 2 + Scope 3</t>
        </is>
      </c>
      <c r="O1094" t="b">
        <v>1</v>
      </c>
      <c r="P1094" t="inlineStr">
        <is>
          <t>High</t>
        </is>
      </c>
      <c r="Q1094" t="inlineStr">
        <is>
          <t>Reported_Emissions</t>
        </is>
      </c>
      <c r="R1094" t="inlineStr">
        <is>
          <t>Valid</t>
        </is>
      </c>
      <c r="S1094" t="n">
        <v>2029</v>
      </c>
      <c r="T1094" t="inlineStr">
        <is>
          <t>Industry Haircut Pathway</t>
        </is>
      </c>
      <c r="U1094" t="n">
        <v>5792.5041</v>
      </c>
      <c r="V1094" t="n">
        <v>2763.6037</v>
      </c>
      <c r="W1094" t="n">
        <v>3672.2738</v>
      </c>
      <c r="X1094" t="n">
        <v>3672.2738</v>
      </c>
      <c r="Y1094" t="n">
        <v>2120.2303</v>
      </c>
      <c r="Z1094" t="n">
        <v>0.00073606</v>
      </c>
      <c r="AA1094" t="n">
        <v>0.36603</v>
      </c>
      <c r="AB1094" t="n">
        <v>908.6701</v>
      </c>
      <c r="AC1094" t="n">
        <v>151.445</v>
      </c>
      <c r="AD1094" t="n">
        <v>10523.8214</v>
      </c>
      <c r="AE1094" t="n">
        <v>19875.8193</v>
      </c>
      <c r="AF1094" t="n">
        <v>0.886</v>
      </c>
      <c r="AG1094" t="inlineStr">
        <is>
          <t>High</t>
        </is>
      </c>
      <c r="AH1094" t="inlineStr">
        <is>
          <t>On Track to Glide Path</t>
        </is>
      </c>
    </row>
    <row r="1095">
      <c r="A1095" t="inlineStr">
        <is>
          <t>SUP-0069</t>
        </is>
      </c>
      <c r="B1095" t="inlineStr">
        <is>
          <t>Chemicals Supplier 069</t>
        </is>
      </c>
      <c r="C1095" t="inlineStr">
        <is>
          <t>Chemicals</t>
        </is>
      </c>
      <c r="D1095" t="n">
        <v>2024</v>
      </c>
      <c r="E1095" t="n">
        <v>2015</v>
      </c>
      <c r="F1095" t="n">
        <v>2035</v>
      </c>
      <c r="G1095" t="inlineStr"/>
      <c r="H1095" t="n">
        <v>934.7424</v>
      </c>
      <c r="I1095" t="n">
        <v>405.3859</v>
      </c>
      <c r="J1095" t="n">
        <v>2409.031</v>
      </c>
      <c r="K1095" t="n">
        <v>4989127.78</v>
      </c>
      <c r="L1095" t="n">
        <v>41403627.46</v>
      </c>
      <c r="M1095" t="n">
        <v>3749.1593</v>
      </c>
      <c r="N1095" t="inlineStr">
        <is>
          <t>Scope 1 + Scope 2 + Scope 3</t>
        </is>
      </c>
      <c r="O1095" t="b">
        <v>1</v>
      </c>
      <c r="P1095" t="inlineStr">
        <is>
          <t>High</t>
        </is>
      </c>
      <c r="Q1095" t="inlineStr">
        <is>
          <t>Reported_Emissions</t>
        </is>
      </c>
      <c r="R1095" t="inlineStr">
        <is>
          <t>Valid</t>
        </is>
      </c>
      <c r="S1095" t="n">
        <v>2030</v>
      </c>
      <c r="T1095" t="inlineStr">
        <is>
          <t>Industry Haircut Pathway</t>
        </is>
      </c>
      <c r="U1095" t="n">
        <v>5792.5041</v>
      </c>
      <c r="V1095" t="n">
        <v>2763.6037</v>
      </c>
      <c r="W1095" t="n">
        <v>3520.8288</v>
      </c>
      <c r="X1095" t="n">
        <v>3520.8288</v>
      </c>
      <c r="Y1095" t="n">
        <v>2271.6753</v>
      </c>
      <c r="Z1095" t="n">
        <v>0.0007057</v>
      </c>
      <c r="AA1095" t="n">
        <v>0.392175</v>
      </c>
      <c r="AB1095" t="n">
        <v>757.2251</v>
      </c>
      <c r="AC1095" t="n">
        <v>151.445</v>
      </c>
      <c r="AD1095" t="n">
        <v>7002.9926</v>
      </c>
      <c r="AE1095" t="n">
        <v>23396.6481</v>
      </c>
      <c r="AF1095" t="n">
        <v>0.886</v>
      </c>
      <c r="AG1095" t="inlineStr">
        <is>
          <t>High</t>
        </is>
      </c>
      <c r="AH1095" t="inlineStr">
        <is>
          <t>On Track to Glide Path</t>
        </is>
      </c>
    </row>
    <row r="1096">
      <c r="A1096" t="inlineStr">
        <is>
          <t>SUP-0069</t>
        </is>
      </c>
      <c r="B1096" t="inlineStr">
        <is>
          <t>Chemicals Supplier 069</t>
        </is>
      </c>
      <c r="C1096" t="inlineStr">
        <is>
          <t>Chemicals</t>
        </is>
      </c>
      <c r="D1096" t="n">
        <v>2024</v>
      </c>
      <c r="E1096" t="n">
        <v>2015</v>
      </c>
      <c r="F1096" t="n">
        <v>2035</v>
      </c>
      <c r="G1096" t="inlineStr"/>
      <c r="H1096" t="n">
        <v>934.7424</v>
      </c>
      <c r="I1096" t="n">
        <v>405.3859</v>
      </c>
      <c r="J1096" t="n">
        <v>2409.031</v>
      </c>
      <c r="K1096" t="n">
        <v>4989127.78</v>
      </c>
      <c r="L1096" t="n">
        <v>41403627.46</v>
      </c>
      <c r="M1096" t="n">
        <v>3749.1593</v>
      </c>
      <c r="N1096" t="inlineStr">
        <is>
          <t>Scope 1 + Scope 2 + Scope 3</t>
        </is>
      </c>
      <c r="O1096" t="b">
        <v>1</v>
      </c>
      <c r="P1096" t="inlineStr">
        <is>
          <t>High</t>
        </is>
      </c>
      <c r="Q1096" t="inlineStr">
        <is>
          <t>Reported_Emissions</t>
        </is>
      </c>
      <c r="R1096" t="inlineStr">
        <is>
          <t>Valid</t>
        </is>
      </c>
      <c r="S1096" t="n">
        <v>2031</v>
      </c>
      <c r="T1096" t="inlineStr">
        <is>
          <t>Industry Haircut Pathway</t>
        </is>
      </c>
      <c r="U1096" t="n">
        <v>5792.5041</v>
      </c>
      <c r="V1096" t="n">
        <v>2763.6037</v>
      </c>
      <c r="W1096" t="n">
        <v>3369.3838</v>
      </c>
      <c r="X1096" t="n">
        <v>3369.3838</v>
      </c>
      <c r="Y1096" t="n">
        <v>2423.1203</v>
      </c>
      <c r="Z1096" t="n">
        <v>0.00067535</v>
      </c>
      <c r="AA1096" t="n">
        <v>0.41832</v>
      </c>
      <c r="AB1096" t="n">
        <v>605.7800999999999</v>
      </c>
      <c r="AC1096" t="n">
        <v>151.445</v>
      </c>
      <c r="AD1096" t="n">
        <v>3633.6088</v>
      </c>
      <c r="AE1096" t="n">
        <v>26766.0319</v>
      </c>
      <c r="AF1096" t="n">
        <v>0.886</v>
      </c>
      <c r="AG1096" t="inlineStr">
        <is>
          <t>High</t>
        </is>
      </c>
      <c r="AH1096" t="inlineStr">
        <is>
          <t>On Track to Glide Path</t>
        </is>
      </c>
    </row>
    <row r="1097">
      <c r="A1097" t="inlineStr">
        <is>
          <t>SUP-0069</t>
        </is>
      </c>
      <c r="B1097" t="inlineStr">
        <is>
          <t>Chemicals Supplier 069</t>
        </is>
      </c>
      <c r="C1097" t="inlineStr">
        <is>
          <t>Chemicals</t>
        </is>
      </c>
      <c r="D1097" t="n">
        <v>2024</v>
      </c>
      <c r="E1097" t="n">
        <v>2015</v>
      </c>
      <c r="F1097" t="n">
        <v>2035</v>
      </c>
      <c r="G1097" t="inlineStr"/>
      <c r="H1097" t="n">
        <v>934.7424</v>
      </c>
      <c r="I1097" t="n">
        <v>405.3859</v>
      </c>
      <c r="J1097" t="n">
        <v>2409.031</v>
      </c>
      <c r="K1097" t="n">
        <v>4989127.78</v>
      </c>
      <c r="L1097" t="n">
        <v>41403627.46</v>
      </c>
      <c r="M1097" t="n">
        <v>3749.1593</v>
      </c>
      <c r="N1097" t="inlineStr">
        <is>
          <t>Scope 1 + Scope 2 + Scope 3</t>
        </is>
      </c>
      <c r="O1097" t="b">
        <v>1</v>
      </c>
      <c r="P1097" t="inlineStr">
        <is>
          <t>High</t>
        </is>
      </c>
      <c r="Q1097" t="inlineStr">
        <is>
          <t>Reported_Emissions</t>
        </is>
      </c>
      <c r="R1097" t="inlineStr">
        <is>
          <t>Valid</t>
        </is>
      </c>
      <c r="S1097" t="n">
        <v>2032</v>
      </c>
      <c r="T1097" t="inlineStr">
        <is>
          <t>Industry Haircut Pathway</t>
        </is>
      </c>
      <c r="U1097" t="n">
        <v>5792.5041</v>
      </c>
      <c r="V1097" t="n">
        <v>2763.6037</v>
      </c>
      <c r="W1097" t="n">
        <v>3217.9388</v>
      </c>
      <c r="X1097" t="n">
        <v>3217.9388</v>
      </c>
      <c r="Y1097" t="n">
        <v>2574.5653</v>
      </c>
      <c r="Z1097" t="n">
        <v>0.00064499</v>
      </c>
      <c r="AA1097" t="n">
        <v>0.444465</v>
      </c>
      <c r="AB1097" t="n">
        <v>454.3351</v>
      </c>
      <c r="AC1097" t="n">
        <v>151.445</v>
      </c>
      <c r="AD1097" t="n">
        <v>415.67</v>
      </c>
      <c r="AE1097" t="n">
        <v>29983.9707</v>
      </c>
      <c r="AF1097" t="n">
        <v>0.886</v>
      </c>
      <c r="AG1097" t="inlineStr">
        <is>
          <t>High</t>
        </is>
      </c>
      <c r="AH1097" t="inlineStr">
        <is>
          <t>On Track to Glide Path</t>
        </is>
      </c>
    </row>
    <row r="1098">
      <c r="A1098" t="inlineStr">
        <is>
          <t>SUP-0069</t>
        </is>
      </c>
      <c r="B1098" t="inlineStr">
        <is>
          <t>Chemicals Supplier 069</t>
        </is>
      </c>
      <c r="C1098" t="inlineStr">
        <is>
          <t>Chemicals</t>
        </is>
      </c>
      <c r="D1098" t="n">
        <v>2024</v>
      </c>
      <c r="E1098" t="n">
        <v>2015</v>
      </c>
      <c r="F1098" t="n">
        <v>2035</v>
      </c>
      <c r="G1098" t="inlineStr"/>
      <c r="H1098" t="n">
        <v>934.7424</v>
      </c>
      <c r="I1098" t="n">
        <v>405.3859</v>
      </c>
      <c r="J1098" t="n">
        <v>2409.031</v>
      </c>
      <c r="K1098" t="n">
        <v>4989127.78</v>
      </c>
      <c r="L1098" t="n">
        <v>41403627.46</v>
      </c>
      <c r="M1098" t="n">
        <v>3749.1593</v>
      </c>
      <c r="N1098" t="inlineStr">
        <is>
          <t>Scope 1 + Scope 2 + Scope 3</t>
        </is>
      </c>
      <c r="O1098" t="b">
        <v>1</v>
      </c>
      <c r="P1098" t="inlineStr">
        <is>
          <t>High</t>
        </is>
      </c>
      <c r="Q1098" t="inlineStr">
        <is>
          <t>Reported_Emissions</t>
        </is>
      </c>
      <c r="R1098" t="inlineStr">
        <is>
          <t>Valid</t>
        </is>
      </c>
      <c r="S1098" t="n">
        <v>2033</v>
      </c>
      <c r="T1098" t="inlineStr">
        <is>
          <t>Industry Haircut Pathway</t>
        </is>
      </c>
      <c r="U1098" t="n">
        <v>5792.5041</v>
      </c>
      <c r="V1098" t="n">
        <v>2763.6037</v>
      </c>
      <c r="W1098" t="n">
        <v>3066.4937</v>
      </c>
      <c r="X1098" t="n">
        <v>3066.4937</v>
      </c>
      <c r="Y1098" t="n">
        <v>2726.0104</v>
      </c>
      <c r="Z1098" t="n">
        <v>0.00061464</v>
      </c>
      <c r="AA1098" t="n">
        <v>0.47061</v>
      </c>
      <c r="AB1098" t="n">
        <v>302.89</v>
      </c>
      <c r="AC1098" t="n">
        <v>151.445</v>
      </c>
      <c r="AD1098" t="n">
        <v>-2650.8237</v>
      </c>
      <c r="AE1098" t="n">
        <v>33050.4644</v>
      </c>
      <c r="AF1098" t="n">
        <v>0.886</v>
      </c>
      <c r="AG1098" t="inlineStr">
        <is>
          <t>Medium</t>
        </is>
      </c>
      <c r="AH1098" t="inlineStr">
        <is>
          <t>On Track to Glide Path</t>
        </is>
      </c>
    </row>
    <row r="1099">
      <c r="A1099" t="inlineStr">
        <is>
          <t>SUP-0069</t>
        </is>
      </c>
      <c r="B1099" t="inlineStr">
        <is>
          <t>Chemicals Supplier 069</t>
        </is>
      </c>
      <c r="C1099" t="inlineStr">
        <is>
          <t>Chemicals</t>
        </is>
      </c>
      <c r="D1099" t="n">
        <v>2024</v>
      </c>
      <c r="E1099" t="n">
        <v>2015</v>
      </c>
      <c r="F1099" t="n">
        <v>2035</v>
      </c>
      <c r="G1099" t="inlineStr"/>
      <c r="H1099" t="n">
        <v>934.7424</v>
      </c>
      <c r="I1099" t="n">
        <v>405.3859</v>
      </c>
      <c r="J1099" t="n">
        <v>2409.031</v>
      </c>
      <c r="K1099" t="n">
        <v>4989127.78</v>
      </c>
      <c r="L1099" t="n">
        <v>41403627.46</v>
      </c>
      <c r="M1099" t="n">
        <v>3749.1593</v>
      </c>
      <c r="N1099" t="inlineStr">
        <is>
          <t>Scope 1 + Scope 2 + Scope 3</t>
        </is>
      </c>
      <c r="O1099" t="b">
        <v>1</v>
      </c>
      <c r="P1099" t="inlineStr">
        <is>
          <t>High</t>
        </is>
      </c>
      <c r="Q1099" t="inlineStr">
        <is>
          <t>Reported_Emissions</t>
        </is>
      </c>
      <c r="R1099" t="inlineStr">
        <is>
          <t>Valid</t>
        </is>
      </c>
      <c r="S1099" t="n">
        <v>2034</v>
      </c>
      <c r="T1099" t="inlineStr">
        <is>
          <t>Industry Haircut Pathway</t>
        </is>
      </c>
      <c r="U1099" t="n">
        <v>5792.5041</v>
      </c>
      <c r="V1099" t="n">
        <v>2763.6037</v>
      </c>
      <c r="W1099" t="n">
        <v>2915.0487</v>
      </c>
      <c r="X1099" t="n">
        <v>2915.0487</v>
      </c>
      <c r="Y1099" t="n">
        <v>2877.4554</v>
      </c>
      <c r="Z1099" t="n">
        <v>0.00058428</v>
      </c>
      <c r="AA1099" t="n">
        <v>0.496755</v>
      </c>
      <c r="AB1099" t="n">
        <v>151.445</v>
      </c>
      <c r="AC1099" t="n">
        <v>151.445</v>
      </c>
      <c r="AD1099" t="n">
        <v>-5565.8724</v>
      </c>
      <c r="AE1099" t="n">
        <v>35965.5131</v>
      </c>
      <c r="AF1099" t="n">
        <v>0.886</v>
      </c>
      <c r="AG1099" t="inlineStr">
        <is>
          <t>Medium</t>
        </is>
      </c>
      <c r="AH1099" t="inlineStr">
        <is>
          <t>On Track to Glide Path</t>
        </is>
      </c>
    </row>
    <row r="1100">
      <c r="A1100" t="inlineStr">
        <is>
          <t>SUP-0069</t>
        </is>
      </c>
      <c r="B1100" t="inlineStr">
        <is>
          <t>Chemicals Supplier 069</t>
        </is>
      </c>
      <c r="C1100" t="inlineStr">
        <is>
          <t>Chemicals</t>
        </is>
      </c>
      <c r="D1100" t="n">
        <v>2024</v>
      </c>
      <c r="E1100" t="n">
        <v>2015</v>
      </c>
      <c r="F1100" t="n">
        <v>2035</v>
      </c>
      <c r="G1100" t="inlineStr"/>
      <c r="H1100" t="n">
        <v>934.7424</v>
      </c>
      <c r="I1100" t="n">
        <v>405.3859</v>
      </c>
      <c r="J1100" t="n">
        <v>2409.031</v>
      </c>
      <c r="K1100" t="n">
        <v>4989127.78</v>
      </c>
      <c r="L1100" t="n">
        <v>41403627.46</v>
      </c>
      <c r="M1100" t="n">
        <v>3749.1593</v>
      </c>
      <c r="N1100" t="inlineStr">
        <is>
          <t>Scope 1 + Scope 2 + Scope 3</t>
        </is>
      </c>
      <c r="O1100" t="b">
        <v>1</v>
      </c>
      <c r="P1100" t="inlineStr">
        <is>
          <t>High</t>
        </is>
      </c>
      <c r="Q1100" t="inlineStr">
        <is>
          <t>Reported_Emissions</t>
        </is>
      </c>
      <c r="R1100" t="inlineStr">
        <is>
          <t>Valid</t>
        </is>
      </c>
      <c r="S1100" t="n">
        <v>2035</v>
      </c>
      <c r="T1100" t="inlineStr">
        <is>
          <t>Industry Haircut Pathway</t>
        </is>
      </c>
      <c r="U1100" t="n">
        <v>5792.5041</v>
      </c>
      <c r="V1100" t="n">
        <v>2763.6037</v>
      </c>
      <c r="W1100" t="n">
        <v>2763.6037</v>
      </c>
      <c r="X1100" t="n">
        <v>2763.6037</v>
      </c>
      <c r="Y1100" t="n">
        <v>3028.9004</v>
      </c>
      <c r="Z1100" t="n">
        <v>0.00055393</v>
      </c>
      <c r="AA1100" t="n">
        <v>0.5229</v>
      </c>
      <c r="AB1100" t="n">
        <v>0</v>
      </c>
      <c r="AC1100" t="n">
        <v>151.445</v>
      </c>
      <c r="AD1100" t="n">
        <v>-8329.4761</v>
      </c>
      <c r="AE1100" t="n">
        <v>38729.1168</v>
      </c>
      <c r="AF1100" t="n">
        <v>0.886</v>
      </c>
      <c r="AG1100" t="inlineStr">
        <is>
          <t>Low</t>
        </is>
      </c>
      <c r="AH1100" t="inlineStr">
        <is>
          <t>On Track</t>
        </is>
      </c>
    </row>
    <row r="1101">
      <c r="A1101" t="inlineStr">
        <is>
          <t>SUP-0069</t>
        </is>
      </c>
      <c r="B1101" t="inlineStr">
        <is>
          <t>Chemicals Supplier 069</t>
        </is>
      </c>
      <c r="C1101" t="inlineStr">
        <is>
          <t>Chemicals</t>
        </is>
      </c>
      <c r="D1101" t="n">
        <v>2024</v>
      </c>
      <c r="E1101" t="n">
        <v>2015</v>
      </c>
      <c r="F1101" t="n">
        <v>2035</v>
      </c>
      <c r="G1101" t="inlineStr"/>
      <c r="H1101" t="n">
        <v>934.7424</v>
      </c>
      <c r="I1101" t="n">
        <v>405.3859</v>
      </c>
      <c r="J1101" t="n">
        <v>2409.031</v>
      </c>
      <c r="K1101" t="n">
        <v>4989127.78</v>
      </c>
      <c r="L1101" t="n">
        <v>41403627.46</v>
      </c>
      <c r="M1101" t="n">
        <v>3749.1593</v>
      </c>
      <c r="N1101" t="inlineStr">
        <is>
          <t>Scope 1 + Scope 2 + Scope 3</t>
        </is>
      </c>
      <c r="O1101" t="b">
        <v>1</v>
      </c>
      <c r="P1101" t="inlineStr">
        <is>
          <t>High</t>
        </is>
      </c>
      <c r="Q1101" t="inlineStr">
        <is>
          <t>Reported_Emissions</t>
        </is>
      </c>
      <c r="R1101" t="inlineStr">
        <is>
          <t>Valid</t>
        </is>
      </c>
      <c r="S1101" t="n">
        <v>2036</v>
      </c>
      <c r="T1101" t="inlineStr">
        <is>
          <t>Industry Haircut Pathway</t>
        </is>
      </c>
      <c r="U1101" t="n">
        <v>5792.5041</v>
      </c>
      <c r="V1101" t="n">
        <v>2763.6037</v>
      </c>
      <c r="W1101" t="n">
        <v>2763.6037</v>
      </c>
      <c r="X1101" t="n">
        <v>2763.6037</v>
      </c>
      <c r="Y1101" t="n">
        <v>3028.9004</v>
      </c>
      <c r="Z1101" t="n">
        <v>0.00055393</v>
      </c>
      <c r="AA1101" t="n">
        <v>0.5229</v>
      </c>
      <c r="AB1101" t="n">
        <v>0</v>
      </c>
      <c r="AC1101" t="n">
        <v>151.445</v>
      </c>
      <c r="AD1101" t="n">
        <v>-11093.0798</v>
      </c>
      <c r="AE1101" t="n">
        <v>41492.7205</v>
      </c>
      <c r="AF1101" t="n">
        <v>0.886</v>
      </c>
      <c r="AG1101" t="inlineStr">
        <is>
          <t>Low</t>
        </is>
      </c>
      <c r="AH1101" t="inlineStr">
        <is>
          <t>On Track</t>
        </is>
      </c>
    </row>
    <row r="1102">
      <c r="A1102" t="inlineStr">
        <is>
          <t>SUP-0069</t>
        </is>
      </c>
      <c r="B1102" t="inlineStr">
        <is>
          <t>Chemicals Supplier 069</t>
        </is>
      </c>
      <c r="C1102" t="inlineStr">
        <is>
          <t>Chemicals</t>
        </is>
      </c>
      <c r="D1102" t="n">
        <v>2024</v>
      </c>
      <c r="E1102" t="n">
        <v>2015</v>
      </c>
      <c r="F1102" t="n">
        <v>2035</v>
      </c>
      <c r="G1102" t="inlineStr"/>
      <c r="H1102" t="n">
        <v>934.7424</v>
      </c>
      <c r="I1102" t="n">
        <v>405.3859</v>
      </c>
      <c r="J1102" t="n">
        <v>2409.031</v>
      </c>
      <c r="K1102" t="n">
        <v>4989127.78</v>
      </c>
      <c r="L1102" t="n">
        <v>41403627.46</v>
      </c>
      <c r="M1102" t="n">
        <v>3749.1593</v>
      </c>
      <c r="N1102" t="inlineStr">
        <is>
          <t>Scope 1 + Scope 2 + Scope 3</t>
        </is>
      </c>
      <c r="O1102" t="b">
        <v>1</v>
      </c>
      <c r="P1102" t="inlineStr">
        <is>
          <t>High</t>
        </is>
      </c>
      <c r="Q1102" t="inlineStr">
        <is>
          <t>Reported_Emissions</t>
        </is>
      </c>
      <c r="R1102" t="inlineStr">
        <is>
          <t>Valid</t>
        </is>
      </c>
      <c r="S1102" t="n">
        <v>2037</v>
      </c>
      <c r="T1102" t="inlineStr">
        <is>
          <t>Industry Haircut Pathway</t>
        </is>
      </c>
      <c r="U1102" t="n">
        <v>5792.5041</v>
      </c>
      <c r="V1102" t="n">
        <v>2763.6037</v>
      </c>
      <c r="W1102" t="n">
        <v>2763.6037</v>
      </c>
      <c r="X1102" t="n">
        <v>2763.6037</v>
      </c>
      <c r="Y1102" t="n">
        <v>3028.9004</v>
      </c>
      <c r="Z1102" t="n">
        <v>0.00055393</v>
      </c>
      <c r="AA1102" t="n">
        <v>0.5229</v>
      </c>
      <c r="AB1102" t="n">
        <v>0</v>
      </c>
      <c r="AC1102" t="n">
        <v>151.445</v>
      </c>
      <c r="AD1102" t="n">
        <v>-13856.6835</v>
      </c>
      <c r="AE1102" t="n">
        <v>44256.3242</v>
      </c>
      <c r="AF1102" t="n">
        <v>0.886</v>
      </c>
      <c r="AG1102" t="inlineStr">
        <is>
          <t>Low</t>
        </is>
      </c>
      <c r="AH1102" t="inlineStr">
        <is>
          <t>On Track</t>
        </is>
      </c>
    </row>
    <row r="1103">
      <c r="A1103" t="inlineStr">
        <is>
          <t>SUP-0069</t>
        </is>
      </c>
      <c r="B1103" t="inlineStr">
        <is>
          <t>Chemicals Supplier 069</t>
        </is>
      </c>
      <c r="C1103" t="inlineStr">
        <is>
          <t>Chemicals</t>
        </is>
      </c>
      <c r="D1103" t="n">
        <v>2024</v>
      </c>
      <c r="E1103" t="n">
        <v>2015</v>
      </c>
      <c r="F1103" t="n">
        <v>2035</v>
      </c>
      <c r="G1103" t="inlineStr"/>
      <c r="H1103" t="n">
        <v>934.7424</v>
      </c>
      <c r="I1103" t="n">
        <v>405.3859</v>
      </c>
      <c r="J1103" t="n">
        <v>2409.031</v>
      </c>
      <c r="K1103" t="n">
        <v>4989127.78</v>
      </c>
      <c r="L1103" t="n">
        <v>41403627.46</v>
      </c>
      <c r="M1103" t="n">
        <v>3749.1593</v>
      </c>
      <c r="N1103" t="inlineStr">
        <is>
          <t>Scope 1 + Scope 2 + Scope 3</t>
        </is>
      </c>
      <c r="O1103" t="b">
        <v>1</v>
      </c>
      <c r="P1103" t="inlineStr">
        <is>
          <t>High</t>
        </is>
      </c>
      <c r="Q1103" t="inlineStr">
        <is>
          <t>Reported_Emissions</t>
        </is>
      </c>
      <c r="R1103" t="inlineStr">
        <is>
          <t>Valid</t>
        </is>
      </c>
      <c r="S1103" t="n">
        <v>2038</v>
      </c>
      <c r="T1103" t="inlineStr">
        <is>
          <t>Industry Haircut Pathway</t>
        </is>
      </c>
      <c r="U1103" t="n">
        <v>5792.5041</v>
      </c>
      <c r="V1103" t="n">
        <v>2763.6037</v>
      </c>
      <c r="W1103" t="n">
        <v>2763.6037</v>
      </c>
      <c r="X1103" t="n">
        <v>2763.6037</v>
      </c>
      <c r="Y1103" t="n">
        <v>3028.9004</v>
      </c>
      <c r="Z1103" t="n">
        <v>0.00055393</v>
      </c>
      <c r="AA1103" t="n">
        <v>0.5229</v>
      </c>
      <c r="AB1103" t="n">
        <v>0</v>
      </c>
      <c r="AC1103" t="n">
        <v>151.445</v>
      </c>
      <c r="AD1103" t="n">
        <v>-16620.2872</v>
      </c>
      <c r="AE1103" t="n">
        <v>47019.9279</v>
      </c>
      <c r="AF1103" t="n">
        <v>0.886</v>
      </c>
      <c r="AG1103" t="inlineStr">
        <is>
          <t>Low</t>
        </is>
      </c>
      <c r="AH1103" t="inlineStr">
        <is>
          <t>On Track</t>
        </is>
      </c>
    </row>
    <row r="1104">
      <c r="A1104" t="inlineStr">
        <is>
          <t>SUP-0069</t>
        </is>
      </c>
      <c r="B1104" t="inlineStr">
        <is>
          <t>Chemicals Supplier 069</t>
        </is>
      </c>
      <c r="C1104" t="inlineStr">
        <is>
          <t>Chemicals</t>
        </is>
      </c>
      <c r="D1104" t="n">
        <v>2024</v>
      </c>
      <c r="E1104" t="n">
        <v>2015</v>
      </c>
      <c r="F1104" t="n">
        <v>2035</v>
      </c>
      <c r="G1104" t="inlineStr"/>
      <c r="H1104" t="n">
        <v>934.7424</v>
      </c>
      <c r="I1104" t="n">
        <v>405.3859</v>
      </c>
      <c r="J1104" t="n">
        <v>2409.031</v>
      </c>
      <c r="K1104" t="n">
        <v>4989127.78</v>
      </c>
      <c r="L1104" t="n">
        <v>41403627.46</v>
      </c>
      <c r="M1104" t="n">
        <v>3749.1593</v>
      </c>
      <c r="N1104" t="inlineStr">
        <is>
          <t>Scope 1 + Scope 2 + Scope 3</t>
        </is>
      </c>
      <c r="O1104" t="b">
        <v>1</v>
      </c>
      <c r="P1104" t="inlineStr">
        <is>
          <t>High</t>
        </is>
      </c>
      <c r="Q1104" t="inlineStr">
        <is>
          <t>Reported_Emissions</t>
        </is>
      </c>
      <c r="R1104" t="inlineStr">
        <is>
          <t>Valid</t>
        </is>
      </c>
      <c r="S1104" t="n">
        <v>2039</v>
      </c>
      <c r="T1104" t="inlineStr">
        <is>
          <t>Industry Haircut Pathway</t>
        </is>
      </c>
      <c r="U1104" t="n">
        <v>5792.5041</v>
      </c>
      <c r="V1104" t="n">
        <v>2763.6037</v>
      </c>
      <c r="W1104" t="n">
        <v>2763.6037</v>
      </c>
      <c r="X1104" t="n">
        <v>2763.6037</v>
      </c>
      <c r="Y1104" t="n">
        <v>3028.9004</v>
      </c>
      <c r="Z1104" t="n">
        <v>0.00055393</v>
      </c>
      <c r="AA1104" t="n">
        <v>0.5229</v>
      </c>
      <c r="AB1104" t="n">
        <v>0</v>
      </c>
      <c r="AC1104" t="n">
        <v>151.445</v>
      </c>
      <c r="AD1104" t="n">
        <v>-19383.8909</v>
      </c>
      <c r="AE1104" t="n">
        <v>49783.5316</v>
      </c>
      <c r="AF1104" t="n">
        <v>0.886</v>
      </c>
      <c r="AG1104" t="inlineStr">
        <is>
          <t>Low</t>
        </is>
      </c>
      <c r="AH1104" t="inlineStr">
        <is>
          <t>On Track</t>
        </is>
      </c>
    </row>
    <row r="1105">
      <c r="A1105" t="inlineStr">
        <is>
          <t>SUP-0069</t>
        </is>
      </c>
      <c r="B1105" t="inlineStr">
        <is>
          <t>Chemicals Supplier 069</t>
        </is>
      </c>
      <c r="C1105" t="inlineStr">
        <is>
          <t>Chemicals</t>
        </is>
      </c>
      <c r="D1105" t="n">
        <v>2024</v>
      </c>
      <c r="E1105" t="n">
        <v>2015</v>
      </c>
      <c r="F1105" t="n">
        <v>2035</v>
      </c>
      <c r="G1105" t="inlineStr"/>
      <c r="H1105" t="n">
        <v>934.7424</v>
      </c>
      <c r="I1105" t="n">
        <v>405.3859</v>
      </c>
      <c r="J1105" t="n">
        <v>2409.031</v>
      </c>
      <c r="K1105" t="n">
        <v>4989127.78</v>
      </c>
      <c r="L1105" t="n">
        <v>41403627.46</v>
      </c>
      <c r="M1105" t="n">
        <v>3749.1593</v>
      </c>
      <c r="N1105" t="inlineStr">
        <is>
          <t>Scope 1 + Scope 2 + Scope 3</t>
        </is>
      </c>
      <c r="O1105" t="b">
        <v>1</v>
      </c>
      <c r="P1105" t="inlineStr">
        <is>
          <t>High</t>
        </is>
      </c>
      <c r="Q1105" t="inlineStr">
        <is>
          <t>Reported_Emissions</t>
        </is>
      </c>
      <c r="R1105" t="inlineStr">
        <is>
          <t>Valid</t>
        </is>
      </c>
      <c r="S1105" t="n">
        <v>2040</v>
      </c>
      <c r="T1105" t="inlineStr">
        <is>
          <t>Industry Haircut Pathway</t>
        </is>
      </c>
      <c r="U1105" t="n">
        <v>5792.5041</v>
      </c>
      <c r="V1105" t="n">
        <v>2763.6037</v>
      </c>
      <c r="W1105" t="n">
        <v>2763.6037</v>
      </c>
      <c r="X1105" t="n">
        <v>2763.6037</v>
      </c>
      <c r="Y1105" t="n">
        <v>3028.9004</v>
      </c>
      <c r="Z1105" t="n">
        <v>0.00055393</v>
      </c>
      <c r="AA1105" t="n">
        <v>0.5229</v>
      </c>
      <c r="AB1105" t="n">
        <v>0</v>
      </c>
      <c r="AC1105" t="n">
        <v>151.445</v>
      </c>
      <c r="AD1105" t="n">
        <v>-22147.4946</v>
      </c>
      <c r="AE1105" t="n">
        <v>52547.1353</v>
      </c>
      <c r="AF1105" t="n">
        <v>0.886</v>
      </c>
      <c r="AG1105" t="inlineStr">
        <is>
          <t>Low</t>
        </is>
      </c>
      <c r="AH1105" t="inlineStr">
        <is>
          <t>On Track</t>
        </is>
      </c>
    </row>
    <row r="1106">
      <c r="A1106" t="inlineStr">
        <is>
          <t>SUP-0070</t>
        </is>
      </c>
      <c r="B1106" t="inlineStr">
        <is>
          <t>Agriculture Supplier 070</t>
        </is>
      </c>
      <c r="C1106" t="inlineStr">
        <is>
          <t>Agriculture</t>
        </is>
      </c>
      <c r="D1106" t="n">
        <v>2024</v>
      </c>
      <c r="E1106" t="n">
        <v>2020</v>
      </c>
      <c r="F1106" t="n">
        <v>2035</v>
      </c>
      <c r="G1106" t="inlineStr"/>
      <c r="H1106" t="inlineStr"/>
      <c r="I1106" t="inlineStr"/>
      <c r="J1106" t="n">
        <v>13301.1313</v>
      </c>
      <c r="K1106" t="n">
        <v>20402329.13</v>
      </c>
      <c r="L1106" t="n">
        <v>136165393.76</v>
      </c>
      <c r="M1106" t="n">
        <v>18650.3811</v>
      </c>
      <c r="N1106" t="inlineStr">
        <is>
          <t>Spend-Based Estimate</t>
        </is>
      </c>
      <c r="O1106" t="b">
        <v>1</v>
      </c>
      <c r="P1106" t="inlineStr">
        <is>
          <t>Medium</t>
        </is>
      </c>
      <c r="Q1106" t="inlineStr">
        <is>
          <t>Reported_Emissions; Scope_Emissions</t>
        </is>
      </c>
      <c r="R1106" t="inlineStr">
        <is>
          <t>Valid</t>
        </is>
      </c>
      <c r="S1106" t="n">
        <v>2025</v>
      </c>
      <c r="T1106" t="inlineStr">
        <is>
          <t>Supplier Target Pathway</t>
        </is>
      </c>
      <c r="U1106" t="n">
        <v>20523.1403</v>
      </c>
      <c r="V1106" t="n">
        <v>9723.8639</v>
      </c>
      <c r="W1106" t="n">
        <v>16923.3815</v>
      </c>
      <c r="X1106" t="n">
        <v>16923.3815</v>
      </c>
      <c r="Y1106" t="n">
        <v>3599.7588</v>
      </c>
      <c r="Z1106" t="n">
        <v>0.00082948</v>
      </c>
      <c r="AA1106" t="n">
        <v>0.1754</v>
      </c>
      <c r="AB1106" t="n">
        <v>7199.5176</v>
      </c>
      <c r="AC1106" t="n">
        <v>719.9518</v>
      </c>
      <c r="AD1106" t="n">
        <v>90039.1214</v>
      </c>
      <c r="AE1106" t="n">
        <v>16923.3815</v>
      </c>
      <c r="AF1106" t="n">
        <v>0.986</v>
      </c>
      <c r="AG1106" t="inlineStr">
        <is>
          <t>Critical</t>
        </is>
      </c>
      <c r="AH1106" t="inlineStr">
        <is>
          <t>On Track to Glide Path</t>
        </is>
      </c>
    </row>
    <row r="1107">
      <c r="A1107" t="inlineStr">
        <is>
          <t>SUP-0070</t>
        </is>
      </c>
      <c r="B1107" t="inlineStr">
        <is>
          <t>Agriculture Supplier 070</t>
        </is>
      </c>
      <c r="C1107" t="inlineStr">
        <is>
          <t>Agriculture</t>
        </is>
      </c>
      <c r="D1107" t="n">
        <v>2024</v>
      </c>
      <c r="E1107" t="n">
        <v>2020</v>
      </c>
      <c r="F1107" t="n">
        <v>2035</v>
      </c>
      <c r="G1107" t="inlineStr"/>
      <c r="H1107" t="inlineStr"/>
      <c r="I1107" t="inlineStr"/>
      <c r="J1107" t="n">
        <v>13301.1313</v>
      </c>
      <c r="K1107" t="n">
        <v>20402329.13</v>
      </c>
      <c r="L1107" t="n">
        <v>136165393.76</v>
      </c>
      <c r="M1107" t="n">
        <v>18650.3811</v>
      </c>
      <c r="N1107" t="inlineStr">
        <is>
          <t>Spend-Based Estimate</t>
        </is>
      </c>
      <c r="O1107" t="b">
        <v>1</v>
      </c>
      <c r="P1107" t="inlineStr">
        <is>
          <t>Medium</t>
        </is>
      </c>
      <c r="Q1107" t="inlineStr">
        <is>
          <t>Reported_Emissions; Scope_Emissions</t>
        </is>
      </c>
      <c r="R1107" t="inlineStr">
        <is>
          <t>Valid</t>
        </is>
      </c>
      <c r="S1107" t="n">
        <v>2026</v>
      </c>
      <c r="T1107" t="inlineStr">
        <is>
          <t>Supplier Target Pathway</t>
        </is>
      </c>
      <c r="U1107" t="n">
        <v>20523.1403</v>
      </c>
      <c r="V1107" t="n">
        <v>9723.8639</v>
      </c>
      <c r="W1107" t="n">
        <v>16203.4297</v>
      </c>
      <c r="X1107" t="n">
        <v>16203.4297</v>
      </c>
      <c r="Y1107" t="n">
        <v>4319.7106</v>
      </c>
      <c r="Z1107" t="n">
        <v>0.0007942</v>
      </c>
      <c r="AA1107" t="n">
        <v>0.21048</v>
      </c>
      <c r="AB1107" t="n">
        <v>6479.5659</v>
      </c>
      <c r="AC1107" t="n">
        <v>719.9518</v>
      </c>
      <c r="AD1107" t="n">
        <v>73835.6917</v>
      </c>
      <c r="AE1107" t="n">
        <v>33126.8112</v>
      </c>
      <c r="AF1107" t="n">
        <v>0.986</v>
      </c>
      <c r="AG1107" t="inlineStr">
        <is>
          <t>Critical</t>
        </is>
      </c>
      <c r="AH1107" t="inlineStr">
        <is>
          <t>On Track to Glide Path</t>
        </is>
      </c>
    </row>
    <row r="1108">
      <c r="A1108" t="inlineStr">
        <is>
          <t>SUP-0070</t>
        </is>
      </c>
      <c r="B1108" t="inlineStr">
        <is>
          <t>Agriculture Supplier 070</t>
        </is>
      </c>
      <c r="C1108" t="inlineStr">
        <is>
          <t>Agriculture</t>
        </is>
      </c>
      <c r="D1108" t="n">
        <v>2024</v>
      </c>
      <c r="E1108" t="n">
        <v>2020</v>
      </c>
      <c r="F1108" t="n">
        <v>2035</v>
      </c>
      <c r="G1108" t="inlineStr"/>
      <c r="H1108" t="inlineStr"/>
      <c r="I1108" t="inlineStr"/>
      <c r="J1108" t="n">
        <v>13301.1313</v>
      </c>
      <c r="K1108" t="n">
        <v>20402329.13</v>
      </c>
      <c r="L1108" t="n">
        <v>136165393.76</v>
      </c>
      <c r="M1108" t="n">
        <v>18650.3811</v>
      </c>
      <c r="N1108" t="inlineStr">
        <is>
          <t>Spend-Based Estimate</t>
        </is>
      </c>
      <c r="O1108" t="b">
        <v>1</v>
      </c>
      <c r="P1108" t="inlineStr">
        <is>
          <t>Medium</t>
        </is>
      </c>
      <c r="Q1108" t="inlineStr">
        <is>
          <t>Reported_Emissions; Scope_Emissions</t>
        </is>
      </c>
      <c r="R1108" t="inlineStr">
        <is>
          <t>Valid</t>
        </is>
      </c>
      <c r="S1108" t="n">
        <v>2027</v>
      </c>
      <c r="T1108" t="inlineStr">
        <is>
          <t>Supplier Target Pathway</t>
        </is>
      </c>
      <c r="U1108" t="n">
        <v>20523.1403</v>
      </c>
      <c r="V1108" t="n">
        <v>9723.8639</v>
      </c>
      <c r="W1108" t="n">
        <v>15483.478</v>
      </c>
      <c r="X1108" t="n">
        <v>15483.478</v>
      </c>
      <c r="Y1108" t="n">
        <v>5039.6623</v>
      </c>
      <c r="Z1108" t="n">
        <v>0.00075891</v>
      </c>
      <c r="AA1108" t="n">
        <v>0.24556</v>
      </c>
      <c r="AB1108" t="n">
        <v>5759.6141</v>
      </c>
      <c r="AC1108" t="n">
        <v>719.9518</v>
      </c>
      <c r="AD1108" t="n">
        <v>58352.2137</v>
      </c>
      <c r="AE1108" t="n">
        <v>48610.2892</v>
      </c>
      <c r="AF1108" t="n">
        <v>0.986</v>
      </c>
      <c r="AG1108" t="inlineStr">
        <is>
          <t>Critical</t>
        </is>
      </c>
      <c r="AH1108" t="inlineStr">
        <is>
          <t>On Track to Glide Path</t>
        </is>
      </c>
    </row>
    <row r="1109">
      <c r="A1109" t="inlineStr">
        <is>
          <t>SUP-0070</t>
        </is>
      </c>
      <c r="B1109" t="inlineStr">
        <is>
          <t>Agriculture Supplier 070</t>
        </is>
      </c>
      <c r="C1109" t="inlineStr">
        <is>
          <t>Agriculture</t>
        </is>
      </c>
      <c r="D1109" t="n">
        <v>2024</v>
      </c>
      <c r="E1109" t="n">
        <v>2020</v>
      </c>
      <c r="F1109" t="n">
        <v>2035</v>
      </c>
      <c r="G1109" t="inlineStr"/>
      <c r="H1109" t="inlineStr"/>
      <c r="I1109" t="inlineStr"/>
      <c r="J1109" t="n">
        <v>13301.1313</v>
      </c>
      <c r="K1109" t="n">
        <v>20402329.13</v>
      </c>
      <c r="L1109" t="n">
        <v>136165393.76</v>
      </c>
      <c r="M1109" t="n">
        <v>18650.3811</v>
      </c>
      <c r="N1109" t="inlineStr">
        <is>
          <t>Spend-Based Estimate</t>
        </is>
      </c>
      <c r="O1109" t="b">
        <v>1</v>
      </c>
      <c r="P1109" t="inlineStr">
        <is>
          <t>Medium</t>
        </is>
      </c>
      <c r="Q1109" t="inlineStr">
        <is>
          <t>Reported_Emissions; Scope_Emissions</t>
        </is>
      </c>
      <c r="R1109" t="inlineStr">
        <is>
          <t>Valid</t>
        </is>
      </c>
      <c r="S1109" t="n">
        <v>2028</v>
      </c>
      <c r="T1109" t="inlineStr">
        <is>
          <t>Supplier Target Pathway</t>
        </is>
      </c>
      <c r="U1109" t="n">
        <v>20523.1403</v>
      </c>
      <c r="V1109" t="n">
        <v>9723.8639</v>
      </c>
      <c r="W1109" t="n">
        <v>14763.5262</v>
      </c>
      <c r="X1109" t="n">
        <v>14763.5262</v>
      </c>
      <c r="Y1109" t="n">
        <v>5759.6141</v>
      </c>
      <c r="Z1109" t="n">
        <v>0.00072362</v>
      </c>
      <c r="AA1109" t="n">
        <v>0.28064</v>
      </c>
      <c r="AB1109" t="n">
        <v>5039.6623</v>
      </c>
      <c r="AC1109" t="n">
        <v>719.9518</v>
      </c>
      <c r="AD1109" t="n">
        <v>43588.6875</v>
      </c>
      <c r="AE1109" t="n">
        <v>63373.8154</v>
      </c>
      <c r="AF1109" t="n">
        <v>0.986</v>
      </c>
      <c r="AG1109" t="inlineStr">
        <is>
          <t>Critical</t>
        </is>
      </c>
      <c r="AH1109" t="inlineStr">
        <is>
          <t>On Track to Glide Path</t>
        </is>
      </c>
    </row>
    <row r="1110">
      <c r="A1110" t="inlineStr">
        <is>
          <t>SUP-0070</t>
        </is>
      </c>
      <c r="B1110" t="inlineStr">
        <is>
          <t>Agriculture Supplier 070</t>
        </is>
      </c>
      <c r="C1110" t="inlineStr">
        <is>
          <t>Agriculture</t>
        </is>
      </c>
      <c r="D1110" t="n">
        <v>2024</v>
      </c>
      <c r="E1110" t="n">
        <v>2020</v>
      </c>
      <c r="F1110" t="n">
        <v>2035</v>
      </c>
      <c r="G1110" t="inlineStr"/>
      <c r="H1110" t="inlineStr"/>
      <c r="I1110" t="inlineStr"/>
      <c r="J1110" t="n">
        <v>13301.1313</v>
      </c>
      <c r="K1110" t="n">
        <v>20402329.13</v>
      </c>
      <c r="L1110" t="n">
        <v>136165393.76</v>
      </c>
      <c r="M1110" t="n">
        <v>18650.3811</v>
      </c>
      <c r="N1110" t="inlineStr">
        <is>
          <t>Spend-Based Estimate</t>
        </is>
      </c>
      <c r="O1110" t="b">
        <v>1</v>
      </c>
      <c r="P1110" t="inlineStr">
        <is>
          <t>Medium</t>
        </is>
      </c>
      <c r="Q1110" t="inlineStr">
        <is>
          <t>Reported_Emissions; Scope_Emissions</t>
        </is>
      </c>
      <c r="R1110" t="inlineStr">
        <is>
          <t>Valid</t>
        </is>
      </c>
      <c r="S1110" t="n">
        <v>2029</v>
      </c>
      <c r="T1110" t="inlineStr">
        <is>
          <t>Supplier Target Pathway</t>
        </is>
      </c>
      <c r="U1110" t="n">
        <v>20523.1403</v>
      </c>
      <c r="V1110" t="n">
        <v>9723.8639</v>
      </c>
      <c r="W1110" t="n">
        <v>14043.5744</v>
      </c>
      <c r="X1110" t="n">
        <v>14043.5744</v>
      </c>
      <c r="Y1110" t="n">
        <v>6479.5659</v>
      </c>
      <c r="Z1110" t="n">
        <v>0.00068833</v>
      </c>
      <c r="AA1110" t="n">
        <v>0.31572</v>
      </c>
      <c r="AB1110" t="n">
        <v>4319.7106</v>
      </c>
      <c r="AC1110" t="n">
        <v>719.9518</v>
      </c>
      <c r="AD1110" t="n">
        <v>29545.1131</v>
      </c>
      <c r="AE1110" t="n">
        <v>77417.3898</v>
      </c>
      <c r="AF1110" t="n">
        <v>0.986</v>
      </c>
      <c r="AG1110" t="inlineStr">
        <is>
          <t>Critical</t>
        </is>
      </c>
      <c r="AH1110" t="inlineStr">
        <is>
          <t>On Track to Glide Path</t>
        </is>
      </c>
    </row>
    <row r="1111">
      <c r="A1111" t="inlineStr">
        <is>
          <t>SUP-0070</t>
        </is>
      </c>
      <c r="B1111" t="inlineStr">
        <is>
          <t>Agriculture Supplier 070</t>
        </is>
      </c>
      <c r="C1111" t="inlineStr">
        <is>
          <t>Agriculture</t>
        </is>
      </c>
      <c r="D1111" t="n">
        <v>2024</v>
      </c>
      <c r="E1111" t="n">
        <v>2020</v>
      </c>
      <c r="F1111" t="n">
        <v>2035</v>
      </c>
      <c r="G1111" t="inlineStr"/>
      <c r="H1111" t="inlineStr"/>
      <c r="I1111" t="inlineStr"/>
      <c r="J1111" t="n">
        <v>13301.1313</v>
      </c>
      <c r="K1111" t="n">
        <v>20402329.13</v>
      </c>
      <c r="L1111" t="n">
        <v>136165393.76</v>
      </c>
      <c r="M1111" t="n">
        <v>18650.3811</v>
      </c>
      <c r="N1111" t="inlineStr">
        <is>
          <t>Spend-Based Estimate</t>
        </is>
      </c>
      <c r="O1111" t="b">
        <v>1</v>
      </c>
      <c r="P1111" t="inlineStr">
        <is>
          <t>Medium</t>
        </is>
      </c>
      <c r="Q1111" t="inlineStr">
        <is>
          <t>Reported_Emissions; Scope_Emissions</t>
        </is>
      </c>
      <c r="R1111" t="inlineStr">
        <is>
          <t>Valid</t>
        </is>
      </c>
      <c r="S1111" t="n">
        <v>2030</v>
      </c>
      <c r="T1111" t="inlineStr">
        <is>
          <t>Supplier Target Pathway</t>
        </is>
      </c>
      <c r="U1111" t="n">
        <v>20523.1403</v>
      </c>
      <c r="V1111" t="n">
        <v>9723.8639</v>
      </c>
      <c r="W1111" t="n">
        <v>13323.6227</v>
      </c>
      <c r="X1111" t="n">
        <v>13323.6227</v>
      </c>
      <c r="Y1111" t="n">
        <v>7199.5176</v>
      </c>
      <c r="Z1111" t="n">
        <v>0.00065304</v>
      </c>
      <c r="AA1111" t="n">
        <v>0.3508</v>
      </c>
      <c r="AB1111" t="n">
        <v>3599.7588</v>
      </c>
      <c r="AC1111" t="n">
        <v>719.9518</v>
      </c>
      <c r="AD1111" t="n">
        <v>16221.4904</v>
      </c>
      <c r="AE1111" t="n">
        <v>90741.0125</v>
      </c>
      <c r="AF1111" t="n">
        <v>0.986</v>
      </c>
      <c r="AG1111" t="inlineStr">
        <is>
          <t>Critical</t>
        </is>
      </c>
      <c r="AH1111" t="inlineStr">
        <is>
          <t>On Track to Glide Path</t>
        </is>
      </c>
    </row>
    <row r="1112">
      <c r="A1112" t="inlineStr">
        <is>
          <t>SUP-0070</t>
        </is>
      </c>
      <c r="B1112" t="inlineStr">
        <is>
          <t>Agriculture Supplier 070</t>
        </is>
      </c>
      <c r="C1112" t="inlineStr">
        <is>
          <t>Agriculture</t>
        </is>
      </c>
      <c r="D1112" t="n">
        <v>2024</v>
      </c>
      <c r="E1112" t="n">
        <v>2020</v>
      </c>
      <c r="F1112" t="n">
        <v>2035</v>
      </c>
      <c r="G1112" t="inlineStr"/>
      <c r="H1112" t="inlineStr"/>
      <c r="I1112" t="inlineStr"/>
      <c r="J1112" t="n">
        <v>13301.1313</v>
      </c>
      <c r="K1112" t="n">
        <v>20402329.13</v>
      </c>
      <c r="L1112" t="n">
        <v>136165393.76</v>
      </c>
      <c r="M1112" t="n">
        <v>18650.3811</v>
      </c>
      <c r="N1112" t="inlineStr">
        <is>
          <t>Spend-Based Estimate</t>
        </is>
      </c>
      <c r="O1112" t="b">
        <v>1</v>
      </c>
      <c r="P1112" t="inlineStr">
        <is>
          <t>Medium</t>
        </is>
      </c>
      <c r="Q1112" t="inlineStr">
        <is>
          <t>Reported_Emissions; Scope_Emissions</t>
        </is>
      </c>
      <c r="R1112" t="inlineStr">
        <is>
          <t>Valid</t>
        </is>
      </c>
      <c r="S1112" t="n">
        <v>2031</v>
      </c>
      <c r="T1112" t="inlineStr">
        <is>
          <t>Supplier Target Pathway</t>
        </is>
      </c>
      <c r="U1112" t="n">
        <v>20523.1403</v>
      </c>
      <c r="V1112" t="n">
        <v>9723.8639</v>
      </c>
      <c r="W1112" t="n">
        <v>12603.6709</v>
      </c>
      <c r="X1112" t="n">
        <v>12603.6709</v>
      </c>
      <c r="Y1112" t="n">
        <v>7919.4694</v>
      </c>
      <c r="Z1112" t="n">
        <v>0.00061776</v>
      </c>
      <c r="AA1112" t="n">
        <v>0.38588</v>
      </c>
      <c r="AB1112" t="n">
        <v>2879.807</v>
      </c>
      <c r="AC1112" t="n">
        <v>719.9518</v>
      </c>
      <c r="AD1112" t="n">
        <v>3617.8195</v>
      </c>
      <c r="AE1112" t="n">
        <v>103344.6834</v>
      </c>
      <c r="AF1112" t="n">
        <v>0.986</v>
      </c>
      <c r="AG1112" t="inlineStr">
        <is>
          <t>High</t>
        </is>
      </c>
      <c r="AH1112" t="inlineStr">
        <is>
          <t>On Track to Glide Path</t>
        </is>
      </c>
    </row>
    <row r="1113">
      <c r="A1113" t="inlineStr">
        <is>
          <t>SUP-0070</t>
        </is>
      </c>
      <c r="B1113" t="inlineStr">
        <is>
          <t>Agriculture Supplier 070</t>
        </is>
      </c>
      <c r="C1113" t="inlineStr">
        <is>
          <t>Agriculture</t>
        </is>
      </c>
      <c r="D1113" t="n">
        <v>2024</v>
      </c>
      <c r="E1113" t="n">
        <v>2020</v>
      </c>
      <c r="F1113" t="n">
        <v>2035</v>
      </c>
      <c r="G1113" t="inlineStr"/>
      <c r="H1113" t="inlineStr"/>
      <c r="I1113" t="inlineStr"/>
      <c r="J1113" t="n">
        <v>13301.1313</v>
      </c>
      <c r="K1113" t="n">
        <v>20402329.13</v>
      </c>
      <c r="L1113" t="n">
        <v>136165393.76</v>
      </c>
      <c r="M1113" t="n">
        <v>18650.3811</v>
      </c>
      <c r="N1113" t="inlineStr">
        <is>
          <t>Spend-Based Estimate</t>
        </is>
      </c>
      <c r="O1113" t="b">
        <v>1</v>
      </c>
      <c r="P1113" t="inlineStr">
        <is>
          <t>Medium</t>
        </is>
      </c>
      <c r="Q1113" t="inlineStr">
        <is>
          <t>Reported_Emissions; Scope_Emissions</t>
        </is>
      </c>
      <c r="R1113" t="inlineStr">
        <is>
          <t>Valid</t>
        </is>
      </c>
      <c r="S1113" t="n">
        <v>2032</v>
      </c>
      <c r="T1113" t="inlineStr">
        <is>
          <t>Supplier Target Pathway</t>
        </is>
      </c>
      <c r="U1113" t="n">
        <v>20523.1403</v>
      </c>
      <c r="V1113" t="n">
        <v>9723.8639</v>
      </c>
      <c r="W1113" t="n">
        <v>11883.7192</v>
      </c>
      <c r="X1113" t="n">
        <v>11883.7192</v>
      </c>
      <c r="Y1113" t="n">
        <v>8639.4211</v>
      </c>
      <c r="Z1113" t="n">
        <v>0.00058247</v>
      </c>
      <c r="AA1113" t="n">
        <v>0.42096</v>
      </c>
      <c r="AB1113" t="n">
        <v>2159.8553</v>
      </c>
      <c r="AC1113" t="n">
        <v>719.9518</v>
      </c>
      <c r="AD1113" t="n">
        <v>-8265.8997</v>
      </c>
      <c r="AE1113" t="n">
        <v>115228.4026</v>
      </c>
      <c r="AF1113" t="n">
        <v>0.986</v>
      </c>
      <c r="AG1113" t="inlineStr">
        <is>
          <t>High</t>
        </is>
      </c>
      <c r="AH1113" t="inlineStr">
        <is>
          <t>On Track to Glide Path</t>
        </is>
      </c>
    </row>
    <row r="1114">
      <c r="A1114" t="inlineStr">
        <is>
          <t>SUP-0070</t>
        </is>
      </c>
      <c r="B1114" t="inlineStr">
        <is>
          <t>Agriculture Supplier 070</t>
        </is>
      </c>
      <c r="C1114" t="inlineStr">
        <is>
          <t>Agriculture</t>
        </is>
      </c>
      <c r="D1114" t="n">
        <v>2024</v>
      </c>
      <c r="E1114" t="n">
        <v>2020</v>
      </c>
      <c r="F1114" t="n">
        <v>2035</v>
      </c>
      <c r="G1114" t="inlineStr"/>
      <c r="H1114" t="inlineStr"/>
      <c r="I1114" t="inlineStr"/>
      <c r="J1114" t="n">
        <v>13301.1313</v>
      </c>
      <c r="K1114" t="n">
        <v>20402329.13</v>
      </c>
      <c r="L1114" t="n">
        <v>136165393.76</v>
      </c>
      <c r="M1114" t="n">
        <v>18650.3811</v>
      </c>
      <c r="N1114" t="inlineStr">
        <is>
          <t>Spend-Based Estimate</t>
        </is>
      </c>
      <c r="O1114" t="b">
        <v>1</v>
      </c>
      <c r="P1114" t="inlineStr">
        <is>
          <t>Medium</t>
        </is>
      </c>
      <c r="Q1114" t="inlineStr">
        <is>
          <t>Reported_Emissions; Scope_Emissions</t>
        </is>
      </c>
      <c r="R1114" t="inlineStr">
        <is>
          <t>Valid</t>
        </is>
      </c>
      <c r="S1114" t="n">
        <v>2033</v>
      </c>
      <c r="T1114" t="inlineStr">
        <is>
          <t>Supplier Target Pathway</t>
        </is>
      </c>
      <c r="U1114" t="n">
        <v>20523.1403</v>
      </c>
      <c r="V1114" t="n">
        <v>9723.8639</v>
      </c>
      <c r="W1114" t="n">
        <v>11163.7674</v>
      </c>
      <c r="X1114" t="n">
        <v>11163.7674</v>
      </c>
      <c r="Y1114" t="n">
        <v>9359.3729</v>
      </c>
      <c r="Z1114" t="n">
        <v>0.00054718</v>
      </c>
      <c r="AA1114" t="n">
        <v>0.45604</v>
      </c>
      <c r="AB1114" t="n">
        <v>1439.9035</v>
      </c>
      <c r="AC1114" t="n">
        <v>719.9518</v>
      </c>
      <c r="AD1114" t="n">
        <v>-19429.6671</v>
      </c>
      <c r="AE1114" t="n">
        <v>126392.17</v>
      </c>
      <c r="AF1114" t="n">
        <v>0.986</v>
      </c>
      <c r="AG1114" t="inlineStr">
        <is>
          <t>Medium</t>
        </is>
      </c>
      <c r="AH1114" t="inlineStr">
        <is>
          <t>On Track to Glide Path</t>
        </is>
      </c>
    </row>
    <row r="1115">
      <c r="A1115" t="inlineStr">
        <is>
          <t>SUP-0070</t>
        </is>
      </c>
      <c r="B1115" t="inlineStr">
        <is>
          <t>Agriculture Supplier 070</t>
        </is>
      </c>
      <c r="C1115" t="inlineStr">
        <is>
          <t>Agriculture</t>
        </is>
      </c>
      <c r="D1115" t="n">
        <v>2024</v>
      </c>
      <c r="E1115" t="n">
        <v>2020</v>
      </c>
      <c r="F1115" t="n">
        <v>2035</v>
      </c>
      <c r="G1115" t="inlineStr"/>
      <c r="H1115" t="inlineStr"/>
      <c r="I1115" t="inlineStr"/>
      <c r="J1115" t="n">
        <v>13301.1313</v>
      </c>
      <c r="K1115" t="n">
        <v>20402329.13</v>
      </c>
      <c r="L1115" t="n">
        <v>136165393.76</v>
      </c>
      <c r="M1115" t="n">
        <v>18650.3811</v>
      </c>
      <c r="N1115" t="inlineStr">
        <is>
          <t>Spend-Based Estimate</t>
        </is>
      </c>
      <c r="O1115" t="b">
        <v>1</v>
      </c>
      <c r="P1115" t="inlineStr">
        <is>
          <t>Medium</t>
        </is>
      </c>
      <c r="Q1115" t="inlineStr">
        <is>
          <t>Reported_Emissions; Scope_Emissions</t>
        </is>
      </c>
      <c r="R1115" t="inlineStr">
        <is>
          <t>Valid</t>
        </is>
      </c>
      <c r="S1115" t="n">
        <v>2034</v>
      </c>
      <c r="T1115" t="inlineStr">
        <is>
          <t>Supplier Target Pathway</t>
        </is>
      </c>
      <c r="U1115" t="n">
        <v>20523.1403</v>
      </c>
      <c r="V1115" t="n">
        <v>9723.8639</v>
      </c>
      <c r="W1115" t="n">
        <v>10443.8156</v>
      </c>
      <c r="X1115" t="n">
        <v>10443.8156</v>
      </c>
      <c r="Y1115" t="n">
        <v>10079.3247</v>
      </c>
      <c r="Z1115" t="n">
        <v>0.00051189</v>
      </c>
      <c r="AA1115" t="n">
        <v>0.49112</v>
      </c>
      <c r="AB1115" t="n">
        <v>719.9518</v>
      </c>
      <c r="AC1115" t="n">
        <v>719.9518</v>
      </c>
      <c r="AD1115" t="n">
        <v>-29873.4827</v>
      </c>
      <c r="AE1115" t="n">
        <v>136835.9856</v>
      </c>
      <c r="AF1115" t="n">
        <v>0.986</v>
      </c>
      <c r="AG1115" t="inlineStr">
        <is>
          <t>Medium</t>
        </is>
      </c>
      <c r="AH1115" t="inlineStr">
        <is>
          <t>On Track to Glide Path</t>
        </is>
      </c>
    </row>
    <row r="1116">
      <c r="A1116" t="inlineStr">
        <is>
          <t>SUP-0070</t>
        </is>
      </c>
      <c r="B1116" t="inlineStr">
        <is>
          <t>Agriculture Supplier 070</t>
        </is>
      </c>
      <c r="C1116" t="inlineStr">
        <is>
          <t>Agriculture</t>
        </is>
      </c>
      <c r="D1116" t="n">
        <v>2024</v>
      </c>
      <c r="E1116" t="n">
        <v>2020</v>
      </c>
      <c r="F1116" t="n">
        <v>2035</v>
      </c>
      <c r="G1116" t="inlineStr"/>
      <c r="H1116" t="inlineStr"/>
      <c r="I1116" t="inlineStr"/>
      <c r="J1116" t="n">
        <v>13301.1313</v>
      </c>
      <c r="K1116" t="n">
        <v>20402329.13</v>
      </c>
      <c r="L1116" t="n">
        <v>136165393.76</v>
      </c>
      <c r="M1116" t="n">
        <v>18650.3811</v>
      </c>
      <c r="N1116" t="inlineStr">
        <is>
          <t>Spend-Based Estimate</t>
        </is>
      </c>
      <c r="O1116" t="b">
        <v>1</v>
      </c>
      <c r="P1116" t="inlineStr">
        <is>
          <t>Medium</t>
        </is>
      </c>
      <c r="Q1116" t="inlineStr">
        <is>
          <t>Reported_Emissions; Scope_Emissions</t>
        </is>
      </c>
      <c r="R1116" t="inlineStr">
        <is>
          <t>Valid</t>
        </is>
      </c>
      <c r="S1116" t="n">
        <v>2035</v>
      </c>
      <c r="T1116" t="inlineStr">
        <is>
          <t>Supplier Target Pathway</t>
        </is>
      </c>
      <c r="U1116" t="n">
        <v>20523.1403</v>
      </c>
      <c r="V1116" t="n">
        <v>9723.8639</v>
      </c>
      <c r="W1116" t="n">
        <v>9723.8639</v>
      </c>
      <c r="X1116" t="n">
        <v>9723.8639</v>
      </c>
      <c r="Y1116" t="n">
        <v>10799.2764</v>
      </c>
      <c r="Z1116" t="n">
        <v>0.00047661</v>
      </c>
      <c r="AA1116" t="n">
        <v>0.5262</v>
      </c>
      <c r="AB1116" t="n">
        <v>0</v>
      </c>
      <c r="AC1116" t="n">
        <v>719.9518</v>
      </c>
      <c r="AD1116" t="n">
        <v>-39597.3466</v>
      </c>
      <c r="AE1116" t="n">
        <v>146559.8495</v>
      </c>
      <c r="AF1116" t="n">
        <v>0.986</v>
      </c>
      <c r="AG1116" t="inlineStr">
        <is>
          <t>Low</t>
        </is>
      </c>
      <c r="AH1116" t="inlineStr">
        <is>
          <t>On Track</t>
        </is>
      </c>
    </row>
    <row r="1117">
      <c r="A1117" t="inlineStr">
        <is>
          <t>SUP-0070</t>
        </is>
      </c>
      <c r="B1117" t="inlineStr">
        <is>
          <t>Agriculture Supplier 070</t>
        </is>
      </c>
      <c r="C1117" t="inlineStr">
        <is>
          <t>Agriculture</t>
        </is>
      </c>
      <c r="D1117" t="n">
        <v>2024</v>
      </c>
      <c r="E1117" t="n">
        <v>2020</v>
      </c>
      <c r="F1117" t="n">
        <v>2035</v>
      </c>
      <c r="G1117" t="inlineStr"/>
      <c r="H1117" t="inlineStr"/>
      <c r="I1117" t="inlineStr"/>
      <c r="J1117" t="n">
        <v>13301.1313</v>
      </c>
      <c r="K1117" t="n">
        <v>20402329.13</v>
      </c>
      <c r="L1117" t="n">
        <v>136165393.76</v>
      </c>
      <c r="M1117" t="n">
        <v>18650.3811</v>
      </c>
      <c r="N1117" t="inlineStr">
        <is>
          <t>Spend-Based Estimate</t>
        </is>
      </c>
      <c r="O1117" t="b">
        <v>1</v>
      </c>
      <c r="P1117" t="inlineStr">
        <is>
          <t>Medium</t>
        </is>
      </c>
      <c r="Q1117" t="inlineStr">
        <is>
          <t>Reported_Emissions; Scope_Emissions</t>
        </is>
      </c>
      <c r="R1117" t="inlineStr">
        <is>
          <t>Valid</t>
        </is>
      </c>
      <c r="S1117" t="n">
        <v>2036</v>
      </c>
      <c r="T1117" t="inlineStr">
        <is>
          <t>Supplier Target Pathway</t>
        </is>
      </c>
      <c r="U1117" t="n">
        <v>20523.1403</v>
      </c>
      <c r="V1117" t="n">
        <v>9723.8639</v>
      </c>
      <c r="W1117" t="n">
        <v>9723.8639</v>
      </c>
      <c r="X1117" t="n">
        <v>9723.8639</v>
      </c>
      <c r="Y1117" t="n">
        <v>10799.2764</v>
      </c>
      <c r="Z1117" t="n">
        <v>0.00047661</v>
      </c>
      <c r="AA1117" t="n">
        <v>0.5262</v>
      </c>
      <c r="AB1117" t="n">
        <v>0</v>
      </c>
      <c r="AC1117" t="n">
        <v>719.9518</v>
      </c>
      <c r="AD1117" t="n">
        <v>-49321.2105</v>
      </c>
      <c r="AE1117" t="n">
        <v>156283.7134</v>
      </c>
      <c r="AF1117" t="n">
        <v>0.986</v>
      </c>
      <c r="AG1117" t="inlineStr">
        <is>
          <t>Low</t>
        </is>
      </c>
      <c r="AH1117" t="inlineStr">
        <is>
          <t>On Track</t>
        </is>
      </c>
    </row>
    <row r="1118">
      <c r="A1118" t="inlineStr">
        <is>
          <t>SUP-0070</t>
        </is>
      </c>
      <c r="B1118" t="inlineStr">
        <is>
          <t>Agriculture Supplier 070</t>
        </is>
      </c>
      <c r="C1118" t="inlineStr">
        <is>
          <t>Agriculture</t>
        </is>
      </c>
      <c r="D1118" t="n">
        <v>2024</v>
      </c>
      <c r="E1118" t="n">
        <v>2020</v>
      </c>
      <c r="F1118" t="n">
        <v>2035</v>
      </c>
      <c r="G1118" t="inlineStr"/>
      <c r="H1118" t="inlineStr"/>
      <c r="I1118" t="inlineStr"/>
      <c r="J1118" t="n">
        <v>13301.1313</v>
      </c>
      <c r="K1118" t="n">
        <v>20402329.13</v>
      </c>
      <c r="L1118" t="n">
        <v>136165393.76</v>
      </c>
      <c r="M1118" t="n">
        <v>18650.3811</v>
      </c>
      <c r="N1118" t="inlineStr">
        <is>
          <t>Spend-Based Estimate</t>
        </is>
      </c>
      <c r="O1118" t="b">
        <v>1</v>
      </c>
      <c r="P1118" t="inlineStr">
        <is>
          <t>Medium</t>
        </is>
      </c>
      <c r="Q1118" t="inlineStr">
        <is>
          <t>Reported_Emissions; Scope_Emissions</t>
        </is>
      </c>
      <c r="R1118" t="inlineStr">
        <is>
          <t>Valid</t>
        </is>
      </c>
      <c r="S1118" t="n">
        <v>2037</v>
      </c>
      <c r="T1118" t="inlineStr">
        <is>
          <t>Supplier Target Pathway</t>
        </is>
      </c>
      <c r="U1118" t="n">
        <v>20523.1403</v>
      </c>
      <c r="V1118" t="n">
        <v>9723.8639</v>
      </c>
      <c r="W1118" t="n">
        <v>9723.8639</v>
      </c>
      <c r="X1118" t="n">
        <v>9723.8639</v>
      </c>
      <c r="Y1118" t="n">
        <v>10799.2764</v>
      </c>
      <c r="Z1118" t="n">
        <v>0.00047661</v>
      </c>
      <c r="AA1118" t="n">
        <v>0.5262</v>
      </c>
      <c r="AB1118" t="n">
        <v>0</v>
      </c>
      <c r="AC1118" t="n">
        <v>719.9518</v>
      </c>
      <c r="AD1118" t="n">
        <v>-59045.0744</v>
      </c>
      <c r="AE1118" t="n">
        <v>166007.5773</v>
      </c>
      <c r="AF1118" t="n">
        <v>0.986</v>
      </c>
      <c r="AG1118" t="inlineStr">
        <is>
          <t>Low</t>
        </is>
      </c>
      <c r="AH1118" t="inlineStr">
        <is>
          <t>On Track</t>
        </is>
      </c>
    </row>
    <row r="1119">
      <c r="A1119" t="inlineStr">
        <is>
          <t>SUP-0070</t>
        </is>
      </c>
      <c r="B1119" t="inlineStr">
        <is>
          <t>Agriculture Supplier 070</t>
        </is>
      </c>
      <c r="C1119" t="inlineStr">
        <is>
          <t>Agriculture</t>
        </is>
      </c>
      <c r="D1119" t="n">
        <v>2024</v>
      </c>
      <c r="E1119" t="n">
        <v>2020</v>
      </c>
      <c r="F1119" t="n">
        <v>2035</v>
      </c>
      <c r="G1119" t="inlineStr"/>
      <c r="H1119" t="inlineStr"/>
      <c r="I1119" t="inlineStr"/>
      <c r="J1119" t="n">
        <v>13301.1313</v>
      </c>
      <c r="K1119" t="n">
        <v>20402329.13</v>
      </c>
      <c r="L1119" t="n">
        <v>136165393.76</v>
      </c>
      <c r="M1119" t="n">
        <v>18650.3811</v>
      </c>
      <c r="N1119" t="inlineStr">
        <is>
          <t>Spend-Based Estimate</t>
        </is>
      </c>
      <c r="O1119" t="b">
        <v>1</v>
      </c>
      <c r="P1119" t="inlineStr">
        <is>
          <t>Medium</t>
        </is>
      </c>
      <c r="Q1119" t="inlineStr">
        <is>
          <t>Reported_Emissions; Scope_Emissions</t>
        </is>
      </c>
      <c r="R1119" t="inlineStr">
        <is>
          <t>Valid</t>
        </is>
      </c>
      <c r="S1119" t="n">
        <v>2038</v>
      </c>
      <c r="T1119" t="inlineStr">
        <is>
          <t>Supplier Target Pathway</t>
        </is>
      </c>
      <c r="U1119" t="n">
        <v>20523.1403</v>
      </c>
      <c r="V1119" t="n">
        <v>9723.8639</v>
      </c>
      <c r="W1119" t="n">
        <v>9723.8639</v>
      </c>
      <c r="X1119" t="n">
        <v>9723.8639</v>
      </c>
      <c r="Y1119" t="n">
        <v>10799.2764</v>
      </c>
      <c r="Z1119" t="n">
        <v>0.00047661</v>
      </c>
      <c r="AA1119" t="n">
        <v>0.5262</v>
      </c>
      <c r="AB1119" t="n">
        <v>0</v>
      </c>
      <c r="AC1119" t="n">
        <v>719.9518</v>
      </c>
      <c r="AD1119" t="n">
        <v>-68768.93829999999</v>
      </c>
      <c r="AE1119" t="n">
        <v>175731.4412</v>
      </c>
      <c r="AF1119" t="n">
        <v>0.986</v>
      </c>
      <c r="AG1119" t="inlineStr">
        <is>
          <t>Low</t>
        </is>
      </c>
      <c r="AH1119" t="inlineStr">
        <is>
          <t>On Track</t>
        </is>
      </c>
    </row>
    <row r="1120">
      <c r="A1120" t="inlineStr">
        <is>
          <t>SUP-0070</t>
        </is>
      </c>
      <c r="B1120" t="inlineStr">
        <is>
          <t>Agriculture Supplier 070</t>
        </is>
      </c>
      <c r="C1120" t="inlineStr">
        <is>
          <t>Agriculture</t>
        </is>
      </c>
      <c r="D1120" t="n">
        <v>2024</v>
      </c>
      <c r="E1120" t="n">
        <v>2020</v>
      </c>
      <c r="F1120" t="n">
        <v>2035</v>
      </c>
      <c r="G1120" t="inlineStr"/>
      <c r="H1120" t="inlineStr"/>
      <c r="I1120" t="inlineStr"/>
      <c r="J1120" t="n">
        <v>13301.1313</v>
      </c>
      <c r="K1120" t="n">
        <v>20402329.13</v>
      </c>
      <c r="L1120" t="n">
        <v>136165393.76</v>
      </c>
      <c r="M1120" t="n">
        <v>18650.3811</v>
      </c>
      <c r="N1120" t="inlineStr">
        <is>
          <t>Spend-Based Estimate</t>
        </is>
      </c>
      <c r="O1120" t="b">
        <v>1</v>
      </c>
      <c r="P1120" t="inlineStr">
        <is>
          <t>Medium</t>
        </is>
      </c>
      <c r="Q1120" t="inlineStr">
        <is>
          <t>Reported_Emissions; Scope_Emissions</t>
        </is>
      </c>
      <c r="R1120" t="inlineStr">
        <is>
          <t>Valid</t>
        </is>
      </c>
      <c r="S1120" t="n">
        <v>2039</v>
      </c>
      <c r="T1120" t="inlineStr">
        <is>
          <t>Supplier Target Pathway</t>
        </is>
      </c>
      <c r="U1120" t="n">
        <v>20523.1403</v>
      </c>
      <c r="V1120" t="n">
        <v>9723.8639</v>
      </c>
      <c r="W1120" t="n">
        <v>9723.8639</v>
      </c>
      <c r="X1120" t="n">
        <v>9723.8639</v>
      </c>
      <c r="Y1120" t="n">
        <v>10799.2764</v>
      </c>
      <c r="Z1120" t="n">
        <v>0.00047661</v>
      </c>
      <c r="AA1120" t="n">
        <v>0.5262</v>
      </c>
      <c r="AB1120" t="n">
        <v>0</v>
      </c>
      <c r="AC1120" t="n">
        <v>719.9518</v>
      </c>
      <c r="AD1120" t="n">
        <v>-78492.80220000001</v>
      </c>
      <c r="AE1120" t="n">
        <v>185455.3051</v>
      </c>
      <c r="AF1120" t="n">
        <v>0.986</v>
      </c>
      <c r="AG1120" t="inlineStr">
        <is>
          <t>Low</t>
        </is>
      </c>
      <c r="AH1120" t="inlineStr">
        <is>
          <t>On Track</t>
        </is>
      </c>
    </row>
    <row r="1121">
      <c r="A1121" t="inlineStr">
        <is>
          <t>SUP-0070</t>
        </is>
      </c>
      <c r="B1121" t="inlineStr">
        <is>
          <t>Agriculture Supplier 070</t>
        </is>
      </c>
      <c r="C1121" t="inlineStr">
        <is>
          <t>Agriculture</t>
        </is>
      </c>
      <c r="D1121" t="n">
        <v>2024</v>
      </c>
      <c r="E1121" t="n">
        <v>2020</v>
      </c>
      <c r="F1121" t="n">
        <v>2035</v>
      </c>
      <c r="G1121" t="inlineStr"/>
      <c r="H1121" t="inlineStr"/>
      <c r="I1121" t="inlineStr"/>
      <c r="J1121" t="n">
        <v>13301.1313</v>
      </c>
      <c r="K1121" t="n">
        <v>20402329.13</v>
      </c>
      <c r="L1121" t="n">
        <v>136165393.76</v>
      </c>
      <c r="M1121" t="n">
        <v>18650.3811</v>
      </c>
      <c r="N1121" t="inlineStr">
        <is>
          <t>Spend-Based Estimate</t>
        </is>
      </c>
      <c r="O1121" t="b">
        <v>1</v>
      </c>
      <c r="P1121" t="inlineStr">
        <is>
          <t>Medium</t>
        </is>
      </c>
      <c r="Q1121" t="inlineStr">
        <is>
          <t>Reported_Emissions; Scope_Emissions</t>
        </is>
      </c>
      <c r="R1121" t="inlineStr">
        <is>
          <t>Valid</t>
        </is>
      </c>
      <c r="S1121" t="n">
        <v>2040</v>
      </c>
      <c r="T1121" t="inlineStr">
        <is>
          <t>Supplier Target Pathway</t>
        </is>
      </c>
      <c r="U1121" t="n">
        <v>20523.1403</v>
      </c>
      <c r="V1121" t="n">
        <v>9723.8639</v>
      </c>
      <c r="W1121" t="n">
        <v>9723.8639</v>
      </c>
      <c r="X1121" t="n">
        <v>9723.8639</v>
      </c>
      <c r="Y1121" t="n">
        <v>10799.2764</v>
      </c>
      <c r="Z1121" t="n">
        <v>0.00047661</v>
      </c>
      <c r="AA1121" t="n">
        <v>0.5262</v>
      </c>
      <c r="AB1121" t="n">
        <v>0</v>
      </c>
      <c r="AC1121" t="n">
        <v>719.9518</v>
      </c>
      <c r="AD1121" t="n">
        <v>-88216.6661</v>
      </c>
      <c r="AE1121" t="n">
        <v>195179.169</v>
      </c>
      <c r="AF1121" t="n">
        <v>0.986</v>
      </c>
      <c r="AG1121" t="inlineStr">
        <is>
          <t>Low</t>
        </is>
      </c>
      <c r="AH1121" t="inlineStr">
        <is>
          <t>On Track</t>
        </is>
      </c>
    </row>
    <row r="1122">
      <c r="A1122" t="inlineStr">
        <is>
          <t>SUP-0071</t>
        </is>
      </c>
      <c r="B1122" t="inlineStr">
        <is>
          <t>Chemicals Supplier 071</t>
        </is>
      </c>
      <c r="C1122" t="inlineStr">
        <is>
          <t>Chemicals</t>
        </is>
      </c>
      <c r="D1122" t="n">
        <v>2024</v>
      </c>
      <c r="E1122" t="n">
        <v>2021</v>
      </c>
      <c r="F1122" t="n">
        <v>2040</v>
      </c>
      <c r="G1122" t="inlineStr"/>
      <c r="H1122" t="n">
        <v>3148.1573</v>
      </c>
      <c r="I1122" t="n">
        <v>1669.6424</v>
      </c>
      <c r="J1122" t="n">
        <v>16694.465</v>
      </c>
      <c r="K1122" t="n">
        <v>28905379.05</v>
      </c>
      <c r="L1122" t="n">
        <v>124165340.47</v>
      </c>
      <c r="M1122" t="n">
        <v>21512.2647</v>
      </c>
      <c r="N1122" t="inlineStr">
        <is>
          <t>Scope 1 + Scope 2 + Scope 3</t>
        </is>
      </c>
      <c r="O1122" t="b">
        <v>1</v>
      </c>
      <c r="P1122" t="inlineStr">
        <is>
          <t>High</t>
        </is>
      </c>
      <c r="Q1122" t="inlineStr">
        <is>
          <t>Reported_Emissions</t>
        </is>
      </c>
      <c r="R1122" t="inlineStr">
        <is>
          <t>Valid</t>
        </is>
      </c>
      <c r="S1122" t="n">
        <v>2025</v>
      </c>
      <c r="T1122" t="inlineStr">
        <is>
          <t>Supplier Target Pathway</t>
        </is>
      </c>
      <c r="U1122" t="n">
        <v>20288.1751</v>
      </c>
      <c r="V1122" t="n">
        <v>9644.9984</v>
      </c>
      <c r="W1122" t="n">
        <v>18047.5063</v>
      </c>
      <c r="X1122" t="n">
        <v>18047.5063</v>
      </c>
      <c r="Y1122" t="n">
        <v>2240.6688</v>
      </c>
      <c r="Z1122" t="n">
        <v>0.00062436</v>
      </c>
      <c r="AA1122" t="n">
        <v>0.110442</v>
      </c>
      <c r="AB1122" t="n">
        <v>8402.507900000001</v>
      </c>
      <c r="AC1122" t="n">
        <v>560.1672</v>
      </c>
      <c r="AD1122" t="n">
        <v>136272.4681</v>
      </c>
      <c r="AE1122" t="n">
        <v>18047.5063</v>
      </c>
      <c r="AF1122" t="n">
        <v>0.99</v>
      </c>
      <c r="AG1122" t="inlineStr">
        <is>
          <t>Critical</t>
        </is>
      </c>
      <c r="AH1122" t="inlineStr">
        <is>
          <t>On Track to Glide Path</t>
        </is>
      </c>
    </row>
    <row r="1123">
      <c r="A1123" t="inlineStr">
        <is>
          <t>SUP-0071</t>
        </is>
      </c>
      <c r="B1123" t="inlineStr">
        <is>
          <t>Chemicals Supplier 071</t>
        </is>
      </c>
      <c r="C1123" t="inlineStr">
        <is>
          <t>Chemicals</t>
        </is>
      </c>
      <c r="D1123" t="n">
        <v>2024</v>
      </c>
      <c r="E1123" t="n">
        <v>2021</v>
      </c>
      <c r="F1123" t="n">
        <v>2040</v>
      </c>
      <c r="G1123" t="inlineStr"/>
      <c r="H1123" t="n">
        <v>3148.1573</v>
      </c>
      <c r="I1123" t="n">
        <v>1669.6424</v>
      </c>
      <c r="J1123" t="n">
        <v>16694.465</v>
      </c>
      <c r="K1123" t="n">
        <v>28905379.05</v>
      </c>
      <c r="L1123" t="n">
        <v>124165340.47</v>
      </c>
      <c r="M1123" t="n">
        <v>21512.2647</v>
      </c>
      <c r="N1123" t="inlineStr">
        <is>
          <t>Scope 1 + Scope 2 + Scope 3</t>
        </is>
      </c>
      <c r="O1123" t="b">
        <v>1</v>
      </c>
      <c r="P1123" t="inlineStr">
        <is>
          <t>High</t>
        </is>
      </c>
      <c r="Q1123" t="inlineStr">
        <is>
          <t>Reported_Emissions</t>
        </is>
      </c>
      <c r="R1123" t="inlineStr">
        <is>
          <t>Valid</t>
        </is>
      </c>
      <c r="S1123" t="n">
        <v>2026</v>
      </c>
      <c r="T1123" t="inlineStr">
        <is>
          <t>Supplier Target Pathway</t>
        </is>
      </c>
      <c r="U1123" t="n">
        <v>20288.1751</v>
      </c>
      <c r="V1123" t="n">
        <v>9644.9984</v>
      </c>
      <c r="W1123" t="n">
        <v>17487.3391</v>
      </c>
      <c r="X1123" t="n">
        <v>17487.3391</v>
      </c>
      <c r="Y1123" t="n">
        <v>2800.836</v>
      </c>
      <c r="Z1123" t="n">
        <v>0.00060499</v>
      </c>
      <c r="AA1123" t="n">
        <v>0.138053</v>
      </c>
      <c r="AB1123" t="n">
        <v>7842.3407</v>
      </c>
      <c r="AC1123" t="n">
        <v>560.1672</v>
      </c>
      <c r="AD1123" t="n">
        <v>118785.129</v>
      </c>
      <c r="AE1123" t="n">
        <v>35534.8454</v>
      </c>
      <c r="AF1123" t="n">
        <v>0.99</v>
      </c>
      <c r="AG1123" t="inlineStr">
        <is>
          <t>Critical</t>
        </is>
      </c>
      <c r="AH1123" t="inlineStr">
        <is>
          <t>On Track to Glide Path</t>
        </is>
      </c>
    </row>
    <row r="1124">
      <c r="A1124" t="inlineStr">
        <is>
          <t>SUP-0071</t>
        </is>
      </c>
      <c r="B1124" t="inlineStr">
        <is>
          <t>Chemicals Supplier 071</t>
        </is>
      </c>
      <c r="C1124" t="inlineStr">
        <is>
          <t>Chemicals</t>
        </is>
      </c>
      <c r="D1124" t="n">
        <v>2024</v>
      </c>
      <c r="E1124" t="n">
        <v>2021</v>
      </c>
      <c r="F1124" t="n">
        <v>2040</v>
      </c>
      <c r="G1124" t="inlineStr"/>
      <c r="H1124" t="n">
        <v>3148.1573</v>
      </c>
      <c r="I1124" t="n">
        <v>1669.6424</v>
      </c>
      <c r="J1124" t="n">
        <v>16694.465</v>
      </c>
      <c r="K1124" t="n">
        <v>28905379.05</v>
      </c>
      <c r="L1124" t="n">
        <v>124165340.47</v>
      </c>
      <c r="M1124" t="n">
        <v>21512.2647</v>
      </c>
      <c r="N1124" t="inlineStr">
        <is>
          <t>Scope 1 + Scope 2 + Scope 3</t>
        </is>
      </c>
      <c r="O1124" t="b">
        <v>1</v>
      </c>
      <c r="P1124" t="inlineStr">
        <is>
          <t>High</t>
        </is>
      </c>
      <c r="Q1124" t="inlineStr">
        <is>
          <t>Reported_Emissions</t>
        </is>
      </c>
      <c r="R1124" t="inlineStr">
        <is>
          <t>Valid</t>
        </is>
      </c>
      <c r="S1124" t="n">
        <v>2027</v>
      </c>
      <c r="T1124" t="inlineStr">
        <is>
          <t>Supplier Target Pathway</t>
        </is>
      </c>
      <c r="U1124" t="n">
        <v>20288.1751</v>
      </c>
      <c r="V1124" t="n">
        <v>9644.9984</v>
      </c>
      <c r="W1124" t="n">
        <v>16927.1719</v>
      </c>
      <c r="X1124" t="n">
        <v>16927.1719</v>
      </c>
      <c r="Y1124" t="n">
        <v>3361.0032</v>
      </c>
      <c r="Z1124" t="n">
        <v>0.00058561</v>
      </c>
      <c r="AA1124" t="n">
        <v>0.165663</v>
      </c>
      <c r="AB1124" t="n">
        <v>7282.1735</v>
      </c>
      <c r="AC1124" t="n">
        <v>560.1672</v>
      </c>
      <c r="AD1124" t="n">
        <v>101857.9571</v>
      </c>
      <c r="AE1124" t="n">
        <v>52462.0173</v>
      </c>
      <c r="AF1124" t="n">
        <v>0.99</v>
      </c>
      <c r="AG1124" t="inlineStr">
        <is>
          <t>Critical</t>
        </is>
      </c>
      <c r="AH1124" t="inlineStr">
        <is>
          <t>On Track to Glide Path</t>
        </is>
      </c>
    </row>
    <row r="1125">
      <c r="A1125" t="inlineStr">
        <is>
          <t>SUP-0071</t>
        </is>
      </c>
      <c r="B1125" t="inlineStr">
        <is>
          <t>Chemicals Supplier 071</t>
        </is>
      </c>
      <c r="C1125" t="inlineStr">
        <is>
          <t>Chemicals</t>
        </is>
      </c>
      <c r="D1125" t="n">
        <v>2024</v>
      </c>
      <c r="E1125" t="n">
        <v>2021</v>
      </c>
      <c r="F1125" t="n">
        <v>2040</v>
      </c>
      <c r="G1125" t="inlineStr"/>
      <c r="H1125" t="n">
        <v>3148.1573</v>
      </c>
      <c r="I1125" t="n">
        <v>1669.6424</v>
      </c>
      <c r="J1125" t="n">
        <v>16694.465</v>
      </c>
      <c r="K1125" t="n">
        <v>28905379.05</v>
      </c>
      <c r="L1125" t="n">
        <v>124165340.47</v>
      </c>
      <c r="M1125" t="n">
        <v>21512.2647</v>
      </c>
      <c r="N1125" t="inlineStr">
        <is>
          <t>Scope 1 + Scope 2 + Scope 3</t>
        </is>
      </c>
      <c r="O1125" t="b">
        <v>1</v>
      </c>
      <c r="P1125" t="inlineStr">
        <is>
          <t>High</t>
        </is>
      </c>
      <c r="Q1125" t="inlineStr">
        <is>
          <t>Reported_Emissions</t>
        </is>
      </c>
      <c r="R1125" t="inlineStr">
        <is>
          <t>Valid</t>
        </is>
      </c>
      <c r="S1125" t="n">
        <v>2028</v>
      </c>
      <c r="T1125" t="inlineStr">
        <is>
          <t>Supplier Target Pathway</t>
        </is>
      </c>
      <c r="U1125" t="n">
        <v>20288.1751</v>
      </c>
      <c r="V1125" t="n">
        <v>9644.9984</v>
      </c>
      <c r="W1125" t="n">
        <v>16367.0048</v>
      </c>
      <c r="X1125" t="n">
        <v>16367.0048</v>
      </c>
      <c r="Y1125" t="n">
        <v>3921.1703</v>
      </c>
      <c r="Z1125" t="n">
        <v>0.00056623</v>
      </c>
      <c r="AA1125" t="n">
        <v>0.193274</v>
      </c>
      <c r="AB1125" t="n">
        <v>6722.0063</v>
      </c>
      <c r="AC1125" t="n">
        <v>560.1672</v>
      </c>
      <c r="AD1125" t="n">
        <v>85490.9523</v>
      </c>
      <c r="AE1125" t="n">
        <v>68829.0221</v>
      </c>
      <c r="AF1125" t="n">
        <v>0.99</v>
      </c>
      <c r="AG1125" t="inlineStr">
        <is>
          <t>Critical</t>
        </is>
      </c>
      <c r="AH1125" t="inlineStr">
        <is>
          <t>On Track to Glide Path</t>
        </is>
      </c>
    </row>
    <row r="1126">
      <c r="A1126" t="inlineStr">
        <is>
          <t>SUP-0071</t>
        </is>
      </c>
      <c r="B1126" t="inlineStr">
        <is>
          <t>Chemicals Supplier 071</t>
        </is>
      </c>
      <c r="C1126" t="inlineStr">
        <is>
          <t>Chemicals</t>
        </is>
      </c>
      <c r="D1126" t="n">
        <v>2024</v>
      </c>
      <c r="E1126" t="n">
        <v>2021</v>
      </c>
      <c r="F1126" t="n">
        <v>2040</v>
      </c>
      <c r="G1126" t="inlineStr"/>
      <c r="H1126" t="n">
        <v>3148.1573</v>
      </c>
      <c r="I1126" t="n">
        <v>1669.6424</v>
      </c>
      <c r="J1126" t="n">
        <v>16694.465</v>
      </c>
      <c r="K1126" t="n">
        <v>28905379.05</v>
      </c>
      <c r="L1126" t="n">
        <v>124165340.47</v>
      </c>
      <c r="M1126" t="n">
        <v>21512.2647</v>
      </c>
      <c r="N1126" t="inlineStr">
        <is>
          <t>Scope 1 + Scope 2 + Scope 3</t>
        </is>
      </c>
      <c r="O1126" t="b">
        <v>1</v>
      </c>
      <c r="P1126" t="inlineStr">
        <is>
          <t>High</t>
        </is>
      </c>
      <c r="Q1126" t="inlineStr">
        <is>
          <t>Reported_Emissions</t>
        </is>
      </c>
      <c r="R1126" t="inlineStr">
        <is>
          <t>Valid</t>
        </is>
      </c>
      <c r="S1126" t="n">
        <v>2029</v>
      </c>
      <c r="T1126" t="inlineStr">
        <is>
          <t>Supplier Target Pathway</t>
        </is>
      </c>
      <c r="U1126" t="n">
        <v>20288.1751</v>
      </c>
      <c r="V1126" t="n">
        <v>9644.9984</v>
      </c>
      <c r="W1126" t="n">
        <v>15806.8376</v>
      </c>
      <c r="X1126" t="n">
        <v>15806.8376</v>
      </c>
      <c r="Y1126" t="n">
        <v>4481.3375</v>
      </c>
      <c r="Z1126" t="n">
        <v>0.00054685</v>
      </c>
      <c r="AA1126" t="n">
        <v>0.220884</v>
      </c>
      <c r="AB1126" t="n">
        <v>6161.8391</v>
      </c>
      <c r="AC1126" t="n">
        <v>560.1672</v>
      </c>
      <c r="AD1126" t="n">
        <v>69684.11470000001</v>
      </c>
      <c r="AE1126" t="n">
        <v>84635.8597</v>
      </c>
      <c r="AF1126" t="n">
        <v>0.99</v>
      </c>
      <c r="AG1126" t="inlineStr">
        <is>
          <t>Critical</t>
        </is>
      </c>
      <c r="AH1126" t="inlineStr">
        <is>
          <t>On Track to Glide Path</t>
        </is>
      </c>
    </row>
    <row r="1127">
      <c r="A1127" t="inlineStr">
        <is>
          <t>SUP-0071</t>
        </is>
      </c>
      <c r="B1127" t="inlineStr">
        <is>
          <t>Chemicals Supplier 071</t>
        </is>
      </c>
      <c r="C1127" t="inlineStr">
        <is>
          <t>Chemicals</t>
        </is>
      </c>
      <c r="D1127" t="n">
        <v>2024</v>
      </c>
      <c r="E1127" t="n">
        <v>2021</v>
      </c>
      <c r="F1127" t="n">
        <v>2040</v>
      </c>
      <c r="G1127" t="inlineStr"/>
      <c r="H1127" t="n">
        <v>3148.1573</v>
      </c>
      <c r="I1127" t="n">
        <v>1669.6424</v>
      </c>
      <c r="J1127" t="n">
        <v>16694.465</v>
      </c>
      <c r="K1127" t="n">
        <v>28905379.05</v>
      </c>
      <c r="L1127" t="n">
        <v>124165340.47</v>
      </c>
      <c r="M1127" t="n">
        <v>21512.2647</v>
      </c>
      <c r="N1127" t="inlineStr">
        <is>
          <t>Scope 1 + Scope 2 + Scope 3</t>
        </is>
      </c>
      <c r="O1127" t="b">
        <v>1</v>
      </c>
      <c r="P1127" t="inlineStr">
        <is>
          <t>High</t>
        </is>
      </c>
      <c r="Q1127" t="inlineStr">
        <is>
          <t>Reported_Emissions</t>
        </is>
      </c>
      <c r="R1127" t="inlineStr">
        <is>
          <t>Valid</t>
        </is>
      </c>
      <c r="S1127" t="n">
        <v>2030</v>
      </c>
      <c r="T1127" t="inlineStr">
        <is>
          <t>Supplier Target Pathway</t>
        </is>
      </c>
      <c r="U1127" t="n">
        <v>20288.1751</v>
      </c>
      <c r="V1127" t="n">
        <v>9644.9984</v>
      </c>
      <c r="W1127" t="n">
        <v>15246.6704</v>
      </c>
      <c r="X1127" t="n">
        <v>15246.6704</v>
      </c>
      <c r="Y1127" t="n">
        <v>5041.5047</v>
      </c>
      <c r="Z1127" t="n">
        <v>0.00052747</v>
      </c>
      <c r="AA1127" t="n">
        <v>0.248495</v>
      </c>
      <c r="AB1127" t="n">
        <v>5601.6719</v>
      </c>
      <c r="AC1127" t="n">
        <v>560.1672</v>
      </c>
      <c r="AD1127" t="n">
        <v>54437.4443</v>
      </c>
      <c r="AE1127" t="n">
        <v>99882.5301</v>
      </c>
      <c r="AF1127" t="n">
        <v>0.99</v>
      </c>
      <c r="AG1127" t="inlineStr">
        <is>
          <t>Critical</t>
        </is>
      </c>
      <c r="AH1127" t="inlineStr">
        <is>
          <t>On Track to Glide Path</t>
        </is>
      </c>
    </row>
    <row r="1128">
      <c r="A1128" t="inlineStr">
        <is>
          <t>SUP-0071</t>
        </is>
      </c>
      <c r="B1128" t="inlineStr">
        <is>
          <t>Chemicals Supplier 071</t>
        </is>
      </c>
      <c r="C1128" t="inlineStr">
        <is>
          <t>Chemicals</t>
        </is>
      </c>
      <c r="D1128" t="n">
        <v>2024</v>
      </c>
      <c r="E1128" t="n">
        <v>2021</v>
      </c>
      <c r="F1128" t="n">
        <v>2040</v>
      </c>
      <c r="G1128" t="inlineStr"/>
      <c r="H1128" t="n">
        <v>3148.1573</v>
      </c>
      <c r="I1128" t="n">
        <v>1669.6424</v>
      </c>
      <c r="J1128" t="n">
        <v>16694.465</v>
      </c>
      <c r="K1128" t="n">
        <v>28905379.05</v>
      </c>
      <c r="L1128" t="n">
        <v>124165340.47</v>
      </c>
      <c r="M1128" t="n">
        <v>21512.2647</v>
      </c>
      <c r="N1128" t="inlineStr">
        <is>
          <t>Scope 1 + Scope 2 + Scope 3</t>
        </is>
      </c>
      <c r="O1128" t="b">
        <v>1</v>
      </c>
      <c r="P1128" t="inlineStr">
        <is>
          <t>High</t>
        </is>
      </c>
      <c r="Q1128" t="inlineStr">
        <is>
          <t>Reported_Emissions</t>
        </is>
      </c>
      <c r="R1128" t="inlineStr">
        <is>
          <t>Valid</t>
        </is>
      </c>
      <c r="S1128" t="n">
        <v>2031</v>
      </c>
      <c r="T1128" t="inlineStr">
        <is>
          <t>Supplier Target Pathway</t>
        </is>
      </c>
      <c r="U1128" t="n">
        <v>20288.1751</v>
      </c>
      <c r="V1128" t="n">
        <v>9644.9984</v>
      </c>
      <c r="W1128" t="n">
        <v>14686.5032</v>
      </c>
      <c r="X1128" t="n">
        <v>14686.5032</v>
      </c>
      <c r="Y1128" t="n">
        <v>5601.6719</v>
      </c>
      <c r="Z1128" t="n">
        <v>0.00050809</v>
      </c>
      <c r="AA1128" t="n">
        <v>0.276105</v>
      </c>
      <c r="AB1128" t="n">
        <v>5041.5047</v>
      </c>
      <c r="AC1128" t="n">
        <v>560.1672</v>
      </c>
      <c r="AD1128" t="n">
        <v>39750.9411</v>
      </c>
      <c r="AE1128" t="n">
        <v>114569.0333</v>
      </c>
      <c r="AF1128" t="n">
        <v>0.99</v>
      </c>
      <c r="AG1128" t="inlineStr">
        <is>
          <t>Critical</t>
        </is>
      </c>
      <c r="AH1128" t="inlineStr">
        <is>
          <t>On Track to Glide Path</t>
        </is>
      </c>
    </row>
    <row r="1129">
      <c r="A1129" t="inlineStr">
        <is>
          <t>SUP-0071</t>
        </is>
      </c>
      <c r="B1129" t="inlineStr">
        <is>
          <t>Chemicals Supplier 071</t>
        </is>
      </c>
      <c r="C1129" t="inlineStr">
        <is>
          <t>Chemicals</t>
        </is>
      </c>
      <c r="D1129" t="n">
        <v>2024</v>
      </c>
      <c r="E1129" t="n">
        <v>2021</v>
      </c>
      <c r="F1129" t="n">
        <v>2040</v>
      </c>
      <c r="G1129" t="inlineStr"/>
      <c r="H1129" t="n">
        <v>3148.1573</v>
      </c>
      <c r="I1129" t="n">
        <v>1669.6424</v>
      </c>
      <c r="J1129" t="n">
        <v>16694.465</v>
      </c>
      <c r="K1129" t="n">
        <v>28905379.05</v>
      </c>
      <c r="L1129" t="n">
        <v>124165340.47</v>
      </c>
      <c r="M1129" t="n">
        <v>21512.2647</v>
      </c>
      <c r="N1129" t="inlineStr">
        <is>
          <t>Scope 1 + Scope 2 + Scope 3</t>
        </is>
      </c>
      <c r="O1129" t="b">
        <v>1</v>
      </c>
      <c r="P1129" t="inlineStr">
        <is>
          <t>High</t>
        </is>
      </c>
      <c r="Q1129" t="inlineStr">
        <is>
          <t>Reported_Emissions</t>
        </is>
      </c>
      <c r="R1129" t="inlineStr">
        <is>
          <t>Valid</t>
        </is>
      </c>
      <c r="S1129" t="n">
        <v>2032</v>
      </c>
      <c r="T1129" t="inlineStr">
        <is>
          <t>Supplier Target Pathway</t>
        </is>
      </c>
      <c r="U1129" t="n">
        <v>20288.1751</v>
      </c>
      <c r="V1129" t="n">
        <v>9644.9984</v>
      </c>
      <c r="W1129" t="n">
        <v>14126.336</v>
      </c>
      <c r="X1129" t="n">
        <v>14126.336</v>
      </c>
      <c r="Y1129" t="n">
        <v>6161.8391</v>
      </c>
      <c r="Z1129" t="n">
        <v>0.0004887099999999999</v>
      </c>
      <c r="AA1129" t="n">
        <v>0.303716</v>
      </c>
      <c r="AB1129" t="n">
        <v>4481.3375</v>
      </c>
      <c r="AC1129" t="n">
        <v>560.1672</v>
      </c>
      <c r="AD1129" t="n">
        <v>25624.6051</v>
      </c>
      <c r="AE1129" t="n">
        <v>128695.3693</v>
      </c>
      <c r="AF1129" t="n">
        <v>0.99</v>
      </c>
      <c r="AG1129" t="inlineStr">
        <is>
          <t>Critical</t>
        </is>
      </c>
      <c r="AH1129" t="inlineStr">
        <is>
          <t>On Track to Glide Path</t>
        </is>
      </c>
    </row>
    <row r="1130">
      <c r="A1130" t="inlineStr">
        <is>
          <t>SUP-0071</t>
        </is>
      </c>
      <c r="B1130" t="inlineStr">
        <is>
          <t>Chemicals Supplier 071</t>
        </is>
      </c>
      <c r="C1130" t="inlineStr">
        <is>
          <t>Chemicals</t>
        </is>
      </c>
      <c r="D1130" t="n">
        <v>2024</v>
      </c>
      <c r="E1130" t="n">
        <v>2021</v>
      </c>
      <c r="F1130" t="n">
        <v>2040</v>
      </c>
      <c r="G1130" t="inlineStr"/>
      <c r="H1130" t="n">
        <v>3148.1573</v>
      </c>
      <c r="I1130" t="n">
        <v>1669.6424</v>
      </c>
      <c r="J1130" t="n">
        <v>16694.465</v>
      </c>
      <c r="K1130" t="n">
        <v>28905379.05</v>
      </c>
      <c r="L1130" t="n">
        <v>124165340.47</v>
      </c>
      <c r="M1130" t="n">
        <v>21512.2647</v>
      </c>
      <c r="N1130" t="inlineStr">
        <is>
          <t>Scope 1 + Scope 2 + Scope 3</t>
        </is>
      </c>
      <c r="O1130" t="b">
        <v>1</v>
      </c>
      <c r="P1130" t="inlineStr">
        <is>
          <t>High</t>
        </is>
      </c>
      <c r="Q1130" t="inlineStr">
        <is>
          <t>Reported_Emissions</t>
        </is>
      </c>
      <c r="R1130" t="inlineStr">
        <is>
          <t>Valid</t>
        </is>
      </c>
      <c r="S1130" t="n">
        <v>2033</v>
      </c>
      <c r="T1130" t="inlineStr">
        <is>
          <t>Supplier Target Pathway</t>
        </is>
      </c>
      <c r="U1130" t="n">
        <v>20288.1751</v>
      </c>
      <c r="V1130" t="n">
        <v>9644.9984</v>
      </c>
      <c r="W1130" t="n">
        <v>13566.1688</v>
      </c>
      <c r="X1130" t="n">
        <v>13566.1688</v>
      </c>
      <c r="Y1130" t="n">
        <v>6722.0063</v>
      </c>
      <c r="Z1130" t="n">
        <v>0.00046933</v>
      </c>
      <c r="AA1130" t="n">
        <v>0.331326</v>
      </c>
      <c r="AB1130" t="n">
        <v>3921.1703</v>
      </c>
      <c r="AC1130" t="n">
        <v>560.1672</v>
      </c>
      <c r="AD1130" t="n">
        <v>12058.4363</v>
      </c>
      <c r="AE1130" t="n">
        <v>142261.5381</v>
      </c>
      <c r="AF1130" t="n">
        <v>0.99</v>
      </c>
      <c r="AG1130" t="inlineStr">
        <is>
          <t>Critical</t>
        </is>
      </c>
      <c r="AH1130" t="inlineStr">
        <is>
          <t>On Track to Glide Path</t>
        </is>
      </c>
    </row>
    <row r="1131">
      <c r="A1131" t="inlineStr">
        <is>
          <t>SUP-0071</t>
        </is>
      </c>
      <c r="B1131" t="inlineStr">
        <is>
          <t>Chemicals Supplier 071</t>
        </is>
      </c>
      <c r="C1131" t="inlineStr">
        <is>
          <t>Chemicals</t>
        </is>
      </c>
      <c r="D1131" t="n">
        <v>2024</v>
      </c>
      <c r="E1131" t="n">
        <v>2021</v>
      </c>
      <c r="F1131" t="n">
        <v>2040</v>
      </c>
      <c r="G1131" t="inlineStr"/>
      <c r="H1131" t="n">
        <v>3148.1573</v>
      </c>
      <c r="I1131" t="n">
        <v>1669.6424</v>
      </c>
      <c r="J1131" t="n">
        <v>16694.465</v>
      </c>
      <c r="K1131" t="n">
        <v>28905379.05</v>
      </c>
      <c r="L1131" t="n">
        <v>124165340.47</v>
      </c>
      <c r="M1131" t="n">
        <v>21512.2647</v>
      </c>
      <c r="N1131" t="inlineStr">
        <is>
          <t>Scope 1 + Scope 2 + Scope 3</t>
        </is>
      </c>
      <c r="O1131" t="b">
        <v>1</v>
      </c>
      <c r="P1131" t="inlineStr">
        <is>
          <t>High</t>
        </is>
      </c>
      <c r="Q1131" t="inlineStr">
        <is>
          <t>Reported_Emissions</t>
        </is>
      </c>
      <c r="R1131" t="inlineStr">
        <is>
          <t>Valid</t>
        </is>
      </c>
      <c r="S1131" t="n">
        <v>2034</v>
      </c>
      <c r="T1131" t="inlineStr">
        <is>
          <t>Supplier Target Pathway</t>
        </is>
      </c>
      <c r="U1131" t="n">
        <v>20288.1751</v>
      </c>
      <c r="V1131" t="n">
        <v>9644.9984</v>
      </c>
      <c r="W1131" t="n">
        <v>13006.0016</v>
      </c>
      <c r="X1131" t="n">
        <v>13006.0016</v>
      </c>
      <c r="Y1131" t="n">
        <v>7282.1735</v>
      </c>
      <c r="Z1131" t="n">
        <v>0.00044995</v>
      </c>
      <c r="AA1131" t="n">
        <v>0.358937</v>
      </c>
      <c r="AB1131" t="n">
        <v>3361.0032</v>
      </c>
      <c r="AC1131" t="n">
        <v>560.1672</v>
      </c>
      <c r="AD1131" t="n">
        <v>-947.5653</v>
      </c>
      <c r="AE1131" t="n">
        <v>155267.5397</v>
      </c>
      <c r="AF1131" t="n">
        <v>0.99</v>
      </c>
      <c r="AG1131" t="inlineStr">
        <is>
          <t>High</t>
        </is>
      </c>
      <c r="AH1131" t="inlineStr">
        <is>
          <t>On Track to Glide Path</t>
        </is>
      </c>
    </row>
    <row r="1132">
      <c r="A1132" t="inlineStr">
        <is>
          <t>SUP-0071</t>
        </is>
      </c>
      <c r="B1132" t="inlineStr">
        <is>
          <t>Chemicals Supplier 071</t>
        </is>
      </c>
      <c r="C1132" t="inlineStr">
        <is>
          <t>Chemicals</t>
        </is>
      </c>
      <c r="D1132" t="n">
        <v>2024</v>
      </c>
      <c r="E1132" t="n">
        <v>2021</v>
      </c>
      <c r="F1132" t="n">
        <v>2040</v>
      </c>
      <c r="G1132" t="inlineStr"/>
      <c r="H1132" t="n">
        <v>3148.1573</v>
      </c>
      <c r="I1132" t="n">
        <v>1669.6424</v>
      </c>
      <c r="J1132" t="n">
        <v>16694.465</v>
      </c>
      <c r="K1132" t="n">
        <v>28905379.05</v>
      </c>
      <c r="L1132" t="n">
        <v>124165340.47</v>
      </c>
      <c r="M1132" t="n">
        <v>21512.2647</v>
      </c>
      <c r="N1132" t="inlineStr">
        <is>
          <t>Scope 1 + Scope 2 + Scope 3</t>
        </is>
      </c>
      <c r="O1132" t="b">
        <v>1</v>
      </c>
      <c r="P1132" t="inlineStr">
        <is>
          <t>High</t>
        </is>
      </c>
      <c r="Q1132" t="inlineStr">
        <is>
          <t>Reported_Emissions</t>
        </is>
      </c>
      <c r="R1132" t="inlineStr">
        <is>
          <t>Valid</t>
        </is>
      </c>
      <c r="S1132" t="n">
        <v>2035</v>
      </c>
      <c r="T1132" t="inlineStr">
        <is>
          <t>Supplier Target Pathway</t>
        </is>
      </c>
      <c r="U1132" t="n">
        <v>20288.1751</v>
      </c>
      <c r="V1132" t="n">
        <v>9644.9984</v>
      </c>
      <c r="W1132" t="n">
        <v>12445.8344</v>
      </c>
      <c r="X1132" t="n">
        <v>12445.8344</v>
      </c>
      <c r="Y1132" t="n">
        <v>7842.3407</v>
      </c>
      <c r="Z1132" t="n">
        <v>0.00043057</v>
      </c>
      <c r="AA1132" t="n">
        <v>0.386547</v>
      </c>
      <c r="AB1132" t="n">
        <v>2800.836</v>
      </c>
      <c r="AC1132" t="n">
        <v>560.1672</v>
      </c>
      <c r="AD1132" t="n">
        <v>-13393.3997</v>
      </c>
      <c r="AE1132" t="n">
        <v>167713.3741</v>
      </c>
      <c r="AF1132" t="n">
        <v>0.99</v>
      </c>
      <c r="AG1132" t="inlineStr">
        <is>
          <t>High</t>
        </is>
      </c>
      <c r="AH1132" t="inlineStr">
        <is>
          <t>On Track to Glide Path</t>
        </is>
      </c>
    </row>
    <row r="1133">
      <c r="A1133" t="inlineStr">
        <is>
          <t>SUP-0071</t>
        </is>
      </c>
      <c r="B1133" t="inlineStr">
        <is>
          <t>Chemicals Supplier 071</t>
        </is>
      </c>
      <c r="C1133" t="inlineStr">
        <is>
          <t>Chemicals</t>
        </is>
      </c>
      <c r="D1133" t="n">
        <v>2024</v>
      </c>
      <c r="E1133" t="n">
        <v>2021</v>
      </c>
      <c r="F1133" t="n">
        <v>2040</v>
      </c>
      <c r="G1133" t="inlineStr"/>
      <c r="H1133" t="n">
        <v>3148.1573</v>
      </c>
      <c r="I1133" t="n">
        <v>1669.6424</v>
      </c>
      <c r="J1133" t="n">
        <v>16694.465</v>
      </c>
      <c r="K1133" t="n">
        <v>28905379.05</v>
      </c>
      <c r="L1133" t="n">
        <v>124165340.47</v>
      </c>
      <c r="M1133" t="n">
        <v>21512.2647</v>
      </c>
      <c r="N1133" t="inlineStr">
        <is>
          <t>Scope 1 + Scope 2 + Scope 3</t>
        </is>
      </c>
      <c r="O1133" t="b">
        <v>1</v>
      </c>
      <c r="P1133" t="inlineStr">
        <is>
          <t>High</t>
        </is>
      </c>
      <c r="Q1133" t="inlineStr">
        <is>
          <t>Reported_Emissions</t>
        </is>
      </c>
      <c r="R1133" t="inlineStr">
        <is>
          <t>Valid</t>
        </is>
      </c>
      <c r="S1133" t="n">
        <v>2036</v>
      </c>
      <c r="T1133" t="inlineStr">
        <is>
          <t>Supplier Target Pathway</t>
        </is>
      </c>
      <c r="U1133" t="n">
        <v>20288.1751</v>
      </c>
      <c r="V1133" t="n">
        <v>9644.9984</v>
      </c>
      <c r="W1133" t="n">
        <v>11885.6672</v>
      </c>
      <c r="X1133" t="n">
        <v>11885.6672</v>
      </c>
      <c r="Y1133" t="n">
        <v>8402.507900000001</v>
      </c>
      <c r="Z1133" t="n">
        <v>0.00041119</v>
      </c>
      <c r="AA1133" t="n">
        <v>0.414158</v>
      </c>
      <c r="AB1133" t="n">
        <v>2240.6688</v>
      </c>
      <c r="AC1133" t="n">
        <v>560.1672</v>
      </c>
      <c r="AD1133" t="n">
        <v>-25279.0669</v>
      </c>
      <c r="AE1133" t="n">
        <v>179599.0413</v>
      </c>
      <c r="AF1133" t="n">
        <v>0.99</v>
      </c>
      <c r="AG1133" t="inlineStr">
        <is>
          <t>High</t>
        </is>
      </c>
      <c r="AH1133" t="inlineStr">
        <is>
          <t>On Track to Glide Path</t>
        </is>
      </c>
    </row>
    <row r="1134">
      <c r="A1134" t="inlineStr">
        <is>
          <t>SUP-0071</t>
        </is>
      </c>
      <c r="B1134" t="inlineStr">
        <is>
          <t>Chemicals Supplier 071</t>
        </is>
      </c>
      <c r="C1134" t="inlineStr">
        <is>
          <t>Chemicals</t>
        </is>
      </c>
      <c r="D1134" t="n">
        <v>2024</v>
      </c>
      <c r="E1134" t="n">
        <v>2021</v>
      </c>
      <c r="F1134" t="n">
        <v>2040</v>
      </c>
      <c r="G1134" t="inlineStr"/>
      <c r="H1134" t="n">
        <v>3148.1573</v>
      </c>
      <c r="I1134" t="n">
        <v>1669.6424</v>
      </c>
      <c r="J1134" t="n">
        <v>16694.465</v>
      </c>
      <c r="K1134" t="n">
        <v>28905379.05</v>
      </c>
      <c r="L1134" t="n">
        <v>124165340.47</v>
      </c>
      <c r="M1134" t="n">
        <v>21512.2647</v>
      </c>
      <c r="N1134" t="inlineStr">
        <is>
          <t>Scope 1 + Scope 2 + Scope 3</t>
        </is>
      </c>
      <c r="O1134" t="b">
        <v>1</v>
      </c>
      <c r="P1134" t="inlineStr">
        <is>
          <t>High</t>
        </is>
      </c>
      <c r="Q1134" t="inlineStr">
        <is>
          <t>Reported_Emissions</t>
        </is>
      </c>
      <c r="R1134" t="inlineStr">
        <is>
          <t>Valid</t>
        </is>
      </c>
      <c r="S1134" t="n">
        <v>2037</v>
      </c>
      <c r="T1134" t="inlineStr">
        <is>
          <t>Supplier Target Pathway</t>
        </is>
      </c>
      <c r="U1134" t="n">
        <v>20288.1751</v>
      </c>
      <c r="V1134" t="n">
        <v>9644.9984</v>
      </c>
      <c r="W1134" t="n">
        <v>11325.5</v>
      </c>
      <c r="X1134" t="n">
        <v>11325.5</v>
      </c>
      <c r="Y1134" t="n">
        <v>8962.6751</v>
      </c>
      <c r="Z1134" t="n">
        <v>0.00039181</v>
      </c>
      <c r="AA1134" t="n">
        <v>0.441768</v>
      </c>
      <c r="AB1134" t="n">
        <v>1680.5016</v>
      </c>
      <c r="AC1134" t="n">
        <v>560.1672</v>
      </c>
      <c r="AD1134" t="n">
        <v>-36604.5669</v>
      </c>
      <c r="AE1134" t="n">
        <v>190924.5413</v>
      </c>
      <c r="AF1134" t="n">
        <v>0.99</v>
      </c>
      <c r="AG1134" t="inlineStr">
        <is>
          <t>High</t>
        </is>
      </c>
      <c r="AH1134" t="inlineStr">
        <is>
          <t>On Track to Glide Path</t>
        </is>
      </c>
    </row>
    <row r="1135">
      <c r="A1135" t="inlineStr">
        <is>
          <t>SUP-0071</t>
        </is>
      </c>
      <c r="B1135" t="inlineStr">
        <is>
          <t>Chemicals Supplier 071</t>
        </is>
      </c>
      <c r="C1135" t="inlineStr">
        <is>
          <t>Chemicals</t>
        </is>
      </c>
      <c r="D1135" t="n">
        <v>2024</v>
      </c>
      <c r="E1135" t="n">
        <v>2021</v>
      </c>
      <c r="F1135" t="n">
        <v>2040</v>
      </c>
      <c r="G1135" t="inlineStr"/>
      <c r="H1135" t="n">
        <v>3148.1573</v>
      </c>
      <c r="I1135" t="n">
        <v>1669.6424</v>
      </c>
      <c r="J1135" t="n">
        <v>16694.465</v>
      </c>
      <c r="K1135" t="n">
        <v>28905379.05</v>
      </c>
      <c r="L1135" t="n">
        <v>124165340.47</v>
      </c>
      <c r="M1135" t="n">
        <v>21512.2647</v>
      </c>
      <c r="N1135" t="inlineStr">
        <is>
          <t>Scope 1 + Scope 2 + Scope 3</t>
        </is>
      </c>
      <c r="O1135" t="b">
        <v>1</v>
      </c>
      <c r="P1135" t="inlineStr">
        <is>
          <t>High</t>
        </is>
      </c>
      <c r="Q1135" t="inlineStr">
        <is>
          <t>Reported_Emissions</t>
        </is>
      </c>
      <c r="R1135" t="inlineStr">
        <is>
          <t>Valid</t>
        </is>
      </c>
      <c r="S1135" t="n">
        <v>2038</v>
      </c>
      <c r="T1135" t="inlineStr">
        <is>
          <t>Supplier Target Pathway</t>
        </is>
      </c>
      <c r="U1135" t="n">
        <v>20288.1751</v>
      </c>
      <c r="V1135" t="n">
        <v>9644.9984</v>
      </c>
      <c r="W1135" t="n">
        <v>10765.3328</v>
      </c>
      <c r="X1135" t="n">
        <v>10765.3328</v>
      </c>
      <c r="Y1135" t="n">
        <v>9522.8423</v>
      </c>
      <c r="Z1135" t="n">
        <v>0.00037243</v>
      </c>
      <c r="AA1135" t="n">
        <v>0.469379</v>
      </c>
      <c r="AB1135" t="n">
        <v>1120.3344</v>
      </c>
      <c r="AC1135" t="n">
        <v>560.1672</v>
      </c>
      <c r="AD1135" t="n">
        <v>-47369.8997</v>
      </c>
      <c r="AE1135" t="n">
        <v>201689.8741</v>
      </c>
      <c r="AF1135" t="n">
        <v>0.99</v>
      </c>
      <c r="AG1135" t="inlineStr">
        <is>
          <t>Medium</t>
        </is>
      </c>
      <c r="AH1135" t="inlineStr">
        <is>
          <t>On Track to Glide Path</t>
        </is>
      </c>
    </row>
    <row r="1136">
      <c r="A1136" t="inlineStr">
        <is>
          <t>SUP-0071</t>
        </is>
      </c>
      <c r="B1136" t="inlineStr">
        <is>
          <t>Chemicals Supplier 071</t>
        </is>
      </c>
      <c r="C1136" t="inlineStr">
        <is>
          <t>Chemicals</t>
        </is>
      </c>
      <c r="D1136" t="n">
        <v>2024</v>
      </c>
      <c r="E1136" t="n">
        <v>2021</v>
      </c>
      <c r="F1136" t="n">
        <v>2040</v>
      </c>
      <c r="G1136" t="inlineStr"/>
      <c r="H1136" t="n">
        <v>3148.1573</v>
      </c>
      <c r="I1136" t="n">
        <v>1669.6424</v>
      </c>
      <c r="J1136" t="n">
        <v>16694.465</v>
      </c>
      <c r="K1136" t="n">
        <v>28905379.05</v>
      </c>
      <c r="L1136" t="n">
        <v>124165340.47</v>
      </c>
      <c r="M1136" t="n">
        <v>21512.2647</v>
      </c>
      <c r="N1136" t="inlineStr">
        <is>
          <t>Scope 1 + Scope 2 + Scope 3</t>
        </is>
      </c>
      <c r="O1136" t="b">
        <v>1</v>
      </c>
      <c r="P1136" t="inlineStr">
        <is>
          <t>High</t>
        </is>
      </c>
      <c r="Q1136" t="inlineStr">
        <is>
          <t>Reported_Emissions</t>
        </is>
      </c>
      <c r="R1136" t="inlineStr">
        <is>
          <t>Valid</t>
        </is>
      </c>
      <c r="S1136" t="n">
        <v>2039</v>
      </c>
      <c r="T1136" t="inlineStr">
        <is>
          <t>Supplier Target Pathway</t>
        </is>
      </c>
      <c r="U1136" t="n">
        <v>20288.1751</v>
      </c>
      <c r="V1136" t="n">
        <v>9644.9984</v>
      </c>
      <c r="W1136" t="n">
        <v>10205.1656</v>
      </c>
      <c r="X1136" t="n">
        <v>10205.1656</v>
      </c>
      <c r="Y1136" t="n">
        <v>10083.0095</v>
      </c>
      <c r="Z1136" t="n">
        <v>0.00035305</v>
      </c>
      <c r="AA1136" t="n">
        <v>0.496989</v>
      </c>
      <c r="AB1136" t="n">
        <v>560.1672</v>
      </c>
      <c r="AC1136" t="n">
        <v>560.1672</v>
      </c>
      <c r="AD1136" t="n">
        <v>-57575.0653</v>
      </c>
      <c r="AE1136" t="n">
        <v>211895.0397</v>
      </c>
      <c r="AF1136" t="n">
        <v>0.99</v>
      </c>
      <c r="AG1136" t="inlineStr">
        <is>
          <t>Medium</t>
        </is>
      </c>
      <c r="AH1136" t="inlineStr">
        <is>
          <t>On Track to Glide Path</t>
        </is>
      </c>
    </row>
    <row r="1137">
      <c r="A1137" t="inlineStr">
        <is>
          <t>SUP-0071</t>
        </is>
      </c>
      <c r="B1137" t="inlineStr">
        <is>
          <t>Chemicals Supplier 071</t>
        </is>
      </c>
      <c r="C1137" t="inlineStr">
        <is>
          <t>Chemicals</t>
        </is>
      </c>
      <c r="D1137" t="n">
        <v>2024</v>
      </c>
      <c r="E1137" t="n">
        <v>2021</v>
      </c>
      <c r="F1137" t="n">
        <v>2040</v>
      </c>
      <c r="G1137" t="inlineStr"/>
      <c r="H1137" t="n">
        <v>3148.1573</v>
      </c>
      <c r="I1137" t="n">
        <v>1669.6424</v>
      </c>
      <c r="J1137" t="n">
        <v>16694.465</v>
      </c>
      <c r="K1137" t="n">
        <v>28905379.05</v>
      </c>
      <c r="L1137" t="n">
        <v>124165340.47</v>
      </c>
      <c r="M1137" t="n">
        <v>21512.2647</v>
      </c>
      <c r="N1137" t="inlineStr">
        <is>
          <t>Scope 1 + Scope 2 + Scope 3</t>
        </is>
      </c>
      <c r="O1137" t="b">
        <v>1</v>
      </c>
      <c r="P1137" t="inlineStr">
        <is>
          <t>High</t>
        </is>
      </c>
      <c r="Q1137" t="inlineStr">
        <is>
          <t>Reported_Emissions</t>
        </is>
      </c>
      <c r="R1137" t="inlineStr">
        <is>
          <t>Valid</t>
        </is>
      </c>
      <c r="S1137" t="n">
        <v>2040</v>
      </c>
      <c r="T1137" t="inlineStr">
        <is>
          <t>Supplier Target Pathway</t>
        </is>
      </c>
      <c r="U1137" t="n">
        <v>20288.1751</v>
      </c>
      <c r="V1137" t="n">
        <v>9644.9984</v>
      </c>
      <c r="W1137" t="n">
        <v>9644.9984</v>
      </c>
      <c r="X1137" t="n">
        <v>9644.9984</v>
      </c>
      <c r="Y1137" t="n">
        <v>10643.1767</v>
      </c>
      <c r="Z1137" t="n">
        <v>0.00033367</v>
      </c>
      <c r="AA1137" t="n">
        <v>0.5246</v>
      </c>
      <c r="AB1137" t="n">
        <v>0</v>
      </c>
      <c r="AC1137" t="n">
        <v>560.1672</v>
      </c>
      <c r="AD1137" t="n">
        <v>-67220.0637</v>
      </c>
      <c r="AE1137" t="n">
        <v>221540.0381</v>
      </c>
      <c r="AF1137" t="n">
        <v>0.99</v>
      </c>
      <c r="AG1137" t="inlineStr">
        <is>
          <t>Low</t>
        </is>
      </c>
      <c r="AH1137" t="inlineStr">
        <is>
          <t>On Track</t>
        </is>
      </c>
    </row>
    <row r="1138">
      <c r="A1138" t="inlineStr">
        <is>
          <t>SUP-0072</t>
        </is>
      </c>
      <c r="B1138" t="inlineStr">
        <is>
          <t>Electronics Supplier 072</t>
        </is>
      </c>
      <c r="C1138" t="inlineStr">
        <is>
          <t>Electronics</t>
        </is>
      </c>
      <c r="D1138" t="n">
        <v>2024</v>
      </c>
      <c r="E1138" t="n">
        <v>2018</v>
      </c>
      <c r="F1138" t="n">
        <v>2040</v>
      </c>
      <c r="G1138" t="n">
        <v>972.736</v>
      </c>
      <c r="H1138" t="n">
        <v>187.3418</v>
      </c>
      <c r="I1138" t="inlineStr"/>
      <c r="J1138" t="n">
        <v>717.5767</v>
      </c>
      <c r="K1138" t="inlineStr"/>
      <c r="L1138" t="n">
        <v>8856001.5</v>
      </c>
      <c r="M1138" t="n">
        <v>972.736</v>
      </c>
      <c r="N1138" t="inlineStr">
        <is>
          <t>Supplier Reported Emissions</t>
        </is>
      </c>
      <c r="O1138" t="b">
        <v>0</v>
      </c>
      <c r="P1138" t="inlineStr">
        <is>
          <t>High</t>
        </is>
      </c>
      <c r="Q1138" t="inlineStr">
        <is>
          <t>Gross_Spend; Scope_Emissions</t>
        </is>
      </c>
      <c r="R1138" t="inlineStr">
        <is>
          <t>Valid</t>
        </is>
      </c>
      <c r="S1138" t="n">
        <v>2025</v>
      </c>
      <c r="T1138" t="inlineStr">
        <is>
          <t>Supplier Target Pathway</t>
        </is>
      </c>
      <c r="U1138" t="n">
        <v>1180.8962</v>
      </c>
      <c r="V1138" t="n">
        <v>504.715</v>
      </c>
      <c r="W1138" t="n">
        <v>965.7476</v>
      </c>
      <c r="X1138" t="n">
        <v>965.7476</v>
      </c>
      <c r="Y1138" t="n">
        <v>215.1486</v>
      </c>
      <c r="Z1138" t="inlineStr"/>
      <c r="AA1138" t="inlineStr"/>
      <c r="AB1138" t="n">
        <v>461.0326</v>
      </c>
      <c r="AC1138" t="n">
        <v>30.7355</v>
      </c>
      <c r="AD1138" t="n">
        <v>7109.6924</v>
      </c>
      <c r="AE1138" t="n">
        <v>965.7476</v>
      </c>
      <c r="AF1138" t="n">
        <v>0.99</v>
      </c>
      <c r="AG1138" t="inlineStr">
        <is>
          <t>Critical</t>
        </is>
      </c>
      <c r="AH1138" t="inlineStr">
        <is>
          <t>On Track to Glide Path</t>
        </is>
      </c>
    </row>
    <row r="1139">
      <c r="A1139" t="inlineStr">
        <is>
          <t>SUP-0072</t>
        </is>
      </c>
      <c r="B1139" t="inlineStr">
        <is>
          <t>Electronics Supplier 072</t>
        </is>
      </c>
      <c r="C1139" t="inlineStr">
        <is>
          <t>Electronics</t>
        </is>
      </c>
      <c r="D1139" t="n">
        <v>2024</v>
      </c>
      <c r="E1139" t="n">
        <v>2018</v>
      </c>
      <c r="F1139" t="n">
        <v>2040</v>
      </c>
      <c r="G1139" t="n">
        <v>972.736</v>
      </c>
      <c r="H1139" t="n">
        <v>187.3418</v>
      </c>
      <c r="I1139" t="inlineStr"/>
      <c r="J1139" t="n">
        <v>717.5767</v>
      </c>
      <c r="K1139" t="inlineStr"/>
      <c r="L1139" t="n">
        <v>8856001.5</v>
      </c>
      <c r="M1139" t="n">
        <v>972.736</v>
      </c>
      <c r="N1139" t="inlineStr">
        <is>
          <t>Supplier Reported Emissions</t>
        </is>
      </c>
      <c r="O1139" t="b">
        <v>0</v>
      </c>
      <c r="P1139" t="inlineStr">
        <is>
          <t>High</t>
        </is>
      </c>
      <c r="Q1139" t="inlineStr">
        <is>
          <t>Gross_Spend; Scope_Emissions</t>
        </is>
      </c>
      <c r="R1139" t="inlineStr">
        <is>
          <t>Valid</t>
        </is>
      </c>
      <c r="S1139" t="n">
        <v>2026</v>
      </c>
      <c r="T1139" t="inlineStr">
        <is>
          <t>Supplier Target Pathway</t>
        </is>
      </c>
      <c r="U1139" t="n">
        <v>1180.8962</v>
      </c>
      <c r="V1139" t="n">
        <v>504.715</v>
      </c>
      <c r="W1139" t="n">
        <v>935.0121</v>
      </c>
      <c r="X1139" t="n">
        <v>935.0121</v>
      </c>
      <c r="Y1139" t="n">
        <v>245.8841</v>
      </c>
      <c r="Z1139" t="inlineStr"/>
      <c r="AA1139" t="inlineStr"/>
      <c r="AB1139" t="n">
        <v>430.2971</v>
      </c>
      <c r="AC1139" t="n">
        <v>30.7355</v>
      </c>
      <c r="AD1139" t="n">
        <v>6174.6803</v>
      </c>
      <c r="AE1139" t="n">
        <v>1900.7597</v>
      </c>
      <c r="AF1139" t="n">
        <v>0.99</v>
      </c>
      <c r="AG1139" t="inlineStr">
        <is>
          <t>Critical</t>
        </is>
      </c>
      <c r="AH1139" t="inlineStr">
        <is>
          <t>On Track to Glide Path</t>
        </is>
      </c>
    </row>
    <row r="1140">
      <c r="A1140" t="inlineStr">
        <is>
          <t>SUP-0072</t>
        </is>
      </c>
      <c r="B1140" t="inlineStr">
        <is>
          <t>Electronics Supplier 072</t>
        </is>
      </c>
      <c r="C1140" t="inlineStr">
        <is>
          <t>Electronics</t>
        </is>
      </c>
      <c r="D1140" t="n">
        <v>2024</v>
      </c>
      <c r="E1140" t="n">
        <v>2018</v>
      </c>
      <c r="F1140" t="n">
        <v>2040</v>
      </c>
      <c r="G1140" t="n">
        <v>972.736</v>
      </c>
      <c r="H1140" t="n">
        <v>187.3418</v>
      </c>
      <c r="I1140" t="inlineStr"/>
      <c r="J1140" t="n">
        <v>717.5767</v>
      </c>
      <c r="K1140" t="inlineStr"/>
      <c r="L1140" t="n">
        <v>8856001.5</v>
      </c>
      <c r="M1140" t="n">
        <v>972.736</v>
      </c>
      <c r="N1140" t="inlineStr">
        <is>
          <t>Supplier Reported Emissions</t>
        </is>
      </c>
      <c r="O1140" t="b">
        <v>0</v>
      </c>
      <c r="P1140" t="inlineStr">
        <is>
          <t>High</t>
        </is>
      </c>
      <c r="Q1140" t="inlineStr">
        <is>
          <t>Gross_Spend; Scope_Emissions</t>
        </is>
      </c>
      <c r="R1140" t="inlineStr">
        <is>
          <t>Valid</t>
        </is>
      </c>
      <c r="S1140" t="n">
        <v>2027</v>
      </c>
      <c r="T1140" t="inlineStr">
        <is>
          <t>Supplier Target Pathway</t>
        </is>
      </c>
      <c r="U1140" t="n">
        <v>1180.8962</v>
      </c>
      <c r="V1140" t="n">
        <v>504.715</v>
      </c>
      <c r="W1140" t="n">
        <v>904.2766</v>
      </c>
      <c r="X1140" t="n">
        <v>904.2766</v>
      </c>
      <c r="Y1140" t="n">
        <v>276.6196</v>
      </c>
      <c r="Z1140" t="inlineStr"/>
      <c r="AA1140" t="inlineStr"/>
      <c r="AB1140" t="n">
        <v>399.5616</v>
      </c>
      <c r="AC1140" t="n">
        <v>30.7355</v>
      </c>
      <c r="AD1140" t="n">
        <v>5270.4037</v>
      </c>
      <c r="AE1140" t="n">
        <v>2805.0363</v>
      </c>
      <c r="AF1140" t="n">
        <v>0.99</v>
      </c>
      <c r="AG1140" t="inlineStr">
        <is>
          <t>Critical</t>
        </is>
      </c>
      <c r="AH1140" t="inlineStr">
        <is>
          <t>On Track to Glide Path</t>
        </is>
      </c>
    </row>
    <row r="1141">
      <c r="A1141" t="inlineStr">
        <is>
          <t>SUP-0072</t>
        </is>
      </c>
      <c r="B1141" t="inlineStr">
        <is>
          <t>Electronics Supplier 072</t>
        </is>
      </c>
      <c r="C1141" t="inlineStr">
        <is>
          <t>Electronics</t>
        </is>
      </c>
      <c r="D1141" t="n">
        <v>2024</v>
      </c>
      <c r="E1141" t="n">
        <v>2018</v>
      </c>
      <c r="F1141" t="n">
        <v>2040</v>
      </c>
      <c r="G1141" t="n">
        <v>972.736</v>
      </c>
      <c r="H1141" t="n">
        <v>187.3418</v>
      </c>
      <c r="I1141" t="inlineStr"/>
      <c r="J1141" t="n">
        <v>717.5767</v>
      </c>
      <c r="K1141" t="inlineStr"/>
      <c r="L1141" t="n">
        <v>8856001.5</v>
      </c>
      <c r="M1141" t="n">
        <v>972.736</v>
      </c>
      <c r="N1141" t="inlineStr">
        <is>
          <t>Supplier Reported Emissions</t>
        </is>
      </c>
      <c r="O1141" t="b">
        <v>0</v>
      </c>
      <c r="P1141" t="inlineStr">
        <is>
          <t>High</t>
        </is>
      </c>
      <c r="Q1141" t="inlineStr">
        <is>
          <t>Gross_Spend; Scope_Emissions</t>
        </is>
      </c>
      <c r="R1141" t="inlineStr">
        <is>
          <t>Valid</t>
        </is>
      </c>
      <c r="S1141" t="n">
        <v>2028</v>
      </c>
      <c r="T1141" t="inlineStr">
        <is>
          <t>Supplier Target Pathway</t>
        </is>
      </c>
      <c r="U1141" t="n">
        <v>1180.8962</v>
      </c>
      <c r="V1141" t="n">
        <v>504.715</v>
      </c>
      <c r="W1141" t="n">
        <v>873.5411</v>
      </c>
      <c r="X1141" t="n">
        <v>873.5411</v>
      </c>
      <c r="Y1141" t="n">
        <v>307.3551</v>
      </c>
      <c r="Z1141" t="inlineStr"/>
      <c r="AA1141" t="inlineStr"/>
      <c r="AB1141" t="n">
        <v>368.8261</v>
      </c>
      <c r="AC1141" t="n">
        <v>30.7355</v>
      </c>
      <c r="AD1141" t="n">
        <v>4396.8626</v>
      </c>
      <c r="AE1141" t="n">
        <v>3678.5774</v>
      </c>
      <c r="AF1141" t="n">
        <v>0.99</v>
      </c>
      <c r="AG1141" t="inlineStr">
        <is>
          <t>Critical</t>
        </is>
      </c>
      <c r="AH1141" t="inlineStr">
        <is>
          <t>On Track to Glide Path</t>
        </is>
      </c>
    </row>
    <row r="1142">
      <c r="A1142" t="inlineStr">
        <is>
          <t>SUP-0072</t>
        </is>
      </c>
      <c r="B1142" t="inlineStr">
        <is>
          <t>Electronics Supplier 072</t>
        </is>
      </c>
      <c r="C1142" t="inlineStr">
        <is>
          <t>Electronics</t>
        </is>
      </c>
      <c r="D1142" t="n">
        <v>2024</v>
      </c>
      <c r="E1142" t="n">
        <v>2018</v>
      </c>
      <c r="F1142" t="n">
        <v>2040</v>
      </c>
      <c r="G1142" t="n">
        <v>972.736</v>
      </c>
      <c r="H1142" t="n">
        <v>187.3418</v>
      </c>
      <c r="I1142" t="inlineStr"/>
      <c r="J1142" t="n">
        <v>717.5767</v>
      </c>
      <c r="K1142" t="inlineStr"/>
      <c r="L1142" t="n">
        <v>8856001.5</v>
      </c>
      <c r="M1142" t="n">
        <v>972.736</v>
      </c>
      <c r="N1142" t="inlineStr">
        <is>
          <t>Supplier Reported Emissions</t>
        </is>
      </c>
      <c r="O1142" t="b">
        <v>0</v>
      </c>
      <c r="P1142" t="inlineStr">
        <is>
          <t>High</t>
        </is>
      </c>
      <c r="Q1142" t="inlineStr">
        <is>
          <t>Gross_Spend; Scope_Emissions</t>
        </is>
      </c>
      <c r="R1142" t="inlineStr">
        <is>
          <t>Valid</t>
        </is>
      </c>
      <c r="S1142" t="n">
        <v>2029</v>
      </c>
      <c r="T1142" t="inlineStr">
        <is>
          <t>Supplier Target Pathway</t>
        </is>
      </c>
      <c r="U1142" t="n">
        <v>1180.8962</v>
      </c>
      <c r="V1142" t="n">
        <v>504.715</v>
      </c>
      <c r="W1142" t="n">
        <v>842.8056</v>
      </c>
      <c r="X1142" t="n">
        <v>842.8056</v>
      </c>
      <c r="Y1142" t="n">
        <v>338.0906</v>
      </c>
      <c r="Z1142" t="inlineStr"/>
      <c r="AA1142" t="inlineStr"/>
      <c r="AB1142" t="n">
        <v>338.0906</v>
      </c>
      <c r="AC1142" t="n">
        <v>30.7355</v>
      </c>
      <c r="AD1142" t="n">
        <v>3554.057</v>
      </c>
      <c r="AE1142" t="n">
        <v>4521.383</v>
      </c>
      <c r="AF1142" t="n">
        <v>0.99</v>
      </c>
      <c r="AG1142" t="inlineStr">
        <is>
          <t>Critical</t>
        </is>
      </c>
      <c r="AH1142" t="inlineStr">
        <is>
          <t>On Track to Glide Path</t>
        </is>
      </c>
    </row>
    <row r="1143">
      <c r="A1143" t="inlineStr">
        <is>
          <t>SUP-0072</t>
        </is>
      </c>
      <c r="B1143" t="inlineStr">
        <is>
          <t>Electronics Supplier 072</t>
        </is>
      </c>
      <c r="C1143" t="inlineStr">
        <is>
          <t>Electronics</t>
        </is>
      </c>
      <c r="D1143" t="n">
        <v>2024</v>
      </c>
      <c r="E1143" t="n">
        <v>2018</v>
      </c>
      <c r="F1143" t="n">
        <v>2040</v>
      </c>
      <c r="G1143" t="n">
        <v>972.736</v>
      </c>
      <c r="H1143" t="n">
        <v>187.3418</v>
      </c>
      <c r="I1143" t="inlineStr"/>
      <c r="J1143" t="n">
        <v>717.5767</v>
      </c>
      <c r="K1143" t="inlineStr"/>
      <c r="L1143" t="n">
        <v>8856001.5</v>
      </c>
      <c r="M1143" t="n">
        <v>972.736</v>
      </c>
      <c r="N1143" t="inlineStr">
        <is>
          <t>Supplier Reported Emissions</t>
        </is>
      </c>
      <c r="O1143" t="b">
        <v>0</v>
      </c>
      <c r="P1143" t="inlineStr">
        <is>
          <t>High</t>
        </is>
      </c>
      <c r="Q1143" t="inlineStr">
        <is>
          <t>Gross_Spend; Scope_Emissions</t>
        </is>
      </c>
      <c r="R1143" t="inlineStr">
        <is>
          <t>Valid</t>
        </is>
      </c>
      <c r="S1143" t="n">
        <v>2030</v>
      </c>
      <c r="T1143" t="inlineStr">
        <is>
          <t>Supplier Target Pathway</t>
        </is>
      </c>
      <c r="U1143" t="n">
        <v>1180.8962</v>
      </c>
      <c r="V1143" t="n">
        <v>504.715</v>
      </c>
      <c r="W1143" t="n">
        <v>812.0701</v>
      </c>
      <c r="X1143" t="n">
        <v>812.0701</v>
      </c>
      <c r="Y1143" t="n">
        <v>368.8261</v>
      </c>
      <c r="Z1143" t="inlineStr"/>
      <c r="AA1143" t="inlineStr"/>
      <c r="AB1143" t="n">
        <v>307.3551</v>
      </c>
      <c r="AC1143" t="n">
        <v>30.7355</v>
      </c>
      <c r="AD1143" t="n">
        <v>2741.9869</v>
      </c>
      <c r="AE1143" t="n">
        <v>5333.4531</v>
      </c>
      <c r="AF1143" t="n">
        <v>0.99</v>
      </c>
      <c r="AG1143" t="inlineStr">
        <is>
          <t>Critical</t>
        </is>
      </c>
      <c r="AH1143" t="inlineStr">
        <is>
          <t>On Track to Glide Path</t>
        </is>
      </c>
    </row>
    <row r="1144">
      <c r="A1144" t="inlineStr">
        <is>
          <t>SUP-0072</t>
        </is>
      </c>
      <c r="B1144" t="inlineStr">
        <is>
          <t>Electronics Supplier 072</t>
        </is>
      </c>
      <c r="C1144" t="inlineStr">
        <is>
          <t>Electronics</t>
        </is>
      </c>
      <c r="D1144" t="n">
        <v>2024</v>
      </c>
      <c r="E1144" t="n">
        <v>2018</v>
      </c>
      <c r="F1144" t="n">
        <v>2040</v>
      </c>
      <c r="G1144" t="n">
        <v>972.736</v>
      </c>
      <c r="H1144" t="n">
        <v>187.3418</v>
      </c>
      <c r="I1144" t="inlineStr"/>
      <c r="J1144" t="n">
        <v>717.5767</v>
      </c>
      <c r="K1144" t="inlineStr"/>
      <c r="L1144" t="n">
        <v>8856001.5</v>
      </c>
      <c r="M1144" t="n">
        <v>972.736</v>
      </c>
      <c r="N1144" t="inlineStr">
        <is>
          <t>Supplier Reported Emissions</t>
        </is>
      </c>
      <c r="O1144" t="b">
        <v>0</v>
      </c>
      <c r="P1144" t="inlineStr">
        <is>
          <t>High</t>
        </is>
      </c>
      <c r="Q1144" t="inlineStr">
        <is>
          <t>Gross_Spend; Scope_Emissions</t>
        </is>
      </c>
      <c r="R1144" t="inlineStr">
        <is>
          <t>Valid</t>
        </is>
      </c>
      <c r="S1144" t="n">
        <v>2031</v>
      </c>
      <c r="T1144" t="inlineStr">
        <is>
          <t>Supplier Target Pathway</t>
        </is>
      </c>
      <c r="U1144" t="n">
        <v>1180.8962</v>
      </c>
      <c r="V1144" t="n">
        <v>504.715</v>
      </c>
      <c r="W1144" t="n">
        <v>781.3346</v>
      </c>
      <c r="X1144" t="n">
        <v>781.3346</v>
      </c>
      <c r="Y1144" t="n">
        <v>399.5616</v>
      </c>
      <c r="Z1144" t="inlineStr"/>
      <c r="AA1144" t="inlineStr"/>
      <c r="AB1144" t="n">
        <v>276.6196</v>
      </c>
      <c r="AC1144" t="n">
        <v>30.7355</v>
      </c>
      <c r="AD1144" t="n">
        <v>1960.6523</v>
      </c>
      <c r="AE1144" t="n">
        <v>6114.7877</v>
      </c>
      <c r="AF1144" t="n">
        <v>0.99</v>
      </c>
      <c r="AG1144" t="inlineStr">
        <is>
          <t>Critical</t>
        </is>
      </c>
      <c r="AH1144" t="inlineStr">
        <is>
          <t>On Track to Glide Path</t>
        </is>
      </c>
    </row>
    <row r="1145">
      <c r="A1145" t="inlineStr">
        <is>
          <t>SUP-0072</t>
        </is>
      </c>
      <c r="B1145" t="inlineStr">
        <is>
          <t>Electronics Supplier 072</t>
        </is>
      </c>
      <c r="C1145" t="inlineStr">
        <is>
          <t>Electronics</t>
        </is>
      </c>
      <c r="D1145" t="n">
        <v>2024</v>
      </c>
      <c r="E1145" t="n">
        <v>2018</v>
      </c>
      <c r="F1145" t="n">
        <v>2040</v>
      </c>
      <c r="G1145" t="n">
        <v>972.736</v>
      </c>
      <c r="H1145" t="n">
        <v>187.3418</v>
      </c>
      <c r="I1145" t="inlineStr"/>
      <c r="J1145" t="n">
        <v>717.5767</v>
      </c>
      <c r="K1145" t="inlineStr"/>
      <c r="L1145" t="n">
        <v>8856001.5</v>
      </c>
      <c r="M1145" t="n">
        <v>972.736</v>
      </c>
      <c r="N1145" t="inlineStr">
        <is>
          <t>Supplier Reported Emissions</t>
        </is>
      </c>
      <c r="O1145" t="b">
        <v>0</v>
      </c>
      <c r="P1145" t="inlineStr">
        <is>
          <t>High</t>
        </is>
      </c>
      <c r="Q1145" t="inlineStr">
        <is>
          <t>Gross_Spend; Scope_Emissions</t>
        </is>
      </c>
      <c r="R1145" t="inlineStr">
        <is>
          <t>Valid</t>
        </is>
      </c>
      <c r="S1145" t="n">
        <v>2032</v>
      </c>
      <c r="T1145" t="inlineStr">
        <is>
          <t>Supplier Target Pathway</t>
        </is>
      </c>
      <c r="U1145" t="n">
        <v>1180.8962</v>
      </c>
      <c r="V1145" t="n">
        <v>504.715</v>
      </c>
      <c r="W1145" t="n">
        <v>750.5991</v>
      </c>
      <c r="X1145" t="n">
        <v>750.5991</v>
      </c>
      <c r="Y1145" t="n">
        <v>430.2971</v>
      </c>
      <c r="Z1145" t="inlineStr"/>
      <c r="AA1145" t="inlineStr"/>
      <c r="AB1145" t="n">
        <v>245.8841</v>
      </c>
      <c r="AC1145" t="n">
        <v>30.7355</v>
      </c>
      <c r="AD1145" t="n">
        <v>1210.0532</v>
      </c>
      <c r="AE1145" t="n">
        <v>6865.3868</v>
      </c>
      <c r="AF1145" t="n">
        <v>0.99</v>
      </c>
      <c r="AG1145" t="inlineStr">
        <is>
          <t>Critical</t>
        </is>
      </c>
      <c r="AH1145" t="inlineStr">
        <is>
          <t>On Track to Glide Path</t>
        </is>
      </c>
    </row>
    <row r="1146">
      <c r="A1146" t="inlineStr">
        <is>
          <t>SUP-0072</t>
        </is>
      </c>
      <c r="B1146" t="inlineStr">
        <is>
          <t>Electronics Supplier 072</t>
        </is>
      </c>
      <c r="C1146" t="inlineStr">
        <is>
          <t>Electronics</t>
        </is>
      </c>
      <c r="D1146" t="n">
        <v>2024</v>
      </c>
      <c r="E1146" t="n">
        <v>2018</v>
      </c>
      <c r="F1146" t="n">
        <v>2040</v>
      </c>
      <c r="G1146" t="n">
        <v>972.736</v>
      </c>
      <c r="H1146" t="n">
        <v>187.3418</v>
      </c>
      <c r="I1146" t="inlineStr"/>
      <c r="J1146" t="n">
        <v>717.5767</v>
      </c>
      <c r="K1146" t="inlineStr"/>
      <c r="L1146" t="n">
        <v>8856001.5</v>
      </c>
      <c r="M1146" t="n">
        <v>972.736</v>
      </c>
      <c r="N1146" t="inlineStr">
        <is>
          <t>Supplier Reported Emissions</t>
        </is>
      </c>
      <c r="O1146" t="b">
        <v>0</v>
      </c>
      <c r="P1146" t="inlineStr">
        <is>
          <t>High</t>
        </is>
      </c>
      <c r="Q1146" t="inlineStr">
        <is>
          <t>Gross_Spend; Scope_Emissions</t>
        </is>
      </c>
      <c r="R1146" t="inlineStr">
        <is>
          <t>Valid</t>
        </is>
      </c>
      <c r="S1146" t="n">
        <v>2033</v>
      </c>
      <c r="T1146" t="inlineStr">
        <is>
          <t>Supplier Target Pathway</t>
        </is>
      </c>
      <c r="U1146" t="n">
        <v>1180.8962</v>
      </c>
      <c r="V1146" t="n">
        <v>504.715</v>
      </c>
      <c r="W1146" t="n">
        <v>719.8636</v>
      </c>
      <c r="X1146" t="n">
        <v>719.8636</v>
      </c>
      <c r="Y1146" t="n">
        <v>461.0326</v>
      </c>
      <c r="Z1146" t="inlineStr"/>
      <c r="AA1146" t="inlineStr"/>
      <c r="AB1146" t="n">
        <v>215.1486</v>
      </c>
      <c r="AC1146" t="n">
        <v>30.7355</v>
      </c>
      <c r="AD1146" t="n">
        <v>490.1896</v>
      </c>
      <c r="AE1146" t="n">
        <v>7585.2504</v>
      </c>
      <c r="AF1146" t="n">
        <v>0.99</v>
      </c>
      <c r="AG1146" t="inlineStr">
        <is>
          <t>Critical</t>
        </is>
      </c>
      <c r="AH1146" t="inlineStr">
        <is>
          <t>On Track to Glide Path</t>
        </is>
      </c>
    </row>
    <row r="1147">
      <c r="A1147" t="inlineStr">
        <is>
          <t>SUP-0072</t>
        </is>
      </c>
      <c r="B1147" t="inlineStr">
        <is>
          <t>Electronics Supplier 072</t>
        </is>
      </c>
      <c r="C1147" t="inlineStr">
        <is>
          <t>Electronics</t>
        </is>
      </c>
      <c r="D1147" t="n">
        <v>2024</v>
      </c>
      <c r="E1147" t="n">
        <v>2018</v>
      </c>
      <c r="F1147" t="n">
        <v>2040</v>
      </c>
      <c r="G1147" t="n">
        <v>972.736</v>
      </c>
      <c r="H1147" t="n">
        <v>187.3418</v>
      </c>
      <c r="I1147" t="inlineStr"/>
      <c r="J1147" t="n">
        <v>717.5767</v>
      </c>
      <c r="K1147" t="inlineStr"/>
      <c r="L1147" t="n">
        <v>8856001.5</v>
      </c>
      <c r="M1147" t="n">
        <v>972.736</v>
      </c>
      <c r="N1147" t="inlineStr">
        <is>
          <t>Supplier Reported Emissions</t>
        </is>
      </c>
      <c r="O1147" t="b">
        <v>0</v>
      </c>
      <c r="P1147" t="inlineStr">
        <is>
          <t>High</t>
        </is>
      </c>
      <c r="Q1147" t="inlineStr">
        <is>
          <t>Gross_Spend; Scope_Emissions</t>
        </is>
      </c>
      <c r="R1147" t="inlineStr">
        <is>
          <t>Valid</t>
        </is>
      </c>
      <c r="S1147" t="n">
        <v>2034</v>
      </c>
      <c r="T1147" t="inlineStr">
        <is>
          <t>Supplier Target Pathway</t>
        </is>
      </c>
      <c r="U1147" t="n">
        <v>1180.8962</v>
      </c>
      <c r="V1147" t="n">
        <v>504.715</v>
      </c>
      <c r="W1147" t="n">
        <v>689.1281</v>
      </c>
      <c r="X1147" t="n">
        <v>689.1281</v>
      </c>
      <c r="Y1147" t="n">
        <v>491.7681</v>
      </c>
      <c r="Z1147" t="inlineStr"/>
      <c r="AA1147" t="inlineStr"/>
      <c r="AB1147" t="n">
        <v>184.413</v>
      </c>
      <c r="AC1147" t="n">
        <v>30.7355</v>
      </c>
      <c r="AD1147" t="n">
        <v>-198.9385</v>
      </c>
      <c r="AE1147" t="n">
        <v>8274.378500000001</v>
      </c>
      <c r="AF1147" t="n">
        <v>0.99</v>
      </c>
      <c r="AG1147" t="inlineStr">
        <is>
          <t>Critical</t>
        </is>
      </c>
      <c r="AH1147" t="inlineStr">
        <is>
          <t>On Track to Glide Path</t>
        </is>
      </c>
    </row>
    <row r="1148">
      <c r="A1148" t="inlineStr">
        <is>
          <t>SUP-0072</t>
        </is>
      </c>
      <c r="B1148" t="inlineStr">
        <is>
          <t>Electronics Supplier 072</t>
        </is>
      </c>
      <c r="C1148" t="inlineStr">
        <is>
          <t>Electronics</t>
        </is>
      </c>
      <c r="D1148" t="n">
        <v>2024</v>
      </c>
      <c r="E1148" t="n">
        <v>2018</v>
      </c>
      <c r="F1148" t="n">
        <v>2040</v>
      </c>
      <c r="G1148" t="n">
        <v>972.736</v>
      </c>
      <c r="H1148" t="n">
        <v>187.3418</v>
      </c>
      <c r="I1148" t="inlineStr"/>
      <c r="J1148" t="n">
        <v>717.5767</v>
      </c>
      <c r="K1148" t="inlineStr"/>
      <c r="L1148" t="n">
        <v>8856001.5</v>
      </c>
      <c r="M1148" t="n">
        <v>972.736</v>
      </c>
      <c r="N1148" t="inlineStr">
        <is>
          <t>Supplier Reported Emissions</t>
        </is>
      </c>
      <c r="O1148" t="b">
        <v>0</v>
      </c>
      <c r="P1148" t="inlineStr">
        <is>
          <t>High</t>
        </is>
      </c>
      <c r="Q1148" t="inlineStr">
        <is>
          <t>Gross_Spend; Scope_Emissions</t>
        </is>
      </c>
      <c r="R1148" t="inlineStr">
        <is>
          <t>Valid</t>
        </is>
      </c>
      <c r="S1148" t="n">
        <v>2035</v>
      </c>
      <c r="T1148" t="inlineStr">
        <is>
          <t>Supplier Target Pathway</t>
        </is>
      </c>
      <c r="U1148" t="n">
        <v>1180.8962</v>
      </c>
      <c r="V1148" t="n">
        <v>504.715</v>
      </c>
      <c r="W1148" t="n">
        <v>658.3926</v>
      </c>
      <c r="X1148" t="n">
        <v>658.3926</v>
      </c>
      <c r="Y1148" t="n">
        <v>522.5036</v>
      </c>
      <c r="Z1148" t="inlineStr"/>
      <c r="AA1148" t="inlineStr"/>
      <c r="AB1148" t="n">
        <v>153.6775</v>
      </c>
      <c r="AC1148" t="n">
        <v>30.7355</v>
      </c>
      <c r="AD1148" t="n">
        <v>-857.3311</v>
      </c>
      <c r="AE1148" t="n">
        <v>8932.7711</v>
      </c>
      <c r="AF1148" t="n">
        <v>0.99</v>
      </c>
      <c r="AG1148" t="inlineStr">
        <is>
          <t>High</t>
        </is>
      </c>
      <c r="AH1148" t="inlineStr">
        <is>
          <t>On Track to Glide Path</t>
        </is>
      </c>
    </row>
    <row r="1149">
      <c r="A1149" t="inlineStr">
        <is>
          <t>SUP-0072</t>
        </is>
      </c>
      <c r="B1149" t="inlineStr">
        <is>
          <t>Electronics Supplier 072</t>
        </is>
      </c>
      <c r="C1149" t="inlineStr">
        <is>
          <t>Electronics</t>
        </is>
      </c>
      <c r="D1149" t="n">
        <v>2024</v>
      </c>
      <c r="E1149" t="n">
        <v>2018</v>
      </c>
      <c r="F1149" t="n">
        <v>2040</v>
      </c>
      <c r="G1149" t="n">
        <v>972.736</v>
      </c>
      <c r="H1149" t="n">
        <v>187.3418</v>
      </c>
      <c r="I1149" t="inlineStr"/>
      <c r="J1149" t="n">
        <v>717.5767</v>
      </c>
      <c r="K1149" t="inlineStr"/>
      <c r="L1149" t="n">
        <v>8856001.5</v>
      </c>
      <c r="M1149" t="n">
        <v>972.736</v>
      </c>
      <c r="N1149" t="inlineStr">
        <is>
          <t>Supplier Reported Emissions</t>
        </is>
      </c>
      <c r="O1149" t="b">
        <v>0</v>
      </c>
      <c r="P1149" t="inlineStr">
        <is>
          <t>High</t>
        </is>
      </c>
      <c r="Q1149" t="inlineStr">
        <is>
          <t>Gross_Spend; Scope_Emissions</t>
        </is>
      </c>
      <c r="R1149" t="inlineStr">
        <is>
          <t>Valid</t>
        </is>
      </c>
      <c r="S1149" t="n">
        <v>2036</v>
      </c>
      <c r="T1149" t="inlineStr">
        <is>
          <t>Supplier Target Pathway</t>
        </is>
      </c>
      <c r="U1149" t="n">
        <v>1180.8962</v>
      </c>
      <c r="V1149" t="n">
        <v>504.715</v>
      </c>
      <c r="W1149" t="n">
        <v>627.6571</v>
      </c>
      <c r="X1149" t="n">
        <v>627.6571</v>
      </c>
      <c r="Y1149" t="n">
        <v>553.2391</v>
      </c>
      <c r="Z1149" t="inlineStr"/>
      <c r="AA1149" t="inlineStr"/>
      <c r="AB1149" t="n">
        <v>122.942</v>
      </c>
      <c r="AC1149" t="n">
        <v>30.7355</v>
      </c>
      <c r="AD1149" t="n">
        <v>-1484.9882</v>
      </c>
      <c r="AE1149" t="n">
        <v>9560.4282</v>
      </c>
      <c r="AF1149" t="n">
        <v>0.99</v>
      </c>
      <c r="AG1149" t="inlineStr">
        <is>
          <t>High</t>
        </is>
      </c>
      <c r="AH1149" t="inlineStr">
        <is>
          <t>On Track to Glide Path</t>
        </is>
      </c>
    </row>
    <row r="1150">
      <c r="A1150" t="inlineStr">
        <is>
          <t>SUP-0072</t>
        </is>
      </c>
      <c r="B1150" t="inlineStr">
        <is>
          <t>Electronics Supplier 072</t>
        </is>
      </c>
      <c r="C1150" t="inlineStr">
        <is>
          <t>Electronics</t>
        </is>
      </c>
      <c r="D1150" t="n">
        <v>2024</v>
      </c>
      <c r="E1150" t="n">
        <v>2018</v>
      </c>
      <c r="F1150" t="n">
        <v>2040</v>
      </c>
      <c r="G1150" t="n">
        <v>972.736</v>
      </c>
      <c r="H1150" t="n">
        <v>187.3418</v>
      </c>
      <c r="I1150" t="inlineStr"/>
      <c r="J1150" t="n">
        <v>717.5767</v>
      </c>
      <c r="K1150" t="inlineStr"/>
      <c r="L1150" t="n">
        <v>8856001.5</v>
      </c>
      <c r="M1150" t="n">
        <v>972.736</v>
      </c>
      <c r="N1150" t="inlineStr">
        <is>
          <t>Supplier Reported Emissions</t>
        </is>
      </c>
      <c r="O1150" t="b">
        <v>0</v>
      </c>
      <c r="P1150" t="inlineStr">
        <is>
          <t>High</t>
        </is>
      </c>
      <c r="Q1150" t="inlineStr">
        <is>
          <t>Gross_Spend; Scope_Emissions</t>
        </is>
      </c>
      <c r="R1150" t="inlineStr">
        <is>
          <t>Valid</t>
        </is>
      </c>
      <c r="S1150" t="n">
        <v>2037</v>
      </c>
      <c r="T1150" t="inlineStr">
        <is>
          <t>Supplier Target Pathway</t>
        </is>
      </c>
      <c r="U1150" t="n">
        <v>1180.8962</v>
      </c>
      <c r="V1150" t="n">
        <v>504.715</v>
      </c>
      <c r="W1150" t="n">
        <v>596.9216</v>
      </c>
      <c r="X1150" t="n">
        <v>596.9216</v>
      </c>
      <c r="Y1150" t="n">
        <v>583.9746</v>
      </c>
      <c r="Z1150" t="inlineStr"/>
      <c r="AA1150" t="inlineStr"/>
      <c r="AB1150" t="n">
        <v>92.20650000000001</v>
      </c>
      <c r="AC1150" t="n">
        <v>30.7355</v>
      </c>
      <c r="AD1150" t="n">
        <v>-2081.9098</v>
      </c>
      <c r="AE1150" t="n">
        <v>10157.3498</v>
      </c>
      <c r="AF1150" t="n">
        <v>0.99</v>
      </c>
      <c r="AG1150" t="inlineStr">
        <is>
          <t>High</t>
        </is>
      </c>
      <c r="AH1150" t="inlineStr">
        <is>
          <t>On Track to Glide Path</t>
        </is>
      </c>
    </row>
    <row r="1151">
      <c r="A1151" t="inlineStr">
        <is>
          <t>SUP-0072</t>
        </is>
      </c>
      <c r="B1151" t="inlineStr">
        <is>
          <t>Electronics Supplier 072</t>
        </is>
      </c>
      <c r="C1151" t="inlineStr">
        <is>
          <t>Electronics</t>
        </is>
      </c>
      <c r="D1151" t="n">
        <v>2024</v>
      </c>
      <c r="E1151" t="n">
        <v>2018</v>
      </c>
      <c r="F1151" t="n">
        <v>2040</v>
      </c>
      <c r="G1151" t="n">
        <v>972.736</v>
      </c>
      <c r="H1151" t="n">
        <v>187.3418</v>
      </c>
      <c r="I1151" t="inlineStr"/>
      <c r="J1151" t="n">
        <v>717.5767</v>
      </c>
      <c r="K1151" t="inlineStr"/>
      <c r="L1151" t="n">
        <v>8856001.5</v>
      </c>
      <c r="M1151" t="n">
        <v>972.736</v>
      </c>
      <c r="N1151" t="inlineStr">
        <is>
          <t>Supplier Reported Emissions</t>
        </is>
      </c>
      <c r="O1151" t="b">
        <v>0</v>
      </c>
      <c r="P1151" t="inlineStr">
        <is>
          <t>High</t>
        </is>
      </c>
      <c r="Q1151" t="inlineStr">
        <is>
          <t>Gross_Spend; Scope_Emissions</t>
        </is>
      </c>
      <c r="R1151" t="inlineStr">
        <is>
          <t>Valid</t>
        </is>
      </c>
      <c r="S1151" t="n">
        <v>2038</v>
      </c>
      <c r="T1151" t="inlineStr">
        <is>
          <t>Supplier Target Pathway</t>
        </is>
      </c>
      <c r="U1151" t="n">
        <v>1180.8962</v>
      </c>
      <c r="V1151" t="n">
        <v>504.715</v>
      </c>
      <c r="W1151" t="n">
        <v>566.1861</v>
      </c>
      <c r="X1151" t="n">
        <v>566.1861</v>
      </c>
      <c r="Y1151" t="n">
        <v>614.7101</v>
      </c>
      <c r="Z1151" t="inlineStr"/>
      <c r="AA1151" t="inlineStr"/>
      <c r="AB1151" t="n">
        <v>61.471</v>
      </c>
      <c r="AC1151" t="n">
        <v>30.7355</v>
      </c>
      <c r="AD1151" t="n">
        <v>-2648.0959</v>
      </c>
      <c r="AE1151" t="n">
        <v>10723.5359</v>
      </c>
      <c r="AF1151" t="n">
        <v>0.99</v>
      </c>
      <c r="AG1151" t="inlineStr">
        <is>
          <t>Medium</t>
        </is>
      </c>
      <c r="AH1151" t="inlineStr">
        <is>
          <t>On Track to Glide Path</t>
        </is>
      </c>
    </row>
    <row r="1152">
      <c r="A1152" t="inlineStr">
        <is>
          <t>SUP-0072</t>
        </is>
      </c>
      <c r="B1152" t="inlineStr">
        <is>
          <t>Electronics Supplier 072</t>
        </is>
      </c>
      <c r="C1152" t="inlineStr">
        <is>
          <t>Electronics</t>
        </is>
      </c>
      <c r="D1152" t="n">
        <v>2024</v>
      </c>
      <c r="E1152" t="n">
        <v>2018</v>
      </c>
      <c r="F1152" t="n">
        <v>2040</v>
      </c>
      <c r="G1152" t="n">
        <v>972.736</v>
      </c>
      <c r="H1152" t="n">
        <v>187.3418</v>
      </c>
      <c r="I1152" t="inlineStr"/>
      <c r="J1152" t="n">
        <v>717.5767</v>
      </c>
      <c r="K1152" t="inlineStr"/>
      <c r="L1152" t="n">
        <v>8856001.5</v>
      </c>
      <c r="M1152" t="n">
        <v>972.736</v>
      </c>
      <c r="N1152" t="inlineStr">
        <is>
          <t>Supplier Reported Emissions</t>
        </is>
      </c>
      <c r="O1152" t="b">
        <v>0</v>
      </c>
      <c r="P1152" t="inlineStr">
        <is>
          <t>High</t>
        </is>
      </c>
      <c r="Q1152" t="inlineStr">
        <is>
          <t>Gross_Spend; Scope_Emissions</t>
        </is>
      </c>
      <c r="R1152" t="inlineStr">
        <is>
          <t>Valid</t>
        </is>
      </c>
      <c r="S1152" t="n">
        <v>2039</v>
      </c>
      <c r="T1152" t="inlineStr">
        <is>
          <t>Supplier Target Pathway</t>
        </is>
      </c>
      <c r="U1152" t="n">
        <v>1180.8962</v>
      </c>
      <c r="V1152" t="n">
        <v>504.715</v>
      </c>
      <c r="W1152" t="n">
        <v>535.4505</v>
      </c>
      <c r="X1152" t="n">
        <v>535.4505</v>
      </c>
      <c r="Y1152" t="n">
        <v>645.4457</v>
      </c>
      <c r="Z1152" t="inlineStr"/>
      <c r="AA1152" t="inlineStr"/>
      <c r="AB1152" t="n">
        <v>30.7355</v>
      </c>
      <c r="AC1152" t="n">
        <v>30.7355</v>
      </c>
      <c r="AD1152" t="n">
        <v>-3183.5464</v>
      </c>
      <c r="AE1152" t="n">
        <v>11258.9864</v>
      </c>
      <c r="AF1152" t="n">
        <v>0.99</v>
      </c>
      <c r="AG1152" t="inlineStr">
        <is>
          <t>Medium</t>
        </is>
      </c>
      <c r="AH1152" t="inlineStr">
        <is>
          <t>On Track to Glide Path</t>
        </is>
      </c>
    </row>
    <row r="1153">
      <c r="A1153" t="inlineStr">
        <is>
          <t>SUP-0072</t>
        </is>
      </c>
      <c r="B1153" t="inlineStr">
        <is>
          <t>Electronics Supplier 072</t>
        </is>
      </c>
      <c r="C1153" t="inlineStr">
        <is>
          <t>Electronics</t>
        </is>
      </c>
      <c r="D1153" t="n">
        <v>2024</v>
      </c>
      <c r="E1153" t="n">
        <v>2018</v>
      </c>
      <c r="F1153" t="n">
        <v>2040</v>
      </c>
      <c r="G1153" t="n">
        <v>972.736</v>
      </c>
      <c r="H1153" t="n">
        <v>187.3418</v>
      </c>
      <c r="I1153" t="inlineStr"/>
      <c r="J1153" t="n">
        <v>717.5767</v>
      </c>
      <c r="K1153" t="inlineStr"/>
      <c r="L1153" t="n">
        <v>8856001.5</v>
      </c>
      <c r="M1153" t="n">
        <v>972.736</v>
      </c>
      <c r="N1153" t="inlineStr">
        <is>
          <t>Supplier Reported Emissions</t>
        </is>
      </c>
      <c r="O1153" t="b">
        <v>0</v>
      </c>
      <c r="P1153" t="inlineStr">
        <is>
          <t>High</t>
        </is>
      </c>
      <c r="Q1153" t="inlineStr">
        <is>
          <t>Gross_Spend; Scope_Emissions</t>
        </is>
      </c>
      <c r="R1153" t="inlineStr">
        <is>
          <t>Valid</t>
        </is>
      </c>
      <c r="S1153" t="n">
        <v>2040</v>
      </c>
      <c r="T1153" t="inlineStr">
        <is>
          <t>Supplier Target Pathway</t>
        </is>
      </c>
      <c r="U1153" t="n">
        <v>1180.8962</v>
      </c>
      <c r="V1153" t="n">
        <v>504.715</v>
      </c>
      <c r="W1153" t="n">
        <v>504.715</v>
      </c>
      <c r="X1153" t="n">
        <v>504.715</v>
      </c>
      <c r="Y1153" t="n">
        <v>676.1812</v>
      </c>
      <c r="Z1153" t="inlineStr"/>
      <c r="AA1153" t="inlineStr"/>
      <c r="AB1153" t="n">
        <v>0</v>
      </c>
      <c r="AC1153" t="n">
        <v>30.7355</v>
      </c>
      <c r="AD1153" t="n">
        <v>-3688.2614</v>
      </c>
      <c r="AE1153" t="n">
        <v>11763.7014</v>
      </c>
      <c r="AF1153" t="n">
        <v>0.99</v>
      </c>
      <c r="AG1153" t="inlineStr">
        <is>
          <t>Low</t>
        </is>
      </c>
      <c r="AH1153" t="inlineStr">
        <is>
          <t>On Track</t>
        </is>
      </c>
    </row>
    <row r="1154">
      <c r="A1154" t="inlineStr">
        <is>
          <t>SUP-0073</t>
        </is>
      </c>
      <c r="B1154" t="inlineStr">
        <is>
          <t>Packaging Supplier 073</t>
        </is>
      </c>
      <c r="C1154" t="inlineStr">
        <is>
          <t>Packaging</t>
        </is>
      </c>
      <c r="D1154" t="n">
        <v>2024</v>
      </c>
      <c r="E1154" t="n">
        <v>2021</v>
      </c>
      <c r="F1154" t="n">
        <v>2030</v>
      </c>
      <c r="G1154" t="n">
        <v>14596.7449</v>
      </c>
      <c r="H1154" t="n">
        <v>1180.2512</v>
      </c>
      <c r="I1154" t="inlineStr"/>
      <c r="J1154" t="inlineStr"/>
      <c r="K1154" t="n">
        <v>16909834.93</v>
      </c>
      <c r="L1154" t="n">
        <v>82051194.03</v>
      </c>
      <c r="M1154" t="n">
        <v>14596.7449</v>
      </c>
      <c r="N1154" t="inlineStr">
        <is>
          <t>Supplier Reported Emissions</t>
        </is>
      </c>
      <c r="O1154" t="b">
        <v>0</v>
      </c>
      <c r="P1154" t="inlineStr">
        <is>
          <t>High</t>
        </is>
      </c>
      <c r="Q1154" t="inlineStr">
        <is>
          <t>Scope_Emissions</t>
        </is>
      </c>
      <c r="R1154" t="inlineStr">
        <is>
          <t>Valid</t>
        </is>
      </c>
      <c r="S1154" t="n">
        <v>2025</v>
      </c>
      <c r="T1154" t="inlineStr">
        <is>
          <t>Supplier Target Pathway</t>
        </is>
      </c>
      <c r="U1154" t="n">
        <v>15485.7705</v>
      </c>
      <c r="V1154" t="n">
        <v>6186.5653</v>
      </c>
      <c r="W1154" t="n">
        <v>11352.7904</v>
      </c>
      <c r="X1154" t="n">
        <v>11352.7904</v>
      </c>
      <c r="Y1154" t="n">
        <v>4132.9801</v>
      </c>
      <c r="Z1154" t="n">
        <v>0.00067137</v>
      </c>
      <c r="AA1154" t="n">
        <v>0.266889</v>
      </c>
      <c r="AB1154" t="n">
        <v>5166.2251</v>
      </c>
      <c r="AC1154" t="n">
        <v>1033.245</v>
      </c>
      <c r="AD1154" t="n">
        <v>25766.6014</v>
      </c>
      <c r="AE1154" t="n">
        <v>11352.7904</v>
      </c>
      <c r="AF1154" t="n">
        <v>0.99</v>
      </c>
      <c r="AG1154" t="inlineStr">
        <is>
          <t>Critical</t>
        </is>
      </c>
      <c r="AH1154" t="inlineStr">
        <is>
          <t>On Track to Glide Path</t>
        </is>
      </c>
    </row>
    <row r="1155">
      <c r="A1155" t="inlineStr">
        <is>
          <t>SUP-0073</t>
        </is>
      </c>
      <c r="B1155" t="inlineStr">
        <is>
          <t>Packaging Supplier 073</t>
        </is>
      </c>
      <c r="C1155" t="inlineStr">
        <is>
          <t>Packaging</t>
        </is>
      </c>
      <c r="D1155" t="n">
        <v>2024</v>
      </c>
      <c r="E1155" t="n">
        <v>2021</v>
      </c>
      <c r="F1155" t="n">
        <v>2030</v>
      </c>
      <c r="G1155" t="n">
        <v>14596.7449</v>
      </c>
      <c r="H1155" t="n">
        <v>1180.2512</v>
      </c>
      <c r="I1155" t="inlineStr"/>
      <c r="J1155" t="inlineStr"/>
      <c r="K1155" t="n">
        <v>16909834.93</v>
      </c>
      <c r="L1155" t="n">
        <v>82051194.03</v>
      </c>
      <c r="M1155" t="n">
        <v>14596.7449</v>
      </c>
      <c r="N1155" t="inlineStr">
        <is>
          <t>Supplier Reported Emissions</t>
        </is>
      </c>
      <c r="O1155" t="b">
        <v>0</v>
      </c>
      <c r="P1155" t="inlineStr">
        <is>
          <t>High</t>
        </is>
      </c>
      <c r="Q1155" t="inlineStr">
        <is>
          <t>Scope_Emissions</t>
        </is>
      </c>
      <c r="R1155" t="inlineStr">
        <is>
          <t>Valid</t>
        </is>
      </c>
      <c r="S1155" t="n">
        <v>2026</v>
      </c>
      <c r="T1155" t="inlineStr">
        <is>
          <t>Supplier Target Pathway</t>
        </is>
      </c>
      <c r="U1155" t="n">
        <v>15485.7705</v>
      </c>
      <c r="V1155" t="n">
        <v>6186.5653</v>
      </c>
      <c r="W1155" t="n">
        <v>10319.5454</v>
      </c>
      <c r="X1155" t="n">
        <v>10319.5454</v>
      </c>
      <c r="Y1155" t="n">
        <v>5166.2251</v>
      </c>
      <c r="Z1155" t="n">
        <v>0.00061027</v>
      </c>
      <c r="AA1155" t="n">
        <v>0.333611</v>
      </c>
      <c r="AB1155" t="n">
        <v>4132.9801</v>
      </c>
      <c r="AC1155" t="n">
        <v>1033.245</v>
      </c>
      <c r="AD1155" t="n">
        <v>15447.056</v>
      </c>
      <c r="AE1155" t="n">
        <v>21672.3358</v>
      </c>
      <c r="AF1155" t="n">
        <v>0.99</v>
      </c>
      <c r="AG1155" t="inlineStr">
        <is>
          <t>Critical</t>
        </is>
      </c>
      <c r="AH1155" t="inlineStr">
        <is>
          <t>On Track to Glide Path</t>
        </is>
      </c>
    </row>
    <row r="1156">
      <c r="A1156" t="inlineStr">
        <is>
          <t>SUP-0073</t>
        </is>
      </c>
      <c r="B1156" t="inlineStr">
        <is>
          <t>Packaging Supplier 073</t>
        </is>
      </c>
      <c r="C1156" t="inlineStr">
        <is>
          <t>Packaging</t>
        </is>
      </c>
      <c r="D1156" t="n">
        <v>2024</v>
      </c>
      <c r="E1156" t="n">
        <v>2021</v>
      </c>
      <c r="F1156" t="n">
        <v>2030</v>
      </c>
      <c r="G1156" t="n">
        <v>14596.7449</v>
      </c>
      <c r="H1156" t="n">
        <v>1180.2512</v>
      </c>
      <c r="I1156" t="inlineStr"/>
      <c r="J1156" t="inlineStr"/>
      <c r="K1156" t="n">
        <v>16909834.93</v>
      </c>
      <c r="L1156" t="n">
        <v>82051194.03</v>
      </c>
      <c r="M1156" t="n">
        <v>14596.7449</v>
      </c>
      <c r="N1156" t="inlineStr">
        <is>
          <t>Supplier Reported Emissions</t>
        </is>
      </c>
      <c r="O1156" t="b">
        <v>0</v>
      </c>
      <c r="P1156" t="inlineStr">
        <is>
          <t>High</t>
        </is>
      </c>
      <c r="Q1156" t="inlineStr">
        <is>
          <t>Scope_Emissions</t>
        </is>
      </c>
      <c r="R1156" t="inlineStr">
        <is>
          <t>Valid</t>
        </is>
      </c>
      <c r="S1156" t="n">
        <v>2027</v>
      </c>
      <c r="T1156" t="inlineStr">
        <is>
          <t>Supplier Target Pathway</t>
        </is>
      </c>
      <c r="U1156" t="n">
        <v>15485.7705</v>
      </c>
      <c r="V1156" t="n">
        <v>6186.5653</v>
      </c>
      <c r="W1156" t="n">
        <v>9286.3004</v>
      </c>
      <c r="X1156" t="n">
        <v>9286.3004</v>
      </c>
      <c r="Y1156" t="n">
        <v>6199.4701</v>
      </c>
      <c r="Z1156" t="n">
        <v>0.00054917</v>
      </c>
      <c r="AA1156" t="n">
        <v>0.400333</v>
      </c>
      <c r="AB1156" t="n">
        <v>3099.7351</v>
      </c>
      <c r="AC1156" t="n">
        <v>1033.245</v>
      </c>
      <c r="AD1156" t="n">
        <v>6160.7556</v>
      </c>
      <c r="AE1156" t="n">
        <v>30958.6362</v>
      </c>
      <c r="AF1156" t="n">
        <v>0.99</v>
      </c>
      <c r="AG1156" t="inlineStr">
        <is>
          <t>Critical</t>
        </is>
      </c>
      <c r="AH1156" t="inlineStr">
        <is>
          <t>On Track to Glide Path</t>
        </is>
      </c>
    </row>
    <row r="1157">
      <c r="A1157" t="inlineStr">
        <is>
          <t>SUP-0073</t>
        </is>
      </c>
      <c r="B1157" t="inlineStr">
        <is>
          <t>Packaging Supplier 073</t>
        </is>
      </c>
      <c r="C1157" t="inlineStr">
        <is>
          <t>Packaging</t>
        </is>
      </c>
      <c r="D1157" t="n">
        <v>2024</v>
      </c>
      <c r="E1157" t="n">
        <v>2021</v>
      </c>
      <c r="F1157" t="n">
        <v>2030</v>
      </c>
      <c r="G1157" t="n">
        <v>14596.7449</v>
      </c>
      <c r="H1157" t="n">
        <v>1180.2512</v>
      </c>
      <c r="I1157" t="inlineStr"/>
      <c r="J1157" t="inlineStr"/>
      <c r="K1157" t="n">
        <v>16909834.93</v>
      </c>
      <c r="L1157" t="n">
        <v>82051194.03</v>
      </c>
      <c r="M1157" t="n">
        <v>14596.7449</v>
      </c>
      <c r="N1157" t="inlineStr">
        <is>
          <t>Supplier Reported Emissions</t>
        </is>
      </c>
      <c r="O1157" t="b">
        <v>0</v>
      </c>
      <c r="P1157" t="inlineStr">
        <is>
          <t>High</t>
        </is>
      </c>
      <c r="Q1157" t="inlineStr">
        <is>
          <t>Scope_Emissions</t>
        </is>
      </c>
      <c r="R1157" t="inlineStr">
        <is>
          <t>Valid</t>
        </is>
      </c>
      <c r="S1157" t="n">
        <v>2028</v>
      </c>
      <c r="T1157" t="inlineStr">
        <is>
          <t>Supplier Target Pathway</t>
        </is>
      </c>
      <c r="U1157" t="n">
        <v>15485.7705</v>
      </c>
      <c r="V1157" t="n">
        <v>6186.5653</v>
      </c>
      <c r="W1157" t="n">
        <v>8253.055399999999</v>
      </c>
      <c r="X1157" t="n">
        <v>8253.055399999999</v>
      </c>
      <c r="Y1157" t="n">
        <v>7232.7151</v>
      </c>
      <c r="Z1157" t="n">
        <v>0.00048806</v>
      </c>
      <c r="AA1157" t="n">
        <v>0.467056</v>
      </c>
      <c r="AB1157" t="n">
        <v>2066.49</v>
      </c>
      <c r="AC1157" t="n">
        <v>1033.245</v>
      </c>
      <c r="AD1157" t="n">
        <v>-2092.2998</v>
      </c>
      <c r="AE1157" t="n">
        <v>39211.6916</v>
      </c>
      <c r="AF1157" t="n">
        <v>0.99</v>
      </c>
      <c r="AG1157" t="inlineStr">
        <is>
          <t>High</t>
        </is>
      </c>
      <c r="AH1157" t="inlineStr">
        <is>
          <t>On Track to Glide Path</t>
        </is>
      </c>
    </row>
    <row r="1158">
      <c r="A1158" t="inlineStr">
        <is>
          <t>SUP-0073</t>
        </is>
      </c>
      <c r="B1158" t="inlineStr">
        <is>
          <t>Packaging Supplier 073</t>
        </is>
      </c>
      <c r="C1158" t="inlineStr">
        <is>
          <t>Packaging</t>
        </is>
      </c>
      <c r="D1158" t="n">
        <v>2024</v>
      </c>
      <c r="E1158" t="n">
        <v>2021</v>
      </c>
      <c r="F1158" t="n">
        <v>2030</v>
      </c>
      <c r="G1158" t="n">
        <v>14596.7449</v>
      </c>
      <c r="H1158" t="n">
        <v>1180.2512</v>
      </c>
      <c r="I1158" t="inlineStr"/>
      <c r="J1158" t="inlineStr"/>
      <c r="K1158" t="n">
        <v>16909834.93</v>
      </c>
      <c r="L1158" t="n">
        <v>82051194.03</v>
      </c>
      <c r="M1158" t="n">
        <v>14596.7449</v>
      </c>
      <c r="N1158" t="inlineStr">
        <is>
          <t>Supplier Reported Emissions</t>
        </is>
      </c>
      <c r="O1158" t="b">
        <v>0</v>
      </c>
      <c r="P1158" t="inlineStr">
        <is>
          <t>High</t>
        </is>
      </c>
      <c r="Q1158" t="inlineStr">
        <is>
          <t>Scope_Emissions</t>
        </is>
      </c>
      <c r="R1158" t="inlineStr">
        <is>
          <t>Valid</t>
        </is>
      </c>
      <c r="S1158" t="n">
        <v>2029</v>
      </c>
      <c r="T1158" t="inlineStr">
        <is>
          <t>Supplier Target Pathway</t>
        </is>
      </c>
      <c r="U1158" t="n">
        <v>15485.7705</v>
      </c>
      <c r="V1158" t="n">
        <v>6186.5653</v>
      </c>
      <c r="W1158" t="n">
        <v>7219.8103</v>
      </c>
      <c r="X1158" t="n">
        <v>7219.8103</v>
      </c>
      <c r="Y1158" t="n">
        <v>8265.9602</v>
      </c>
      <c r="Z1158" t="n">
        <v>0.00042696</v>
      </c>
      <c r="AA1158" t="n">
        <v>0.533778</v>
      </c>
      <c r="AB1158" t="n">
        <v>1033.245</v>
      </c>
      <c r="AC1158" t="n">
        <v>1033.245</v>
      </c>
      <c r="AD1158" t="n">
        <v>-9312.1101</v>
      </c>
      <c r="AE1158" t="n">
        <v>46431.5019</v>
      </c>
      <c r="AF1158" t="n">
        <v>0.99</v>
      </c>
      <c r="AG1158" t="inlineStr">
        <is>
          <t>High</t>
        </is>
      </c>
      <c r="AH1158" t="inlineStr">
        <is>
          <t>On Track to Glide Path</t>
        </is>
      </c>
    </row>
    <row r="1159">
      <c r="A1159" t="inlineStr">
        <is>
          <t>SUP-0073</t>
        </is>
      </c>
      <c r="B1159" t="inlineStr">
        <is>
          <t>Packaging Supplier 073</t>
        </is>
      </c>
      <c r="C1159" t="inlineStr">
        <is>
          <t>Packaging</t>
        </is>
      </c>
      <c r="D1159" t="n">
        <v>2024</v>
      </c>
      <c r="E1159" t="n">
        <v>2021</v>
      </c>
      <c r="F1159" t="n">
        <v>2030</v>
      </c>
      <c r="G1159" t="n">
        <v>14596.7449</v>
      </c>
      <c r="H1159" t="n">
        <v>1180.2512</v>
      </c>
      <c r="I1159" t="inlineStr"/>
      <c r="J1159" t="inlineStr"/>
      <c r="K1159" t="n">
        <v>16909834.93</v>
      </c>
      <c r="L1159" t="n">
        <v>82051194.03</v>
      </c>
      <c r="M1159" t="n">
        <v>14596.7449</v>
      </c>
      <c r="N1159" t="inlineStr">
        <is>
          <t>Supplier Reported Emissions</t>
        </is>
      </c>
      <c r="O1159" t="b">
        <v>0</v>
      </c>
      <c r="P1159" t="inlineStr">
        <is>
          <t>High</t>
        </is>
      </c>
      <c r="Q1159" t="inlineStr">
        <is>
          <t>Scope_Emissions</t>
        </is>
      </c>
      <c r="R1159" t="inlineStr">
        <is>
          <t>Valid</t>
        </is>
      </c>
      <c r="S1159" t="n">
        <v>2030</v>
      </c>
      <c r="T1159" t="inlineStr">
        <is>
          <t>Supplier Target Pathway</t>
        </is>
      </c>
      <c r="U1159" t="n">
        <v>15485.7705</v>
      </c>
      <c r="V1159" t="n">
        <v>6186.5653</v>
      </c>
      <c r="W1159" t="n">
        <v>6186.5653</v>
      </c>
      <c r="X1159" t="n">
        <v>6186.5653</v>
      </c>
      <c r="Y1159" t="n">
        <v>9299.2052</v>
      </c>
      <c r="Z1159" t="n">
        <v>0.00036586</v>
      </c>
      <c r="AA1159" t="n">
        <v>0.6005</v>
      </c>
      <c r="AB1159" t="n">
        <v>0</v>
      </c>
      <c r="AC1159" t="n">
        <v>1033.245</v>
      </c>
      <c r="AD1159" t="n">
        <v>-15498.6754</v>
      </c>
      <c r="AE1159" t="n">
        <v>52618.0672</v>
      </c>
      <c r="AF1159" t="n">
        <v>0.99</v>
      </c>
      <c r="AG1159" t="inlineStr">
        <is>
          <t>Low</t>
        </is>
      </c>
      <c r="AH1159" t="inlineStr">
        <is>
          <t>On Track</t>
        </is>
      </c>
    </row>
    <row r="1160">
      <c r="A1160" t="inlineStr">
        <is>
          <t>SUP-0073</t>
        </is>
      </c>
      <c r="B1160" t="inlineStr">
        <is>
          <t>Packaging Supplier 073</t>
        </is>
      </c>
      <c r="C1160" t="inlineStr">
        <is>
          <t>Packaging</t>
        </is>
      </c>
      <c r="D1160" t="n">
        <v>2024</v>
      </c>
      <c r="E1160" t="n">
        <v>2021</v>
      </c>
      <c r="F1160" t="n">
        <v>2030</v>
      </c>
      <c r="G1160" t="n">
        <v>14596.7449</v>
      </c>
      <c r="H1160" t="n">
        <v>1180.2512</v>
      </c>
      <c r="I1160" t="inlineStr"/>
      <c r="J1160" t="inlineStr"/>
      <c r="K1160" t="n">
        <v>16909834.93</v>
      </c>
      <c r="L1160" t="n">
        <v>82051194.03</v>
      </c>
      <c r="M1160" t="n">
        <v>14596.7449</v>
      </c>
      <c r="N1160" t="inlineStr">
        <is>
          <t>Supplier Reported Emissions</t>
        </is>
      </c>
      <c r="O1160" t="b">
        <v>0</v>
      </c>
      <c r="P1160" t="inlineStr">
        <is>
          <t>High</t>
        </is>
      </c>
      <c r="Q1160" t="inlineStr">
        <is>
          <t>Scope_Emissions</t>
        </is>
      </c>
      <c r="R1160" t="inlineStr">
        <is>
          <t>Valid</t>
        </is>
      </c>
      <c r="S1160" t="n">
        <v>2031</v>
      </c>
      <c r="T1160" t="inlineStr">
        <is>
          <t>Supplier Target Pathway</t>
        </is>
      </c>
      <c r="U1160" t="n">
        <v>15485.7705</v>
      </c>
      <c r="V1160" t="n">
        <v>6186.5653</v>
      </c>
      <c r="W1160" t="n">
        <v>6186.5653</v>
      </c>
      <c r="X1160" t="n">
        <v>6186.5653</v>
      </c>
      <c r="Y1160" t="n">
        <v>9299.2052</v>
      </c>
      <c r="Z1160" t="n">
        <v>0.00036586</v>
      </c>
      <c r="AA1160" t="n">
        <v>0.6005</v>
      </c>
      <c r="AB1160" t="n">
        <v>0</v>
      </c>
      <c r="AC1160" t="n">
        <v>1033.245</v>
      </c>
      <c r="AD1160" t="n">
        <v>-21685.2407</v>
      </c>
      <c r="AE1160" t="n">
        <v>58804.6325</v>
      </c>
      <c r="AF1160" t="n">
        <v>0.99</v>
      </c>
      <c r="AG1160" t="inlineStr">
        <is>
          <t>Low</t>
        </is>
      </c>
      <c r="AH1160" t="inlineStr">
        <is>
          <t>On Track</t>
        </is>
      </c>
    </row>
    <row r="1161">
      <c r="A1161" t="inlineStr">
        <is>
          <t>SUP-0073</t>
        </is>
      </c>
      <c r="B1161" t="inlineStr">
        <is>
          <t>Packaging Supplier 073</t>
        </is>
      </c>
      <c r="C1161" t="inlineStr">
        <is>
          <t>Packaging</t>
        </is>
      </c>
      <c r="D1161" t="n">
        <v>2024</v>
      </c>
      <c r="E1161" t="n">
        <v>2021</v>
      </c>
      <c r="F1161" t="n">
        <v>2030</v>
      </c>
      <c r="G1161" t="n">
        <v>14596.7449</v>
      </c>
      <c r="H1161" t="n">
        <v>1180.2512</v>
      </c>
      <c r="I1161" t="inlineStr"/>
      <c r="J1161" t="inlineStr"/>
      <c r="K1161" t="n">
        <v>16909834.93</v>
      </c>
      <c r="L1161" t="n">
        <v>82051194.03</v>
      </c>
      <c r="M1161" t="n">
        <v>14596.7449</v>
      </c>
      <c r="N1161" t="inlineStr">
        <is>
          <t>Supplier Reported Emissions</t>
        </is>
      </c>
      <c r="O1161" t="b">
        <v>0</v>
      </c>
      <c r="P1161" t="inlineStr">
        <is>
          <t>High</t>
        </is>
      </c>
      <c r="Q1161" t="inlineStr">
        <is>
          <t>Scope_Emissions</t>
        </is>
      </c>
      <c r="R1161" t="inlineStr">
        <is>
          <t>Valid</t>
        </is>
      </c>
      <c r="S1161" t="n">
        <v>2032</v>
      </c>
      <c r="T1161" t="inlineStr">
        <is>
          <t>Supplier Target Pathway</t>
        </is>
      </c>
      <c r="U1161" t="n">
        <v>15485.7705</v>
      </c>
      <c r="V1161" t="n">
        <v>6186.5653</v>
      </c>
      <c r="W1161" t="n">
        <v>6186.5653</v>
      </c>
      <c r="X1161" t="n">
        <v>6186.5653</v>
      </c>
      <c r="Y1161" t="n">
        <v>9299.2052</v>
      </c>
      <c r="Z1161" t="n">
        <v>0.00036586</v>
      </c>
      <c r="AA1161" t="n">
        <v>0.6005</v>
      </c>
      <c r="AB1161" t="n">
        <v>0</v>
      </c>
      <c r="AC1161" t="n">
        <v>1033.245</v>
      </c>
      <c r="AD1161" t="n">
        <v>-27871.806</v>
      </c>
      <c r="AE1161" t="n">
        <v>64991.1978</v>
      </c>
      <c r="AF1161" t="n">
        <v>0.99</v>
      </c>
      <c r="AG1161" t="inlineStr">
        <is>
          <t>Low</t>
        </is>
      </c>
      <c r="AH1161" t="inlineStr">
        <is>
          <t>On Track</t>
        </is>
      </c>
    </row>
    <row r="1162">
      <c r="A1162" t="inlineStr">
        <is>
          <t>SUP-0073</t>
        </is>
      </c>
      <c r="B1162" t="inlineStr">
        <is>
          <t>Packaging Supplier 073</t>
        </is>
      </c>
      <c r="C1162" t="inlineStr">
        <is>
          <t>Packaging</t>
        </is>
      </c>
      <c r="D1162" t="n">
        <v>2024</v>
      </c>
      <c r="E1162" t="n">
        <v>2021</v>
      </c>
      <c r="F1162" t="n">
        <v>2030</v>
      </c>
      <c r="G1162" t="n">
        <v>14596.7449</v>
      </c>
      <c r="H1162" t="n">
        <v>1180.2512</v>
      </c>
      <c r="I1162" t="inlineStr"/>
      <c r="J1162" t="inlineStr"/>
      <c r="K1162" t="n">
        <v>16909834.93</v>
      </c>
      <c r="L1162" t="n">
        <v>82051194.03</v>
      </c>
      <c r="M1162" t="n">
        <v>14596.7449</v>
      </c>
      <c r="N1162" t="inlineStr">
        <is>
          <t>Supplier Reported Emissions</t>
        </is>
      </c>
      <c r="O1162" t="b">
        <v>0</v>
      </c>
      <c r="P1162" t="inlineStr">
        <is>
          <t>High</t>
        </is>
      </c>
      <c r="Q1162" t="inlineStr">
        <is>
          <t>Scope_Emissions</t>
        </is>
      </c>
      <c r="R1162" t="inlineStr">
        <is>
          <t>Valid</t>
        </is>
      </c>
      <c r="S1162" t="n">
        <v>2033</v>
      </c>
      <c r="T1162" t="inlineStr">
        <is>
          <t>Supplier Target Pathway</t>
        </is>
      </c>
      <c r="U1162" t="n">
        <v>15485.7705</v>
      </c>
      <c r="V1162" t="n">
        <v>6186.5653</v>
      </c>
      <c r="W1162" t="n">
        <v>6186.5653</v>
      </c>
      <c r="X1162" t="n">
        <v>6186.5653</v>
      </c>
      <c r="Y1162" t="n">
        <v>9299.2052</v>
      </c>
      <c r="Z1162" t="n">
        <v>0.00036586</v>
      </c>
      <c r="AA1162" t="n">
        <v>0.6005</v>
      </c>
      <c r="AB1162" t="n">
        <v>0</v>
      </c>
      <c r="AC1162" t="n">
        <v>1033.245</v>
      </c>
      <c r="AD1162" t="n">
        <v>-34058.3713</v>
      </c>
      <c r="AE1162" t="n">
        <v>71177.7631</v>
      </c>
      <c r="AF1162" t="n">
        <v>0.99</v>
      </c>
      <c r="AG1162" t="inlineStr">
        <is>
          <t>Low</t>
        </is>
      </c>
      <c r="AH1162" t="inlineStr">
        <is>
          <t>On Track</t>
        </is>
      </c>
    </row>
    <row r="1163">
      <c r="A1163" t="inlineStr">
        <is>
          <t>SUP-0073</t>
        </is>
      </c>
      <c r="B1163" t="inlineStr">
        <is>
          <t>Packaging Supplier 073</t>
        </is>
      </c>
      <c r="C1163" t="inlineStr">
        <is>
          <t>Packaging</t>
        </is>
      </c>
      <c r="D1163" t="n">
        <v>2024</v>
      </c>
      <c r="E1163" t="n">
        <v>2021</v>
      </c>
      <c r="F1163" t="n">
        <v>2030</v>
      </c>
      <c r="G1163" t="n">
        <v>14596.7449</v>
      </c>
      <c r="H1163" t="n">
        <v>1180.2512</v>
      </c>
      <c r="I1163" t="inlineStr"/>
      <c r="J1163" t="inlineStr"/>
      <c r="K1163" t="n">
        <v>16909834.93</v>
      </c>
      <c r="L1163" t="n">
        <v>82051194.03</v>
      </c>
      <c r="M1163" t="n">
        <v>14596.7449</v>
      </c>
      <c r="N1163" t="inlineStr">
        <is>
          <t>Supplier Reported Emissions</t>
        </is>
      </c>
      <c r="O1163" t="b">
        <v>0</v>
      </c>
      <c r="P1163" t="inlineStr">
        <is>
          <t>High</t>
        </is>
      </c>
      <c r="Q1163" t="inlineStr">
        <is>
          <t>Scope_Emissions</t>
        </is>
      </c>
      <c r="R1163" t="inlineStr">
        <is>
          <t>Valid</t>
        </is>
      </c>
      <c r="S1163" t="n">
        <v>2034</v>
      </c>
      <c r="T1163" t="inlineStr">
        <is>
          <t>Supplier Target Pathway</t>
        </is>
      </c>
      <c r="U1163" t="n">
        <v>15485.7705</v>
      </c>
      <c r="V1163" t="n">
        <v>6186.5653</v>
      </c>
      <c r="W1163" t="n">
        <v>6186.5653</v>
      </c>
      <c r="X1163" t="n">
        <v>6186.5653</v>
      </c>
      <c r="Y1163" t="n">
        <v>9299.2052</v>
      </c>
      <c r="Z1163" t="n">
        <v>0.00036586</v>
      </c>
      <c r="AA1163" t="n">
        <v>0.6005</v>
      </c>
      <c r="AB1163" t="n">
        <v>0</v>
      </c>
      <c r="AC1163" t="n">
        <v>1033.245</v>
      </c>
      <c r="AD1163" t="n">
        <v>-40244.9366</v>
      </c>
      <c r="AE1163" t="n">
        <v>77364.3284</v>
      </c>
      <c r="AF1163" t="n">
        <v>0.99</v>
      </c>
      <c r="AG1163" t="inlineStr">
        <is>
          <t>Low</t>
        </is>
      </c>
      <c r="AH1163" t="inlineStr">
        <is>
          <t>On Track</t>
        </is>
      </c>
    </row>
    <row r="1164">
      <c r="A1164" t="inlineStr">
        <is>
          <t>SUP-0073</t>
        </is>
      </c>
      <c r="B1164" t="inlineStr">
        <is>
          <t>Packaging Supplier 073</t>
        </is>
      </c>
      <c r="C1164" t="inlineStr">
        <is>
          <t>Packaging</t>
        </is>
      </c>
      <c r="D1164" t="n">
        <v>2024</v>
      </c>
      <c r="E1164" t="n">
        <v>2021</v>
      </c>
      <c r="F1164" t="n">
        <v>2030</v>
      </c>
      <c r="G1164" t="n">
        <v>14596.7449</v>
      </c>
      <c r="H1164" t="n">
        <v>1180.2512</v>
      </c>
      <c r="I1164" t="inlineStr"/>
      <c r="J1164" t="inlineStr"/>
      <c r="K1164" t="n">
        <v>16909834.93</v>
      </c>
      <c r="L1164" t="n">
        <v>82051194.03</v>
      </c>
      <c r="M1164" t="n">
        <v>14596.7449</v>
      </c>
      <c r="N1164" t="inlineStr">
        <is>
          <t>Supplier Reported Emissions</t>
        </is>
      </c>
      <c r="O1164" t="b">
        <v>0</v>
      </c>
      <c r="P1164" t="inlineStr">
        <is>
          <t>High</t>
        </is>
      </c>
      <c r="Q1164" t="inlineStr">
        <is>
          <t>Scope_Emissions</t>
        </is>
      </c>
      <c r="R1164" t="inlineStr">
        <is>
          <t>Valid</t>
        </is>
      </c>
      <c r="S1164" t="n">
        <v>2035</v>
      </c>
      <c r="T1164" t="inlineStr">
        <is>
          <t>Supplier Target Pathway</t>
        </is>
      </c>
      <c r="U1164" t="n">
        <v>15485.7705</v>
      </c>
      <c r="V1164" t="n">
        <v>6186.5653</v>
      </c>
      <c r="W1164" t="n">
        <v>6186.5653</v>
      </c>
      <c r="X1164" t="n">
        <v>6186.5653</v>
      </c>
      <c r="Y1164" t="n">
        <v>9299.2052</v>
      </c>
      <c r="Z1164" t="n">
        <v>0.00036586</v>
      </c>
      <c r="AA1164" t="n">
        <v>0.6005</v>
      </c>
      <c r="AB1164" t="n">
        <v>0</v>
      </c>
      <c r="AC1164" t="n">
        <v>1033.245</v>
      </c>
      <c r="AD1164" t="n">
        <v>-46431.5019</v>
      </c>
      <c r="AE1164" t="n">
        <v>83550.8937</v>
      </c>
      <c r="AF1164" t="n">
        <v>0.99</v>
      </c>
      <c r="AG1164" t="inlineStr">
        <is>
          <t>Low</t>
        </is>
      </c>
      <c r="AH1164" t="inlineStr">
        <is>
          <t>On Track</t>
        </is>
      </c>
    </row>
    <row r="1165">
      <c r="A1165" t="inlineStr">
        <is>
          <t>SUP-0073</t>
        </is>
      </c>
      <c r="B1165" t="inlineStr">
        <is>
          <t>Packaging Supplier 073</t>
        </is>
      </c>
      <c r="C1165" t="inlineStr">
        <is>
          <t>Packaging</t>
        </is>
      </c>
      <c r="D1165" t="n">
        <v>2024</v>
      </c>
      <c r="E1165" t="n">
        <v>2021</v>
      </c>
      <c r="F1165" t="n">
        <v>2030</v>
      </c>
      <c r="G1165" t="n">
        <v>14596.7449</v>
      </c>
      <c r="H1165" t="n">
        <v>1180.2512</v>
      </c>
      <c r="I1165" t="inlineStr"/>
      <c r="J1165" t="inlineStr"/>
      <c r="K1165" t="n">
        <v>16909834.93</v>
      </c>
      <c r="L1165" t="n">
        <v>82051194.03</v>
      </c>
      <c r="M1165" t="n">
        <v>14596.7449</v>
      </c>
      <c r="N1165" t="inlineStr">
        <is>
          <t>Supplier Reported Emissions</t>
        </is>
      </c>
      <c r="O1165" t="b">
        <v>0</v>
      </c>
      <c r="P1165" t="inlineStr">
        <is>
          <t>High</t>
        </is>
      </c>
      <c r="Q1165" t="inlineStr">
        <is>
          <t>Scope_Emissions</t>
        </is>
      </c>
      <c r="R1165" t="inlineStr">
        <is>
          <t>Valid</t>
        </is>
      </c>
      <c r="S1165" t="n">
        <v>2036</v>
      </c>
      <c r="T1165" t="inlineStr">
        <is>
          <t>Supplier Target Pathway</t>
        </is>
      </c>
      <c r="U1165" t="n">
        <v>15485.7705</v>
      </c>
      <c r="V1165" t="n">
        <v>6186.5653</v>
      </c>
      <c r="W1165" t="n">
        <v>6186.5653</v>
      </c>
      <c r="X1165" t="n">
        <v>6186.5653</v>
      </c>
      <c r="Y1165" t="n">
        <v>9299.2052</v>
      </c>
      <c r="Z1165" t="n">
        <v>0.00036586</v>
      </c>
      <c r="AA1165" t="n">
        <v>0.6005</v>
      </c>
      <c r="AB1165" t="n">
        <v>0</v>
      </c>
      <c r="AC1165" t="n">
        <v>1033.245</v>
      </c>
      <c r="AD1165" t="n">
        <v>-52618.0672</v>
      </c>
      <c r="AE1165" t="n">
        <v>89737.459</v>
      </c>
      <c r="AF1165" t="n">
        <v>0.99</v>
      </c>
      <c r="AG1165" t="inlineStr">
        <is>
          <t>Low</t>
        </is>
      </c>
      <c r="AH1165" t="inlineStr">
        <is>
          <t>On Track</t>
        </is>
      </c>
    </row>
    <row r="1166">
      <c r="A1166" t="inlineStr">
        <is>
          <t>SUP-0073</t>
        </is>
      </c>
      <c r="B1166" t="inlineStr">
        <is>
          <t>Packaging Supplier 073</t>
        </is>
      </c>
      <c r="C1166" t="inlineStr">
        <is>
          <t>Packaging</t>
        </is>
      </c>
      <c r="D1166" t="n">
        <v>2024</v>
      </c>
      <c r="E1166" t="n">
        <v>2021</v>
      </c>
      <c r="F1166" t="n">
        <v>2030</v>
      </c>
      <c r="G1166" t="n">
        <v>14596.7449</v>
      </c>
      <c r="H1166" t="n">
        <v>1180.2512</v>
      </c>
      <c r="I1166" t="inlineStr"/>
      <c r="J1166" t="inlineStr"/>
      <c r="K1166" t="n">
        <v>16909834.93</v>
      </c>
      <c r="L1166" t="n">
        <v>82051194.03</v>
      </c>
      <c r="M1166" t="n">
        <v>14596.7449</v>
      </c>
      <c r="N1166" t="inlineStr">
        <is>
          <t>Supplier Reported Emissions</t>
        </is>
      </c>
      <c r="O1166" t="b">
        <v>0</v>
      </c>
      <c r="P1166" t="inlineStr">
        <is>
          <t>High</t>
        </is>
      </c>
      <c r="Q1166" t="inlineStr">
        <is>
          <t>Scope_Emissions</t>
        </is>
      </c>
      <c r="R1166" t="inlineStr">
        <is>
          <t>Valid</t>
        </is>
      </c>
      <c r="S1166" t="n">
        <v>2037</v>
      </c>
      <c r="T1166" t="inlineStr">
        <is>
          <t>Supplier Target Pathway</t>
        </is>
      </c>
      <c r="U1166" t="n">
        <v>15485.7705</v>
      </c>
      <c r="V1166" t="n">
        <v>6186.5653</v>
      </c>
      <c r="W1166" t="n">
        <v>6186.5653</v>
      </c>
      <c r="X1166" t="n">
        <v>6186.5653</v>
      </c>
      <c r="Y1166" t="n">
        <v>9299.2052</v>
      </c>
      <c r="Z1166" t="n">
        <v>0.00036586</v>
      </c>
      <c r="AA1166" t="n">
        <v>0.6005</v>
      </c>
      <c r="AB1166" t="n">
        <v>0</v>
      </c>
      <c r="AC1166" t="n">
        <v>1033.245</v>
      </c>
      <c r="AD1166" t="n">
        <v>-58804.6325</v>
      </c>
      <c r="AE1166" t="n">
        <v>95924.0243</v>
      </c>
      <c r="AF1166" t="n">
        <v>0.99</v>
      </c>
      <c r="AG1166" t="inlineStr">
        <is>
          <t>Low</t>
        </is>
      </c>
      <c r="AH1166" t="inlineStr">
        <is>
          <t>On Track</t>
        </is>
      </c>
    </row>
    <row r="1167">
      <c r="A1167" t="inlineStr">
        <is>
          <t>SUP-0073</t>
        </is>
      </c>
      <c r="B1167" t="inlineStr">
        <is>
          <t>Packaging Supplier 073</t>
        </is>
      </c>
      <c r="C1167" t="inlineStr">
        <is>
          <t>Packaging</t>
        </is>
      </c>
      <c r="D1167" t="n">
        <v>2024</v>
      </c>
      <c r="E1167" t="n">
        <v>2021</v>
      </c>
      <c r="F1167" t="n">
        <v>2030</v>
      </c>
      <c r="G1167" t="n">
        <v>14596.7449</v>
      </c>
      <c r="H1167" t="n">
        <v>1180.2512</v>
      </c>
      <c r="I1167" t="inlineStr"/>
      <c r="J1167" t="inlineStr"/>
      <c r="K1167" t="n">
        <v>16909834.93</v>
      </c>
      <c r="L1167" t="n">
        <v>82051194.03</v>
      </c>
      <c r="M1167" t="n">
        <v>14596.7449</v>
      </c>
      <c r="N1167" t="inlineStr">
        <is>
          <t>Supplier Reported Emissions</t>
        </is>
      </c>
      <c r="O1167" t="b">
        <v>0</v>
      </c>
      <c r="P1167" t="inlineStr">
        <is>
          <t>High</t>
        </is>
      </c>
      <c r="Q1167" t="inlineStr">
        <is>
          <t>Scope_Emissions</t>
        </is>
      </c>
      <c r="R1167" t="inlineStr">
        <is>
          <t>Valid</t>
        </is>
      </c>
      <c r="S1167" t="n">
        <v>2038</v>
      </c>
      <c r="T1167" t="inlineStr">
        <is>
          <t>Supplier Target Pathway</t>
        </is>
      </c>
      <c r="U1167" t="n">
        <v>15485.7705</v>
      </c>
      <c r="V1167" t="n">
        <v>6186.5653</v>
      </c>
      <c r="W1167" t="n">
        <v>6186.5653</v>
      </c>
      <c r="X1167" t="n">
        <v>6186.5653</v>
      </c>
      <c r="Y1167" t="n">
        <v>9299.2052</v>
      </c>
      <c r="Z1167" t="n">
        <v>0.00036586</v>
      </c>
      <c r="AA1167" t="n">
        <v>0.6005</v>
      </c>
      <c r="AB1167" t="n">
        <v>0</v>
      </c>
      <c r="AC1167" t="n">
        <v>1033.245</v>
      </c>
      <c r="AD1167" t="n">
        <v>-64991.1978</v>
      </c>
      <c r="AE1167" t="n">
        <v>102110.5896</v>
      </c>
      <c r="AF1167" t="n">
        <v>0.99</v>
      </c>
      <c r="AG1167" t="inlineStr">
        <is>
          <t>Low</t>
        </is>
      </c>
      <c r="AH1167" t="inlineStr">
        <is>
          <t>On Track</t>
        </is>
      </c>
    </row>
    <row r="1168">
      <c r="A1168" t="inlineStr">
        <is>
          <t>SUP-0073</t>
        </is>
      </c>
      <c r="B1168" t="inlineStr">
        <is>
          <t>Packaging Supplier 073</t>
        </is>
      </c>
      <c r="C1168" t="inlineStr">
        <is>
          <t>Packaging</t>
        </is>
      </c>
      <c r="D1168" t="n">
        <v>2024</v>
      </c>
      <c r="E1168" t="n">
        <v>2021</v>
      </c>
      <c r="F1168" t="n">
        <v>2030</v>
      </c>
      <c r="G1168" t="n">
        <v>14596.7449</v>
      </c>
      <c r="H1168" t="n">
        <v>1180.2512</v>
      </c>
      <c r="I1168" t="inlineStr"/>
      <c r="J1168" t="inlineStr"/>
      <c r="K1168" t="n">
        <v>16909834.93</v>
      </c>
      <c r="L1168" t="n">
        <v>82051194.03</v>
      </c>
      <c r="M1168" t="n">
        <v>14596.7449</v>
      </c>
      <c r="N1168" t="inlineStr">
        <is>
          <t>Supplier Reported Emissions</t>
        </is>
      </c>
      <c r="O1168" t="b">
        <v>0</v>
      </c>
      <c r="P1168" t="inlineStr">
        <is>
          <t>High</t>
        </is>
      </c>
      <c r="Q1168" t="inlineStr">
        <is>
          <t>Scope_Emissions</t>
        </is>
      </c>
      <c r="R1168" t="inlineStr">
        <is>
          <t>Valid</t>
        </is>
      </c>
      <c r="S1168" t="n">
        <v>2039</v>
      </c>
      <c r="T1168" t="inlineStr">
        <is>
          <t>Supplier Target Pathway</t>
        </is>
      </c>
      <c r="U1168" t="n">
        <v>15485.7705</v>
      </c>
      <c r="V1168" t="n">
        <v>6186.5653</v>
      </c>
      <c r="W1168" t="n">
        <v>6186.5653</v>
      </c>
      <c r="X1168" t="n">
        <v>6186.5653</v>
      </c>
      <c r="Y1168" t="n">
        <v>9299.2052</v>
      </c>
      <c r="Z1168" t="n">
        <v>0.00036586</v>
      </c>
      <c r="AA1168" t="n">
        <v>0.6005</v>
      </c>
      <c r="AB1168" t="n">
        <v>0</v>
      </c>
      <c r="AC1168" t="n">
        <v>1033.245</v>
      </c>
      <c r="AD1168" t="n">
        <v>-71177.7631</v>
      </c>
      <c r="AE1168" t="n">
        <v>108297.1549</v>
      </c>
      <c r="AF1168" t="n">
        <v>0.99</v>
      </c>
      <c r="AG1168" t="inlineStr">
        <is>
          <t>Low</t>
        </is>
      </c>
      <c r="AH1168" t="inlineStr">
        <is>
          <t>On Track</t>
        </is>
      </c>
    </row>
    <row r="1169">
      <c r="A1169" t="inlineStr">
        <is>
          <t>SUP-0073</t>
        </is>
      </c>
      <c r="B1169" t="inlineStr">
        <is>
          <t>Packaging Supplier 073</t>
        </is>
      </c>
      <c r="C1169" t="inlineStr">
        <is>
          <t>Packaging</t>
        </is>
      </c>
      <c r="D1169" t="n">
        <v>2024</v>
      </c>
      <c r="E1169" t="n">
        <v>2021</v>
      </c>
      <c r="F1169" t="n">
        <v>2030</v>
      </c>
      <c r="G1169" t="n">
        <v>14596.7449</v>
      </c>
      <c r="H1169" t="n">
        <v>1180.2512</v>
      </c>
      <c r="I1169" t="inlineStr"/>
      <c r="J1169" t="inlineStr"/>
      <c r="K1169" t="n">
        <v>16909834.93</v>
      </c>
      <c r="L1169" t="n">
        <v>82051194.03</v>
      </c>
      <c r="M1169" t="n">
        <v>14596.7449</v>
      </c>
      <c r="N1169" t="inlineStr">
        <is>
          <t>Supplier Reported Emissions</t>
        </is>
      </c>
      <c r="O1169" t="b">
        <v>0</v>
      </c>
      <c r="P1169" t="inlineStr">
        <is>
          <t>High</t>
        </is>
      </c>
      <c r="Q1169" t="inlineStr">
        <is>
          <t>Scope_Emissions</t>
        </is>
      </c>
      <c r="R1169" t="inlineStr">
        <is>
          <t>Valid</t>
        </is>
      </c>
      <c r="S1169" t="n">
        <v>2040</v>
      </c>
      <c r="T1169" t="inlineStr">
        <is>
          <t>Supplier Target Pathway</t>
        </is>
      </c>
      <c r="U1169" t="n">
        <v>15485.7705</v>
      </c>
      <c r="V1169" t="n">
        <v>6186.5653</v>
      </c>
      <c r="W1169" t="n">
        <v>6186.5653</v>
      </c>
      <c r="X1169" t="n">
        <v>6186.5653</v>
      </c>
      <c r="Y1169" t="n">
        <v>9299.2052</v>
      </c>
      <c r="Z1169" t="n">
        <v>0.00036586</v>
      </c>
      <c r="AA1169" t="n">
        <v>0.6005</v>
      </c>
      <c r="AB1169" t="n">
        <v>0</v>
      </c>
      <c r="AC1169" t="n">
        <v>1033.245</v>
      </c>
      <c r="AD1169" t="n">
        <v>-77364.3284</v>
      </c>
      <c r="AE1169" t="n">
        <v>114483.7202</v>
      </c>
      <c r="AF1169" t="n">
        <v>0.99</v>
      </c>
      <c r="AG1169" t="inlineStr">
        <is>
          <t>Low</t>
        </is>
      </c>
      <c r="AH1169" t="inlineStr">
        <is>
          <t>On Track</t>
        </is>
      </c>
    </row>
    <row r="1170">
      <c r="A1170" t="inlineStr">
        <is>
          <t>SUP-0074</t>
        </is>
      </c>
      <c r="B1170" t="inlineStr">
        <is>
          <t>Agriculture Supplier 074</t>
        </is>
      </c>
      <c r="C1170" t="inlineStr">
        <is>
          <t>Agriculture</t>
        </is>
      </c>
      <c r="D1170" t="n">
        <v>2024</v>
      </c>
      <c r="E1170" t="n">
        <v>2020</v>
      </c>
      <c r="F1170" t="n">
        <v>2040</v>
      </c>
      <c r="G1170" t="n">
        <v>26707.7815</v>
      </c>
      <c r="H1170" t="n">
        <v>6494.2756</v>
      </c>
      <c r="I1170" t="n">
        <v>4060.4651</v>
      </c>
      <c r="J1170" t="inlineStr"/>
      <c r="K1170" t="inlineStr"/>
      <c r="L1170" t="n">
        <v>233834556.23</v>
      </c>
      <c r="M1170" t="n">
        <v>26707.7815</v>
      </c>
      <c r="N1170" t="inlineStr">
        <is>
          <t>Supplier Reported Emissions</t>
        </is>
      </c>
      <c r="O1170" t="b">
        <v>0</v>
      </c>
      <c r="P1170" t="inlineStr">
        <is>
          <t>High</t>
        </is>
      </c>
      <c r="Q1170" t="inlineStr">
        <is>
          <t>Gross_Spend; Scope_Emissions</t>
        </is>
      </c>
      <c r="R1170" t="inlineStr">
        <is>
          <t>Valid</t>
        </is>
      </c>
      <c r="S1170" t="n">
        <v>2025</v>
      </c>
      <c r="T1170" t="inlineStr">
        <is>
          <t>Supplier Target Pathway</t>
        </is>
      </c>
      <c r="U1170" t="n">
        <v>32381.1012</v>
      </c>
      <c r="V1170" t="n">
        <v>13557.9671</v>
      </c>
      <c r="W1170" t="n">
        <v>27675.3177</v>
      </c>
      <c r="X1170" t="n">
        <v>27675.3177</v>
      </c>
      <c r="Y1170" t="n">
        <v>4705.7835</v>
      </c>
      <c r="Z1170" t="inlineStr"/>
      <c r="AA1170" t="inlineStr"/>
      <c r="AB1170" t="n">
        <v>14117.3506</v>
      </c>
      <c r="AC1170" t="n">
        <v>941.1567</v>
      </c>
      <c r="AD1170" t="n">
        <v>189252.1559</v>
      </c>
      <c r="AE1170" t="n">
        <v>27675.3177</v>
      </c>
      <c r="AF1170" t="n">
        <v>0.99</v>
      </c>
      <c r="AG1170" t="inlineStr">
        <is>
          <t>Critical</t>
        </is>
      </c>
      <c r="AH1170" t="inlineStr">
        <is>
          <t>On Track to Glide Path</t>
        </is>
      </c>
    </row>
    <row r="1171">
      <c r="A1171" t="inlineStr">
        <is>
          <t>SUP-0074</t>
        </is>
      </c>
      <c r="B1171" t="inlineStr">
        <is>
          <t>Agriculture Supplier 074</t>
        </is>
      </c>
      <c r="C1171" t="inlineStr">
        <is>
          <t>Agriculture</t>
        </is>
      </c>
      <c r="D1171" t="n">
        <v>2024</v>
      </c>
      <c r="E1171" t="n">
        <v>2020</v>
      </c>
      <c r="F1171" t="n">
        <v>2040</v>
      </c>
      <c r="G1171" t="n">
        <v>26707.7815</v>
      </c>
      <c r="H1171" t="n">
        <v>6494.2756</v>
      </c>
      <c r="I1171" t="n">
        <v>4060.4651</v>
      </c>
      <c r="J1171" t="inlineStr"/>
      <c r="K1171" t="inlineStr"/>
      <c r="L1171" t="n">
        <v>233834556.23</v>
      </c>
      <c r="M1171" t="n">
        <v>26707.7815</v>
      </c>
      <c r="N1171" t="inlineStr">
        <is>
          <t>Supplier Reported Emissions</t>
        </is>
      </c>
      <c r="O1171" t="b">
        <v>0</v>
      </c>
      <c r="P1171" t="inlineStr">
        <is>
          <t>High</t>
        </is>
      </c>
      <c r="Q1171" t="inlineStr">
        <is>
          <t>Gross_Spend; Scope_Emissions</t>
        </is>
      </c>
      <c r="R1171" t="inlineStr">
        <is>
          <t>Valid</t>
        </is>
      </c>
      <c r="S1171" t="n">
        <v>2026</v>
      </c>
      <c r="T1171" t="inlineStr">
        <is>
          <t>Supplier Target Pathway</t>
        </is>
      </c>
      <c r="U1171" t="n">
        <v>32381.1012</v>
      </c>
      <c r="V1171" t="n">
        <v>13557.9671</v>
      </c>
      <c r="W1171" t="n">
        <v>26734.161</v>
      </c>
      <c r="X1171" t="n">
        <v>26734.161</v>
      </c>
      <c r="Y1171" t="n">
        <v>5646.9402</v>
      </c>
      <c r="Z1171" t="inlineStr"/>
      <c r="AA1171" t="inlineStr"/>
      <c r="AB1171" t="n">
        <v>13176.1939</v>
      </c>
      <c r="AC1171" t="n">
        <v>941.1567</v>
      </c>
      <c r="AD1171" t="n">
        <v>162517.9949</v>
      </c>
      <c r="AE1171" t="n">
        <v>54409.4787</v>
      </c>
      <c r="AF1171" t="n">
        <v>0.99</v>
      </c>
      <c r="AG1171" t="inlineStr">
        <is>
          <t>Critical</t>
        </is>
      </c>
      <c r="AH1171" t="inlineStr">
        <is>
          <t>On Track to Glide Path</t>
        </is>
      </c>
    </row>
    <row r="1172">
      <c r="A1172" t="inlineStr">
        <is>
          <t>SUP-0074</t>
        </is>
      </c>
      <c r="B1172" t="inlineStr">
        <is>
          <t>Agriculture Supplier 074</t>
        </is>
      </c>
      <c r="C1172" t="inlineStr">
        <is>
          <t>Agriculture</t>
        </is>
      </c>
      <c r="D1172" t="n">
        <v>2024</v>
      </c>
      <c r="E1172" t="n">
        <v>2020</v>
      </c>
      <c r="F1172" t="n">
        <v>2040</v>
      </c>
      <c r="G1172" t="n">
        <v>26707.7815</v>
      </c>
      <c r="H1172" t="n">
        <v>6494.2756</v>
      </c>
      <c r="I1172" t="n">
        <v>4060.4651</v>
      </c>
      <c r="J1172" t="inlineStr"/>
      <c r="K1172" t="inlineStr"/>
      <c r="L1172" t="n">
        <v>233834556.23</v>
      </c>
      <c r="M1172" t="n">
        <v>26707.7815</v>
      </c>
      <c r="N1172" t="inlineStr">
        <is>
          <t>Supplier Reported Emissions</t>
        </is>
      </c>
      <c r="O1172" t="b">
        <v>0</v>
      </c>
      <c r="P1172" t="inlineStr">
        <is>
          <t>High</t>
        </is>
      </c>
      <c r="Q1172" t="inlineStr">
        <is>
          <t>Gross_Spend; Scope_Emissions</t>
        </is>
      </c>
      <c r="R1172" t="inlineStr">
        <is>
          <t>Valid</t>
        </is>
      </c>
      <c r="S1172" t="n">
        <v>2027</v>
      </c>
      <c r="T1172" t="inlineStr">
        <is>
          <t>Supplier Target Pathway</t>
        </is>
      </c>
      <c r="U1172" t="n">
        <v>32381.1012</v>
      </c>
      <c r="V1172" t="n">
        <v>13557.9671</v>
      </c>
      <c r="W1172" t="n">
        <v>25793.0043</v>
      </c>
      <c r="X1172" t="n">
        <v>25793.0043</v>
      </c>
      <c r="Y1172" t="n">
        <v>6588.0969</v>
      </c>
      <c r="Z1172" t="inlineStr"/>
      <c r="AA1172" t="inlineStr"/>
      <c r="AB1172" t="n">
        <v>12235.0372</v>
      </c>
      <c r="AC1172" t="n">
        <v>941.1567</v>
      </c>
      <c r="AD1172" t="n">
        <v>136724.9906</v>
      </c>
      <c r="AE1172" t="n">
        <v>80202.48299999999</v>
      </c>
      <c r="AF1172" t="n">
        <v>0.99</v>
      </c>
      <c r="AG1172" t="inlineStr">
        <is>
          <t>Critical</t>
        </is>
      </c>
      <c r="AH1172" t="inlineStr">
        <is>
          <t>On Track to Glide Path</t>
        </is>
      </c>
    </row>
    <row r="1173">
      <c r="A1173" t="inlineStr">
        <is>
          <t>SUP-0074</t>
        </is>
      </c>
      <c r="B1173" t="inlineStr">
        <is>
          <t>Agriculture Supplier 074</t>
        </is>
      </c>
      <c r="C1173" t="inlineStr">
        <is>
          <t>Agriculture</t>
        </is>
      </c>
      <c r="D1173" t="n">
        <v>2024</v>
      </c>
      <c r="E1173" t="n">
        <v>2020</v>
      </c>
      <c r="F1173" t="n">
        <v>2040</v>
      </c>
      <c r="G1173" t="n">
        <v>26707.7815</v>
      </c>
      <c r="H1173" t="n">
        <v>6494.2756</v>
      </c>
      <c r="I1173" t="n">
        <v>4060.4651</v>
      </c>
      <c r="J1173" t="inlineStr"/>
      <c r="K1173" t="inlineStr"/>
      <c r="L1173" t="n">
        <v>233834556.23</v>
      </c>
      <c r="M1173" t="n">
        <v>26707.7815</v>
      </c>
      <c r="N1173" t="inlineStr">
        <is>
          <t>Supplier Reported Emissions</t>
        </is>
      </c>
      <c r="O1173" t="b">
        <v>0</v>
      </c>
      <c r="P1173" t="inlineStr">
        <is>
          <t>High</t>
        </is>
      </c>
      <c r="Q1173" t="inlineStr">
        <is>
          <t>Gross_Spend; Scope_Emissions</t>
        </is>
      </c>
      <c r="R1173" t="inlineStr">
        <is>
          <t>Valid</t>
        </is>
      </c>
      <c r="S1173" t="n">
        <v>2028</v>
      </c>
      <c r="T1173" t="inlineStr">
        <is>
          <t>Supplier Target Pathway</t>
        </is>
      </c>
      <c r="U1173" t="n">
        <v>32381.1012</v>
      </c>
      <c r="V1173" t="n">
        <v>13557.9671</v>
      </c>
      <c r="W1173" t="n">
        <v>24851.8475</v>
      </c>
      <c r="X1173" t="n">
        <v>24851.8475</v>
      </c>
      <c r="Y1173" t="n">
        <v>7529.2537</v>
      </c>
      <c r="Z1173" t="inlineStr"/>
      <c r="AA1173" t="inlineStr"/>
      <c r="AB1173" t="n">
        <v>11293.8805</v>
      </c>
      <c r="AC1173" t="n">
        <v>941.1567</v>
      </c>
      <c r="AD1173" t="n">
        <v>111873.1431</v>
      </c>
      <c r="AE1173" t="n">
        <v>105054.3305</v>
      </c>
      <c r="AF1173" t="n">
        <v>0.99</v>
      </c>
      <c r="AG1173" t="inlineStr">
        <is>
          <t>Critical</t>
        </is>
      </c>
      <c r="AH1173" t="inlineStr">
        <is>
          <t>On Track to Glide Path</t>
        </is>
      </c>
    </row>
    <row r="1174">
      <c r="A1174" t="inlineStr">
        <is>
          <t>SUP-0074</t>
        </is>
      </c>
      <c r="B1174" t="inlineStr">
        <is>
          <t>Agriculture Supplier 074</t>
        </is>
      </c>
      <c r="C1174" t="inlineStr">
        <is>
          <t>Agriculture</t>
        </is>
      </c>
      <c r="D1174" t="n">
        <v>2024</v>
      </c>
      <c r="E1174" t="n">
        <v>2020</v>
      </c>
      <c r="F1174" t="n">
        <v>2040</v>
      </c>
      <c r="G1174" t="n">
        <v>26707.7815</v>
      </c>
      <c r="H1174" t="n">
        <v>6494.2756</v>
      </c>
      <c r="I1174" t="n">
        <v>4060.4651</v>
      </c>
      <c r="J1174" t="inlineStr"/>
      <c r="K1174" t="inlineStr"/>
      <c r="L1174" t="n">
        <v>233834556.23</v>
      </c>
      <c r="M1174" t="n">
        <v>26707.7815</v>
      </c>
      <c r="N1174" t="inlineStr">
        <is>
          <t>Supplier Reported Emissions</t>
        </is>
      </c>
      <c r="O1174" t="b">
        <v>0</v>
      </c>
      <c r="P1174" t="inlineStr">
        <is>
          <t>High</t>
        </is>
      </c>
      <c r="Q1174" t="inlineStr">
        <is>
          <t>Gross_Spend; Scope_Emissions</t>
        </is>
      </c>
      <c r="R1174" t="inlineStr">
        <is>
          <t>Valid</t>
        </is>
      </c>
      <c r="S1174" t="n">
        <v>2029</v>
      </c>
      <c r="T1174" t="inlineStr">
        <is>
          <t>Supplier Target Pathway</t>
        </is>
      </c>
      <c r="U1174" t="n">
        <v>32381.1012</v>
      </c>
      <c r="V1174" t="n">
        <v>13557.9671</v>
      </c>
      <c r="W1174" t="n">
        <v>23910.6908</v>
      </c>
      <c r="X1174" t="n">
        <v>23910.6908</v>
      </c>
      <c r="Y1174" t="n">
        <v>8470.410400000001</v>
      </c>
      <c r="Z1174" t="inlineStr"/>
      <c r="AA1174" t="inlineStr"/>
      <c r="AB1174" t="n">
        <v>10352.7238</v>
      </c>
      <c r="AC1174" t="n">
        <v>941.1567</v>
      </c>
      <c r="AD1174" t="n">
        <v>87962.4523</v>
      </c>
      <c r="AE1174" t="n">
        <v>128965.0213</v>
      </c>
      <c r="AF1174" t="n">
        <v>0.99</v>
      </c>
      <c r="AG1174" t="inlineStr">
        <is>
          <t>Critical</t>
        </is>
      </c>
      <c r="AH1174" t="inlineStr">
        <is>
          <t>On Track to Glide Path</t>
        </is>
      </c>
    </row>
    <row r="1175">
      <c r="A1175" t="inlineStr">
        <is>
          <t>SUP-0074</t>
        </is>
      </c>
      <c r="B1175" t="inlineStr">
        <is>
          <t>Agriculture Supplier 074</t>
        </is>
      </c>
      <c r="C1175" t="inlineStr">
        <is>
          <t>Agriculture</t>
        </is>
      </c>
      <c r="D1175" t="n">
        <v>2024</v>
      </c>
      <c r="E1175" t="n">
        <v>2020</v>
      </c>
      <c r="F1175" t="n">
        <v>2040</v>
      </c>
      <c r="G1175" t="n">
        <v>26707.7815</v>
      </c>
      <c r="H1175" t="n">
        <v>6494.2756</v>
      </c>
      <c r="I1175" t="n">
        <v>4060.4651</v>
      </c>
      <c r="J1175" t="inlineStr"/>
      <c r="K1175" t="inlineStr"/>
      <c r="L1175" t="n">
        <v>233834556.23</v>
      </c>
      <c r="M1175" t="n">
        <v>26707.7815</v>
      </c>
      <c r="N1175" t="inlineStr">
        <is>
          <t>Supplier Reported Emissions</t>
        </is>
      </c>
      <c r="O1175" t="b">
        <v>0</v>
      </c>
      <c r="P1175" t="inlineStr">
        <is>
          <t>High</t>
        </is>
      </c>
      <c r="Q1175" t="inlineStr">
        <is>
          <t>Gross_Spend; Scope_Emissions</t>
        </is>
      </c>
      <c r="R1175" t="inlineStr">
        <is>
          <t>Valid</t>
        </is>
      </c>
      <c r="S1175" t="n">
        <v>2030</v>
      </c>
      <c r="T1175" t="inlineStr">
        <is>
          <t>Supplier Target Pathway</t>
        </is>
      </c>
      <c r="U1175" t="n">
        <v>32381.1012</v>
      </c>
      <c r="V1175" t="n">
        <v>13557.9671</v>
      </c>
      <c r="W1175" t="n">
        <v>22969.5341</v>
      </c>
      <c r="X1175" t="n">
        <v>22969.5341</v>
      </c>
      <c r="Y1175" t="n">
        <v>9411.5671</v>
      </c>
      <c r="Z1175" t="inlineStr"/>
      <c r="AA1175" t="inlineStr"/>
      <c r="AB1175" t="n">
        <v>9411.5671</v>
      </c>
      <c r="AC1175" t="n">
        <v>941.1567</v>
      </c>
      <c r="AD1175" t="n">
        <v>64992.9182</v>
      </c>
      <c r="AE1175" t="n">
        <v>151934.5554</v>
      </c>
      <c r="AF1175" t="n">
        <v>0.99</v>
      </c>
      <c r="AG1175" t="inlineStr">
        <is>
          <t>Critical</t>
        </is>
      </c>
      <c r="AH1175" t="inlineStr">
        <is>
          <t>On Track to Glide Path</t>
        </is>
      </c>
    </row>
    <row r="1176">
      <c r="A1176" t="inlineStr">
        <is>
          <t>SUP-0074</t>
        </is>
      </c>
      <c r="B1176" t="inlineStr">
        <is>
          <t>Agriculture Supplier 074</t>
        </is>
      </c>
      <c r="C1176" t="inlineStr">
        <is>
          <t>Agriculture</t>
        </is>
      </c>
      <c r="D1176" t="n">
        <v>2024</v>
      </c>
      <c r="E1176" t="n">
        <v>2020</v>
      </c>
      <c r="F1176" t="n">
        <v>2040</v>
      </c>
      <c r="G1176" t="n">
        <v>26707.7815</v>
      </c>
      <c r="H1176" t="n">
        <v>6494.2756</v>
      </c>
      <c r="I1176" t="n">
        <v>4060.4651</v>
      </c>
      <c r="J1176" t="inlineStr"/>
      <c r="K1176" t="inlineStr"/>
      <c r="L1176" t="n">
        <v>233834556.23</v>
      </c>
      <c r="M1176" t="n">
        <v>26707.7815</v>
      </c>
      <c r="N1176" t="inlineStr">
        <is>
          <t>Supplier Reported Emissions</t>
        </is>
      </c>
      <c r="O1176" t="b">
        <v>0</v>
      </c>
      <c r="P1176" t="inlineStr">
        <is>
          <t>High</t>
        </is>
      </c>
      <c r="Q1176" t="inlineStr">
        <is>
          <t>Gross_Spend; Scope_Emissions</t>
        </is>
      </c>
      <c r="R1176" t="inlineStr">
        <is>
          <t>Valid</t>
        </is>
      </c>
      <c r="S1176" t="n">
        <v>2031</v>
      </c>
      <c r="T1176" t="inlineStr">
        <is>
          <t>Supplier Target Pathway</t>
        </is>
      </c>
      <c r="U1176" t="n">
        <v>32381.1012</v>
      </c>
      <c r="V1176" t="n">
        <v>13557.9671</v>
      </c>
      <c r="W1176" t="n">
        <v>22028.3774</v>
      </c>
      <c r="X1176" t="n">
        <v>22028.3774</v>
      </c>
      <c r="Y1176" t="n">
        <v>10352.7238</v>
      </c>
      <c r="Z1176" t="inlineStr"/>
      <c r="AA1176" t="inlineStr"/>
      <c r="AB1176" t="n">
        <v>8470.410400000001</v>
      </c>
      <c r="AC1176" t="n">
        <v>941.1567</v>
      </c>
      <c r="AD1176" t="n">
        <v>42964.5408</v>
      </c>
      <c r="AE1176" t="n">
        <v>173962.9328</v>
      </c>
      <c r="AF1176" t="n">
        <v>0.99</v>
      </c>
      <c r="AG1176" t="inlineStr">
        <is>
          <t>Critical</t>
        </is>
      </c>
      <c r="AH1176" t="inlineStr">
        <is>
          <t>On Track to Glide Path</t>
        </is>
      </c>
    </row>
    <row r="1177">
      <c r="A1177" t="inlineStr">
        <is>
          <t>SUP-0074</t>
        </is>
      </c>
      <c r="B1177" t="inlineStr">
        <is>
          <t>Agriculture Supplier 074</t>
        </is>
      </c>
      <c r="C1177" t="inlineStr">
        <is>
          <t>Agriculture</t>
        </is>
      </c>
      <c r="D1177" t="n">
        <v>2024</v>
      </c>
      <c r="E1177" t="n">
        <v>2020</v>
      </c>
      <c r="F1177" t="n">
        <v>2040</v>
      </c>
      <c r="G1177" t="n">
        <v>26707.7815</v>
      </c>
      <c r="H1177" t="n">
        <v>6494.2756</v>
      </c>
      <c r="I1177" t="n">
        <v>4060.4651</v>
      </c>
      <c r="J1177" t="inlineStr"/>
      <c r="K1177" t="inlineStr"/>
      <c r="L1177" t="n">
        <v>233834556.23</v>
      </c>
      <c r="M1177" t="n">
        <v>26707.7815</v>
      </c>
      <c r="N1177" t="inlineStr">
        <is>
          <t>Supplier Reported Emissions</t>
        </is>
      </c>
      <c r="O1177" t="b">
        <v>0</v>
      </c>
      <c r="P1177" t="inlineStr">
        <is>
          <t>High</t>
        </is>
      </c>
      <c r="Q1177" t="inlineStr">
        <is>
          <t>Gross_Spend; Scope_Emissions</t>
        </is>
      </c>
      <c r="R1177" t="inlineStr">
        <is>
          <t>Valid</t>
        </is>
      </c>
      <c r="S1177" t="n">
        <v>2032</v>
      </c>
      <c r="T1177" t="inlineStr">
        <is>
          <t>Supplier Target Pathway</t>
        </is>
      </c>
      <c r="U1177" t="n">
        <v>32381.1012</v>
      </c>
      <c r="V1177" t="n">
        <v>13557.9671</v>
      </c>
      <c r="W1177" t="n">
        <v>21087.2207</v>
      </c>
      <c r="X1177" t="n">
        <v>21087.2207</v>
      </c>
      <c r="Y1177" t="n">
        <v>11293.8805</v>
      </c>
      <c r="Z1177" t="inlineStr"/>
      <c r="AA1177" t="inlineStr"/>
      <c r="AB1177" t="n">
        <v>7529.2537</v>
      </c>
      <c r="AC1177" t="n">
        <v>941.1567</v>
      </c>
      <c r="AD1177" t="n">
        <v>21877.3201</v>
      </c>
      <c r="AE1177" t="n">
        <v>195050.1535</v>
      </c>
      <c r="AF1177" t="n">
        <v>0.99</v>
      </c>
      <c r="AG1177" t="inlineStr">
        <is>
          <t>Critical</t>
        </is>
      </c>
      <c r="AH1177" t="inlineStr">
        <is>
          <t>On Track to Glide Path</t>
        </is>
      </c>
    </row>
    <row r="1178">
      <c r="A1178" t="inlineStr">
        <is>
          <t>SUP-0074</t>
        </is>
      </c>
      <c r="B1178" t="inlineStr">
        <is>
          <t>Agriculture Supplier 074</t>
        </is>
      </c>
      <c r="C1178" t="inlineStr">
        <is>
          <t>Agriculture</t>
        </is>
      </c>
      <c r="D1178" t="n">
        <v>2024</v>
      </c>
      <c r="E1178" t="n">
        <v>2020</v>
      </c>
      <c r="F1178" t="n">
        <v>2040</v>
      </c>
      <c r="G1178" t="n">
        <v>26707.7815</v>
      </c>
      <c r="H1178" t="n">
        <v>6494.2756</v>
      </c>
      <c r="I1178" t="n">
        <v>4060.4651</v>
      </c>
      <c r="J1178" t="inlineStr"/>
      <c r="K1178" t="inlineStr"/>
      <c r="L1178" t="n">
        <v>233834556.23</v>
      </c>
      <c r="M1178" t="n">
        <v>26707.7815</v>
      </c>
      <c r="N1178" t="inlineStr">
        <is>
          <t>Supplier Reported Emissions</t>
        </is>
      </c>
      <c r="O1178" t="b">
        <v>0</v>
      </c>
      <c r="P1178" t="inlineStr">
        <is>
          <t>High</t>
        </is>
      </c>
      <c r="Q1178" t="inlineStr">
        <is>
          <t>Gross_Spend; Scope_Emissions</t>
        </is>
      </c>
      <c r="R1178" t="inlineStr">
        <is>
          <t>Valid</t>
        </is>
      </c>
      <c r="S1178" t="n">
        <v>2033</v>
      </c>
      <c r="T1178" t="inlineStr">
        <is>
          <t>Supplier Target Pathway</t>
        </is>
      </c>
      <c r="U1178" t="n">
        <v>32381.1012</v>
      </c>
      <c r="V1178" t="n">
        <v>13557.9671</v>
      </c>
      <c r="W1178" t="n">
        <v>20146.064</v>
      </c>
      <c r="X1178" t="n">
        <v>20146.064</v>
      </c>
      <c r="Y1178" t="n">
        <v>12235.0372</v>
      </c>
      <c r="Z1178" t="inlineStr"/>
      <c r="AA1178" t="inlineStr"/>
      <c r="AB1178" t="n">
        <v>6588.0969</v>
      </c>
      <c r="AC1178" t="n">
        <v>941.1567</v>
      </c>
      <c r="AD1178" t="n">
        <v>1731.2561</v>
      </c>
      <c r="AE1178" t="n">
        <v>215196.2175</v>
      </c>
      <c r="AF1178" t="n">
        <v>0.99</v>
      </c>
      <c r="AG1178" t="inlineStr">
        <is>
          <t>Critical</t>
        </is>
      </c>
      <c r="AH1178" t="inlineStr">
        <is>
          <t>On Track to Glide Path</t>
        </is>
      </c>
    </row>
    <row r="1179">
      <c r="A1179" t="inlineStr">
        <is>
          <t>SUP-0074</t>
        </is>
      </c>
      <c r="B1179" t="inlineStr">
        <is>
          <t>Agriculture Supplier 074</t>
        </is>
      </c>
      <c r="C1179" t="inlineStr">
        <is>
          <t>Agriculture</t>
        </is>
      </c>
      <c r="D1179" t="n">
        <v>2024</v>
      </c>
      <c r="E1179" t="n">
        <v>2020</v>
      </c>
      <c r="F1179" t="n">
        <v>2040</v>
      </c>
      <c r="G1179" t="n">
        <v>26707.7815</v>
      </c>
      <c r="H1179" t="n">
        <v>6494.2756</v>
      </c>
      <c r="I1179" t="n">
        <v>4060.4651</v>
      </c>
      <c r="J1179" t="inlineStr"/>
      <c r="K1179" t="inlineStr"/>
      <c r="L1179" t="n">
        <v>233834556.23</v>
      </c>
      <c r="M1179" t="n">
        <v>26707.7815</v>
      </c>
      <c r="N1179" t="inlineStr">
        <is>
          <t>Supplier Reported Emissions</t>
        </is>
      </c>
      <c r="O1179" t="b">
        <v>0</v>
      </c>
      <c r="P1179" t="inlineStr">
        <is>
          <t>High</t>
        </is>
      </c>
      <c r="Q1179" t="inlineStr">
        <is>
          <t>Gross_Spend; Scope_Emissions</t>
        </is>
      </c>
      <c r="R1179" t="inlineStr">
        <is>
          <t>Valid</t>
        </is>
      </c>
      <c r="S1179" t="n">
        <v>2034</v>
      </c>
      <c r="T1179" t="inlineStr">
        <is>
          <t>Supplier Target Pathway</t>
        </is>
      </c>
      <c r="U1179" t="n">
        <v>32381.1012</v>
      </c>
      <c r="V1179" t="n">
        <v>13557.9671</v>
      </c>
      <c r="W1179" t="n">
        <v>19204.9073</v>
      </c>
      <c r="X1179" t="n">
        <v>19204.9073</v>
      </c>
      <c r="Y1179" t="n">
        <v>13176.1939</v>
      </c>
      <c r="Z1179" t="inlineStr"/>
      <c r="AA1179" t="inlineStr"/>
      <c r="AB1179" t="n">
        <v>5646.9402</v>
      </c>
      <c r="AC1179" t="n">
        <v>941.1567</v>
      </c>
      <c r="AD1179" t="n">
        <v>-17473.6512</v>
      </c>
      <c r="AE1179" t="n">
        <v>234401.1248</v>
      </c>
      <c r="AF1179" t="n">
        <v>0.99</v>
      </c>
      <c r="AG1179" t="inlineStr">
        <is>
          <t>Critical</t>
        </is>
      </c>
      <c r="AH1179" t="inlineStr">
        <is>
          <t>On Track to Glide Path</t>
        </is>
      </c>
    </row>
    <row r="1180">
      <c r="A1180" t="inlineStr">
        <is>
          <t>SUP-0074</t>
        </is>
      </c>
      <c r="B1180" t="inlineStr">
        <is>
          <t>Agriculture Supplier 074</t>
        </is>
      </c>
      <c r="C1180" t="inlineStr">
        <is>
          <t>Agriculture</t>
        </is>
      </c>
      <c r="D1180" t="n">
        <v>2024</v>
      </c>
      <c r="E1180" t="n">
        <v>2020</v>
      </c>
      <c r="F1180" t="n">
        <v>2040</v>
      </c>
      <c r="G1180" t="n">
        <v>26707.7815</v>
      </c>
      <c r="H1180" t="n">
        <v>6494.2756</v>
      </c>
      <c r="I1180" t="n">
        <v>4060.4651</v>
      </c>
      <c r="J1180" t="inlineStr"/>
      <c r="K1180" t="inlineStr"/>
      <c r="L1180" t="n">
        <v>233834556.23</v>
      </c>
      <c r="M1180" t="n">
        <v>26707.7815</v>
      </c>
      <c r="N1180" t="inlineStr">
        <is>
          <t>Supplier Reported Emissions</t>
        </is>
      </c>
      <c r="O1180" t="b">
        <v>0</v>
      </c>
      <c r="P1180" t="inlineStr">
        <is>
          <t>High</t>
        </is>
      </c>
      <c r="Q1180" t="inlineStr">
        <is>
          <t>Gross_Spend; Scope_Emissions</t>
        </is>
      </c>
      <c r="R1180" t="inlineStr">
        <is>
          <t>Valid</t>
        </is>
      </c>
      <c r="S1180" t="n">
        <v>2035</v>
      </c>
      <c r="T1180" t="inlineStr">
        <is>
          <t>Supplier Target Pathway</t>
        </is>
      </c>
      <c r="U1180" t="n">
        <v>32381.1012</v>
      </c>
      <c r="V1180" t="n">
        <v>13557.9671</v>
      </c>
      <c r="W1180" t="n">
        <v>18263.7506</v>
      </c>
      <c r="X1180" t="n">
        <v>18263.7506</v>
      </c>
      <c r="Y1180" t="n">
        <v>14117.3506</v>
      </c>
      <c r="Z1180" t="inlineStr"/>
      <c r="AA1180" t="inlineStr"/>
      <c r="AB1180" t="n">
        <v>4705.7835</v>
      </c>
      <c r="AC1180" t="n">
        <v>941.1567</v>
      </c>
      <c r="AD1180" t="n">
        <v>-35737.4018</v>
      </c>
      <c r="AE1180" t="n">
        <v>252664.8754</v>
      </c>
      <c r="AF1180" t="n">
        <v>0.99</v>
      </c>
      <c r="AG1180" t="inlineStr">
        <is>
          <t>High</t>
        </is>
      </c>
      <c r="AH1180" t="inlineStr">
        <is>
          <t>On Track to Glide Path</t>
        </is>
      </c>
    </row>
    <row r="1181">
      <c r="A1181" t="inlineStr">
        <is>
          <t>SUP-0074</t>
        </is>
      </c>
      <c r="B1181" t="inlineStr">
        <is>
          <t>Agriculture Supplier 074</t>
        </is>
      </c>
      <c r="C1181" t="inlineStr">
        <is>
          <t>Agriculture</t>
        </is>
      </c>
      <c r="D1181" t="n">
        <v>2024</v>
      </c>
      <c r="E1181" t="n">
        <v>2020</v>
      </c>
      <c r="F1181" t="n">
        <v>2040</v>
      </c>
      <c r="G1181" t="n">
        <v>26707.7815</v>
      </c>
      <c r="H1181" t="n">
        <v>6494.2756</v>
      </c>
      <c r="I1181" t="n">
        <v>4060.4651</v>
      </c>
      <c r="J1181" t="inlineStr"/>
      <c r="K1181" t="inlineStr"/>
      <c r="L1181" t="n">
        <v>233834556.23</v>
      </c>
      <c r="M1181" t="n">
        <v>26707.7815</v>
      </c>
      <c r="N1181" t="inlineStr">
        <is>
          <t>Supplier Reported Emissions</t>
        </is>
      </c>
      <c r="O1181" t="b">
        <v>0</v>
      </c>
      <c r="P1181" t="inlineStr">
        <is>
          <t>High</t>
        </is>
      </c>
      <c r="Q1181" t="inlineStr">
        <is>
          <t>Gross_Spend; Scope_Emissions</t>
        </is>
      </c>
      <c r="R1181" t="inlineStr">
        <is>
          <t>Valid</t>
        </is>
      </c>
      <c r="S1181" t="n">
        <v>2036</v>
      </c>
      <c r="T1181" t="inlineStr">
        <is>
          <t>Supplier Target Pathway</t>
        </is>
      </c>
      <c r="U1181" t="n">
        <v>32381.1012</v>
      </c>
      <c r="V1181" t="n">
        <v>13557.9671</v>
      </c>
      <c r="W1181" t="n">
        <v>17322.5939</v>
      </c>
      <c r="X1181" t="n">
        <v>17322.5939</v>
      </c>
      <c r="Y1181" t="n">
        <v>15058.5073</v>
      </c>
      <c r="Z1181" t="inlineStr"/>
      <c r="AA1181" t="inlineStr"/>
      <c r="AB1181" t="n">
        <v>3764.6268</v>
      </c>
      <c r="AC1181" t="n">
        <v>941.1567</v>
      </c>
      <c r="AD1181" t="n">
        <v>-53059.9957</v>
      </c>
      <c r="AE1181" t="n">
        <v>269987.4693</v>
      </c>
      <c r="AF1181" t="n">
        <v>0.99</v>
      </c>
      <c r="AG1181" t="inlineStr">
        <is>
          <t>High</t>
        </is>
      </c>
      <c r="AH1181" t="inlineStr">
        <is>
          <t>On Track to Glide Path</t>
        </is>
      </c>
    </row>
    <row r="1182">
      <c r="A1182" t="inlineStr">
        <is>
          <t>SUP-0074</t>
        </is>
      </c>
      <c r="B1182" t="inlineStr">
        <is>
          <t>Agriculture Supplier 074</t>
        </is>
      </c>
      <c r="C1182" t="inlineStr">
        <is>
          <t>Agriculture</t>
        </is>
      </c>
      <c r="D1182" t="n">
        <v>2024</v>
      </c>
      <c r="E1182" t="n">
        <v>2020</v>
      </c>
      <c r="F1182" t="n">
        <v>2040</v>
      </c>
      <c r="G1182" t="n">
        <v>26707.7815</v>
      </c>
      <c r="H1182" t="n">
        <v>6494.2756</v>
      </c>
      <c r="I1182" t="n">
        <v>4060.4651</v>
      </c>
      <c r="J1182" t="inlineStr"/>
      <c r="K1182" t="inlineStr"/>
      <c r="L1182" t="n">
        <v>233834556.23</v>
      </c>
      <c r="M1182" t="n">
        <v>26707.7815</v>
      </c>
      <c r="N1182" t="inlineStr">
        <is>
          <t>Supplier Reported Emissions</t>
        </is>
      </c>
      <c r="O1182" t="b">
        <v>0</v>
      </c>
      <c r="P1182" t="inlineStr">
        <is>
          <t>High</t>
        </is>
      </c>
      <c r="Q1182" t="inlineStr">
        <is>
          <t>Gross_Spend; Scope_Emissions</t>
        </is>
      </c>
      <c r="R1182" t="inlineStr">
        <is>
          <t>Valid</t>
        </is>
      </c>
      <c r="S1182" t="n">
        <v>2037</v>
      </c>
      <c r="T1182" t="inlineStr">
        <is>
          <t>Supplier Target Pathway</t>
        </is>
      </c>
      <c r="U1182" t="n">
        <v>32381.1012</v>
      </c>
      <c r="V1182" t="n">
        <v>13557.9671</v>
      </c>
      <c r="W1182" t="n">
        <v>16381.4372</v>
      </c>
      <c r="X1182" t="n">
        <v>16381.4372</v>
      </c>
      <c r="Y1182" t="n">
        <v>15999.664</v>
      </c>
      <c r="Z1182" t="inlineStr"/>
      <c r="AA1182" t="inlineStr"/>
      <c r="AB1182" t="n">
        <v>2823.4701</v>
      </c>
      <c r="AC1182" t="n">
        <v>941.1567</v>
      </c>
      <c r="AD1182" t="n">
        <v>-69441.4329</v>
      </c>
      <c r="AE1182" t="n">
        <v>286368.9065</v>
      </c>
      <c r="AF1182" t="n">
        <v>0.99</v>
      </c>
      <c r="AG1182" t="inlineStr">
        <is>
          <t>High</t>
        </is>
      </c>
      <c r="AH1182" t="inlineStr">
        <is>
          <t>On Track to Glide Path</t>
        </is>
      </c>
    </row>
    <row r="1183">
      <c r="A1183" t="inlineStr">
        <is>
          <t>SUP-0074</t>
        </is>
      </c>
      <c r="B1183" t="inlineStr">
        <is>
          <t>Agriculture Supplier 074</t>
        </is>
      </c>
      <c r="C1183" t="inlineStr">
        <is>
          <t>Agriculture</t>
        </is>
      </c>
      <c r="D1183" t="n">
        <v>2024</v>
      </c>
      <c r="E1183" t="n">
        <v>2020</v>
      </c>
      <c r="F1183" t="n">
        <v>2040</v>
      </c>
      <c r="G1183" t="n">
        <v>26707.7815</v>
      </c>
      <c r="H1183" t="n">
        <v>6494.2756</v>
      </c>
      <c r="I1183" t="n">
        <v>4060.4651</v>
      </c>
      <c r="J1183" t="inlineStr"/>
      <c r="K1183" t="inlineStr"/>
      <c r="L1183" t="n">
        <v>233834556.23</v>
      </c>
      <c r="M1183" t="n">
        <v>26707.7815</v>
      </c>
      <c r="N1183" t="inlineStr">
        <is>
          <t>Supplier Reported Emissions</t>
        </is>
      </c>
      <c r="O1183" t="b">
        <v>0</v>
      </c>
      <c r="P1183" t="inlineStr">
        <is>
          <t>High</t>
        </is>
      </c>
      <c r="Q1183" t="inlineStr">
        <is>
          <t>Gross_Spend; Scope_Emissions</t>
        </is>
      </c>
      <c r="R1183" t="inlineStr">
        <is>
          <t>Valid</t>
        </is>
      </c>
      <c r="S1183" t="n">
        <v>2038</v>
      </c>
      <c r="T1183" t="inlineStr">
        <is>
          <t>Supplier Target Pathway</t>
        </is>
      </c>
      <c r="U1183" t="n">
        <v>32381.1012</v>
      </c>
      <c r="V1183" t="n">
        <v>13557.9671</v>
      </c>
      <c r="W1183" t="n">
        <v>15440.2805</v>
      </c>
      <c r="X1183" t="n">
        <v>15440.2805</v>
      </c>
      <c r="Y1183" t="n">
        <v>16940.8207</v>
      </c>
      <c r="Z1183" t="inlineStr"/>
      <c r="AA1183" t="inlineStr"/>
      <c r="AB1183" t="n">
        <v>1882.3134</v>
      </c>
      <c r="AC1183" t="n">
        <v>941.1567</v>
      </c>
      <c r="AD1183" t="n">
        <v>-84881.71339999999</v>
      </c>
      <c r="AE1183" t="n">
        <v>301809.187</v>
      </c>
      <c r="AF1183" t="n">
        <v>0.99</v>
      </c>
      <c r="AG1183" t="inlineStr">
        <is>
          <t>Medium</t>
        </is>
      </c>
      <c r="AH1183" t="inlineStr">
        <is>
          <t>On Track to Glide Path</t>
        </is>
      </c>
    </row>
    <row r="1184">
      <c r="A1184" t="inlineStr">
        <is>
          <t>SUP-0074</t>
        </is>
      </c>
      <c r="B1184" t="inlineStr">
        <is>
          <t>Agriculture Supplier 074</t>
        </is>
      </c>
      <c r="C1184" t="inlineStr">
        <is>
          <t>Agriculture</t>
        </is>
      </c>
      <c r="D1184" t="n">
        <v>2024</v>
      </c>
      <c r="E1184" t="n">
        <v>2020</v>
      </c>
      <c r="F1184" t="n">
        <v>2040</v>
      </c>
      <c r="G1184" t="n">
        <v>26707.7815</v>
      </c>
      <c r="H1184" t="n">
        <v>6494.2756</v>
      </c>
      <c r="I1184" t="n">
        <v>4060.4651</v>
      </c>
      <c r="J1184" t="inlineStr"/>
      <c r="K1184" t="inlineStr"/>
      <c r="L1184" t="n">
        <v>233834556.23</v>
      </c>
      <c r="M1184" t="n">
        <v>26707.7815</v>
      </c>
      <c r="N1184" t="inlineStr">
        <is>
          <t>Supplier Reported Emissions</t>
        </is>
      </c>
      <c r="O1184" t="b">
        <v>0</v>
      </c>
      <c r="P1184" t="inlineStr">
        <is>
          <t>High</t>
        </is>
      </c>
      <c r="Q1184" t="inlineStr">
        <is>
          <t>Gross_Spend; Scope_Emissions</t>
        </is>
      </c>
      <c r="R1184" t="inlineStr">
        <is>
          <t>Valid</t>
        </is>
      </c>
      <c r="S1184" t="n">
        <v>2039</v>
      </c>
      <c r="T1184" t="inlineStr">
        <is>
          <t>Supplier Target Pathway</t>
        </is>
      </c>
      <c r="U1184" t="n">
        <v>32381.1012</v>
      </c>
      <c r="V1184" t="n">
        <v>13557.9671</v>
      </c>
      <c r="W1184" t="n">
        <v>14499.1238</v>
      </c>
      <c r="X1184" t="n">
        <v>14499.1238</v>
      </c>
      <c r="Y1184" t="n">
        <v>17881.9774</v>
      </c>
      <c r="Z1184" t="inlineStr"/>
      <c r="AA1184" t="inlineStr"/>
      <c r="AB1184" t="n">
        <v>941.1567</v>
      </c>
      <c r="AC1184" t="n">
        <v>941.1567</v>
      </c>
      <c r="AD1184" t="n">
        <v>-99380.83719999999</v>
      </c>
      <c r="AE1184" t="n">
        <v>316308.3108</v>
      </c>
      <c r="AF1184" t="n">
        <v>0.99</v>
      </c>
      <c r="AG1184" t="inlineStr">
        <is>
          <t>Medium</t>
        </is>
      </c>
      <c r="AH1184" t="inlineStr">
        <is>
          <t>On Track to Glide Path</t>
        </is>
      </c>
    </row>
    <row r="1185">
      <c r="A1185" t="inlineStr">
        <is>
          <t>SUP-0074</t>
        </is>
      </c>
      <c r="B1185" t="inlineStr">
        <is>
          <t>Agriculture Supplier 074</t>
        </is>
      </c>
      <c r="C1185" t="inlineStr">
        <is>
          <t>Agriculture</t>
        </is>
      </c>
      <c r="D1185" t="n">
        <v>2024</v>
      </c>
      <c r="E1185" t="n">
        <v>2020</v>
      </c>
      <c r="F1185" t="n">
        <v>2040</v>
      </c>
      <c r="G1185" t="n">
        <v>26707.7815</v>
      </c>
      <c r="H1185" t="n">
        <v>6494.2756</v>
      </c>
      <c r="I1185" t="n">
        <v>4060.4651</v>
      </c>
      <c r="J1185" t="inlineStr"/>
      <c r="K1185" t="inlineStr"/>
      <c r="L1185" t="n">
        <v>233834556.23</v>
      </c>
      <c r="M1185" t="n">
        <v>26707.7815</v>
      </c>
      <c r="N1185" t="inlineStr">
        <is>
          <t>Supplier Reported Emissions</t>
        </is>
      </c>
      <c r="O1185" t="b">
        <v>0</v>
      </c>
      <c r="P1185" t="inlineStr">
        <is>
          <t>High</t>
        </is>
      </c>
      <c r="Q1185" t="inlineStr">
        <is>
          <t>Gross_Spend; Scope_Emissions</t>
        </is>
      </c>
      <c r="R1185" t="inlineStr">
        <is>
          <t>Valid</t>
        </is>
      </c>
      <c r="S1185" t="n">
        <v>2040</v>
      </c>
      <c r="T1185" t="inlineStr">
        <is>
          <t>Supplier Target Pathway</t>
        </is>
      </c>
      <c r="U1185" t="n">
        <v>32381.1012</v>
      </c>
      <c r="V1185" t="n">
        <v>13557.9671</v>
      </c>
      <c r="W1185" t="n">
        <v>13557.9671</v>
      </c>
      <c r="X1185" t="n">
        <v>13557.9671</v>
      </c>
      <c r="Y1185" t="n">
        <v>18823.1341</v>
      </c>
      <c r="Z1185" t="inlineStr"/>
      <c r="AA1185" t="inlineStr"/>
      <c r="AB1185" t="n">
        <v>0</v>
      </c>
      <c r="AC1185" t="n">
        <v>941.1567</v>
      </c>
      <c r="AD1185" t="n">
        <v>-112938.8043</v>
      </c>
      <c r="AE1185" t="n">
        <v>329866.2779</v>
      </c>
      <c r="AF1185" t="n">
        <v>0.99</v>
      </c>
      <c r="AG1185" t="inlineStr">
        <is>
          <t>Low</t>
        </is>
      </c>
      <c r="AH1185" t="inlineStr">
        <is>
          <t>On Track</t>
        </is>
      </c>
    </row>
    <row r="1186">
      <c r="A1186" t="inlineStr">
        <is>
          <t>SUP-0075</t>
        </is>
      </c>
      <c r="B1186" t="inlineStr">
        <is>
          <t>Metals Supplier 075</t>
        </is>
      </c>
      <c r="C1186" t="inlineStr">
        <is>
          <t>Metals</t>
        </is>
      </c>
      <c r="D1186" t="n">
        <v>2024</v>
      </c>
      <c r="E1186" t="n">
        <v>2021</v>
      </c>
      <c r="F1186" t="n">
        <v>2030</v>
      </c>
      <c r="G1186" t="n">
        <v>16503.6871</v>
      </c>
      <c r="H1186" t="n">
        <v>2515.0455</v>
      </c>
      <c r="I1186" t="n">
        <v>2326.5687</v>
      </c>
      <c r="J1186" t="inlineStr"/>
      <c r="K1186" t="n">
        <v>10788085.25</v>
      </c>
      <c r="L1186" t="n">
        <v>32921816.64</v>
      </c>
      <c r="M1186" t="n">
        <v>16503.6871</v>
      </c>
      <c r="N1186" t="inlineStr">
        <is>
          <t>Supplier Reported Emissions</t>
        </is>
      </c>
      <c r="O1186" t="b">
        <v>0</v>
      </c>
      <c r="P1186" t="inlineStr">
        <is>
          <t>High</t>
        </is>
      </c>
      <c r="Q1186" t="inlineStr">
        <is>
          <t>Scope_Emissions</t>
        </is>
      </c>
      <c r="R1186" t="inlineStr">
        <is>
          <t>Valid</t>
        </is>
      </c>
      <c r="S1186" t="n">
        <v>2025</v>
      </c>
      <c r="T1186" t="inlineStr">
        <is>
          <t>Supplier Target Pathway</t>
        </is>
      </c>
      <c r="U1186" t="n">
        <v>17179.8672</v>
      </c>
      <c r="V1186" t="n">
        <v>7110.747</v>
      </c>
      <c r="W1186" t="n">
        <v>12704.7027</v>
      </c>
      <c r="X1186" t="n">
        <v>12704.7027</v>
      </c>
      <c r="Y1186" t="n">
        <v>4475.1645</v>
      </c>
      <c r="Z1186" t="n">
        <v>0.00117766</v>
      </c>
      <c r="AA1186" t="n">
        <v>0.260489</v>
      </c>
      <c r="AB1186" t="n">
        <v>5593.9556</v>
      </c>
      <c r="AC1186" t="n">
        <v>1118.7911</v>
      </c>
      <c r="AD1186" t="n">
        <v>29959.7793</v>
      </c>
      <c r="AE1186" t="n">
        <v>12704.7027</v>
      </c>
      <c r="AF1186" t="n">
        <v>0.99</v>
      </c>
      <c r="AG1186" t="inlineStr">
        <is>
          <t>Critical</t>
        </is>
      </c>
      <c r="AH1186" t="inlineStr">
        <is>
          <t>On Track to Glide Path</t>
        </is>
      </c>
    </row>
    <row r="1187">
      <c r="A1187" t="inlineStr">
        <is>
          <t>SUP-0075</t>
        </is>
      </c>
      <c r="B1187" t="inlineStr">
        <is>
          <t>Metals Supplier 075</t>
        </is>
      </c>
      <c r="C1187" t="inlineStr">
        <is>
          <t>Metals</t>
        </is>
      </c>
      <c r="D1187" t="n">
        <v>2024</v>
      </c>
      <c r="E1187" t="n">
        <v>2021</v>
      </c>
      <c r="F1187" t="n">
        <v>2030</v>
      </c>
      <c r="G1187" t="n">
        <v>16503.6871</v>
      </c>
      <c r="H1187" t="n">
        <v>2515.0455</v>
      </c>
      <c r="I1187" t="n">
        <v>2326.5687</v>
      </c>
      <c r="J1187" t="inlineStr"/>
      <c r="K1187" t="n">
        <v>10788085.25</v>
      </c>
      <c r="L1187" t="n">
        <v>32921816.64</v>
      </c>
      <c r="M1187" t="n">
        <v>16503.6871</v>
      </c>
      <c r="N1187" t="inlineStr">
        <is>
          <t>Supplier Reported Emissions</t>
        </is>
      </c>
      <c r="O1187" t="b">
        <v>0</v>
      </c>
      <c r="P1187" t="inlineStr">
        <is>
          <t>High</t>
        </is>
      </c>
      <c r="Q1187" t="inlineStr">
        <is>
          <t>Scope_Emissions</t>
        </is>
      </c>
      <c r="R1187" t="inlineStr">
        <is>
          <t>Valid</t>
        </is>
      </c>
      <c r="S1187" t="n">
        <v>2026</v>
      </c>
      <c r="T1187" t="inlineStr">
        <is>
          <t>Supplier Target Pathway</t>
        </is>
      </c>
      <c r="U1187" t="n">
        <v>17179.8672</v>
      </c>
      <c r="V1187" t="n">
        <v>7110.747</v>
      </c>
      <c r="W1187" t="n">
        <v>11585.9116</v>
      </c>
      <c r="X1187" t="n">
        <v>11585.9116</v>
      </c>
      <c r="Y1187" t="n">
        <v>5593.9556</v>
      </c>
      <c r="Z1187" t="n">
        <v>0.00107395</v>
      </c>
      <c r="AA1187" t="n">
        <v>0.325611</v>
      </c>
      <c r="AB1187" t="n">
        <v>4475.1645</v>
      </c>
      <c r="AC1187" t="n">
        <v>1118.7911</v>
      </c>
      <c r="AD1187" t="n">
        <v>18373.8677</v>
      </c>
      <c r="AE1187" t="n">
        <v>24290.6143</v>
      </c>
      <c r="AF1187" t="n">
        <v>0.99</v>
      </c>
      <c r="AG1187" t="inlineStr">
        <is>
          <t>Critical</t>
        </is>
      </c>
      <c r="AH1187" t="inlineStr">
        <is>
          <t>On Track to Glide Path</t>
        </is>
      </c>
    </row>
    <row r="1188">
      <c r="A1188" t="inlineStr">
        <is>
          <t>SUP-0075</t>
        </is>
      </c>
      <c r="B1188" t="inlineStr">
        <is>
          <t>Metals Supplier 075</t>
        </is>
      </c>
      <c r="C1188" t="inlineStr">
        <is>
          <t>Metals</t>
        </is>
      </c>
      <c r="D1188" t="n">
        <v>2024</v>
      </c>
      <c r="E1188" t="n">
        <v>2021</v>
      </c>
      <c r="F1188" t="n">
        <v>2030</v>
      </c>
      <c r="G1188" t="n">
        <v>16503.6871</v>
      </c>
      <c r="H1188" t="n">
        <v>2515.0455</v>
      </c>
      <c r="I1188" t="n">
        <v>2326.5687</v>
      </c>
      <c r="J1188" t="inlineStr"/>
      <c r="K1188" t="n">
        <v>10788085.25</v>
      </c>
      <c r="L1188" t="n">
        <v>32921816.64</v>
      </c>
      <c r="M1188" t="n">
        <v>16503.6871</v>
      </c>
      <c r="N1188" t="inlineStr">
        <is>
          <t>Supplier Reported Emissions</t>
        </is>
      </c>
      <c r="O1188" t="b">
        <v>0</v>
      </c>
      <c r="P1188" t="inlineStr">
        <is>
          <t>High</t>
        </is>
      </c>
      <c r="Q1188" t="inlineStr">
        <is>
          <t>Scope_Emissions</t>
        </is>
      </c>
      <c r="R1188" t="inlineStr">
        <is>
          <t>Valid</t>
        </is>
      </c>
      <c r="S1188" t="n">
        <v>2027</v>
      </c>
      <c r="T1188" t="inlineStr">
        <is>
          <t>Supplier Target Pathway</t>
        </is>
      </c>
      <c r="U1188" t="n">
        <v>17179.8672</v>
      </c>
      <c r="V1188" t="n">
        <v>7110.747</v>
      </c>
      <c r="W1188" t="n">
        <v>10467.1204</v>
      </c>
      <c r="X1188" t="n">
        <v>10467.1204</v>
      </c>
      <c r="Y1188" t="n">
        <v>6712.7468</v>
      </c>
      <c r="Z1188" t="n">
        <v>0.00097025</v>
      </c>
      <c r="AA1188" t="n">
        <v>0.390733</v>
      </c>
      <c r="AB1188" t="n">
        <v>3356.3734</v>
      </c>
      <c r="AC1188" t="n">
        <v>1118.7911</v>
      </c>
      <c r="AD1188" t="n">
        <v>7906.7473</v>
      </c>
      <c r="AE1188" t="n">
        <v>34757.7347</v>
      </c>
      <c r="AF1188" t="n">
        <v>0.99</v>
      </c>
      <c r="AG1188" t="inlineStr">
        <is>
          <t>Critical</t>
        </is>
      </c>
      <c r="AH1188" t="inlineStr">
        <is>
          <t>On Track to Glide Path</t>
        </is>
      </c>
    </row>
    <row r="1189">
      <c r="A1189" t="inlineStr">
        <is>
          <t>SUP-0075</t>
        </is>
      </c>
      <c r="B1189" t="inlineStr">
        <is>
          <t>Metals Supplier 075</t>
        </is>
      </c>
      <c r="C1189" t="inlineStr">
        <is>
          <t>Metals</t>
        </is>
      </c>
      <c r="D1189" t="n">
        <v>2024</v>
      </c>
      <c r="E1189" t="n">
        <v>2021</v>
      </c>
      <c r="F1189" t="n">
        <v>2030</v>
      </c>
      <c r="G1189" t="n">
        <v>16503.6871</v>
      </c>
      <c r="H1189" t="n">
        <v>2515.0455</v>
      </c>
      <c r="I1189" t="n">
        <v>2326.5687</v>
      </c>
      <c r="J1189" t="inlineStr"/>
      <c r="K1189" t="n">
        <v>10788085.25</v>
      </c>
      <c r="L1189" t="n">
        <v>32921816.64</v>
      </c>
      <c r="M1189" t="n">
        <v>16503.6871</v>
      </c>
      <c r="N1189" t="inlineStr">
        <is>
          <t>Supplier Reported Emissions</t>
        </is>
      </c>
      <c r="O1189" t="b">
        <v>0</v>
      </c>
      <c r="P1189" t="inlineStr">
        <is>
          <t>High</t>
        </is>
      </c>
      <c r="Q1189" t="inlineStr">
        <is>
          <t>Scope_Emissions</t>
        </is>
      </c>
      <c r="R1189" t="inlineStr">
        <is>
          <t>Valid</t>
        </is>
      </c>
      <c r="S1189" t="n">
        <v>2028</v>
      </c>
      <c r="T1189" t="inlineStr">
        <is>
          <t>Supplier Target Pathway</t>
        </is>
      </c>
      <c r="U1189" t="n">
        <v>17179.8672</v>
      </c>
      <c r="V1189" t="n">
        <v>7110.747</v>
      </c>
      <c r="W1189" t="n">
        <v>9348.329299999999</v>
      </c>
      <c r="X1189" t="n">
        <v>9348.329299999999</v>
      </c>
      <c r="Y1189" t="n">
        <v>7831.5379</v>
      </c>
      <c r="Z1189" t="n">
        <v>0.00086654</v>
      </c>
      <c r="AA1189" t="n">
        <v>0.455856</v>
      </c>
      <c r="AB1189" t="n">
        <v>2237.5823</v>
      </c>
      <c r="AC1189" t="n">
        <v>1118.7911</v>
      </c>
      <c r="AD1189" t="n">
        <v>-1441.582</v>
      </c>
      <c r="AE1189" t="n">
        <v>44106.064</v>
      </c>
      <c r="AF1189" t="n">
        <v>0.99</v>
      </c>
      <c r="AG1189" t="inlineStr">
        <is>
          <t>High</t>
        </is>
      </c>
      <c r="AH1189" t="inlineStr">
        <is>
          <t>On Track to Glide Path</t>
        </is>
      </c>
    </row>
    <row r="1190">
      <c r="A1190" t="inlineStr">
        <is>
          <t>SUP-0075</t>
        </is>
      </c>
      <c r="B1190" t="inlineStr">
        <is>
          <t>Metals Supplier 075</t>
        </is>
      </c>
      <c r="C1190" t="inlineStr">
        <is>
          <t>Metals</t>
        </is>
      </c>
      <c r="D1190" t="n">
        <v>2024</v>
      </c>
      <c r="E1190" t="n">
        <v>2021</v>
      </c>
      <c r="F1190" t="n">
        <v>2030</v>
      </c>
      <c r="G1190" t="n">
        <v>16503.6871</v>
      </c>
      <c r="H1190" t="n">
        <v>2515.0455</v>
      </c>
      <c r="I1190" t="n">
        <v>2326.5687</v>
      </c>
      <c r="J1190" t="inlineStr"/>
      <c r="K1190" t="n">
        <v>10788085.25</v>
      </c>
      <c r="L1190" t="n">
        <v>32921816.64</v>
      </c>
      <c r="M1190" t="n">
        <v>16503.6871</v>
      </c>
      <c r="N1190" t="inlineStr">
        <is>
          <t>Supplier Reported Emissions</t>
        </is>
      </c>
      <c r="O1190" t="b">
        <v>0</v>
      </c>
      <c r="P1190" t="inlineStr">
        <is>
          <t>High</t>
        </is>
      </c>
      <c r="Q1190" t="inlineStr">
        <is>
          <t>Scope_Emissions</t>
        </is>
      </c>
      <c r="R1190" t="inlineStr">
        <is>
          <t>Valid</t>
        </is>
      </c>
      <c r="S1190" t="n">
        <v>2029</v>
      </c>
      <c r="T1190" t="inlineStr">
        <is>
          <t>Supplier Target Pathway</t>
        </is>
      </c>
      <c r="U1190" t="n">
        <v>17179.8672</v>
      </c>
      <c r="V1190" t="n">
        <v>7110.747</v>
      </c>
      <c r="W1190" t="n">
        <v>8229.538200000001</v>
      </c>
      <c r="X1190" t="n">
        <v>8229.538200000001</v>
      </c>
      <c r="Y1190" t="n">
        <v>8950.329</v>
      </c>
      <c r="Z1190" t="n">
        <v>0.00076284</v>
      </c>
      <c r="AA1190" t="n">
        <v>0.5209780000000001</v>
      </c>
      <c r="AB1190" t="n">
        <v>1118.7911</v>
      </c>
      <c r="AC1190" t="n">
        <v>1118.7911</v>
      </c>
      <c r="AD1190" t="n">
        <v>-9671.120199999999</v>
      </c>
      <c r="AE1190" t="n">
        <v>52335.6022</v>
      </c>
      <c r="AF1190" t="n">
        <v>0.99</v>
      </c>
      <c r="AG1190" t="inlineStr">
        <is>
          <t>High</t>
        </is>
      </c>
      <c r="AH1190" t="inlineStr">
        <is>
          <t>On Track to Glide Path</t>
        </is>
      </c>
    </row>
    <row r="1191">
      <c r="A1191" t="inlineStr">
        <is>
          <t>SUP-0075</t>
        </is>
      </c>
      <c r="B1191" t="inlineStr">
        <is>
          <t>Metals Supplier 075</t>
        </is>
      </c>
      <c r="C1191" t="inlineStr">
        <is>
          <t>Metals</t>
        </is>
      </c>
      <c r="D1191" t="n">
        <v>2024</v>
      </c>
      <c r="E1191" t="n">
        <v>2021</v>
      </c>
      <c r="F1191" t="n">
        <v>2030</v>
      </c>
      <c r="G1191" t="n">
        <v>16503.6871</v>
      </c>
      <c r="H1191" t="n">
        <v>2515.0455</v>
      </c>
      <c r="I1191" t="n">
        <v>2326.5687</v>
      </c>
      <c r="J1191" t="inlineStr"/>
      <c r="K1191" t="n">
        <v>10788085.25</v>
      </c>
      <c r="L1191" t="n">
        <v>32921816.64</v>
      </c>
      <c r="M1191" t="n">
        <v>16503.6871</v>
      </c>
      <c r="N1191" t="inlineStr">
        <is>
          <t>Supplier Reported Emissions</t>
        </is>
      </c>
      <c r="O1191" t="b">
        <v>0</v>
      </c>
      <c r="P1191" t="inlineStr">
        <is>
          <t>High</t>
        </is>
      </c>
      <c r="Q1191" t="inlineStr">
        <is>
          <t>Scope_Emissions</t>
        </is>
      </c>
      <c r="R1191" t="inlineStr">
        <is>
          <t>Valid</t>
        </is>
      </c>
      <c r="S1191" t="n">
        <v>2030</v>
      </c>
      <c r="T1191" t="inlineStr">
        <is>
          <t>Supplier Target Pathway</t>
        </is>
      </c>
      <c r="U1191" t="n">
        <v>17179.8672</v>
      </c>
      <c r="V1191" t="n">
        <v>7110.747</v>
      </c>
      <c r="W1191" t="n">
        <v>7110.747</v>
      </c>
      <c r="X1191" t="n">
        <v>7110.747</v>
      </c>
      <c r="Y1191" t="n">
        <v>10069.1202</v>
      </c>
      <c r="Z1191" t="n">
        <v>0.00065913</v>
      </c>
      <c r="AA1191" t="n">
        <v>0.5861</v>
      </c>
      <c r="AB1191" t="n">
        <v>0</v>
      </c>
      <c r="AC1191" t="n">
        <v>1118.7911</v>
      </c>
      <c r="AD1191" t="n">
        <v>-16781.8672</v>
      </c>
      <c r="AE1191" t="n">
        <v>59446.3492</v>
      </c>
      <c r="AF1191" t="n">
        <v>0.99</v>
      </c>
      <c r="AG1191" t="inlineStr">
        <is>
          <t>Low</t>
        </is>
      </c>
      <c r="AH1191" t="inlineStr">
        <is>
          <t>On Track</t>
        </is>
      </c>
    </row>
    <row r="1192">
      <c r="A1192" t="inlineStr">
        <is>
          <t>SUP-0075</t>
        </is>
      </c>
      <c r="B1192" t="inlineStr">
        <is>
          <t>Metals Supplier 075</t>
        </is>
      </c>
      <c r="C1192" t="inlineStr">
        <is>
          <t>Metals</t>
        </is>
      </c>
      <c r="D1192" t="n">
        <v>2024</v>
      </c>
      <c r="E1192" t="n">
        <v>2021</v>
      </c>
      <c r="F1192" t="n">
        <v>2030</v>
      </c>
      <c r="G1192" t="n">
        <v>16503.6871</v>
      </c>
      <c r="H1192" t="n">
        <v>2515.0455</v>
      </c>
      <c r="I1192" t="n">
        <v>2326.5687</v>
      </c>
      <c r="J1192" t="inlineStr"/>
      <c r="K1192" t="n">
        <v>10788085.25</v>
      </c>
      <c r="L1192" t="n">
        <v>32921816.64</v>
      </c>
      <c r="M1192" t="n">
        <v>16503.6871</v>
      </c>
      <c r="N1192" t="inlineStr">
        <is>
          <t>Supplier Reported Emissions</t>
        </is>
      </c>
      <c r="O1192" t="b">
        <v>0</v>
      </c>
      <c r="P1192" t="inlineStr">
        <is>
          <t>High</t>
        </is>
      </c>
      <c r="Q1192" t="inlineStr">
        <is>
          <t>Scope_Emissions</t>
        </is>
      </c>
      <c r="R1192" t="inlineStr">
        <is>
          <t>Valid</t>
        </is>
      </c>
      <c r="S1192" t="n">
        <v>2031</v>
      </c>
      <c r="T1192" t="inlineStr">
        <is>
          <t>Supplier Target Pathway</t>
        </is>
      </c>
      <c r="U1192" t="n">
        <v>17179.8672</v>
      </c>
      <c r="V1192" t="n">
        <v>7110.747</v>
      </c>
      <c r="W1192" t="n">
        <v>7110.747</v>
      </c>
      <c r="X1192" t="n">
        <v>7110.747</v>
      </c>
      <c r="Y1192" t="n">
        <v>10069.1202</v>
      </c>
      <c r="Z1192" t="n">
        <v>0.00065913</v>
      </c>
      <c r="AA1192" t="n">
        <v>0.5861</v>
      </c>
      <c r="AB1192" t="n">
        <v>0</v>
      </c>
      <c r="AC1192" t="n">
        <v>1118.7911</v>
      </c>
      <c r="AD1192" t="n">
        <v>-23892.6142</v>
      </c>
      <c r="AE1192" t="n">
        <v>66557.0962</v>
      </c>
      <c r="AF1192" t="n">
        <v>0.99</v>
      </c>
      <c r="AG1192" t="inlineStr">
        <is>
          <t>Low</t>
        </is>
      </c>
      <c r="AH1192" t="inlineStr">
        <is>
          <t>On Track</t>
        </is>
      </c>
    </row>
    <row r="1193">
      <c r="A1193" t="inlineStr">
        <is>
          <t>SUP-0075</t>
        </is>
      </c>
      <c r="B1193" t="inlineStr">
        <is>
          <t>Metals Supplier 075</t>
        </is>
      </c>
      <c r="C1193" t="inlineStr">
        <is>
          <t>Metals</t>
        </is>
      </c>
      <c r="D1193" t="n">
        <v>2024</v>
      </c>
      <c r="E1193" t="n">
        <v>2021</v>
      </c>
      <c r="F1193" t="n">
        <v>2030</v>
      </c>
      <c r="G1193" t="n">
        <v>16503.6871</v>
      </c>
      <c r="H1193" t="n">
        <v>2515.0455</v>
      </c>
      <c r="I1193" t="n">
        <v>2326.5687</v>
      </c>
      <c r="J1193" t="inlineStr"/>
      <c r="K1193" t="n">
        <v>10788085.25</v>
      </c>
      <c r="L1193" t="n">
        <v>32921816.64</v>
      </c>
      <c r="M1193" t="n">
        <v>16503.6871</v>
      </c>
      <c r="N1193" t="inlineStr">
        <is>
          <t>Supplier Reported Emissions</t>
        </is>
      </c>
      <c r="O1193" t="b">
        <v>0</v>
      </c>
      <c r="P1193" t="inlineStr">
        <is>
          <t>High</t>
        </is>
      </c>
      <c r="Q1193" t="inlineStr">
        <is>
          <t>Scope_Emissions</t>
        </is>
      </c>
      <c r="R1193" t="inlineStr">
        <is>
          <t>Valid</t>
        </is>
      </c>
      <c r="S1193" t="n">
        <v>2032</v>
      </c>
      <c r="T1193" t="inlineStr">
        <is>
          <t>Supplier Target Pathway</t>
        </is>
      </c>
      <c r="U1193" t="n">
        <v>17179.8672</v>
      </c>
      <c r="V1193" t="n">
        <v>7110.747</v>
      </c>
      <c r="W1193" t="n">
        <v>7110.747</v>
      </c>
      <c r="X1193" t="n">
        <v>7110.747</v>
      </c>
      <c r="Y1193" t="n">
        <v>10069.1202</v>
      </c>
      <c r="Z1193" t="n">
        <v>0.00065913</v>
      </c>
      <c r="AA1193" t="n">
        <v>0.5861</v>
      </c>
      <c r="AB1193" t="n">
        <v>0</v>
      </c>
      <c r="AC1193" t="n">
        <v>1118.7911</v>
      </c>
      <c r="AD1193" t="n">
        <v>-31003.3612</v>
      </c>
      <c r="AE1193" t="n">
        <v>73667.8432</v>
      </c>
      <c r="AF1193" t="n">
        <v>0.99</v>
      </c>
      <c r="AG1193" t="inlineStr">
        <is>
          <t>Low</t>
        </is>
      </c>
      <c r="AH1193" t="inlineStr">
        <is>
          <t>On Track</t>
        </is>
      </c>
    </row>
    <row r="1194">
      <c r="A1194" t="inlineStr">
        <is>
          <t>SUP-0075</t>
        </is>
      </c>
      <c r="B1194" t="inlineStr">
        <is>
          <t>Metals Supplier 075</t>
        </is>
      </c>
      <c r="C1194" t="inlineStr">
        <is>
          <t>Metals</t>
        </is>
      </c>
      <c r="D1194" t="n">
        <v>2024</v>
      </c>
      <c r="E1194" t="n">
        <v>2021</v>
      </c>
      <c r="F1194" t="n">
        <v>2030</v>
      </c>
      <c r="G1194" t="n">
        <v>16503.6871</v>
      </c>
      <c r="H1194" t="n">
        <v>2515.0455</v>
      </c>
      <c r="I1194" t="n">
        <v>2326.5687</v>
      </c>
      <c r="J1194" t="inlineStr"/>
      <c r="K1194" t="n">
        <v>10788085.25</v>
      </c>
      <c r="L1194" t="n">
        <v>32921816.64</v>
      </c>
      <c r="M1194" t="n">
        <v>16503.6871</v>
      </c>
      <c r="N1194" t="inlineStr">
        <is>
          <t>Supplier Reported Emissions</t>
        </is>
      </c>
      <c r="O1194" t="b">
        <v>0</v>
      </c>
      <c r="P1194" t="inlineStr">
        <is>
          <t>High</t>
        </is>
      </c>
      <c r="Q1194" t="inlineStr">
        <is>
          <t>Scope_Emissions</t>
        </is>
      </c>
      <c r="R1194" t="inlineStr">
        <is>
          <t>Valid</t>
        </is>
      </c>
      <c r="S1194" t="n">
        <v>2033</v>
      </c>
      <c r="T1194" t="inlineStr">
        <is>
          <t>Supplier Target Pathway</t>
        </is>
      </c>
      <c r="U1194" t="n">
        <v>17179.8672</v>
      </c>
      <c r="V1194" t="n">
        <v>7110.747</v>
      </c>
      <c r="W1194" t="n">
        <v>7110.747</v>
      </c>
      <c r="X1194" t="n">
        <v>7110.747</v>
      </c>
      <c r="Y1194" t="n">
        <v>10069.1202</v>
      </c>
      <c r="Z1194" t="n">
        <v>0.00065913</v>
      </c>
      <c r="AA1194" t="n">
        <v>0.5861</v>
      </c>
      <c r="AB1194" t="n">
        <v>0</v>
      </c>
      <c r="AC1194" t="n">
        <v>1118.7911</v>
      </c>
      <c r="AD1194" t="n">
        <v>-38114.1082</v>
      </c>
      <c r="AE1194" t="n">
        <v>80778.59020000001</v>
      </c>
      <c r="AF1194" t="n">
        <v>0.99</v>
      </c>
      <c r="AG1194" t="inlineStr">
        <is>
          <t>Low</t>
        </is>
      </c>
      <c r="AH1194" t="inlineStr">
        <is>
          <t>On Track</t>
        </is>
      </c>
    </row>
    <row r="1195">
      <c r="A1195" t="inlineStr">
        <is>
          <t>SUP-0075</t>
        </is>
      </c>
      <c r="B1195" t="inlineStr">
        <is>
          <t>Metals Supplier 075</t>
        </is>
      </c>
      <c r="C1195" t="inlineStr">
        <is>
          <t>Metals</t>
        </is>
      </c>
      <c r="D1195" t="n">
        <v>2024</v>
      </c>
      <c r="E1195" t="n">
        <v>2021</v>
      </c>
      <c r="F1195" t="n">
        <v>2030</v>
      </c>
      <c r="G1195" t="n">
        <v>16503.6871</v>
      </c>
      <c r="H1195" t="n">
        <v>2515.0455</v>
      </c>
      <c r="I1195" t="n">
        <v>2326.5687</v>
      </c>
      <c r="J1195" t="inlineStr"/>
      <c r="K1195" t="n">
        <v>10788085.25</v>
      </c>
      <c r="L1195" t="n">
        <v>32921816.64</v>
      </c>
      <c r="M1195" t="n">
        <v>16503.6871</v>
      </c>
      <c r="N1195" t="inlineStr">
        <is>
          <t>Supplier Reported Emissions</t>
        </is>
      </c>
      <c r="O1195" t="b">
        <v>0</v>
      </c>
      <c r="P1195" t="inlineStr">
        <is>
          <t>High</t>
        </is>
      </c>
      <c r="Q1195" t="inlineStr">
        <is>
          <t>Scope_Emissions</t>
        </is>
      </c>
      <c r="R1195" t="inlineStr">
        <is>
          <t>Valid</t>
        </is>
      </c>
      <c r="S1195" t="n">
        <v>2034</v>
      </c>
      <c r="T1195" t="inlineStr">
        <is>
          <t>Supplier Target Pathway</t>
        </is>
      </c>
      <c r="U1195" t="n">
        <v>17179.8672</v>
      </c>
      <c r="V1195" t="n">
        <v>7110.747</v>
      </c>
      <c r="W1195" t="n">
        <v>7110.747</v>
      </c>
      <c r="X1195" t="n">
        <v>7110.747</v>
      </c>
      <c r="Y1195" t="n">
        <v>10069.1202</v>
      </c>
      <c r="Z1195" t="n">
        <v>0.00065913</v>
      </c>
      <c r="AA1195" t="n">
        <v>0.5861</v>
      </c>
      <c r="AB1195" t="n">
        <v>0</v>
      </c>
      <c r="AC1195" t="n">
        <v>1118.7911</v>
      </c>
      <c r="AD1195" t="n">
        <v>-45224.8552</v>
      </c>
      <c r="AE1195" t="n">
        <v>87889.33719999999</v>
      </c>
      <c r="AF1195" t="n">
        <v>0.99</v>
      </c>
      <c r="AG1195" t="inlineStr">
        <is>
          <t>Low</t>
        </is>
      </c>
      <c r="AH1195" t="inlineStr">
        <is>
          <t>On Track</t>
        </is>
      </c>
    </row>
    <row r="1196">
      <c r="A1196" t="inlineStr">
        <is>
          <t>SUP-0075</t>
        </is>
      </c>
      <c r="B1196" t="inlineStr">
        <is>
          <t>Metals Supplier 075</t>
        </is>
      </c>
      <c r="C1196" t="inlineStr">
        <is>
          <t>Metals</t>
        </is>
      </c>
      <c r="D1196" t="n">
        <v>2024</v>
      </c>
      <c r="E1196" t="n">
        <v>2021</v>
      </c>
      <c r="F1196" t="n">
        <v>2030</v>
      </c>
      <c r="G1196" t="n">
        <v>16503.6871</v>
      </c>
      <c r="H1196" t="n">
        <v>2515.0455</v>
      </c>
      <c r="I1196" t="n">
        <v>2326.5687</v>
      </c>
      <c r="J1196" t="inlineStr"/>
      <c r="K1196" t="n">
        <v>10788085.25</v>
      </c>
      <c r="L1196" t="n">
        <v>32921816.64</v>
      </c>
      <c r="M1196" t="n">
        <v>16503.6871</v>
      </c>
      <c r="N1196" t="inlineStr">
        <is>
          <t>Supplier Reported Emissions</t>
        </is>
      </c>
      <c r="O1196" t="b">
        <v>0</v>
      </c>
      <c r="P1196" t="inlineStr">
        <is>
          <t>High</t>
        </is>
      </c>
      <c r="Q1196" t="inlineStr">
        <is>
          <t>Scope_Emissions</t>
        </is>
      </c>
      <c r="R1196" t="inlineStr">
        <is>
          <t>Valid</t>
        </is>
      </c>
      <c r="S1196" t="n">
        <v>2035</v>
      </c>
      <c r="T1196" t="inlineStr">
        <is>
          <t>Supplier Target Pathway</t>
        </is>
      </c>
      <c r="U1196" t="n">
        <v>17179.8672</v>
      </c>
      <c r="V1196" t="n">
        <v>7110.747</v>
      </c>
      <c r="W1196" t="n">
        <v>7110.747</v>
      </c>
      <c r="X1196" t="n">
        <v>7110.747</v>
      </c>
      <c r="Y1196" t="n">
        <v>10069.1202</v>
      </c>
      <c r="Z1196" t="n">
        <v>0.00065913</v>
      </c>
      <c r="AA1196" t="n">
        <v>0.5861</v>
      </c>
      <c r="AB1196" t="n">
        <v>0</v>
      </c>
      <c r="AC1196" t="n">
        <v>1118.7911</v>
      </c>
      <c r="AD1196" t="n">
        <v>-52335.6022</v>
      </c>
      <c r="AE1196" t="n">
        <v>95000.0842</v>
      </c>
      <c r="AF1196" t="n">
        <v>0.99</v>
      </c>
      <c r="AG1196" t="inlineStr">
        <is>
          <t>Low</t>
        </is>
      </c>
      <c r="AH1196" t="inlineStr">
        <is>
          <t>On Track</t>
        </is>
      </c>
    </row>
    <row r="1197">
      <c r="A1197" t="inlineStr">
        <is>
          <t>SUP-0075</t>
        </is>
      </c>
      <c r="B1197" t="inlineStr">
        <is>
          <t>Metals Supplier 075</t>
        </is>
      </c>
      <c r="C1197" t="inlineStr">
        <is>
          <t>Metals</t>
        </is>
      </c>
      <c r="D1197" t="n">
        <v>2024</v>
      </c>
      <c r="E1197" t="n">
        <v>2021</v>
      </c>
      <c r="F1197" t="n">
        <v>2030</v>
      </c>
      <c r="G1197" t="n">
        <v>16503.6871</v>
      </c>
      <c r="H1197" t="n">
        <v>2515.0455</v>
      </c>
      <c r="I1197" t="n">
        <v>2326.5687</v>
      </c>
      <c r="J1197" t="inlineStr"/>
      <c r="K1197" t="n">
        <v>10788085.25</v>
      </c>
      <c r="L1197" t="n">
        <v>32921816.64</v>
      </c>
      <c r="M1197" t="n">
        <v>16503.6871</v>
      </c>
      <c r="N1197" t="inlineStr">
        <is>
          <t>Supplier Reported Emissions</t>
        </is>
      </c>
      <c r="O1197" t="b">
        <v>0</v>
      </c>
      <c r="P1197" t="inlineStr">
        <is>
          <t>High</t>
        </is>
      </c>
      <c r="Q1197" t="inlineStr">
        <is>
          <t>Scope_Emissions</t>
        </is>
      </c>
      <c r="R1197" t="inlineStr">
        <is>
          <t>Valid</t>
        </is>
      </c>
      <c r="S1197" t="n">
        <v>2036</v>
      </c>
      <c r="T1197" t="inlineStr">
        <is>
          <t>Supplier Target Pathway</t>
        </is>
      </c>
      <c r="U1197" t="n">
        <v>17179.8672</v>
      </c>
      <c r="V1197" t="n">
        <v>7110.747</v>
      </c>
      <c r="W1197" t="n">
        <v>7110.747</v>
      </c>
      <c r="X1197" t="n">
        <v>7110.747</v>
      </c>
      <c r="Y1197" t="n">
        <v>10069.1202</v>
      </c>
      <c r="Z1197" t="n">
        <v>0.00065913</v>
      </c>
      <c r="AA1197" t="n">
        <v>0.5861</v>
      </c>
      <c r="AB1197" t="n">
        <v>0</v>
      </c>
      <c r="AC1197" t="n">
        <v>1118.7911</v>
      </c>
      <c r="AD1197" t="n">
        <v>-59446.3492</v>
      </c>
      <c r="AE1197" t="n">
        <v>102110.8312</v>
      </c>
      <c r="AF1197" t="n">
        <v>0.99</v>
      </c>
      <c r="AG1197" t="inlineStr">
        <is>
          <t>Low</t>
        </is>
      </c>
      <c r="AH1197" t="inlineStr">
        <is>
          <t>On Track</t>
        </is>
      </c>
    </row>
    <row r="1198">
      <c r="A1198" t="inlineStr">
        <is>
          <t>SUP-0075</t>
        </is>
      </c>
      <c r="B1198" t="inlineStr">
        <is>
          <t>Metals Supplier 075</t>
        </is>
      </c>
      <c r="C1198" t="inlineStr">
        <is>
          <t>Metals</t>
        </is>
      </c>
      <c r="D1198" t="n">
        <v>2024</v>
      </c>
      <c r="E1198" t="n">
        <v>2021</v>
      </c>
      <c r="F1198" t="n">
        <v>2030</v>
      </c>
      <c r="G1198" t="n">
        <v>16503.6871</v>
      </c>
      <c r="H1198" t="n">
        <v>2515.0455</v>
      </c>
      <c r="I1198" t="n">
        <v>2326.5687</v>
      </c>
      <c r="J1198" t="inlineStr"/>
      <c r="K1198" t="n">
        <v>10788085.25</v>
      </c>
      <c r="L1198" t="n">
        <v>32921816.64</v>
      </c>
      <c r="M1198" t="n">
        <v>16503.6871</v>
      </c>
      <c r="N1198" t="inlineStr">
        <is>
          <t>Supplier Reported Emissions</t>
        </is>
      </c>
      <c r="O1198" t="b">
        <v>0</v>
      </c>
      <c r="P1198" t="inlineStr">
        <is>
          <t>High</t>
        </is>
      </c>
      <c r="Q1198" t="inlineStr">
        <is>
          <t>Scope_Emissions</t>
        </is>
      </c>
      <c r="R1198" t="inlineStr">
        <is>
          <t>Valid</t>
        </is>
      </c>
      <c r="S1198" t="n">
        <v>2037</v>
      </c>
      <c r="T1198" t="inlineStr">
        <is>
          <t>Supplier Target Pathway</t>
        </is>
      </c>
      <c r="U1198" t="n">
        <v>17179.8672</v>
      </c>
      <c r="V1198" t="n">
        <v>7110.747</v>
      </c>
      <c r="W1198" t="n">
        <v>7110.747</v>
      </c>
      <c r="X1198" t="n">
        <v>7110.747</v>
      </c>
      <c r="Y1198" t="n">
        <v>10069.1202</v>
      </c>
      <c r="Z1198" t="n">
        <v>0.00065913</v>
      </c>
      <c r="AA1198" t="n">
        <v>0.5861</v>
      </c>
      <c r="AB1198" t="n">
        <v>0</v>
      </c>
      <c r="AC1198" t="n">
        <v>1118.7911</v>
      </c>
      <c r="AD1198" t="n">
        <v>-66557.0962</v>
      </c>
      <c r="AE1198" t="n">
        <v>109221.5782</v>
      </c>
      <c r="AF1198" t="n">
        <v>0.99</v>
      </c>
      <c r="AG1198" t="inlineStr">
        <is>
          <t>Low</t>
        </is>
      </c>
      <c r="AH1198" t="inlineStr">
        <is>
          <t>On Track</t>
        </is>
      </c>
    </row>
    <row r="1199">
      <c r="A1199" t="inlineStr">
        <is>
          <t>SUP-0075</t>
        </is>
      </c>
      <c r="B1199" t="inlineStr">
        <is>
          <t>Metals Supplier 075</t>
        </is>
      </c>
      <c r="C1199" t="inlineStr">
        <is>
          <t>Metals</t>
        </is>
      </c>
      <c r="D1199" t="n">
        <v>2024</v>
      </c>
      <c r="E1199" t="n">
        <v>2021</v>
      </c>
      <c r="F1199" t="n">
        <v>2030</v>
      </c>
      <c r="G1199" t="n">
        <v>16503.6871</v>
      </c>
      <c r="H1199" t="n">
        <v>2515.0455</v>
      </c>
      <c r="I1199" t="n">
        <v>2326.5687</v>
      </c>
      <c r="J1199" t="inlineStr"/>
      <c r="K1199" t="n">
        <v>10788085.25</v>
      </c>
      <c r="L1199" t="n">
        <v>32921816.64</v>
      </c>
      <c r="M1199" t="n">
        <v>16503.6871</v>
      </c>
      <c r="N1199" t="inlineStr">
        <is>
          <t>Supplier Reported Emissions</t>
        </is>
      </c>
      <c r="O1199" t="b">
        <v>0</v>
      </c>
      <c r="P1199" t="inlineStr">
        <is>
          <t>High</t>
        </is>
      </c>
      <c r="Q1199" t="inlineStr">
        <is>
          <t>Scope_Emissions</t>
        </is>
      </c>
      <c r="R1199" t="inlineStr">
        <is>
          <t>Valid</t>
        </is>
      </c>
      <c r="S1199" t="n">
        <v>2038</v>
      </c>
      <c r="T1199" t="inlineStr">
        <is>
          <t>Supplier Target Pathway</t>
        </is>
      </c>
      <c r="U1199" t="n">
        <v>17179.8672</v>
      </c>
      <c r="V1199" t="n">
        <v>7110.747</v>
      </c>
      <c r="W1199" t="n">
        <v>7110.747</v>
      </c>
      <c r="X1199" t="n">
        <v>7110.747</v>
      </c>
      <c r="Y1199" t="n">
        <v>10069.1202</v>
      </c>
      <c r="Z1199" t="n">
        <v>0.00065913</v>
      </c>
      <c r="AA1199" t="n">
        <v>0.5861</v>
      </c>
      <c r="AB1199" t="n">
        <v>0</v>
      </c>
      <c r="AC1199" t="n">
        <v>1118.7911</v>
      </c>
      <c r="AD1199" t="n">
        <v>-73667.8432</v>
      </c>
      <c r="AE1199" t="n">
        <v>116332.3252</v>
      </c>
      <c r="AF1199" t="n">
        <v>0.99</v>
      </c>
      <c r="AG1199" t="inlineStr">
        <is>
          <t>Low</t>
        </is>
      </c>
      <c r="AH1199" t="inlineStr">
        <is>
          <t>On Track</t>
        </is>
      </c>
    </row>
    <row r="1200">
      <c r="A1200" t="inlineStr">
        <is>
          <t>SUP-0075</t>
        </is>
      </c>
      <c r="B1200" t="inlineStr">
        <is>
          <t>Metals Supplier 075</t>
        </is>
      </c>
      <c r="C1200" t="inlineStr">
        <is>
          <t>Metals</t>
        </is>
      </c>
      <c r="D1200" t="n">
        <v>2024</v>
      </c>
      <c r="E1200" t="n">
        <v>2021</v>
      </c>
      <c r="F1200" t="n">
        <v>2030</v>
      </c>
      <c r="G1200" t="n">
        <v>16503.6871</v>
      </c>
      <c r="H1200" t="n">
        <v>2515.0455</v>
      </c>
      <c r="I1200" t="n">
        <v>2326.5687</v>
      </c>
      <c r="J1200" t="inlineStr"/>
      <c r="K1200" t="n">
        <v>10788085.25</v>
      </c>
      <c r="L1200" t="n">
        <v>32921816.64</v>
      </c>
      <c r="M1200" t="n">
        <v>16503.6871</v>
      </c>
      <c r="N1200" t="inlineStr">
        <is>
          <t>Supplier Reported Emissions</t>
        </is>
      </c>
      <c r="O1200" t="b">
        <v>0</v>
      </c>
      <c r="P1200" t="inlineStr">
        <is>
          <t>High</t>
        </is>
      </c>
      <c r="Q1200" t="inlineStr">
        <is>
          <t>Scope_Emissions</t>
        </is>
      </c>
      <c r="R1200" t="inlineStr">
        <is>
          <t>Valid</t>
        </is>
      </c>
      <c r="S1200" t="n">
        <v>2039</v>
      </c>
      <c r="T1200" t="inlineStr">
        <is>
          <t>Supplier Target Pathway</t>
        </is>
      </c>
      <c r="U1200" t="n">
        <v>17179.8672</v>
      </c>
      <c r="V1200" t="n">
        <v>7110.747</v>
      </c>
      <c r="W1200" t="n">
        <v>7110.747</v>
      </c>
      <c r="X1200" t="n">
        <v>7110.747</v>
      </c>
      <c r="Y1200" t="n">
        <v>10069.1202</v>
      </c>
      <c r="Z1200" t="n">
        <v>0.00065913</v>
      </c>
      <c r="AA1200" t="n">
        <v>0.5861</v>
      </c>
      <c r="AB1200" t="n">
        <v>0</v>
      </c>
      <c r="AC1200" t="n">
        <v>1118.7911</v>
      </c>
      <c r="AD1200" t="n">
        <v>-80778.59020000001</v>
      </c>
      <c r="AE1200" t="n">
        <v>123443.0722</v>
      </c>
      <c r="AF1200" t="n">
        <v>0.99</v>
      </c>
      <c r="AG1200" t="inlineStr">
        <is>
          <t>Low</t>
        </is>
      </c>
      <c r="AH1200" t="inlineStr">
        <is>
          <t>On Track</t>
        </is>
      </c>
    </row>
    <row r="1201">
      <c r="A1201" t="inlineStr">
        <is>
          <t>SUP-0075</t>
        </is>
      </c>
      <c r="B1201" t="inlineStr">
        <is>
          <t>Metals Supplier 075</t>
        </is>
      </c>
      <c r="C1201" t="inlineStr">
        <is>
          <t>Metals</t>
        </is>
      </c>
      <c r="D1201" t="n">
        <v>2024</v>
      </c>
      <c r="E1201" t="n">
        <v>2021</v>
      </c>
      <c r="F1201" t="n">
        <v>2030</v>
      </c>
      <c r="G1201" t="n">
        <v>16503.6871</v>
      </c>
      <c r="H1201" t="n">
        <v>2515.0455</v>
      </c>
      <c r="I1201" t="n">
        <v>2326.5687</v>
      </c>
      <c r="J1201" t="inlineStr"/>
      <c r="K1201" t="n">
        <v>10788085.25</v>
      </c>
      <c r="L1201" t="n">
        <v>32921816.64</v>
      </c>
      <c r="M1201" t="n">
        <v>16503.6871</v>
      </c>
      <c r="N1201" t="inlineStr">
        <is>
          <t>Supplier Reported Emissions</t>
        </is>
      </c>
      <c r="O1201" t="b">
        <v>0</v>
      </c>
      <c r="P1201" t="inlineStr">
        <is>
          <t>High</t>
        </is>
      </c>
      <c r="Q1201" t="inlineStr">
        <is>
          <t>Scope_Emissions</t>
        </is>
      </c>
      <c r="R1201" t="inlineStr">
        <is>
          <t>Valid</t>
        </is>
      </c>
      <c r="S1201" t="n">
        <v>2040</v>
      </c>
      <c r="T1201" t="inlineStr">
        <is>
          <t>Supplier Target Pathway</t>
        </is>
      </c>
      <c r="U1201" t="n">
        <v>17179.8672</v>
      </c>
      <c r="V1201" t="n">
        <v>7110.747</v>
      </c>
      <c r="W1201" t="n">
        <v>7110.747</v>
      </c>
      <c r="X1201" t="n">
        <v>7110.747</v>
      </c>
      <c r="Y1201" t="n">
        <v>10069.1202</v>
      </c>
      <c r="Z1201" t="n">
        <v>0.00065913</v>
      </c>
      <c r="AA1201" t="n">
        <v>0.5861</v>
      </c>
      <c r="AB1201" t="n">
        <v>0</v>
      </c>
      <c r="AC1201" t="n">
        <v>1118.7911</v>
      </c>
      <c r="AD1201" t="n">
        <v>-87889.33719999999</v>
      </c>
      <c r="AE1201" t="n">
        <v>130553.8192</v>
      </c>
      <c r="AF1201" t="n">
        <v>0.99</v>
      </c>
      <c r="AG1201" t="inlineStr">
        <is>
          <t>Low</t>
        </is>
      </c>
      <c r="AH1201" t="inlineStr">
        <is>
          <t>On Track</t>
        </is>
      </c>
    </row>
    <row r="1202">
      <c r="A1202" t="inlineStr">
        <is>
          <t>SUP-0076</t>
        </is>
      </c>
      <c r="B1202" t="inlineStr">
        <is>
          <t>Chemicals Supplier 076</t>
        </is>
      </c>
      <c r="C1202" t="inlineStr">
        <is>
          <t>Chemicals</t>
        </is>
      </c>
      <c r="D1202" t="n">
        <v>2024</v>
      </c>
      <c r="E1202" t="n">
        <v>2018</v>
      </c>
      <c r="F1202" t="n">
        <v>2035</v>
      </c>
      <c r="G1202" t="n">
        <v>10193.2261</v>
      </c>
      <c r="H1202" t="n">
        <v>1825.6608</v>
      </c>
      <c r="I1202" t="n">
        <v>1691.3593</v>
      </c>
      <c r="J1202" t="inlineStr"/>
      <c r="K1202" t="n">
        <v>9191923.93</v>
      </c>
      <c r="L1202" t="n">
        <v>11025423.11</v>
      </c>
      <c r="M1202" t="n">
        <v>10193.2261</v>
      </c>
      <c r="N1202" t="inlineStr">
        <is>
          <t>Supplier Reported Emissions</t>
        </is>
      </c>
      <c r="O1202" t="b">
        <v>0</v>
      </c>
      <c r="P1202" t="inlineStr">
        <is>
          <t>High</t>
        </is>
      </c>
      <c r="Q1202" t="inlineStr">
        <is>
          <t>Scope_Emissions</t>
        </is>
      </c>
      <c r="R1202" t="inlineStr">
        <is>
          <t>Valid</t>
        </is>
      </c>
      <c r="S1202" t="n">
        <v>2025</v>
      </c>
      <c r="T1202" t="inlineStr">
        <is>
          <t>Supplier Target Pathway</t>
        </is>
      </c>
      <c r="U1202" t="n">
        <v>12116.7137</v>
      </c>
      <c r="V1202" t="n">
        <v>6849.5783</v>
      </c>
      <c r="W1202" t="n">
        <v>9947.8932</v>
      </c>
      <c r="X1202" t="n">
        <v>9947.8932</v>
      </c>
      <c r="Y1202" t="n">
        <v>2168.8205</v>
      </c>
      <c r="Z1202" t="n">
        <v>0.00108224</v>
      </c>
      <c r="AA1202" t="n">
        <v>0.178994</v>
      </c>
      <c r="AB1202" t="n">
        <v>3098.315</v>
      </c>
      <c r="AC1202" t="n">
        <v>309.8315</v>
      </c>
      <c r="AD1202" t="n">
        <v>65397.4681</v>
      </c>
      <c r="AE1202" t="n">
        <v>9947.8932</v>
      </c>
      <c r="AF1202" t="n">
        <v>0.961</v>
      </c>
      <c r="AG1202" t="inlineStr">
        <is>
          <t>Critical</t>
        </is>
      </c>
      <c r="AH1202" t="inlineStr">
        <is>
          <t>On Track to Glide Path</t>
        </is>
      </c>
    </row>
    <row r="1203">
      <c r="A1203" t="inlineStr">
        <is>
          <t>SUP-0076</t>
        </is>
      </c>
      <c r="B1203" t="inlineStr">
        <is>
          <t>Chemicals Supplier 076</t>
        </is>
      </c>
      <c r="C1203" t="inlineStr">
        <is>
          <t>Chemicals</t>
        </is>
      </c>
      <c r="D1203" t="n">
        <v>2024</v>
      </c>
      <c r="E1203" t="n">
        <v>2018</v>
      </c>
      <c r="F1203" t="n">
        <v>2035</v>
      </c>
      <c r="G1203" t="n">
        <v>10193.2261</v>
      </c>
      <c r="H1203" t="n">
        <v>1825.6608</v>
      </c>
      <c r="I1203" t="n">
        <v>1691.3593</v>
      </c>
      <c r="J1203" t="inlineStr"/>
      <c r="K1203" t="n">
        <v>9191923.93</v>
      </c>
      <c r="L1203" t="n">
        <v>11025423.11</v>
      </c>
      <c r="M1203" t="n">
        <v>10193.2261</v>
      </c>
      <c r="N1203" t="inlineStr">
        <is>
          <t>Supplier Reported Emissions</t>
        </is>
      </c>
      <c r="O1203" t="b">
        <v>0</v>
      </c>
      <c r="P1203" t="inlineStr">
        <is>
          <t>High</t>
        </is>
      </c>
      <c r="Q1203" t="inlineStr">
        <is>
          <t>Scope_Emissions</t>
        </is>
      </c>
      <c r="R1203" t="inlineStr">
        <is>
          <t>Valid</t>
        </is>
      </c>
      <c r="S1203" t="n">
        <v>2026</v>
      </c>
      <c r="T1203" t="inlineStr">
        <is>
          <t>Supplier Target Pathway</t>
        </is>
      </c>
      <c r="U1203" t="n">
        <v>12116.7137</v>
      </c>
      <c r="V1203" t="n">
        <v>6849.5783</v>
      </c>
      <c r="W1203" t="n">
        <v>9638.0617</v>
      </c>
      <c r="X1203" t="n">
        <v>9638.0617</v>
      </c>
      <c r="Y1203" t="n">
        <v>2478.652</v>
      </c>
      <c r="Z1203" t="n">
        <v>0.00104854</v>
      </c>
      <c r="AA1203" t="n">
        <v>0.204565</v>
      </c>
      <c r="AB1203" t="n">
        <v>2788.4835</v>
      </c>
      <c r="AC1203" t="n">
        <v>309.8315</v>
      </c>
      <c r="AD1203" t="n">
        <v>55759.4064</v>
      </c>
      <c r="AE1203" t="n">
        <v>19585.9549</v>
      </c>
      <c r="AF1203" t="n">
        <v>0.961</v>
      </c>
      <c r="AG1203" t="inlineStr">
        <is>
          <t>Critical</t>
        </is>
      </c>
      <c r="AH1203" t="inlineStr">
        <is>
          <t>On Track to Glide Path</t>
        </is>
      </c>
    </row>
    <row r="1204">
      <c r="A1204" t="inlineStr">
        <is>
          <t>SUP-0076</t>
        </is>
      </c>
      <c r="B1204" t="inlineStr">
        <is>
          <t>Chemicals Supplier 076</t>
        </is>
      </c>
      <c r="C1204" t="inlineStr">
        <is>
          <t>Chemicals</t>
        </is>
      </c>
      <c r="D1204" t="n">
        <v>2024</v>
      </c>
      <c r="E1204" t="n">
        <v>2018</v>
      </c>
      <c r="F1204" t="n">
        <v>2035</v>
      </c>
      <c r="G1204" t="n">
        <v>10193.2261</v>
      </c>
      <c r="H1204" t="n">
        <v>1825.6608</v>
      </c>
      <c r="I1204" t="n">
        <v>1691.3593</v>
      </c>
      <c r="J1204" t="inlineStr"/>
      <c r="K1204" t="n">
        <v>9191923.93</v>
      </c>
      <c r="L1204" t="n">
        <v>11025423.11</v>
      </c>
      <c r="M1204" t="n">
        <v>10193.2261</v>
      </c>
      <c r="N1204" t="inlineStr">
        <is>
          <t>Supplier Reported Emissions</t>
        </is>
      </c>
      <c r="O1204" t="b">
        <v>0</v>
      </c>
      <c r="P1204" t="inlineStr">
        <is>
          <t>High</t>
        </is>
      </c>
      <c r="Q1204" t="inlineStr">
        <is>
          <t>Scope_Emissions</t>
        </is>
      </c>
      <c r="R1204" t="inlineStr">
        <is>
          <t>Valid</t>
        </is>
      </c>
      <c r="S1204" t="n">
        <v>2027</v>
      </c>
      <c r="T1204" t="inlineStr">
        <is>
          <t>Supplier Target Pathway</t>
        </is>
      </c>
      <c r="U1204" t="n">
        <v>12116.7137</v>
      </c>
      <c r="V1204" t="n">
        <v>6849.5783</v>
      </c>
      <c r="W1204" t="n">
        <v>9328.2302</v>
      </c>
      <c r="X1204" t="n">
        <v>9328.2302</v>
      </c>
      <c r="Y1204" t="n">
        <v>2788.4835</v>
      </c>
      <c r="Z1204" t="n">
        <v>0.00101483</v>
      </c>
      <c r="AA1204" t="n">
        <v>0.230135</v>
      </c>
      <c r="AB1204" t="n">
        <v>2478.652</v>
      </c>
      <c r="AC1204" t="n">
        <v>309.8315</v>
      </c>
      <c r="AD1204" t="n">
        <v>46431.1762</v>
      </c>
      <c r="AE1204" t="n">
        <v>28914.1851</v>
      </c>
      <c r="AF1204" t="n">
        <v>0.961</v>
      </c>
      <c r="AG1204" t="inlineStr">
        <is>
          <t>Critical</t>
        </is>
      </c>
      <c r="AH1204" t="inlineStr">
        <is>
          <t>On Track to Glide Path</t>
        </is>
      </c>
    </row>
    <row r="1205">
      <c r="A1205" t="inlineStr">
        <is>
          <t>SUP-0076</t>
        </is>
      </c>
      <c r="B1205" t="inlineStr">
        <is>
          <t>Chemicals Supplier 076</t>
        </is>
      </c>
      <c r="C1205" t="inlineStr">
        <is>
          <t>Chemicals</t>
        </is>
      </c>
      <c r="D1205" t="n">
        <v>2024</v>
      </c>
      <c r="E1205" t="n">
        <v>2018</v>
      </c>
      <c r="F1205" t="n">
        <v>2035</v>
      </c>
      <c r="G1205" t="n">
        <v>10193.2261</v>
      </c>
      <c r="H1205" t="n">
        <v>1825.6608</v>
      </c>
      <c r="I1205" t="n">
        <v>1691.3593</v>
      </c>
      <c r="J1205" t="inlineStr"/>
      <c r="K1205" t="n">
        <v>9191923.93</v>
      </c>
      <c r="L1205" t="n">
        <v>11025423.11</v>
      </c>
      <c r="M1205" t="n">
        <v>10193.2261</v>
      </c>
      <c r="N1205" t="inlineStr">
        <is>
          <t>Supplier Reported Emissions</t>
        </is>
      </c>
      <c r="O1205" t="b">
        <v>0</v>
      </c>
      <c r="P1205" t="inlineStr">
        <is>
          <t>High</t>
        </is>
      </c>
      <c r="Q1205" t="inlineStr">
        <is>
          <t>Scope_Emissions</t>
        </is>
      </c>
      <c r="R1205" t="inlineStr">
        <is>
          <t>Valid</t>
        </is>
      </c>
      <c r="S1205" t="n">
        <v>2028</v>
      </c>
      <c r="T1205" t="inlineStr">
        <is>
          <t>Supplier Target Pathway</t>
        </is>
      </c>
      <c r="U1205" t="n">
        <v>12116.7137</v>
      </c>
      <c r="V1205" t="n">
        <v>6849.5783</v>
      </c>
      <c r="W1205" t="n">
        <v>9018.3987</v>
      </c>
      <c r="X1205" t="n">
        <v>9018.3987</v>
      </c>
      <c r="Y1205" t="n">
        <v>3098.315</v>
      </c>
      <c r="Z1205" t="n">
        <v>0.00098112</v>
      </c>
      <c r="AA1205" t="n">
        <v>0.255706</v>
      </c>
      <c r="AB1205" t="n">
        <v>2168.8205</v>
      </c>
      <c r="AC1205" t="n">
        <v>309.8315</v>
      </c>
      <c r="AD1205" t="n">
        <v>37412.7775</v>
      </c>
      <c r="AE1205" t="n">
        <v>37932.5838</v>
      </c>
      <c r="AF1205" t="n">
        <v>0.961</v>
      </c>
      <c r="AG1205" t="inlineStr">
        <is>
          <t>High</t>
        </is>
      </c>
      <c r="AH1205" t="inlineStr">
        <is>
          <t>On Track to Glide Path</t>
        </is>
      </c>
    </row>
    <row r="1206">
      <c r="A1206" t="inlineStr">
        <is>
          <t>SUP-0076</t>
        </is>
      </c>
      <c r="B1206" t="inlineStr">
        <is>
          <t>Chemicals Supplier 076</t>
        </is>
      </c>
      <c r="C1206" t="inlineStr">
        <is>
          <t>Chemicals</t>
        </is>
      </c>
      <c r="D1206" t="n">
        <v>2024</v>
      </c>
      <c r="E1206" t="n">
        <v>2018</v>
      </c>
      <c r="F1206" t="n">
        <v>2035</v>
      </c>
      <c r="G1206" t="n">
        <v>10193.2261</v>
      </c>
      <c r="H1206" t="n">
        <v>1825.6608</v>
      </c>
      <c r="I1206" t="n">
        <v>1691.3593</v>
      </c>
      <c r="J1206" t="inlineStr"/>
      <c r="K1206" t="n">
        <v>9191923.93</v>
      </c>
      <c r="L1206" t="n">
        <v>11025423.11</v>
      </c>
      <c r="M1206" t="n">
        <v>10193.2261</v>
      </c>
      <c r="N1206" t="inlineStr">
        <is>
          <t>Supplier Reported Emissions</t>
        </is>
      </c>
      <c r="O1206" t="b">
        <v>0</v>
      </c>
      <c r="P1206" t="inlineStr">
        <is>
          <t>High</t>
        </is>
      </c>
      <c r="Q1206" t="inlineStr">
        <is>
          <t>Scope_Emissions</t>
        </is>
      </c>
      <c r="R1206" t="inlineStr">
        <is>
          <t>Valid</t>
        </is>
      </c>
      <c r="S1206" t="n">
        <v>2029</v>
      </c>
      <c r="T1206" t="inlineStr">
        <is>
          <t>Supplier Target Pathway</t>
        </is>
      </c>
      <c r="U1206" t="n">
        <v>12116.7137</v>
      </c>
      <c r="V1206" t="n">
        <v>6849.5783</v>
      </c>
      <c r="W1206" t="n">
        <v>8708.5672</v>
      </c>
      <c r="X1206" t="n">
        <v>8708.5672</v>
      </c>
      <c r="Y1206" t="n">
        <v>3408.1465</v>
      </c>
      <c r="Z1206" t="n">
        <v>0.00094742</v>
      </c>
      <c r="AA1206" t="n">
        <v>0.281276</v>
      </c>
      <c r="AB1206" t="n">
        <v>1858.989</v>
      </c>
      <c r="AC1206" t="n">
        <v>309.8315</v>
      </c>
      <c r="AD1206" t="n">
        <v>28704.2103</v>
      </c>
      <c r="AE1206" t="n">
        <v>46641.151</v>
      </c>
      <c r="AF1206" t="n">
        <v>0.961</v>
      </c>
      <c r="AG1206" t="inlineStr">
        <is>
          <t>High</t>
        </is>
      </c>
      <c r="AH1206" t="inlineStr">
        <is>
          <t>On Track to Glide Path</t>
        </is>
      </c>
    </row>
    <row r="1207">
      <c r="A1207" t="inlineStr">
        <is>
          <t>SUP-0076</t>
        </is>
      </c>
      <c r="B1207" t="inlineStr">
        <is>
          <t>Chemicals Supplier 076</t>
        </is>
      </c>
      <c r="C1207" t="inlineStr">
        <is>
          <t>Chemicals</t>
        </is>
      </c>
      <c r="D1207" t="n">
        <v>2024</v>
      </c>
      <c r="E1207" t="n">
        <v>2018</v>
      </c>
      <c r="F1207" t="n">
        <v>2035</v>
      </c>
      <c r="G1207" t="n">
        <v>10193.2261</v>
      </c>
      <c r="H1207" t="n">
        <v>1825.6608</v>
      </c>
      <c r="I1207" t="n">
        <v>1691.3593</v>
      </c>
      <c r="J1207" t="inlineStr"/>
      <c r="K1207" t="n">
        <v>9191923.93</v>
      </c>
      <c r="L1207" t="n">
        <v>11025423.11</v>
      </c>
      <c r="M1207" t="n">
        <v>10193.2261</v>
      </c>
      <c r="N1207" t="inlineStr">
        <is>
          <t>Supplier Reported Emissions</t>
        </is>
      </c>
      <c r="O1207" t="b">
        <v>0</v>
      </c>
      <c r="P1207" t="inlineStr">
        <is>
          <t>High</t>
        </is>
      </c>
      <c r="Q1207" t="inlineStr">
        <is>
          <t>Scope_Emissions</t>
        </is>
      </c>
      <c r="R1207" t="inlineStr">
        <is>
          <t>Valid</t>
        </is>
      </c>
      <c r="S1207" t="n">
        <v>2030</v>
      </c>
      <c r="T1207" t="inlineStr">
        <is>
          <t>Supplier Target Pathway</t>
        </is>
      </c>
      <c r="U1207" t="n">
        <v>12116.7137</v>
      </c>
      <c r="V1207" t="n">
        <v>6849.5783</v>
      </c>
      <c r="W1207" t="n">
        <v>8398.735699999999</v>
      </c>
      <c r="X1207" t="n">
        <v>8398.735699999999</v>
      </c>
      <c r="Y1207" t="n">
        <v>3717.978</v>
      </c>
      <c r="Z1207" t="n">
        <v>0.00091371</v>
      </c>
      <c r="AA1207" t="n">
        <v>0.306847</v>
      </c>
      <c r="AB1207" t="n">
        <v>1549.1575</v>
      </c>
      <c r="AC1207" t="n">
        <v>309.8315</v>
      </c>
      <c r="AD1207" t="n">
        <v>20305.4746</v>
      </c>
      <c r="AE1207" t="n">
        <v>55039.8867</v>
      </c>
      <c r="AF1207" t="n">
        <v>0.961</v>
      </c>
      <c r="AG1207" t="inlineStr">
        <is>
          <t>High</t>
        </is>
      </c>
      <c r="AH1207" t="inlineStr">
        <is>
          <t>On Track to Glide Path</t>
        </is>
      </c>
    </row>
    <row r="1208">
      <c r="A1208" t="inlineStr">
        <is>
          <t>SUP-0076</t>
        </is>
      </c>
      <c r="B1208" t="inlineStr">
        <is>
          <t>Chemicals Supplier 076</t>
        </is>
      </c>
      <c r="C1208" t="inlineStr">
        <is>
          <t>Chemicals</t>
        </is>
      </c>
      <c r="D1208" t="n">
        <v>2024</v>
      </c>
      <c r="E1208" t="n">
        <v>2018</v>
      </c>
      <c r="F1208" t="n">
        <v>2035</v>
      </c>
      <c r="G1208" t="n">
        <v>10193.2261</v>
      </c>
      <c r="H1208" t="n">
        <v>1825.6608</v>
      </c>
      <c r="I1208" t="n">
        <v>1691.3593</v>
      </c>
      <c r="J1208" t="inlineStr"/>
      <c r="K1208" t="n">
        <v>9191923.93</v>
      </c>
      <c r="L1208" t="n">
        <v>11025423.11</v>
      </c>
      <c r="M1208" t="n">
        <v>10193.2261</v>
      </c>
      <c r="N1208" t="inlineStr">
        <is>
          <t>Supplier Reported Emissions</t>
        </is>
      </c>
      <c r="O1208" t="b">
        <v>0</v>
      </c>
      <c r="P1208" t="inlineStr">
        <is>
          <t>High</t>
        </is>
      </c>
      <c r="Q1208" t="inlineStr">
        <is>
          <t>Scope_Emissions</t>
        </is>
      </c>
      <c r="R1208" t="inlineStr">
        <is>
          <t>Valid</t>
        </is>
      </c>
      <c r="S1208" t="n">
        <v>2031</v>
      </c>
      <c r="T1208" t="inlineStr">
        <is>
          <t>Supplier Target Pathway</t>
        </is>
      </c>
      <c r="U1208" t="n">
        <v>12116.7137</v>
      </c>
      <c r="V1208" t="n">
        <v>6849.5783</v>
      </c>
      <c r="W1208" t="n">
        <v>8088.9042</v>
      </c>
      <c r="X1208" t="n">
        <v>8088.9042</v>
      </c>
      <c r="Y1208" t="n">
        <v>4027.8095</v>
      </c>
      <c r="Z1208" t="n">
        <v>0.00088</v>
      </c>
      <c r="AA1208" t="n">
        <v>0.332418</v>
      </c>
      <c r="AB1208" t="n">
        <v>1239.326</v>
      </c>
      <c r="AC1208" t="n">
        <v>309.8315</v>
      </c>
      <c r="AD1208" t="n">
        <v>12216.5704</v>
      </c>
      <c r="AE1208" t="n">
        <v>63128.7909</v>
      </c>
      <c r="AF1208" t="n">
        <v>0.961</v>
      </c>
      <c r="AG1208" t="inlineStr">
        <is>
          <t>High</t>
        </is>
      </c>
      <c r="AH1208" t="inlineStr">
        <is>
          <t>On Track to Glide Path</t>
        </is>
      </c>
    </row>
    <row r="1209">
      <c r="A1209" t="inlineStr">
        <is>
          <t>SUP-0076</t>
        </is>
      </c>
      <c r="B1209" t="inlineStr">
        <is>
          <t>Chemicals Supplier 076</t>
        </is>
      </c>
      <c r="C1209" t="inlineStr">
        <is>
          <t>Chemicals</t>
        </is>
      </c>
      <c r="D1209" t="n">
        <v>2024</v>
      </c>
      <c r="E1209" t="n">
        <v>2018</v>
      </c>
      <c r="F1209" t="n">
        <v>2035</v>
      </c>
      <c r="G1209" t="n">
        <v>10193.2261</v>
      </c>
      <c r="H1209" t="n">
        <v>1825.6608</v>
      </c>
      <c r="I1209" t="n">
        <v>1691.3593</v>
      </c>
      <c r="J1209" t="inlineStr"/>
      <c r="K1209" t="n">
        <v>9191923.93</v>
      </c>
      <c r="L1209" t="n">
        <v>11025423.11</v>
      </c>
      <c r="M1209" t="n">
        <v>10193.2261</v>
      </c>
      <c r="N1209" t="inlineStr">
        <is>
          <t>Supplier Reported Emissions</t>
        </is>
      </c>
      <c r="O1209" t="b">
        <v>0</v>
      </c>
      <c r="P1209" t="inlineStr">
        <is>
          <t>High</t>
        </is>
      </c>
      <c r="Q1209" t="inlineStr">
        <is>
          <t>Scope_Emissions</t>
        </is>
      </c>
      <c r="R1209" t="inlineStr">
        <is>
          <t>Valid</t>
        </is>
      </c>
      <c r="S1209" t="n">
        <v>2032</v>
      </c>
      <c r="T1209" t="inlineStr">
        <is>
          <t>Supplier Target Pathway</t>
        </is>
      </c>
      <c r="U1209" t="n">
        <v>12116.7137</v>
      </c>
      <c r="V1209" t="n">
        <v>6849.5783</v>
      </c>
      <c r="W1209" t="n">
        <v>7779.0727</v>
      </c>
      <c r="X1209" t="n">
        <v>7779.0727</v>
      </c>
      <c r="Y1209" t="n">
        <v>4337.641</v>
      </c>
      <c r="Z1209" t="n">
        <v>0.00084629</v>
      </c>
      <c r="AA1209" t="n">
        <v>0.357988</v>
      </c>
      <c r="AB1209" t="n">
        <v>929.4945</v>
      </c>
      <c r="AC1209" t="n">
        <v>309.8315</v>
      </c>
      <c r="AD1209" t="n">
        <v>4437.4977</v>
      </c>
      <c r="AE1209" t="n">
        <v>70907.8636</v>
      </c>
      <c r="AF1209" t="n">
        <v>0.961</v>
      </c>
      <c r="AG1209" t="inlineStr">
        <is>
          <t>Medium</t>
        </is>
      </c>
      <c r="AH1209" t="inlineStr">
        <is>
          <t>On Track to Glide Path</t>
        </is>
      </c>
    </row>
    <row r="1210">
      <c r="A1210" t="inlineStr">
        <is>
          <t>SUP-0076</t>
        </is>
      </c>
      <c r="B1210" t="inlineStr">
        <is>
          <t>Chemicals Supplier 076</t>
        </is>
      </c>
      <c r="C1210" t="inlineStr">
        <is>
          <t>Chemicals</t>
        </is>
      </c>
      <c r="D1210" t="n">
        <v>2024</v>
      </c>
      <c r="E1210" t="n">
        <v>2018</v>
      </c>
      <c r="F1210" t="n">
        <v>2035</v>
      </c>
      <c r="G1210" t="n">
        <v>10193.2261</v>
      </c>
      <c r="H1210" t="n">
        <v>1825.6608</v>
      </c>
      <c r="I1210" t="n">
        <v>1691.3593</v>
      </c>
      <c r="J1210" t="inlineStr"/>
      <c r="K1210" t="n">
        <v>9191923.93</v>
      </c>
      <c r="L1210" t="n">
        <v>11025423.11</v>
      </c>
      <c r="M1210" t="n">
        <v>10193.2261</v>
      </c>
      <c r="N1210" t="inlineStr">
        <is>
          <t>Supplier Reported Emissions</t>
        </is>
      </c>
      <c r="O1210" t="b">
        <v>0</v>
      </c>
      <c r="P1210" t="inlineStr">
        <is>
          <t>High</t>
        </is>
      </c>
      <c r="Q1210" t="inlineStr">
        <is>
          <t>Scope_Emissions</t>
        </is>
      </c>
      <c r="R1210" t="inlineStr">
        <is>
          <t>Valid</t>
        </is>
      </c>
      <c r="S1210" t="n">
        <v>2033</v>
      </c>
      <c r="T1210" t="inlineStr">
        <is>
          <t>Supplier Target Pathway</t>
        </is>
      </c>
      <c r="U1210" t="n">
        <v>12116.7137</v>
      </c>
      <c r="V1210" t="n">
        <v>6849.5783</v>
      </c>
      <c r="W1210" t="n">
        <v>7469.2412</v>
      </c>
      <c r="X1210" t="n">
        <v>7469.2412</v>
      </c>
      <c r="Y1210" t="n">
        <v>4647.4725</v>
      </c>
      <c r="Z1210" t="n">
        <v>0.00081259</v>
      </c>
      <c r="AA1210" t="n">
        <v>0.383559</v>
      </c>
      <c r="AB1210" t="n">
        <v>619.663</v>
      </c>
      <c r="AC1210" t="n">
        <v>309.8315</v>
      </c>
      <c r="AD1210" t="n">
        <v>-3031.7435</v>
      </c>
      <c r="AE1210" t="n">
        <v>78377.1048</v>
      </c>
      <c r="AF1210" t="n">
        <v>0.961</v>
      </c>
      <c r="AG1210" t="inlineStr">
        <is>
          <t>Medium</t>
        </is>
      </c>
      <c r="AH1210" t="inlineStr">
        <is>
          <t>On Track to Glide Path</t>
        </is>
      </c>
    </row>
    <row r="1211">
      <c r="A1211" t="inlineStr">
        <is>
          <t>SUP-0076</t>
        </is>
      </c>
      <c r="B1211" t="inlineStr">
        <is>
          <t>Chemicals Supplier 076</t>
        </is>
      </c>
      <c r="C1211" t="inlineStr">
        <is>
          <t>Chemicals</t>
        </is>
      </c>
      <c r="D1211" t="n">
        <v>2024</v>
      </c>
      <c r="E1211" t="n">
        <v>2018</v>
      </c>
      <c r="F1211" t="n">
        <v>2035</v>
      </c>
      <c r="G1211" t="n">
        <v>10193.2261</v>
      </c>
      <c r="H1211" t="n">
        <v>1825.6608</v>
      </c>
      <c r="I1211" t="n">
        <v>1691.3593</v>
      </c>
      <c r="J1211" t="inlineStr"/>
      <c r="K1211" t="n">
        <v>9191923.93</v>
      </c>
      <c r="L1211" t="n">
        <v>11025423.11</v>
      </c>
      <c r="M1211" t="n">
        <v>10193.2261</v>
      </c>
      <c r="N1211" t="inlineStr">
        <is>
          <t>Supplier Reported Emissions</t>
        </is>
      </c>
      <c r="O1211" t="b">
        <v>0</v>
      </c>
      <c r="P1211" t="inlineStr">
        <is>
          <t>High</t>
        </is>
      </c>
      <c r="Q1211" t="inlineStr">
        <is>
          <t>Scope_Emissions</t>
        </is>
      </c>
      <c r="R1211" t="inlineStr">
        <is>
          <t>Valid</t>
        </is>
      </c>
      <c r="S1211" t="n">
        <v>2034</v>
      </c>
      <c r="T1211" t="inlineStr">
        <is>
          <t>Supplier Target Pathway</t>
        </is>
      </c>
      <c r="U1211" t="n">
        <v>12116.7137</v>
      </c>
      <c r="V1211" t="n">
        <v>6849.5783</v>
      </c>
      <c r="W1211" t="n">
        <v>7159.4098</v>
      </c>
      <c r="X1211" t="n">
        <v>7159.4098</v>
      </c>
      <c r="Y1211" t="n">
        <v>4957.3039</v>
      </c>
      <c r="Z1211" t="n">
        <v>0.00077888</v>
      </c>
      <c r="AA1211" t="n">
        <v>0.409129</v>
      </c>
      <c r="AB1211" t="n">
        <v>309.8315</v>
      </c>
      <c r="AC1211" t="n">
        <v>309.8315</v>
      </c>
      <c r="AD1211" t="n">
        <v>-10191.1533</v>
      </c>
      <c r="AE1211" t="n">
        <v>85536.51459999999</v>
      </c>
      <c r="AF1211" t="n">
        <v>0.961</v>
      </c>
      <c r="AG1211" t="inlineStr">
        <is>
          <t>Medium</t>
        </is>
      </c>
      <c r="AH1211" t="inlineStr">
        <is>
          <t>On Track to Glide Path</t>
        </is>
      </c>
    </row>
    <row r="1212">
      <c r="A1212" t="inlineStr">
        <is>
          <t>SUP-0076</t>
        </is>
      </c>
      <c r="B1212" t="inlineStr">
        <is>
          <t>Chemicals Supplier 076</t>
        </is>
      </c>
      <c r="C1212" t="inlineStr">
        <is>
          <t>Chemicals</t>
        </is>
      </c>
      <c r="D1212" t="n">
        <v>2024</v>
      </c>
      <c r="E1212" t="n">
        <v>2018</v>
      </c>
      <c r="F1212" t="n">
        <v>2035</v>
      </c>
      <c r="G1212" t="n">
        <v>10193.2261</v>
      </c>
      <c r="H1212" t="n">
        <v>1825.6608</v>
      </c>
      <c r="I1212" t="n">
        <v>1691.3593</v>
      </c>
      <c r="J1212" t="inlineStr"/>
      <c r="K1212" t="n">
        <v>9191923.93</v>
      </c>
      <c r="L1212" t="n">
        <v>11025423.11</v>
      </c>
      <c r="M1212" t="n">
        <v>10193.2261</v>
      </c>
      <c r="N1212" t="inlineStr">
        <is>
          <t>Supplier Reported Emissions</t>
        </is>
      </c>
      <c r="O1212" t="b">
        <v>0</v>
      </c>
      <c r="P1212" t="inlineStr">
        <is>
          <t>High</t>
        </is>
      </c>
      <c r="Q1212" t="inlineStr">
        <is>
          <t>Scope_Emissions</t>
        </is>
      </c>
      <c r="R1212" t="inlineStr">
        <is>
          <t>Valid</t>
        </is>
      </c>
      <c r="S1212" t="n">
        <v>2035</v>
      </c>
      <c r="T1212" t="inlineStr">
        <is>
          <t>Supplier Target Pathway</t>
        </is>
      </c>
      <c r="U1212" t="n">
        <v>12116.7137</v>
      </c>
      <c r="V1212" t="n">
        <v>6849.5783</v>
      </c>
      <c r="W1212" t="n">
        <v>6849.5783</v>
      </c>
      <c r="X1212" t="n">
        <v>6849.5783</v>
      </c>
      <c r="Y1212" t="n">
        <v>5267.1354</v>
      </c>
      <c r="Z1212" t="n">
        <v>0.00074517</v>
      </c>
      <c r="AA1212" t="n">
        <v>0.4347</v>
      </c>
      <c r="AB1212" t="n">
        <v>0</v>
      </c>
      <c r="AC1212" t="n">
        <v>309.8315</v>
      </c>
      <c r="AD1212" t="n">
        <v>-17040.7316</v>
      </c>
      <c r="AE1212" t="n">
        <v>92386.0929</v>
      </c>
      <c r="AF1212" t="n">
        <v>0.961</v>
      </c>
      <c r="AG1212" t="inlineStr">
        <is>
          <t>Low</t>
        </is>
      </c>
      <c r="AH1212" t="inlineStr">
        <is>
          <t>On Track</t>
        </is>
      </c>
    </row>
    <row r="1213">
      <c r="A1213" t="inlineStr">
        <is>
          <t>SUP-0076</t>
        </is>
      </c>
      <c r="B1213" t="inlineStr">
        <is>
          <t>Chemicals Supplier 076</t>
        </is>
      </c>
      <c r="C1213" t="inlineStr">
        <is>
          <t>Chemicals</t>
        </is>
      </c>
      <c r="D1213" t="n">
        <v>2024</v>
      </c>
      <c r="E1213" t="n">
        <v>2018</v>
      </c>
      <c r="F1213" t="n">
        <v>2035</v>
      </c>
      <c r="G1213" t="n">
        <v>10193.2261</v>
      </c>
      <c r="H1213" t="n">
        <v>1825.6608</v>
      </c>
      <c r="I1213" t="n">
        <v>1691.3593</v>
      </c>
      <c r="J1213" t="inlineStr"/>
      <c r="K1213" t="n">
        <v>9191923.93</v>
      </c>
      <c r="L1213" t="n">
        <v>11025423.11</v>
      </c>
      <c r="M1213" t="n">
        <v>10193.2261</v>
      </c>
      <c r="N1213" t="inlineStr">
        <is>
          <t>Supplier Reported Emissions</t>
        </is>
      </c>
      <c r="O1213" t="b">
        <v>0</v>
      </c>
      <c r="P1213" t="inlineStr">
        <is>
          <t>High</t>
        </is>
      </c>
      <c r="Q1213" t="inlineStr">
        <is>
          <t>Scope_Emissions</t>
        </is>
      </c>
      <c r="R1213" t="inlineStr">
        <is>
          <t>Valid</t>
        </is>
      </c>
      <c r="S1213" t="n">
        <v>2036</v>
      </c>
      <c r="T1213" t="inlineStr">
        <is>
          <t>Supplier Target Pathway</t>
        </is>
      </c>
      <c r="U1213" t="n">
        <v>12116.7137</v>
      </c>
      <c r="V1213" t="n">
        <v>6849.5783</v>
      </c>
      <c r="W1213" t="n">
        <v>6849.5783</v>
      </c>
      <c r="X1213" t="n">
        <v>6849.5783</v>
      </c>
      <c r="Y1213" t="n">
        <v>5267.1354</v>
      </c>
      <c r="Z1213" t="n">
        <v>0.00074517</v>
      </c>
      <c r="AA1213" t="n">
        <v>0.4347</v>
      </c>
      <c r="AB1213" t="n">
        <v>0</v>
      </c>
      <c r="AC1213" t="n">
        <v>309.8315</v>
      </c>
      <c r="AD1213" t="n">
        <v>-23890.3099</v>
      </c>
      <c r="AE1213" t="n">
        <v>99235.6712</v>
      </c>
      <c r="AF1213" t="n">
        <v>0.961</v>
      </c>
      <c r="AG1213" t="inlineStr">
        <is>
          <t>Low</t>
        </is>
      </c>
      <c r="AH1213" t="inlineStr">
        <is>
          <t>On Track</t>
        </is>
      </c>
    </row>
    <row r="1214">
      <c r="A1214" t="inlineStr">
        <is>
          <t>SUP-0076</t>
        </is>
      </c>
      <c r="B1214" t="inlineStr">
        <is>
          <t>Chemicals Supplier 076</t>
        </is>
      </c>
      <c r="C1214" t="inlineStr">
        <is>
          <t>Chemicals</t>
        </is>
      </c>
      <c r="D1214" t="n">
        <v>2024</v>
      </c>
      <c r="E1214" t="n">
        <v>2018</v>
      </c>
      <c r="F1214" t="n">
        <v>2035</v>
      </c>
      <c r="G1214" t="n">
        <v>10193.2261</v>
      </c>
      <c r="H1214" t="n">
        <v>1825.6608</v>
      </c>
      <c r="I1214" t="n">
        <v>1691.3593</v>
      </c>
      <c r="J1214" t="inlineStr"/>
      <c r="K1214" t="n">
        <v>9191923.93</v>
      </c>
      <c r="L1214" t="n">
        <v>11025423.11</v>
      </c>
      <c r="M1214" t="n">
        <v>10193.2261</v>
      </c>
      <c r="N1214" t="inlineStr">
        <is>
          <t>Supplier Reported Emissions</t>
        </is>
      </c>
      <c r="O1214" t="b">
        <v>0</v>
      </c>
      <c r="P1214" t="inlineStr">
        <is>
          <t>High</t>
        </is>
      </c>
      <c r="Q1214" t="inlineStr">
        <is>
          <t>Scope_Emissions</t>
        </is>
      </c>
      <c r="R1214" t="inlineStr">
        <is>
          <t>Valid</t>
        </is>
      </c>
      <c r="S1214" t="n">
        <v>2037</v>
      </c>
      <c r="T1214" t="inlineStr">
        <is>
          <t>Supplier Target Pathway</t>
        </is>
      </c>
      <c r="U1214" t="n">
        <v>12116.7137</v>
      </c>
      <c r="V1214" t="n">
        <v>6849.5783</v>
      </c>
      <c r="W1214" t="n">
        <v>6849.5783</v>
      </c>
      <c r="X1214" t="n">
        <v>6849.5783</v>
      </c>
      <c r="Y1214" t="n">
        <v>5267.1354</v>
      </c>
      <c r="Z1214" t="n">
        <v>0.00074517</v>
      </c>
      <c r="AA1214" t="n">
        <v>0.4347</v>
      </c>
      <c r="AB1214" t="n">
        <v>0</v>
      </c>
      <c r="AC1214" t="n">
        <v>309.8315</v>
      </c>
      <c r="AD1214" t="n">
        <v>-30739.8882</v>
      </c>
      <c r="AE1214" t="n">
        <v>106085.2495</v>
      </c>
      <c r="AF1214" t="n">
        <v>0.961</v>
      </c>
      <c r="AG1214" t="inlineStr">
        <is>
          <t>Low</t>
        </is>
      </c>
      <c r="AH1214" t="inlineStr">
        <is>
          <t>On Track</t>
        </is>
      </c>
    </row>
    <row r="1215">
      <c r="A1215" t="inlineStr">
        <is>
          <t>SUP-0076</t>
        </is>
      </c>
      <c r="B1215" t="inlineStr">
        <is>
          <t>Chemicals Supplier 076</t>
        </is>
      </c>
      <c r="C1215" t="inlineStr">
        <is>
          <t>Chemicals</t>
        </is>
      </c>
      <c r="D1215" t="n">
        <v>2024</v>
      </c>
      <c r="E1215" t="n">
        <v>2018</v>
      </c>
      <c r="F1215" t="n">
        <v>2035</v>
      </c>
      <c r="G1215" t="n">
        <v>10193.2261</v>
      </c>
      <c r="H1215" t="n">
        <v>1825.6608</v>
      </c>
      <c r="I1215" t="n">
        <v>1691.3593</v>
      </c>
      <c r="J1215" t="inlineStr"/>
      <c r="K1215" t="n">
        <v>9191923.93</v>
      </c>
      <c r="L1215" t="n">
        <v>11025423.11</v>
      </c>
      <c r="M1215" t="n">
        <v>10193.2261</v>
      </c>
      <c r="N1215" t="inlineStr">
        <is>
          <t>Supplier Reported Emissions</t>
        </is>
      </c>
      <c r="O1215" t="b">
        <v>0</v>
      </c>
      <c r="P1215" t="inlineStr">
        <is>
          <t>High</t>
        </is>
      </c>
      <c r="Q1215" t="inlineStr">
        <is>
          <t>Scope_Emissions</t>
        </is>
      </c>
      <c r="R1215" t="inlineStr">
        <is>
          <t>Valid</t>
        </is>
      </c>
      <c r="S1215" t="n">
        <v>2038</v>
      </c>
      <c r="T1215" t="inlineStr">
        <is>
          <t>Supplier Target Pathway</t>
        </is>
      </c>
      <c r="U1215" t="n">
        <v>12116.7137</v>
      </c>
      <c r="V1215" t="n">
        <v>6849.5783</v>
      </c>
      <c r="W1215" t="n">
        <v>6849.5783</v>
      </c>
      <c r="X1215" t="n">
        <v>6849.5783</v>
      </c>
      <c r="Y1215" t="n">
        <v>5267.1354</v>
      </c>
      <c r="Z1215" t="n">
        <v>0.00074517</v>
      </c>
      <c r="AA1215" t="n">
        <v>0.4347</v>
      </c>
      <c r="AB1215" t="n">
        <v>0</v>
      </c>
      <c r="AC1215" t="n">
        <v>309.8315</v>
      </c>
      <c r="AD1215" t="n">
        <v>-37589.4665</v>
      </c>
      <c r="AE1215" t="n">
        <v>112934.8278</v>
      </c>
      <c r="AF1215" t="n">
        <v>0.961</v>
      </c>
      <c r="AG1215" t="inlineStr">
        <is>
          <t>Low</t>
        </is>
      </c>
      <c r="AH1215" t="inlineStr">
        <is>
          <t>On Track</t>
        </is>
      </c>
    </row>
    <row r="1216">
      <c r="A1216" t="inlineStr">
        <is>
          <t>SUP-0076</t>
        </is>
      </c>
      <c r="B1216" t="inlineStr">
        <is>
          <t>Chemicals Supplier 076</t>
        </is>
      </c>
      <c r="C1216" t="inlineStr">
        <is>
          <t>Chemicals</t>
        </is>
      </c>
      <c r="D1216" t="n">
        <v>2024</v>
      </c>
      <c r="E1216" t="n">
        <v>2018</v>
      </c>
      <c r="F1216" t="n">
        <v>2035</v>
      </c>
      <c r="G1216" t="n">
        <v>10193.2261</v>
      </c>
      <c r="H1216" t="n">
        <v>1825.6608</v>
      </c>
      <c r="I1216" t="n">
        <v>1691.3593</v>
      </c>
      <c r="J1216" t="inlineStr"/>
      <c r="K1216" t="n">
        <v>9191923.93</v>
      </c>
      <c r="L1216" t="n">
        <v>11025423.11</v>
      </c>
      <c r="M1216" t="n">
        <v>10193.2261</v>
      </c>
      <c r="N1216" t="inlineStr">
        <is>
          <t>Supplier Reported Emissions</t>
        </is>
      </c>
      <c r="O1216" t="b">
        <v>0</v>
      </c>
      <c r="P1216" t="inlineStr">
        <is>
          <t>High</t>
        </is>
      </c>
      <c r="Q1216" t="inlineStr">
        <is>
          <t>Scope_Emissions</t>
        </is>
      </c>
      <c r="R1216" t="inlineStr">
        <is>
          <t>Valid</t>
        </is>
      </c>
      <c r="S1216" t="n">
        <v>2039</v>
      </c>
      <c r="T1216" t="inlineStr">
        <is>
          <t>Supplier Target Pathway</t>
        </is>
      </c>
      <c r="U1216" t="n">
        <v>12116.7137</v>
      </c>
      <c r="V1216" t="n">
        <v>6849.5783</v>
      </c>
      <c r="W1216" t="n">
        <v>6849.5783</v>
      </c>
      <c r="X1216" t="n">
        <v>6849.5783</v>
      </c>
      <c r="Y1216" t="n">
        <v>5267.1354</v>
      </c>
      <c r="Z1216" t="n">
        <v>0.00074517</v>
      </c>
      <c r="AA1216" t="n">
        <v>0.4347</v>
      </c>
      <c r="AB1216" t="n">
        <v>0</v>
      </c>
      <c r="AC1216" t="n">
        <v>309.8315</v>
      </c>
      <c r="AD1216" t="n">
        <v>-44439.0448</v>
      </c>
      <c r="AE1216" t="n">
        <v>119784.4061</v>
      </c>
      <c r="AF1216" t="n">
        <v>0.961</v>
      </c>
      <c r="AG1216" t="inlineStr">
        <is>
          <t>Low</t>
        </is>
      </c>
      <c r="AH1216" t="inlineStr">
        <is>
          <t>On Track</t>
        </is>
      </c>
    </row>
    <row r="1217">
      <c r="A1217" t="inlineStr">
        <is>
          <t>SUP-0076</t>
        </is>
      </c>
      <c r="B1217" t="inlineStr">
        <is>
          <t>Chemicals Supplier 076</t>
        </is>
      </c>
      <c r="C1217" t="inlineStr">
        <is>
          <t>Chemicals</t>
        </is>
      </c>
      <c r="D1217" t="n">
        <v>2024</v>
      </c>
      <c r="E1217" t="n">
        <v>2018</v>
      </c>
      <c r="F1217" t="n">
        <v>2035</v>
      </c>
      <c r="G1217" t="n">
        <v>10193.2261</v>
      </c>
      <c r="H1217" t="n">
        <v>1825.6608</v>
      </c>
      <c r="I1217" t="n">
        <v>1691.3593</v>
      </c>
      <c r="J1217" t="inlineStr"/>
      <c r="K1217" t="n">
        <v>9191923.93</v>
      </c>
      <c r="L1217" t="n">
        <v>11025423.11</v>
      </c>
      <c r="M1217" t="n">
        <v>10193.2261</v>
      </c>
      <c r="N1217" t="inlineStr">
        <is>
          <t>Supplier Reported Emissions</t>
        </is>
      </c>
      <c r="O1217" t="b">
        <v>0</v>
      </c>
      <c r="P1217" t="inlineStr">
        <is>
          <t>High</t>
        </is>
      </c>
      <c r="Q1217" t="inlineStr">
        <is>
          <t>Scope_Emissions</t>
        </is>
      </c>
      <c r="R1217" t="inlineStr">
        <is>
          <t>Valid</t>
        </is>
      </c>
      <c r="S1217" t="n">
        <v>2040</v>
      </c>
      <c r="T1217" t="inlineStr">
        <is>
          <t>Supplier Target Pathway</t>
        </is>
      </c>
      <c r="U1217" t="n">
        <v>12116.7137</v>
      </c>
      <c r="V1217" t="n">
        <v>6849.5783</v>
      </c>
      <c r="W1217" t="n">
        <v>6849.5783</v>
      </c>
      <c r="X1217" t="n">
        <v>6849.5783</v>
      </c>
      <c r="Y1217" t="n">
        <v>5267.1354</v>
      </c>
      <c r="Z1217" t="n">
        <v>0.00074517</v>
      </c>
      <c r="AA1217" t="n">
        <v>0.4347</v>
      </c>
      <c r="AB1217" t="n">
        <v>0</v>
      </c>
      <c r="AC1217" t="n">
        <v>309.8315</v>
      </c>
      <c r="AD1217" t="n">
        <v>-51288.6231</v>
      </c>
      <c r="AE1217" t="n">
        <v>126633.9844</v>
      </c>
      <c r="AF1217" t="n">
        <v>0.961</v>
      </c>
      <c r="AG1217" t="inlineStr">
        <is>
          <t>Low</t>
        </is>
      </c>
      <c r="AH1217" t="inlineStr">
        <is>
          <t>On Track</t>
        </is>
      </c>
    </row>
    <row r="1218">
      <c r="A1218" t="inlineStr">
        <is>
          <t>SUP-0077</t>
        </is>
      </c>
      <c r="B1218" t="inlineStr">
        <is>
          <t>Packaging Supplier 077</t>
        </is>
      </c>
      <c r="C1218" t="inlineStr">
        <is>
          <t>Packaging</t>
        </is>
      </c>
      <c r="D1218" t="n">
        <v>2024</v>
      </c>
      <c r="E1218" t="n">
        <v>2018</v>
      </c>
      <c r="F1218" t="n">
        <v>2030</v>
      </c>
      <c r="G1218" t="inlineStr"/>
      <c r="H1218" t="inlineStr"/>
      <c r="I1218" t="n">
        <v>3645.0803</v>
      </c>
      <c r="J1218" t="n">
        <v>13559.917</v>
      </c>
      <c r="K1218" t="n">
        <v>24462208.69</v>
      </c>
      <c r="L1218" t="n">
        <v>153737356.39</v>
      </c>
      <c r="M1218" t="n">
        <v>26426.524</v>
      </c>
      <c r="N1218" t="inlineStr">
        <is>
          <t>Spend-Based Estimate</t>
        </is>
      </c>
      <c r="O1218" t="b">
        <v>1</v>
      </c>
      <c r="P1218" t="inlineStr">
        <is>
          <t>Medium</t>
        </is>
      </c>
      <c r="Q1218" t="inlineStr">
        <is>
          <t>Reported_Emissions; Scope_Emissions</t>
        </is>
      </c>
      <c r="R1218" t="inlineStr">
        <is>
          <t>Valid</t>
        </is>
      </c>
      <c r="S1218" t="n">
        <v>2025</v>
      </c>
      <c r="T1218" t="inlineStr">
        <is>
          <t>Supplier Target Pathway</t>
        </is>
      </c>
      <c r="U1218" t="n">
        <v>12101.4565</v>
      </c>
      <c r="V1218" t="n">
        <v>4331.1113</v>
      </c>
      <c r="W1218" t="n">
        <v>7568.7551</v>
      </c>
      <c r="X1218" t="n">
        <v>7568.7551</v>
      </c>
      <c r="Y1218" t="n">
        <v>4532.7014</v>
      </c>
      <c r="Z1218" t="n">
        <v>0.00030941</v>
      </c>
      <c r="AA1218" t="n">
        <v>0.374558</v>
      </c>
      <c r="AB1218" t="n">
        <v>3237.6438</v>
      </c>
      <c r="AC1218" t="n">
        <v>647.5288</v>
      </c>
      <c r="AD1218" t="n">
        <v>18417.9127</v>
      </c>
      <c r="AE1218" t="n">
        <v>7568.7551</v>
      </c>
      <c r="AF1218" t="n">
        <v>0.9399999999999999</v>
      </c>
      <c r="AG1218" t="inlineStr">
        <is>
          <t>Critical</t>
        </is>
      </c>
      <c r="AH1218" t="inlineStr">
        <is>
          <t>On Track to Glide Path</t>
        </is>
      </c>
    </row>
    <row r="1219">
      <c r="A1219" t="inlineStr">
        <is>
          <t>SUP-0077</t>
        </is>
      </c>
      <c r="B1219" t="inlineStr">
        <is>
          <t>Packaging Supplier 077</t>
        </is>
      </c>
      <c r="C1219" t="inlineStr">
        <is>
          <t>Packaging</t>
        </is>
      </c>
      <c r="D1219" t="n">
        <v>2024</v>
      </c>
      <c r="E1219" t="n">
        <v>2018</v>
      </c>
      <c r="F1219" t="n">
        <v>2030</v>
      </c>
      <c r="G1219" t="inlineStr"/>
      <c r="H1219" t="inlineStr"/>
      <c r="I1219" t="n">
        <v>3645.0803</v>
      </c>
      <c r="J1219" t="n">
        <v>13559.917</v>
      </c>
      <c r="K1219" t="n">
        <v>24462208.69</v>
      </c>
      <c r="L1219" t="n">
        <v>153737356.39</v>
      </c>
      <c r="M1219" t="n">
        <v>26426.524</v>
      </c>
      <c r="N1219" t="inlineStr">
        <is>
          <t>Spend-Based Estimate</t>
        </is>
      </c>
      <c r="O1219" t="b">
        <v>1</v>
      </c>
      <c r="P1219" t="inlineStr">
        <is>
          <t>Medium</t>
        </is>
      </c>
      <c r="Q1219" t="inlineStr">
        <is>
          <t>Reported_Emissions; Scope_Emissions</t>
        </is>
      </c>
      <c r="R1219" t="inlineStr">
        <is>
          <t>Valid</t>
        </is>
      </c>
      <c r="S1219" t="n">
        <v>2026</v>
      </c>
      <c r="T1219" t="inlineStr">
        <is>
          <t>Supplier Target Pathway</t>
        </is>
      </c>
      <c r="U1219" t="n">
        <v>12101.4565</v>
      </c>
      <c r="V1219" t="n">
        <v>4331.1113</v>
      </c>
      <c r="W1219" t="n">
        <v>6921.2264</v>
      </c>
      <c r="X1219" t="n">
        <v>6921.2264</v>
      </c>
      <c r="Y1219" t="n">
        <v>5180.2301</v>
      </c>
      <c r="Z1219" t="n">
        <v>0.00028294</v>
      </c>
      <c r="AA1219" t="n">
        <v>0.428067</v>
      </c>
      <c r="AB1219" t="n">
        <v>2590.1151</v>
      </c>
      <c r="AC1219" t="n">
        <v>647.5288</v>
      </c>
      <c r="AD1219" t="n">
        <v>11496.6863</v>
      </c>
      <c r="AE1219" t="n">
        <v>14489.9815</v>
      </c>
      <c r="AF1219" t="n">
        <v>0.9399999999999999</v>
      </c>
      <c r="AG1219" t="inlineStr">
        <is>
          <t>Critical</t>
        </is>
      </c>
      <c r="AH1219" t="inlineStr">
        <is>
          <t>On Track to Glide Path</t>
        </is>
      </c>
    </row>
    <row r="1220">
      <c r="A1220" t="inlineStr">
        <is>
          <t>SUP-0077</t>
        </is>
      </c>
      <c r="B1220" t="inlineStr">
        <is>
          <t>Packaging Supplier 077</t>
        </is>
      </c>
      <c r="C1220" t="inlineStr">
        <is>
          <t>Packaging</t>
        </is>
      </c>
      <c r="D1220" t="n">
        <v>2024</v>
      </c>
      <c r="E1220" t="n">
        <v>2018</v>
      </c>
      <c r="F1220" t="n">
        <v>2030</v>
      </c>
      <c r="G1220" t="inlineStr"/>
      <c r="H1220" t="inlineStr"/>
      <c r="I1220" t="n">
        <v>3645.0803</v>
      </c>
      <c r="J1220" t="n">
        <v>13559.917</v>
      </c>
      <c r="K1220" t="n">
        <v>24462208.69</v>
      </c>
      <c r="L1220" t="n">
        <v>153737356.39</v>
      </c>
      <c r="M1220" t="n">
        <v>26426.524</v>
      </c>
      <c r="N1220" t="inlineStr">
        <is>
          <t>Spend-Based Estimate</t>
        </is>
      </c>
      <c r="O1220" t="b">
        <v>1</v>
      </c>
      <c r="P1220" t="inlineStr">
        <is>
          <t>Medium</t>
        </is>
      </c>
      <c r="Q1220" t="inlineStr">
        <is>
          <t>Reported_Emissions; Scope_Emissions</t>
        </is>
      </c>
      <c r="R1220" t="inlineStr">
        <is>
          <t>Valid</t>
        </is>
      </c>
      <c r="S1220" t="n">
        <v>2027</v>
      </c>
      <c r="T1220" t="inlineStr">
        <is>
          <t>Supplier Target Pathway</t>
        </is>
      </c>
      <c r="U1220" t="n">
        <v>12101.4565</v>
      </c>
      <c r="V1220" t="n">
        <v>4331.1113</v>
      </c>
      <c r="W1220" t="n">
        <v>6273.6976</v>
      </c>
      <c r="X1220" t="n">
        <v>6273.6976</v>
      </c>
      <c r="Y1220" t="n">
        <v>5827.7589</v>
      </c>
      <c r="Z1220" t="n">
        <v>0.00025646</v>
      </c>
      <c r="AA1220" t="n">
        <v>0.481575</v>
      </c>
      <c r="AB1220" t="n">
        <v>1942.5863</v>
      </c>
      <c r="AC1220" t="n">
        <v>647.5288</v>
      </c>
      <c r="AD1220" t="n">
        <v>5222.9887</v>
      </c>
      <c r="AE1220" t="n">
        <v>20763.6791</v>
      </c>
      <c r="AF1220" t="n">
        <v>0.9399999999999999</v>
      </c>
      <c r="AG1220" t="inlineStr">
        <is>
          <t>Critical</t>
        </is>
      </c>
      <c r="AH1220" t="inlineStr">
        <is>
          <t>On Track to Glide Path</t>
        </is>
      </c>
    </row>
    <row r="1221">
      <c r="A1221" t="inlineStr">
        <is>
          <t>SUP-0077</t>
        </is>
      </c>
      <c r="B1221" t="inlineStr">
        <is>
          <t>Packaging Supplier 077</t>
        </is>
      </c>
      <c r="C1221" t="inlineStr">
        <is>
          <t>Packaging</t>
        </is>
      </c>
      <c r="D1221" t="n">
        <v>2024</v>
      </c>
      <c r="E1221" t="n">
        <v>2018</v>
      </c>
      <c r="F1221" t="n">
        <v>2030</v>
      </c>
      <c r="G1221" t="inlineStr"/>
      <c r="H1221" t="inlineStr"/>
      <c r="I1221" t="n">
        <v>3645.0803</v>
      </c>
      <c r="J1221" t="n">
        <v>13559.917</v>
      </c>
      <c r="K1221" t="n">
        <v>24462208.69</v>
      </c>
      <c r="L1221" t="n">
        <v>153737356.39</v>
      </c>
      <c r="M1221" t="n">
        <v>26426.524</v>
      </c>
      <c r="N1221" t="inlineStr">
        <is>
          <t>Spend-Based Estimate</t>
        </is>
      </c>
      <c r="O1221" t="b">
        <v>1</v>
      </c>
      <c r="P1221" t="inlineStr">
        <is>
          <t>Medium</t>
        </is>
      </c>
      <c r="Q1221" t="inlineStr">
        <is>
          <t>Reported_Emissions; Scope_Emissions</t>
        </is>
      </c>
      <c r="R1221" t="inlineStr">
        <is>
          <t>Valid</t>
        </is>
      </c>
      <c r="S1221" t="n">
        <v>2028</v>
      </c>
      <c r="T1221" t="inlineStr">
        <is>
          <t>Supplier Target Pathway</t>
        </is>
      </c>
      <c r="U1221" t="n">
        <v>12101.4565</v>
      </c>
      <c r="V1221" t="n">
        <v>4331.1113</v>
      </c>
      <c r="W1221" t="n">
        <v>5626.1688</v>
      </c>
      <c r="X1221" t="n">
        <v>5626.1688</v>
      </c>
      <c r="Y1221" t="n">
        <v>6475.2877</v>
      </c>
      <c r="Z1221" t="n">
        <v>0.00022999</v>
      </c>
      <c r="AA1221" t="n">
        <v>0.535083</v>
      </c>
      <c r="AB1221" t="n">
        <v>1295.0575</v>
      </c>
      <c r="AC1221" t="n">
        <v>647.5288</v>
      </c>
      <c r="AD1221" t="n">
        <v>-403.1801</v>
      </c>
      <c r="AE1221" t="n">
        <v>26389.8479</v>
      </c>
      <c r="AF1221" t="n">
        <v>0.9399999999999999</v>
      </c>
      <c r="AG1221" t="inlineStr">
        <is>
          <t>High</t>
        </is>
      </c>
      <c r="AH1221" t="inlineStr">
        <is>
          <t>On Track to Glide Path</t>
        </is>
      </c>
    </row>
    <row r="1222">
      <c r="A1222" t="inlineStr">
        <is>
          <t>SUP-0077</t>
        </is>
      </c>
      <c r="B1222" t="inlineStr">
        <is>
          <t>Packaging Supplier 077</t>
        </is>
      </c>
      <c r="C1222" t="inlineStr">
        <is>
          <t>Packaging</t>
        </is>
      </c>
      <c r="D1222" t="n">
        <v>2024</v>
      </c>
      <c r="E1222" t="n">
        <v>2018</v>
      </c>
      <c r="F1222" t="n">
        <v>2030</v>
      </c>
      <c r="G1222" t="inlineStr"/>
      <c r="H1222" t="inlineStr"/>
      <c r="I1222" t="n">
        <v>3645.0803</v>
      </c>
      <c r="J1222" t="n">
        <v>13559.917</v>
      </c>
      <c r="K1222" t="n">
        <v>24462208.69</v>
      </c>
      <c r="L1222" t="n">
        <v>153737356.39</v>
      </c>
      <c r="M1222" t="n">
        <v>26426.524</v>
      </c>
      <c r="N1222" t="inlineStr">
        <is>
          <t>Spend-Based Estimate</t>
        </is>
      </c>
      <c r="O1222" t="b">
        <v>1</v>
      </c>
      <c r="P1222" t="inlineStr">
        <is>
          <t>Medium</t>
        </is>
      </c>
      <c r="Q1222" t="inlineStr">
        <is>
          <t>Reported_Emissions; Scope_Emissions</t>
        </is>
      </c>
      <c r="R1222" t="inlineStr">
        <is>
          <t>Valid</t>
        </is>
      </c>
      <c r="S1222" t="n">
        <v>2029</v>
      </c>
      <c r="T1222" t="inlineStr">
        <is>
          <t>Supplier Target Pathway</t>
        </is>
      </c>
      <c r="U1222" t="n">
        <v>12101.4565</v>
      </c>
      <c r="V1222" t="n">
        <v>4331.1113</v>
      </c>
      <c r="W1222" t="n">
        <v>4978.64</v>
      </c>
      <c r="X1222" t="n">
        <v>4978.64</v>
      </c>
      <c r="Y1222" t="n">
        <v>7122.8165</v>
      </c>
      <c r="Z1222" t="n">
        <v>0.00020352</v>
      </c>
      <c r="AA1222" t="n">
        <v>0.588592</v>
      </c>
      <c r="AB1222" t="n">
        <v>647.5288</v>
      </c>
      <c r="AC1222" t="n">
        <v>647.5288</v>
      </c>
      <c r="AD1222" t="n">
        <v>-5381.8201</v>
      </c>
      <c r="AE1222" t="n">
        <v>31368.4879</v>
      </c>
      <c r="AF1222" t="n">
        <v>0.9399999999999999</v>
      </c>
      <c r="AG1222" t="inlineStr">
        <is>
          <t>Medium</t>
        </is>
      </c>
      <c r="AH1222" t="inlineStr">
        <is>
          <t>On Track to Glide Path</t>
        </is>
      </c>
    </row>
    <row r="1223">
      <c r="A1223" t="inlineStr">
        <is>
          <t>SUP-0077</t>
        </is>
      </c>
      <c r="B1223" t="inlineStr">
        <is>
          <t>Packaging Supplier 077</t>
        </is>
      </c>
      <c r="C1223" t="inlineStr">
        <is>
          <t>Packaging</t>
        </is>
      </c>
      <c r="D1223" t="n">
        <v>2024</v>
      </c>
      <c r="E1223" t="n">
        <v>2018</v>
      </c>
      <c r="F1223" t="n">
        <v>2030</v>
      </c>
      <c r="G1223" t="inlineStr"/>
      <c r="H1223" t="inlineStr"/>
      <c r="I1223" t="n">
        <v>3645.0803</v>
      </c>
      <c r="J1223" t="n">
        <v>13559.917</v>
      </c>
      <c r="K1223" t="n">
        <v>24462208.69</v>
      </c>
      <c r="L1223" t="n">
        <v>153737356.39</v>
      </c>
      <c r="M1223" t="n">
        <v>26426.524</v>
      </c>
      <c r="N1223" t="inlineStr">
        <is>
          <t>Spend-Based Estimate</t>
        </is>
      </c>
      <c r="O1223" t="b">
        <v>1</v>
      </c>
      <c r="P1223" t="inlineStr">
        <is>
          <t>Medium</t>
        </is>
      </c>
      <c r="Q1223" t="inlineStr">
        <is>
          <t>Reported_Emissions; Scope_Emissions</t>
        </is>
      </c>
      <c r="R1223" t="inlineStr">
        <is>
          <t>Valid</t>
        </is>
      </c>
      <c r="S1223" t="n">
        <v>2030</v>
      </c>
      <c r="T1223" t="inlineStr">
        <is>
          <t>Supplier Target Pathway</t>
        </is>
      </c>
      <c r="U1223" t="n">
        <v>12101.4565</v>
      </c>
      <c r="V1223" t="n">
        <v>4331.1113</v>
      </c>
      <c r="W1223" t="n">
        <v>4331.1113</v>
      </c>
      <c r="X1223" t="n">
        <v>4331.1113</v>
      </c>
      <c r="Y1223" t="n">
        <v>7770.3452</v>
      </c>
      <c r="Z1223" t="n">
        <v>0.00017705</v>
      </c>
      <c r="AA1223" t="n">
        <v>0.6421</v>
      </c>
      <c r="AB1223" t="n">
        <v>0</v>
      </c>
      <c r="AC1223" t="n">
        <v>647.5288</v>
      </c>
      <c r="AD1223" t="n">
        <v>-9712.931399999999</v>
      </c>
      <c r="AE1223" t="n">
        <v>35699.5992</v>
      </c>
      <c r="AF1223" t="n">
        <v>0.9399999999999999</v>
      </c>
      <c r="AG1223" t="inlineStr">
        <is>
          <t>Low</t>
        </is>
      </c>
      <c r="AH1223" t="inlineStr">
        <is>
          <t>On Track</t>
        </is>
      </c>
    </row>
    <row r="1224">
      <c r="A1224" t="inlineStr">
        <is>
          <t>SUP-0077</t>
        </is>
      </c>
      <c r="B1224" t="inlineStr">
        <is>
          <t>Packaging Supplier 077</t>
        </is>
      </c>
      <c r="C1224" t="inlineStr">
        <is>
          <t>Packaging</t>
        </is>
      </c>
      <c r="D1224" t="n">
        <v>2024</v>
      </c>
      <c r="E1224" t="n">
        <v>2018</v>
      </c>
      <c r="F1224" t="n">
        <v>2030</v>
      </c>
      <c r="G1224" t="inlineStr"/>
      <c r="H1224" t="inlineStr"/>
      <c r="I1224" t="n">
        <v>3645.0803</v>
      </c>
      <c r="J1224" t="n">
        <v>13559.917</v>
      </c>
      <c r="K1224" t="n">
        <v>24462208.69</v>
      </c>
      <c r="L1224" t="n">
        <v>153737356.39</v>
      </c>
      <c r="M1224" t="n">
        <v>26426.524</v>
      </c>
      <c r="N1224" t="inlineStr">
        <is>
          <t>Spend-Based Estimate</t>
        </is>
      </c>
      <c r="O1224" t="b">
        <v>1</v>
      </c>
      <c r="P1224" t="inlineStr">
        <is>
          <t>Medium</t>
        </is>
      </c>
      <c r="Q1224" t="inlineStr">
        <is>
          <t>Reported_Emissions; Scope_Emissions</t>
        </is>
      </c>
      <c r="R1224" t="inlineStr">
        <is>
          <t>Valid</t>
        </is>
      </c>
      <c r="S1224" t="n">
        <v>2031</v>
      </c>
      <c r="T1224" t="inlineStr">
        <is>
          <t>Supplier Target Pathway</t>
        </is>
      </c>
      <c r="U1224" t="n">
        <v>12101.4565</v>
      </c>
      <c r="V1224" t="n">
        <v>4331.1113</v>
      </c>
      <c r="W1224" t="n">
        <v>4331.1113</v>
      </c>
      <c r="X1224" t="n">
        <v>4331.1113</v>
      </c>
      <c r="Y1224" t="n">
        <v>7770.3452</v>
      </c>
      <c r="Z1224" t="n">
        <v>0.00017705</v>
      </c>
      <c r="AA1224" t="n">
        <v>0.6421</v>
      </c>
      <c r="AB1224" t="n">
        <v>0</v>
      </c>
      <c r="AC1224" t="n">
        <v>647.5288</v>
      </c>
      <c r="AD1224" t="n">
        <v>-14044.0427</v>
      </c>
      <c r="AE1224" t="n">
        <v>40030.7105</v>
      </c>
      <c r="AF1224" t="n">
        <v>0.9399999999999999</v>
      </c>
      <c r="AG1224" t="inlineStr">
        <is>
          <t>Low</t>
        </is>
      </c>
      <c r="AH1224" t="inlineStr">
        <is>
          <t>On Track</t>
        </is>
      </c>
    </row>
    <row r="1225">
      <c r="A1225" t="inlineStr">
        <is>
          <t>SUP-0077</t>
        </is>
      </c>
      <c r="B1225" t="inlineStr">
        <is>
          <t>Packaging Supplier 077</t>
        </is>
      </c>
      <c r="C1225" t="inlineStr">
        <is>
          <t>Packaging</t>
        </is>
      </c>
      <c r="D1225" t="n">
        <v>2024</v>
      </c>
      <c r="E1225" t="n">
        <v>2018</v>
      </c>
      <c r="F1225" t="n">
        <v>2030</v>
      </c>
      <c r="G1225" t="inlineStr"/>
      <c r="H1225" t="inlineStr"/>
      <c r="I1225" t="n">
        <v>3645.0803</v>
      </c>
      <c r="J1225" t="n">
        <v>13559.917</v>
      </c>
      <c r="K1225" t="n">
        <v>24462208.69</v>
      </c>
      <c r="L1225" t="n">
        <v>153737356.39</v>
      </c>
      <c r="M1225" t="n">
        <v>26426.524</v>
      </c>
      <c r="N1225" t="inlineStr">
        <is>
          <t>Spend-Based Estimate</t>
        </is>
      </c>
      <c r="O1225" t="b">
        <v>1</v>
      </c>
      <c r="P1225" t="inlineStr">
        <is>
          <t>Medium</t>
        </is>
      </c>
      <c r="Q1225" t="inlineStr">
        <is>
          <t>Reported_Emissions; Scope_Emissions</t>
        </is>
      </c>
      <c r="R1225" t="inlineStr">
        <is>
          <t>Valid</t>
        </is>
      </c>
      <c r="S1225" t="n">
        <v>2032</v>
      </c>
      <c r="T1225" t="inlineStr">
        <is>
          <t>Supplier Target Pathway</t>
        </is>
      </c>
      <c r="U1225" t="n">
        <v>12101.4565</v>
      </c>
      <c r="V1225" t="n">
        <v>4331.1113</v>
      </c>
      <c r="W1225" t="n">
        <v>4331.1113</v>
      </c>
      <c r="X1225" t="n">
        <v>4331.1113</v>
      </c>
      <c r="Y1225" t="n">
        <v>7770.3452</v>
      </c>
      <c r="Z1225" t="n">
        <v>0.00017705</v>
      </c>
      <c r="AA1225" t="n">
        <v>0.6421</v>
      </c>
      <c r="AB1225" t="n">
        <v>0</v>
      </c>
      <c r="AC1225" t="n">
        <v>647.5288</v>
      </c>
      <c r="AD1225" t="n">
        <v>-18375.154</v>
      </c>
      <c r="AE1225" t="n">
        <v>44361.8218</v>
      </c>
      <c r="AF1225" t="n">
        <v>0.9399999999999999</v>
      </c>
      <c r="AG1225" t="inlineStr">
        <is>
          <t>Low</t>
        </is>
      </c>
      <c r="AH1225" t="inlineStr">
        <is>
          <t>On Track</t>
        </is>
      </c>
    </row>
    <row r="1226">
      <c r="A1226" t="inlineStr">
        <is>
          <t>SUP-0077</t>
        </is>
      </c>
      <c r="B1226" t="inlineStr">
        <is>
          <t>Packaging Supplier 077</t>
        </is>
      </c>
      <c r="C1226" t="inlineStr">
        <is>
          <t>Packaging</t>
        </is>
      </c>
      <c r="D1226" t="n">
        <v>2024</v>
      </c>
      <c r="E1226" t="n">
        <v>2018</v>
      </c>
      <c r="F1226" t="n">
        <v>2030</v>
      </c>
      <c r="G1226" t="inlineStr"/>
      <c r="H1226" t="inlineStr"/>
      <c r="I1226" t="n">
        <v>3645.0803</v>
      </c>
      <c r="J1226" t="n">
        <v>13559.917</v>
      </c>
      <c r="K1226" t="n">
        <v>24462208.69</v>
      </c>
      <c r="L1226" t="n">
        <v>153737356.39</v>
      </c>
      <c r="M1226" t="n">
        <v>26426.524</v>
      </c>
      <c r="N1226" t="inlineStr">
        <is>
          <t>Spend-Based Estimate</t>
        </is>
      </c>
      <c r="O1226" t="b">
        <v>1</v>
      </c>
      <c r="P1226" t="inlineStr">
        <is>
          <t>Medium</t>
        </is>
      </c>
      <c r="Q1226" t="inlineStr">
        <is>
          <t>Reported_Emissions; Scope_Emissions</t>
        </is>
      </c>
      <c r="R1226" t="inlineStr">
        <is>
          <t>Valid</t>
        </is>
      </c>
      <c r="S1226" t="n">
        <v>2033</v>
      </c>
      <c r="T1226" t="inlineStr">
        <is>
          <t>Supplier Target Pathway</t>
        </is>
      </c>
      <c r="U1226" t="n">
        <v>12101.4565</v>
      </c>
      <c r="V1226" t="n">
        <v>4331.1113</v>
      </c>
      <c r="W1226" t="n">
        <v>4331.1113</v>
      </c>
      <c r="X1226" t="n">
        <v>4331.1113</v>
      </c>
      <c r="Y1226" t="n">
        <v>7770.3452</v>
      </c>
      <c r="Z1226" t="n">
        <v>0.00017705</v>
      </c>
      <c r="AA1226" t="n">
        <v>0.6421</v>
      </c>
      <c r="AB1226" t="n">
        <v>0</v>
      </c>
      <c r="AC1226" t="n">
        <v>647.5288</v>
      </c>
      <c r="AD1226" t="n">
        <v>-22706.2653</v>
      </c>
      <c r="AE1226" t="n">
        <v>48692.9331</v>
      </c>
      <c r="AF1226" t="n">
        <v>0.9399999999999999</v>
      </c>
      <c r="AG1226" t="inlineStr">
        <is>
          <t>Low</t>
        </is>
      </c>
      <c r="AH1226" t="inlineStr">
        <is>
          <t>On Track</t>
        </is>
      </c>
    </row>
    <row r="1227">
      <c r="A1227" t="inlineStr">
        <is>
          <t>SUP-0077</t>
        </is>
      </c>
      <c r="B1227" t="inlineStr">
        <is>
          <t>Packaging Supplier 077</t>
        </is>
      </c>
      <c r="C1227" t="inlineStr">
        <is>
          <t>Packaging</t>
        </is>
      </c>
      <c r="D1227" t="n">
        <v>2024</v>
      </c>
      <c r="E1227" t="n">
        <v>2018</v>
      </c>
      <c r="F1227" t="n">
        <v>2030</v>
      </c>
      <c r="G1227" t="inlineStr"/>
      <c r="H1227" t="inlineStr"/>
      <c r="I1227" t="n">
        <v>3645.0803</v>
      </c>
      <c r="J1227" t="n">
        <v>13559.917</v>
      </c>
      <c r="K1227" t="n">
        <v>24462208.69</v>
      </c>
      <c r="L1227" t="n">
        <v>153737356.39</v>
      </c>
      <c r="M1227" t="n">
        <v>26426.524</v>
      </c>
      <c r="N1227" t="inlineStr">
        <is>
          <t>Spend-Based Estimate</t>
        </is>
      </c>
      <c r="O1227" t="b">
        <v>1</v>
      </c>
      <c r="P1227" t="inlineStr">
        <is>
          <t>Medium</t>
        </is>
      </c>
      <c r="Q1227" t="inlineStr">
        <is>
          <t>Reported_Emissions; Scope_Emissions</t>
        </is>
      </c>
      <c r="R1227" t="inlineStr">
        <is>
          <t>Valid</t>
        </is>
      </c>
      <c r="S1227" t="n">
        <v>2034</v>
      </c>
      <c r="T1227" t="inlineStr">
        <is>
          <t>Supplier Target Pathway</t>
        </is>
      </c>
      <c r="U1227" t="n">
        <v>12101.4565</v>
      </c>
      <c r="V1227" t="n">
        <v>4331.1113</v>
      </c>
      <c r="W1227" t="n">
        <v>4331.1113</v>
      </c>
      <c r="X1227" t="n">
        <v>4331.1113</v>
      </c>
      <c r="Y1227" t="n">
        <v>7770.3452</v>
      </c>
      <c r="Z1227" t="n">
        <v>0.00017705</v>
      </c>
      <c r="AA1227" t="n">
        <v>0.6421</v>
      </c>
      <c r="AB1227" t="n">
        <v>0</v>
      </c>
      <c r="AC1227" t="n">
        <v>647.5288</v>
      </c>
      <c r="AD1227" t="n">
        <v>-27037.3766</v>
      </c>
      <c r="AE1227" t="n">
        <v>53024.0444</v>
      </c>
      <c r="AF1227" t="n">
        <v>0.9399999999999999</v>
      </c>
      <c r="AG1227" t="inlineStr">
        <is>
          <t>Low</t>
        </is>
      </c>
      <c r="AH1227" t="inlineStr">
        <is>
          <t>On Track</t>
        </is>
      </c>
    </row>
    <row r="1228">
      <c r="A1228" t="inlineStr">
        <is>
          <t>SUP-0077</t>
        </is>
      </c>
      <c r="B1228" t="inlineStr">
        <is>
          <t>Packaging Supplier 077</t>
        </is>
      </c>
      <c r="C1228" t="inlineStr">
        <is>
          <t>Packaging</t>
        </is>
      </c>
      <c r="D1228" t="n">
        <v>2024</v>
      </c>
      <c r="E1228" t="n">
        <v>2018</v>
      </c>
      <c r="F1228" t="n">
        <v>2030</v>
      </c>
      <c r="G1228" t="inlineStr"/>
      <c r="H1228" t="inlineStr"/>
      <c r="I1228" t="n">
        <v>3645.0803</v>
      </c>
      <c r="J1228" t="n">
        <v>13559.917</v>
      </c>
      <c r="K1228" t="n">
        <v>24462208.69</v>
      </c>
      <c r="L1228" t="n">
        <v>153737356.39</v>
      </c>
      <c r="M1228" t="n">
        <v>26426.524</v>
      </c>
      <c r="N1228" t="inlineStr">
        <is>
          <t>Spend-Based Estimate</t>
        </is>
      </c>
      <c r="O1228" t="b">
        <v>1</v>
      </c>
      <c r="P1228" t="inlineStr">
        <is>
          <t>Medium</t>
        </is>
      </c>
      <c r="Q1228" t="inlineStr">
        <is>
          <t>Reported_Emissions; Scope_Emissions</t>
        </is>
      </c>
      <c r="R1228" t="inlineStr">
        <is>
          <t>Valid</t>
        </is>
      </c>
      <c r="S1228" t="n">
        <v>2035</v>
      </c>
      <c r="T1228" t="inlineStr">
        <is>
          <t>Supplier Target Pathway</t>
        </is>
      </c>
      <c r="U1228" t="n">
        <v>12101.4565</v>
      </c>
      <c r="V1228" t="n">
        <v>4331.1113</v>
      </c>
      <c r="W1228" t="n">
        <v>4331.1113</v>
      </c>
      <c r="X1228" t="n">
        <v>4331.1113</v>
      </c>
      <c r="Y1228" t="n">
        <v>7770.3452</v>
      </c>
      <c r="Z1228" t="n">
        <v>0.00017705</v>
      </c>
      <c r="AA1228" t="n">
        <v>0.6421</v>
      </c>
      <c r="AB1228" t="n">
        <v>0</v>
      </c>
      <c r="AC1228" t="n">
        <v>647.5288</v>
      </c>
      <c r="AD1228" t="n">
        <v>-31368.4879</v>
      </c>
      <c r="AE1228" t="n">
        <v>57355.1557</v>
      </c>
      <c r="AF1228" t="n">
        <v>0.9399999999999999</v>
      </c>
      <c r="AG1228" t="inlineStr">
        <is>
          <t>Low</t>
        </is>
      </c>
      <c r="AH1228" t="inlineStr">
        <is>
          <t>On Track</t>
        </is>
      </c>
    </row>
    <row r="1229">
      <c r="A1229" t="inlineStr">
        <is>
          <t>SUP-0077</t>
        </is>
      </c>
      <c r="B1229" t="inlineStr">
        <is>
          <t>Packaging Supplier 077</t>
        </is>
      </c>
      <c r="C1229" t="inlineStr">
        <is>
          <t>Packaging</t>
        </is>
      </c>
      <c r="D1229" t="n">
        <v>2024</v>
      </c>
      <c r="E1229" t="n">
        <v>2018</v>
      </c>
      <c r="F1229" t="n">
        <v>2030</v>
      </c>
      <c r="G1229" t="inlineStr"/>
      <c r="H1229" t="inlineStr"/>
      <c r="I1229" t="n">
        <v>3645.0803</v>
      </c>
      <c r="J1229" t="n">
        <v>13559.917</v>
      </c>
      <c r="K1229" t="n">
        <v>24462208.69</v>
      </c>
      <c r="L1229" t="n">
        <v>153737356.39</v>
      </c>
      <c r="M1229" t="n">
        <v>26426.524</v>
      </c>
      <c r="N1229" t="inlineStr">
        <is>
          <t>Spend-Based Estimate</t>
        </is>
      </c>
      <c r="O1229" t="b">
        <v>1</v>
      </c>
      <c r="P1229" t="inlineStr">
        <is>
          <t>Medium</t>
        </is>
      </c>
      <c r="Q1229" t="inlineStr">
        <is>
          <t>Reported_Emissions; Scope_Emissions</t>
        </is>
      </c>
      <c r="R1229" t="inlineStr">
        <is>
          <t>Valid</t>
        </is>
      </c>
      <c r="S1229" t="n">
        <v>2036</v>
      </c>
      <c r="T1229" t="inlineStr">
        <is>
          <t>Supplier Target Pathway</t>
        </is>
      </c>
      <c r="U1229" t="n">
        <v>12101.4565</v>
      </c>
      <c r="V1229" t="n">
        <v>4331.1113</v>
      </c>
      <c r="W1229" t="n">
        <v>4331.1113</v>
      </c>
      <c r="X1229" t="n">
        <v>4331.1113</v>
      </c>
      <c r="Y1229" t="n">
        <v>7770.3452</v>
      </c>
      <c r="Z1229" t="n">
        <v>0.00017705</v>
      </c>
      <c r="AA1229" t="n">
        <v>0.6421</v>
      </c>
      <c r="AB1229" t="n">
        <v>0</v>
      </c>
      <c r="AC1229" t="n">
        <v>647.5288</v>
      </c>
      <c r="AD1229" t="n">
        <v>-35699.5992</v>
      </c>
      <c r="AE1229" t="n">
        <v>61686.267</v>
      </c>
      <c r="AF1229" t="n">
        <v>0.9399999999999999</v>
      </c>
      <c r="AG1229" t="inlineStr">
        <is>
          <t>Low</t>
        </is>
      </c>
      <c r="AH1229" t="inlineStr">
        <is>
          <t>On Track</t>
        </is>
      </c>
    </row>
    <row r="1230">
      <c r="A1230" t="inlineStr">
        <is>
          <t>SUP-0077</t>
        </is>
      </c>
      <c r="B1230" t="inlineStr">
        <is>
          <t>Packaging Supplier 077</t>
        </is>
      </c>
      <c r="C1230" t="inlineStr">
        <is>
          <t>Packaging</t>
        </is>
      </c>
      <c r="D1230" t="n">
        <v>2024</v>
      </c>
      <c r="E1230" t="n">
        <v>2018</v>
      </c>
      <c r="F1230" t="n">
        <v>2030</v>
      </c>
      <c r="G1230" t="inlineStr"/>
      <c r="H1230" t="inlineStr"/>
      <c r="I1230" t="n">
        <v>3645.0803</v>
      </c>
      <c r="J1230" t="n">
        <v>13559.917</v>
      </c>
      <c r="K1230" t="n">
        <v>24462208.69</v>
      </c>
      <c r="L1230" t="n">
        <v>153737356.39</v>
      </c>
      <c r="M1230" t="n">
        <v>26426.524</v>
      </c>
      <c r="N1230" t="inlineStr">
        <is>
          <t>Spend-Based Estimate</t>
        </is>
      </c>
      <c r="O1230" t="b">
        <v>1</v>
      </c>
      <c r="P1230" t="inlineStr">
        <is>
          <t>Medium</t>
        </is>
      </c>
      <c r="Q1230" t="inlineStr">
        <is>
          <t>Reported_Emissions; Scope_Emissions</t>
        </is>
      </c>
      <c r="R1230" t="inlineStr">
        <is>
          <t>Valid</t>
        </is>
      </c>
      <c r="S1230" t="n">
        <v>2037</v>
      </c>
      <c r="T1230" t="inlineStr">
        <is>
          <t>Supplier Target Pathway</t>
        </is>
      </c>
      <c r="U1230" t="n">
        <v>12101.4565</v>
      </c>
      <c r="V1230" t="n">
        <v>4331.1113</v>
      </c>
      <c r="W1230" t="n">
        <v>4331.1113</v>
      </c>
      <c r="X1230" t="n">
        <v>4331.1113</v>
      </c>
      <c r="Y1230" t="n">
        <v>7770.3452</v>
      </c>
      <c r="Z1230" t="n">
        <v>0.00017705</v>
      </c>
      <c r="AA1230" t="n">
        <v>0.6421</v>
      </c>
      <c r="AB1230" t="n">
        <v>0</v>
      </c>
      <c r="AC1230" t="n">
        <v>647.5288</v>
      </c>
      <c r="AD1230" t="n">
        <v>-40030.7105</v>
      </c>
      <c r="AE1230" t="n">
        <v>66017.3783</v>
      </c>
      <c r="AF1230" t="n">
        <v>0.9399999999999999</v>
      </c>
      <c r="AG1230" t="inlineStr">
        <is>
          <t>Low</t>
        </is>
      </c>
      <c r="AH1230" t="inlineStr">
        <is>
          <t>On Track</t>
        </is>
      </c>
    </row>
    <row r="1231">
      <c r="A1231" t="inlineStr">
        <is>
          <t>SUP-0077</t>
        </is>
      </c>
      <c r="B1231" t="inlineStr">
        <is>
          <t>Packaging Supplier 077</t>
        </is>
      </c>
      <c r="C1231" t="inlineStr">
        <is>
          <t>Packaging</t>
        </is>
      </c>
      <c r="D1231" t="n">
        <v>2024</v>
      </c>
      <c r="E1231" t="n">
        <v>2018</v>
      </c>
      <c r="F1231" t="n">
        <v>2030</v>
      </c>
      <c r="G1231" t="inlineStr"/>
      <c r="H1231" t="inlineStr"/>
      <c r="I1231" t="n">
        <v>3645.0803</v>
      </c>
      <c r="J1231" t="n">
        <v>13559.917</v>
      </c>
      <c r="K1231" t="n">
        <v>24462208.69</v>
      </c>
      <c r="L1231" t="n">
        <v>153737356.39</v>
      </c>
      <c r="M1231" t="n">
        <v>26426.524</v>
      </c>
      <c r="N1231" t="inlineStr">
        <is>
          <t>Spend-Based Estimate</t>
        </is>
      </c>
      <c r="O1231" t="b">
        <v>1</v>
      </c>
      <c r="P1231" t="inlineStr">
        <is>
          <t>Medium</t>
        </is>
      </c>
      <c r="Q1231" t="inlineStr">
        <is>
          <t>Reported_Emissions; Scope_Emissions</t>
        </is>
      </c>
      <c r="R1231" t="inlineStr">
        <is>
          <t>Valid</t>
        </is>
      </c>
      <c r="S1231" t="n">
        <v>2038</v>
      </c>
      <c r="T1231" t="inlineStr">
        <is>
          <t>Supplier Target Pathway</t>
        </is>
      </c>
      <c r="U1231" t="n">
        <v>12101.4565</v>
      </c>
      <c r="V1231" t="n">
        <v>4331.1113</v>
      </c>
      <c r="W1231" t="n">
        <v>4331.1113</v>
      </c>
      <c r="X1231" t="n">
        <v>4331.1113</v>
      </c>
      <c r="Y1231" t="n">
        <v>7770.3452</v>
      </c>
      <c r="Z1231" t="n">
        <v>0.00017705</v>
      </c>
      <c r="AA1231" t="n">
        <v>0.6421</v>
      </c>
      <c r="AB1231" t="n">
        <v>0</v>
      </c>
      <c r="AC1231" t="n">
        <v>647.5288</v>
      </c>
      <c r="AD1231" t="n">
        <v>-44361.8218</v>
      </c>
      <c r="AE1231" t="n">
        <v>70348.4896</v>
      </c>
      <c r="AF1231" t="n">
        <v>0.9399999999999999</v>
      </c>
      <c r="AG1231" t="inlineStr">
        <is>
          <t>Low</t>
        </is>
      </c>
      <c r="AH1231" t="inlineStr">
        <is>
          <t>On Track</t>
        </is>
      </c>
    </row>
    <row r="1232">
      <c r="A1232" t="inlineStr">
        <is>
          <t>SUP-0077</t>
        </is>
      </c>
      <c r="B1232" t="inlineStr">
        <is>
          <t>Packaging Supplier 077</t>
        </is>
      </c>
      <c r="C1232" t="inlineStr">
        <is>
          <t>Packaging</t>
        </is>
      </c>
      <c r="D1232" t="n">
        <v>2024</v>
      </c>
      <c r="E1232" t="n">
        <v>2018</v>
      </c>
      <c r="F1232" t="n">
        <v>2030</v>
      </c>
      <c r="G1232" t="inlineStr"/>
      <c r="H1232" t="inlineStr"/>
      <c r="I1232" t="n">
        <v>3645.0803</v>
      </c>
      <c r="J1232" t="n">
        <v>13559.917</v>
      </c>
      <c r="K1232" t="n">
        <v>24462208.69</v>
      </c>
      <c r="L1232" t="n">
        <v>153737356.39</v>
      </c>
      <c r="M1232" t="n">
        <v>26426.524</v>
      </c>
      <c r="N1232" t="inlineStr">
        <is>
          <t>Spend-Based Estimate</t>
        </is>
      </c>
      <c r="O1232" t="b">
        <v>1</v>
      </c>
      <c r="P1232" t="inlineStr">
        <is>
          <t>Medium</t>
        </is>
      </c>
      <c r="Q1232" t="inlineStr">
        <is>
          <t>Reported_Emissions; Scope_Emissions</t>
        </is>
      </c>
      <c r="R1232" t="inlineStr">
        <is>
          <t>Valid</t>
        </is>
      </c>
      <c r="S1232" t="n">
        <v>2039</v>
      </c>
      <c r="T1232" t="inlineStr">
        <is>
          <t>Supplier Target Pathway</t>
        </is>
      </c>
      <c r="U1232" t="n">
        <v>12101.4565</v>
      </c>
      <c r="V1232" t="n">
        <v>4331.1113</v>
      </c>
      <c r="W1232" t="n">
        <v>4331.1113</v>
      </c>
      <c r="X1232" t="n">
        <v>4331.1113</v>
      </c>
      <c r="Y1232" t="n">
        <v>7770.3452</v>
      </c>
      <c r="Z1232" t="n">
        <v>0.00017705</v>
      </c>
      <c r="AA1232" t="n">
        <v>0.6421</v>
      </c>
      <c r="AB1232" t="n">
        <v>0</v>
      </c>
      <c r="AC1232" t="n">
        <v>647.5288</v>
      </c>
      <c r="AD1232" t="n">
        <v>-48692.9331</v>
      </c>
      <c r="AE1232" t="n">
        <v>74679.6009</v>
      </c>
      <c r="AF1232" t="n">
        <v>0.9399999999999999</v>
      </c>
      <c r="AG1232" t="inlineStr">
        <is>
          <t>Low</t>
        </is>
      </c>
      <c r="AH1232" t="inlineStr">
        <is>
          <t>On Track</t>
        </is>
      </c>
    </row>
    <row r="1233">
      <c r="A1233" t="inlineStr">
        <is>
          <t>SUP-0077</t>
        </is>
      </c>
      <c r="B1233" t="inlineStr">
        <is>
          <t>Packaging Supplier 077</t>
        </is>
      </c>
      <c r="C1233" t="inlineStr">
        <is>
          <t>Packaging</t>
        </is>
      </c>
      <c r="D1233" t="n">
        <v>2024</v>
      </c>
      <c r="E1233" t="n">
        <v>2018</v>
      </c>
      <c r="F1233" t="n">
        <v>2030</v>
      </c>
      <c r="G1233" t="inlineStr"/>
      <c r="H1233" t="inlineStr"/>
      <c r="I1233" t="n">
        <v>3645.0803</v>
      </c>
      <c r="J1233" t="n">
        <v>13559.917</v>
      </c>
      <c r="K1233" t="n">
        <v>24462208.69</v>
      </c>
      <c r="L1233" t="n">
        <v>153737356.39</v>
      </c>
      <c r="M1233" t="n">
        <v>26426.524</v>
      </c>
      <c r="N1233" t="inlineStr">
        <is>
          <t>Spend-Based Estimate</t>
        </is>
      </c>
      <c r="O1233" t="b">
        <v>1</v>
      </c>
      <c r="P1233" t="inlineStr">
        <is>
          <t>Medium</t>
        </is>
      </c>
      <c r="Q1233" t="inlineStr">
        <is>
          <t>Reported_Emissions; Scope_Emissions</t>
        </is>
      </c>
      <c r="R1233" t="inlineStr">
        <is>
          <t>Valid</t>
        </is>
      </c>
      <c r="S1233" t="n">
        <v>2040</v>
      </c>
      <c r="T1233" t="inlineStr">
        <is>
          <t>Supplier Target Pathway</t>
        </is>
      </c>
      <c r="U1233" t="n">
        <v>12101.4565</v>
      </c>
      <c r="V1233" t="n">
        <v>4331.1113</v>
      </c>
      <c r="W1233" t="n">
        <v>4331.1113</v>
      </c>
      <c r="X1233" t="n">
        <v>4331.1113</v>
      </c>
      <c r="Y1233" t="n">
        <v>7770.3452</v>
      </c>
      <c r="Z1233" t="n">
        <v>0.00017705</v>
      </c>
      <c r="AA1233" t="n">
        <v>0.6421</v>
      </c>
      <c r="AB1233" t="n">
        <v>0</v>
      </c>
      <c r="AC1233" t="n">
        <v>647.5288</v>
      </c>
      <c r="AD1233" t="n">
        <v>-53024.0444</v>
      </c>
      <c r="AE1233" t="n">
        <v>79010.71219999999</v>
      </c>
      <c r="AF1233" t="n">
        <v>0.9399999999999999</v>
      </c>
      <c r="AG1233" t="inlineStr">
        <is>
          <t>Low</t>
        </is>
      </c>
      <c r="AH1233" t="inlineStr">
        <is>
          <t>On Track</t>
        </is>
      </c>
    </row>
    <row r="1234">
      <c r="A1234" t="inlineStr">
        <is>
          <t>SUP-0078</t>
        </is>
      </c>
      <c r="B1234" t="inlineStr">
        <is>
          <t>Metals Supplier 078</t>
        </is>
      </c>
      <c r="C1234" t="inlineStr">
        <is>
          <t>Metals</t>
        </is>
      </c>
      <c r="D1234" t="n">
        <v>2024</v>
      </c>
      <c r="E1234" t="n">
        <v>2021</v>
      </c>
      <c r="F1234" t="n">
        <v>2040</v>
      </c>
      <c r="G1234" t="n">
        <v>17796.3863</v>
      </c>
      <c r="H1234" t="inlineStr"/>
      <c r="I1234" t="inlineStr"/>
      <c r="J1234" t="n">
        <v>11557.1335</v>
      </c>
      <c r="K1234" t="n">
        <v>18295020.38</v>
      </c>
      <c r="L1234" t="n">
        <v>140143212.12</v>
      </c>
      <c r="M1234" t="n">
        <v>17796.3863</v>
      </c>
      <c r="N1234" t="inlineStr">
        <is>
          <t>Supplier Reported Emissions</t>
        </is>
      </c>
      <c r="O1234" t="b">
        <v>0</v>
      </c>
      <c r="P1234" t="inlineStr">
        <is>
          <t>High</t>
        </is>
      </c>
      <c r="Q1234" t="inlineStr">
        <is>
          <t>Scope_Emissions</t>
        </is>
      </c>
      <c r="R1234" t="inlineStr">
        <is>
          <t>Valid</t>
        </is>
      </c>
      <c r="S1234" t="n">
        <v>2025</v>
      </c>
      <c r="T1234" t="inlineStr">
        <is>
          <t>Supplier Target Pathway</t>
        </is>
      </c>
      <c r="U1234" t="n">
        <v>13707.4562</v>
      </c>
      <c r="V1234" t="n">
        <v>10154.4836</v>
      </c>
      <c r="W1234" t="n">
        <v>12959.462</v>
      </c>
      <c r="X1234" t="n">
        <v>12959.462</v>
      </c>
      <c r="Y1234" t="n">
        <v>747.9942</v>
      </c>
      <c r="Z1234" t="n">
        <v>0.00070836</v>
      </c>
      <c r="AA1234" t="n">
        <v>0.054568</v>
      </c>
      <c r="AB1234" t="n">
        <v>2804.9784</v>
      </c>
      <c r="AC1234" t="n">
        <v>186.9986</v>
      </c>
      <c r="AD1234" t="n">
        <v>149512.2756</v>
      </c>
      <c r="AE1234" t="n">
        <v>12959.462</v>
      </c>
      <c r="AF1234" t="n">
        <v>0.99</v>
      </c>
      <c r="AG1234" t="inlineStr">
        <is>
          <t>High</t>
        </is>
      </c>
      <c r="AH1234" t="inlineStr">
        <is>
          <t>On Track to Glide Path</t>
        </is>
      </c>
    </row>
    <row r="1235">
      <c r="A1235" t="inlineStr">
        <is>
          <t>SUP-0078</t>
        </is>
      </c>
      <c r="B1235" t="inlineStr">
        <is>
          <t>Metals Supplier 078</t>
        </is>
      </c>
      <c r="C1235" t="inlineStr">
        <is>
          <t>Metals</t>
        </is>
      </c>
      <c r="D1235" t="n">
        <v>2024</v>
      </c>
      <c r="E1235" t="n">
        <v>2021</v>
      </c>
      <c r="F1235" t="n">
        <v>2040</v>
      </c>
      <c r="G1235" t="n">
        <v>17796.3863</v>
      </c>
      <c r="H1235" t="inlineStr"/>
      <c r="I1235" t="inlineStr"/>
      <c r="J1235" t="n">
        <v>11557.1335</v>
      </c>
      <c r="K1235" t="n">
        <v>18295020.38</v>
      </c>
      <c r="L1235" t="n">
        <v>140143212.12</v>
      </c>
      <c r="M1235" t="n">
        <v>17796.3863</v>
      </c>
      <c r="N1235" t="inlineStr">
        <is>
          <t>Supplier Reported Emissions</t>
        </is>
      </c>
      <c r="O1235" t="b">
        <v>0</v>
      </c>
      <c r="P1235" t="inlineStr">
        <is>
          <t>High</t>
        </is>
      </c>
      <c r="Q1235" t="inlineStr">
        <is>
          <t>Scope_Emissions</t>
        </is>
      </c>
      <c r="R1235" t="inlineStr">
        <is>
          <t>Valid</t>
        </is>
      </c>
      <c r="S1235" t="n">
        <v>2026</v>
      </c>
      <c r="T1235" t="inlineStr">
        <is>
          <t>Supplier Target Pathway</t>
        </is>
      </c>
      <c r="U1235" t="n">
        <v>13707.4562</v>
      </c>
      <c r="V1235" t="n">
        <v>10154.4836</v>
      </c>
      <c r="W1235" t="n">
        <v>12772.4634</v>
      </c>
      <c r="X1235" t="n">
        <v>12772.4634</v>
      </c>
      <c r="Y1235" t="n">
        <v>934.9928</v>
      </c>
      <c r="Z1235" t="n">
        <v>0.00069814</v>
      </c>
      <c r="AA1235" t="n">
        <v>0.06821099999999999</v>
      </c>
      <c r="AB1235" t="n">
        <v>2617.9798</v>
      </c>
      <c r="AC1235" t="n">
        <v>186.9986</v>
      </c>
      <c r="AD1235" t="n">
        <v>136739.8122</v>
      </c>
      <c r="AE1235" t="n">
        <v>25731.9254</v>
      </c>
      <c r="AF1235" t="n">
        <v>0.99</v>
      </c>
      <c r="AG1235" t="inlineStr">
        <is>
          <t>High</t>
        </is>
      </c>
      <c r="AH1235" t="inlineStr">
        <is>
          <t>On Track to Glide Path</t>
        </is>
      </c>
    </row>
    <row r="1236">
      <c r="A1236" t="inlineStr">
        <is>
          <t>SUP-0078</t>
        </is>
      </c>
      <c r="B1236" t="inlineStr">
        <is>
          <t>Metals Supplier 078</t>
        </is>
      </c>
      <c r="C1236" t="inlineStr">
        <is>
          <t>Metals</t>
        </is>
      </c>
      <c r="D1236" t="n">
        <v>2024</v>
      </c>
      <c r="E1236" t="n">
        <v>2021</v>
      </c>
      <c r="F1236" t="n">
        <v>2040</v>
      </c>
      <c r="G1236" t="n">
        <v>17796.3863</v>
      </c>
      <c r="H1236" t="inlineStr"/>
      <c r="I1236" t="inlineStr"/>
      <c r="J1236" t="n">
        <v>11557.1335</v>
      </c>
      <c r="K1236" t="n">
        <v>18295020.38</v>
      </c>
      <c r="L1236" t="n">
        <v>140143212.12</v>
      </c>
      <c r="M1236" t="n">
        <v>17796.3863</v>
      </c>
      <c r="N1236" t="inlineStr">
        <is>
          <t>Supplier Reported Emissions</t>
        </is>
      </c>
      <c r="O1236" t="b">
        <v>0</v>
      </c>
      <c r="P1236" t="inlineStr">
        <is>
          <t>High</t>
        </is>
      </c>
      <c r="Q1236" t="inlineStr">
        <is>
          <t>Scope_Emissions</t>
        </is>
      </c>
      <c r="R1236" t="inlineStr">
        <is>
          <t>Valid</t>
        </is>
      </c>
      <c r="S1236" t="n">
        <v>2027</v>
      </c>
      <c r="T1236" t="inlineStr">
        <is>
          <t>Supplier Target Pathway</t>
        </is>
      </c>
      <c r="U1236" t="n">
        <v>13707.4562</v>
      </c>
      <c r="V1236" t="n">
        <v>10154.4836</v>
      </c>
      <c r="W1236" t="n">
        <v>12585.4648</v>
      </c>
      <c r="X1236" t="n">
        <v>12585.4648</v>
      </c>
      <c r="Y1236" t="n">
        <v>1121.9914</v>
      </c>
      <c r="Z1236" t="n">
        <v>0.00068792</v>
      </c>
      <c r="AA1236" t="n">
        <v>0.081853</v>
      </c>
      <c r="AB1236" t="n">
        <v>2430.9813</v>
      </c>
      <c r="AC1236" t="n">
        <v>186.9986</v>
      </c>
      <c r="AD1236" t="n">
        <v>124154.3474</v>
      </c>
      <c r="AE1236" t="n">
        <v>38317.3902</v>
      </c>
      <c r="AF1236" t="n">
        <v>0.99</v>
      </c>
      <c r="AG1236" t="inlineStr">
        <is>
          <t>High</t>
        </is>
      </c>
      <c r="AH1236" t="inlineStr">
        <is>
          <t>On Track to Glide Path</t>
        </is>
      </c>
    </row>
    <row r="1237">
      <c r="A1237" t="inlineStr">
        <is>
          <t>SUP-0078</t>
        </is>
      </c>
      <c r="B1237" t="inlineStr">
        <is>
          <t>Metals Supplier 078</t>
        </is>
      </c>
      <c r="C1237" t="inlineStr">
        <is>
          <t>Metals</t>
        </is>
      </c>
      <c r="D1237" t="n">
        <v>2024</v>
      </c>
      <c r="E1237" t="n">
        <v>2021</v>
      </c>
      <c r="F1237" t="n">
        <v>2040</v>
      </c>
      <c r="G1237" t="n">
        <v>17796.3863</v>
      </c>
      <c r="H1237" t="inlineStr"/>
      <c r="I1237" t="inlineStr"/>
      <c r="J1237" t="n">
        <v>11557.1335</v>
      </c>
      <c r="K1237" t="n">
        <v>18295020.38</v>
      </c>
      <c r="L1237" t="n">
        <v>140143212.12</v>
      </c>
      <c r="M1237" t="n">
        <v>17796.3863</v>
      </c>
      <c r="N1237" t="inlineStr">
        <is>
          <t>Supplier Reported Emissions</t>
        </is>
      </c>
      <c r="O1237" t="b">
        <v>0</v>
      </c>
      <c r="P1237" t="inlineStr">
        <is>
          <t>High</t>
        </is>
      </c>
      <c r="Q1237" t="inlineStr">
        <is>
          <t>Scope_Emissions</t>
        </is>
      </c>
      <c r="R1237" t="inlineStr">
        <is>
          <t>Valid</t>
        </is>
      </c>
      <c r="S1237" t="n">
        <v>2028</v>
      </c>
      <c r="T1237" t="inlineStr">
        <is>
          <t>Supplier Target Pathway</t>
        </is>
      </c>
      <c r="U1237" t="n">
        <v>13707.4562</v>
      </c>
      <c r="V1237" t="n">
        <v>10154.4836</v>
      </c>
      <c r="W1237" t="n">
        <v>12398.4663</v>
      </c>
      <c r="X1237" t="n">
        <v>12398.4663</v>
      </c>
      <c r="Y1237" t="n">
        <v>1308.9899</v>
      </c>
      <c r="Z1237" t="n">
        <v>0.0006777</v>
      </c>
      <c r="AA1237" t="n">
        <v>0.095495</v>
      </c>
      <c r="AB1237" t="n">
        <v>2243.9827</v>
      </c>
      <c r="AC1237" t="n">
        <v>186.9986</v>
      </c>
      <c r="AD1237" t="n">
        <v>111755.8811</v>
      </c>
      <c r="AE1237" t="n">
        <v>50715.8565</v>
      </c>
      <c r="AF1237" t="n">
        <v>0.99</v>
      </c>
      <c r="AG1237" t="inlineStr">
        <is>
          <t>High</t>
        </is>
      </c>
      <c r="AH1237" t="inlineStr">
        <is>
          <t>On Track to Glide Path</t>
        </is>
      </c>
    </row>
    <row r="1238">
      <c r="A1238" t="inlineStr">
        <is>
          <t>SUP-0078</t>
        </is>
      </c>
      <c r="B1238" t="inlineStr">
        <is>
          <t>Metals Supplier 078</t>
        </is>
      </c>
      <c r="C1238" t="inlineStr">
        <is>
          <t>Metals</t>
        </is>
      </c>
      <c r="D1238" t="n">
        <v>2024</v>
      </c>
      <c r="E1238" t="n">
        <v>2021</v>
      </c>
      <c r="F1238" t="n">
        <v>2040</v>
      </c>
      <c r="G1238" t="n">
        <v>17796.3863</v>
      </c>
      <c r="H1238" t="inlineStr"/>
      <c r="I1238" t="inlineStr"/>
      <c r="J1238" t="n">
        <v>11557.1335</v>
      </c>
      <c r="K1238" t="n">
        <v>18295020.38</v>
      </c>
      <c r="L1238" t="n">
        <v>140143212.12</v>
      </c>
      <c r="M1238" t="n">
        <v>17796.3863</v>
      </c>
      <c r="N1238" t="inlineStr">
        <is>
          <t>Supplier Reported Emissions</t>
        </is>
      </c>
      <c r="O1238" t="b">
        <v>0</v>
      </c>
      <c r="P1238" t="inlineStr">
        <is>
          <t>High</t>
        </is>
      </c>
      <c r="Q1238" t="inlineStr">
        <is>
          <t>Scope_Emissions</t>
        </is>
      </c>
      <c r="R1238" t="inlineStr">
        <is>
          <t>Valid</t>
        </is>
      </c>
      <c r="S1238" t="n">
        <v>2029</v>
      </c>
      <c r="T1238" t="inlineStr">
        <is>
          <t>Supplier Target Pathway</t>
        </is>
      </c>
      <c r="U1238" t="n">
        <v>13707.4562</v>
      </c>
      <c r="V1238" t="n">
        <v>10154.4836</v>
      </c>
      <c r="W1238" t="n">
        <v>12211.4677</v>
      </c>
      <c r="X1238" t="n">
        <v>12211.4677</v>
      </c>
      <c r="Y1238" t="n">
        <v>1495.9885</v>
      </c>
      <c r="Z1238" t="n">
        <v>0.00066747</v>
      </c>
      <c r="AA1238" t="n">
        <v>0.109137</v>
      </c>
      <c r="AB1238" t="n">
        <v>2056.9842</v>
      </c>
      <c r="AC1238" t="n">
        <v>186.9986</v>
      </c>
      <c r="AD1238" t="n">
        <v>99544.4134</v>
      </c>
      <c r="AE1238" t="n">
        <v>62927.3242</v>
      </c>
      <c r="AF1238" t="n">
        <v>0.99</v>
      </c>
      <c r="AG1238" t="inlineStr">
        <is>
          <t>High</t>
        </is>
      </c>
      <c r="AH1238" t="inlineStr">
        <is>
          <t>On Track to Glide Path</t>
        </is>
      </c>
    </row>
    <row r="1239">
      <c r="A1239" t="inlineStr">
        <is>
          <t>SUP-0078</t>
        </is>
      </c>
      <c r="B1239" t="inlineStr">
        <is>
          <t>Metals Supplier 078</t>
        </is>
      </c>
      <c r="C1239" t="inlineStr">
        <is>
          <t>Metals</t>
        </is>
      </c>
      <c r="D1239" t="n">
        <v>2024</v>
      </c>
      <c r="E1239" t="n">
        <v>2021</v>
      </c>
      <c r="F1239" t="n">
        <v>2040</v>
      </c>
      <c r="G1239" t="n">
        <v>17796.3863</v>
      </c>
      <c r="H1239" t="inlineStr"/>
      <c r="I1239" t="inlineStr"/>
      <c r="J1239" t="n">
        <v>11557.1335</v>
      </c>
      <c r="K1239" t="n">
        <v>18295020.38</v>
      </c>
      <c r="L1239" t="n">
        <v>140143212.12</v>
      </c>
      <c r="M1239" t="n">
        <v>17796.3863</v>
      </c>
      <c r="N1239" t="inlineStr">
        <is>
          <t>Supplier Reported Emissions</t>
        </is>
      </c>
      <c r="O1239" t="b">
        <v>0</v>
      </c>
      <c r="P1239" t="inlineStr">
        <is>
          <t>High</t>
        </is>
      </c>
      <c r="Q1239" t="inlineStr">
        <is>
          <t>Scope_Emissions</t>
        </is>
      </c>
      <c r="R1239" t="inlineStr">
        <is>
          <t>Valid</t>
        </is>
      </c>
      <c r="S1239" t="n">
        <v>2030</v>
      </c>
      <c r="T1239" t="inlineStr">
        <is>
          <t>Supplier Target Pathway</t>
        </is>
      </c>
      <c r="U1239" t="n">
        <v>13707.4562</v>
      </c>
      <c r="V1239" t="n">
        <v>10154.4836</v>
      </c>
      <c r="W1239" t="n">
        <v>12024.4692</v>
      </c>
      <c r="X1239" t="n">
        <v>12024.4692</v>
      </c>
      <c r="Y1239" t="n">
        <v>1682.987</v>
      </c>
      <c r="Z1239" t="n">
        <v>0.00065725</v>
      </c>
      <c r="AA1239" t="n">
        <v>0.122779</v>
      </c>
      <c r="AB1239" t="n">
        <v>1869.9856</v>
      </c>
      <c r="AC1239" t="n">
        <v>186.9986</v>
      </c>
      <c r="AD1239" t="n">
        <v>87519.9442</v>
      </c>
      <c r="AE1239" t="n">
        <v>74951.7934</v>
      </c>
      <c r="AF1239" t="n">
        <v>0.99</v>
      </c>
      <c r="AG1239" t="inlineStr">
        <is>
          <t>High</t>
        </is>
      </c>
      <c r="AH1239" t="inlineStr">
        <is>
          <t>On Track to Glide Path</t>
        </is>
      </c>
    </row>
    <row r="1240">
      <c r="A1240" t="inlineStr">
        <is>
          <t>SUP-0078</t>
        </is>
      </c>
      <c r="B1240" t="inlineStr">
        <is>
          <t>Metals Supplier 078</t>
        </is>
      </c>
      <c r="C1240" t="inlineStr">
        <is>
          <t>Metals</t>
        </is>
      </c>
      <c r="D1240" t="n">
        <v>2024</v>
      </c>
      <c r="E1240" t="n">
        <v>2021</v>
      </c>
      <c r="F1240" t="n">
        <v>2040</v>
      </c>
      <c r="G1240" t="n">
        <v>17796.3863</v>
      </c>
      <c r="H1240" t="inlineStr"/>
      <c r="I1240" t="inlineStr"/>
      <c r="J1240" t="n">
        <v>11557.1335</v>
      </c>
      <c r="K1240" t="n">
        <v>18295020.38</v>
      </c>
      <c r="L1240" t="n">
        <v>140143212.12</v>
      </c>
      <c r="M1240" t="n">
        <v>17796.3863</v>
      </c>
      <c r="N1240" t="inlineStr">
        <is>
          <t>Supplier Reported Emissions</t>
        </is>
      </c>
      <c r="O1240" t="b">
        <v>0</v>
      </c>
      <c r="P1240" t="inlineStr">
        <is>
          <t>High</t>
        </is>
      </c>
      <c r="Q1240" t="inlineStr">
        <is>
          <t>Scope_Emissions</t>
        </is>
      </c>
      <c r="R1240" t="inlineStr">
        <is>
          <t>Valid</t>
        </is>
      </c>
      <c r="S1240" t="n">
        <v>2031</v>
      </c>
      <c r="T1240" t="inlineStr">
        <is>
          <t>Supplier Target Pathway</t>
        </is>
      </c>
      <c r="U1240" t="n">
        <v>13707.4562</v>
      </c>
      <c r="V1240" t="n">
        <v>10154.4836</v>
      </c>
      <c r="W1240" t="n">
        <v>11837.4706</v>
      </c>
      <c r="X1240" t="n">
        <v>11837.4706</v>
      </c>
      <c r="Y1240" t="n">
        <v>1869.9856</v>
      </c>
      <c r="Z1240" t="n">
        <v>0.00064703</v>
      </c>
      <c r="AA1240" t="n">
        <v>0.136421</v>
      </c>
      <c r="AB1240" t="n">
        <v>1682.987</v>
      </c>
      <c r="AC1240" t="n">
        <v>186.9986</v>
      </c>
      <c r="AD1240" t="n">
        <v>75682.4736</v>
      </c>
      <c r="AE1240" t="n">
        <v>86789.264</v>
      </c>
      <c r="AF1240" t="n">
        <v>0.99</v>
      </c>
      <c r="AG1240" t="inlineStr">
        <is>
          <t>High</t>
        </is>
      </c>
      <c r="AH1240" t="inlineStr">
        <is>
          <t>On Track to Glide Path</t>
        </is>
      </c>
    </row>
    <row r="1241">
      <c r="A1241" t="inlineStr">
        <is>
          <t>SUP-0078</t>
        </is>
      </c>
      <c r="B1241" t="inlineStr">
        <is>
          <t>Metals Supplier 078</t>
        </is>
      </c>
      <c r="C1241" t="inlineStr">
        <is>
          <t>Metals</t>
        </is>
      </c>
      <c r="D1241" t="n">
        <v>2024</v>
      </c>
      <c r="E1241" t="n">
        <v>2021</v>
      </c>
      <c r="F1241" t="n">
        <v>2040</v>
      </c>
      <c r="G1241" t="n">
        <v>17796.3863</v>
      </c>
      <c r="H1241" t="inlineStr"/>
      <c r="I1241" t="inlineStr"/>
      <c r="J1241" t="n">
        <v>11557.1335</v>
      </c>
      <c r="K1241" t="n">
        <v>18295020.38</v>
      </c>
      <c r="L1241" t="n">
        <v>140143212.12</v>
      </c>
      <c r="M1241" t="n">
        <v>17796.3863</v>
      </c>
      <c r="N1241" t="inlineStr">
        <is>
          <t>Supplier Reported Emissions</t>
        </is>
      </c>
      <c r="O1241" t="b">
        <v>0</v>
      </c>
      <c r="P1241" t="inlineStr">
        <is>
          <t>High</t>
        </is>
      </c>
      <c r="Q1241" t="inlineStr">
        <is>
          <t>Scope_Emissions</t>
        </is>
      </c>
      <c r="R1241" t="inlineStr">
        <is>
          <t>Valid</t>
        </is>
      </c>
      <c r="S1241" t="n">
        <v>2032</v>
      </c>
      <c r="T1241" t="inlineStr">
        <is>
          <t>Supplier Target Pathway</t>
        </is>
      </c>
      <c r="U1241" t="n">
        <v>13707.4562</v>
      </c>
      <c r="V1241" t="n">
        <v>10154.4836</v>
      </c>
      <c r="W1241" t="n">
        <v>11650.472</v>
      </c>
      <c r="X1241" t="n">
        <v>11650.472</v>
      </c>
      <c r="Y1241" t="n">
        <v>2056.9842</v>
      </c>
      <c r="Z1241" t="n">
        <v>0.00063681</v>
      </c>
      <c r="AA1241" t="n">
        <v>0.150063</v>
      </c>
      <c r="AB1241" t="n">
        <v>1495.9885</v>
      </c>
      <c r="AC1241" t="n">
        <v>186.9986</v>
      </c>
      <c r="AD1241" t="n">
        <v>64032.0016</v>
      </c>
      <c r="AE1241" t="n">
        <v>98439.736</v>
      </c>
      <c r="AF1241" t="n">
        <v>0.99</v>
      </c>
      <c r="AG1241" t="inlineStr">
        <is>
          <t>Medium</t>
        </is>
      </c>
      <c r="AH1241" t="inlineStr">
        <is>
          <t>On Track to Glide Path</t>
        </is>
      </c>
    </row>
    <row r="1242">
      <c r="A1242" t="inlineStr">
        <is>
          <t>SUP-0078</t>
        </is>
      </c>
      <c r="B1242" t="inlineStr">
        <is>
          <t>Metals Supplier 078</t>
        </is>
      </c>
      <c r="C1242" t="inlineStr">
        <is>
          <t>Metals</t>
        </is>
      </c>
      <c r="D1242" t="n">
        <v>2024</v>
      </c>
      <c r="E1242" t="n">
        <v>2021</v>
      </c>
      <c r="F1242" t="n">
        <v>2040</v>
      </c>
      <c r="G1242" t="n">
        <v>17796.3863</v>
      </c>
      <c r="H1242" t="inlineStr"/>
      <c r="I1242" t="inlineStr"/>
      <c r="J1242" t="n">
        <v>11557.1335</v>
      </c>
      <c r="K1242" t="n">
        <v>18295020.38</v>
      </c>
      <c r="L1242" t="n">
        <v>140143212.12</v>
      </c>
      <c r="M1242" t="n">
        <v>17796.3863</v>
      </c>
      <c r="N1242" t="inlineStr">
        <is>
          <t>Supplier Reported Emissions</t>
        </is>
      </c>
      <c r="O1242" t="b">
        <v>0</v>
      </c>
      <c r="P1242" t="inlineStr">
        <is>
          <t>High</t>
        </is>
      </c>
      <c r="Q1242" t="inlineStr">
        <is>
          <t>Scope_Emissions</t>
        </is>
      </c>
      <c r="R1242" t="inlineStr">
        <is>
          <t>Valid</t>
        </is>
      </c>
      <c r="S1242" t="n">
        <v>2033</v>
      </c>
      <c r="T1242" t="inlineStr">
        <is>
          <t>Supplier Target Pathway</t>
        </is>
      </c>
      <c r="U1242" t="n">
        <v>13707.4562</v>
      </c>
      <c r="V1242" t="n">
        <v>10154.4836</v>
      </c>
      <c r="W1242" t="n">
        <v>11463.4735</v>
      </c>
      <c r="X1242" t="n">
        <v>11463.4735</v>
      </c>
      <c r="Y1242" t="n">
        <v>2243.9827</v>
      </c>
      <c r="Z1242" t="n">
        <v>0.00062659</v>
      </c>
      <c r="AA1242" t="n">
        <v>0.163705</v>
      </c>
      <c r="AB1242" t="n">
        <v>1308.9899</v>
      </c>
      <c r="AC1242" t="n">
        <v>186.9986</v>
      </c>
      <c r="AD1242" t="n">
        <v>52568.5281</v>
      </c>
      <c r="AE1242" t="n">
        <v>109903.2095</v>
      </c>
      <c r="AF1242" t="n">
        <v>0.99</v>
      </c>
      <c r="AG1242" t="inlineStr">
        <is>
          <t>Medium</t>
        </is>
      </c>
      <c r="AH1242" t="inlineStr">
        <is>
          <t>On Track to Glide Path</t>
        </is>
      </c>
    </row>
    <row r="1243">
      <c r="A1243" t="inlineStr">
        <is>
          <t>SUP-0078</t>
        </is>
      </c>
      <c r="B1243" t="inlineStr">
        <is>
          <t>Metals Supplier 078</t>
        </is>
      </c>
      <c r="C1243" t="inlineStr">
        <is>
          <t>Metals</t>
        </is>
      </c>
      <c r="D1243" t="n">
        <v>2024</v>
      </c>
      <c r="E1243" t="n">
        <v>2021</v>
      </c>
      <c r="F1243" t="n">
        <v>2040</v>
      </c>
      <c r="G1243" t="n">
        <v>17796.3863</v>
      </c>
      <c r="H1243" t="inlineStr"/>
      <c r="I1243" t="inlineStr"/>
      <c r="J1243" t="n">
        <v>11557.1335</v>
      </c>
      <c r="K1243" t="n">
        <v>18295020.38</v>
      </c>
      <c r="L1243" t="n">
        <v>140143212.12</v>
      </c>
      <c r="M1243" t="n">
        <v>17796.3863</v>
      </c>
      <c r="N1243" t="inlineStr">
        <is>
          <t>Supplier Reported Emissions</t>
        </is>
      </c>
      <c r="O1243" t="b">
        <v>0</v>
      </c>
      <c r="P1243" t="inlineStr">
        <is>
          <t>High</t>
        </is>
      </c>
      <c r="Q1243" t="inlineStr">
        <is>
          <t>Scope_Emissions</t>
        </is>
      </c>
      <c r="R1243" t="inlineStr">
        <is>
          <t>Valid</t>
        </is>
      </c>
      <c r="S1243" t="n">
        <v>2034</v>
      </c>
      <c r="T1243" t="inlineStr">
        <is>
          <t>Supplier Target Pathway</t>
        </is>
      </c>
      <c r="U1243" t="n">
        <v>13707.4562</v>
      </c>
      <c r="V1243" t="n">
        <v>10154.4836</v>
      </c>
      <c r="W1243" t="n">
        <v>11276.4749</v>
      </c>
      <c r="X1243" t="n">
        <v>11276.4749</v>
      </c>
      <c r="Y1243" t="n">
        <v>2430.9813</v>
      </c>
      <c r="Z1243" t="n">
        <v>0.00061637</v>
      </c>
      <c r="AA1243" t="n">
        <v>0.177347</v>
      </c>
      <c r="AB1243" t="n">
        <v>1121.9914</v>
      </c>
      <c r="AC1243" t="n">
        <v>186.9986</v>
      </c>
      <c r="AD1243" t="n">
        <v>41292.0532</v>
      </c>
      <c r="AE1243" t="n">
        <v>121179.6844</v>
      </c>
      <c r="AF1243" t="n">
        <v>0.99</v>
      </c>
      <c r="AG1243" t="inlineStr">
        <is>
          <t>Medium</t>
        </is>
      </c>
      <c r="AH1243" t="inlineStr">
        <is>
          <t>On Track to Glide Path</t>
        </is>
      </c>
    </row>
    <row r="1244">
      <c r="A1244" t="inlineStr">
        <is>
          <t>SUP-0078</t>
        </is>
      </c>
      <c r="B1244" t="inlineStr">
        <is>
          <t>Metals Supplier 078</t>
        </is>
      </c>
      <c r="C1244" t="inlineStr">
        <is>
          <t>Metals</t>
        </is>
      </c>
      <c r="D1244" t="n">
        <v>2024</v>
      </c>
      <c r="E1244" t="n">
        <v>2021</v>
      </c>
      <c r="F1244" t="n">
        <v>2040</v>
      </c>
      <c r="G1244" t="n">
        <v>17796.3863</v>
      </c>
      <c r="H1244" t="inlineStr"/>
      <c r="I1244" t="inlineStr"/>
      <c r="J1244" t="n">
        <v>11557.1335</v>
      </c>
      <c r="K1244" t="n">
        <v>18295020.38</v>
      </c>
      <c r="L1244" t="n">
        <v>140143212.12</v>
      </c>
      <c r="M1244" t="n">
        <v>17796.3863</v>
      </c>
      <c r="N1244" t="inlineStr">
        <is>
          <t>Supplier Reported Emissions</t>
        </is>
      </c>
      <c r="O1244" t="b">
        <v>0</v>
      </c>
      <c r="P1244" t="inlineStr">
        <is>
          <t>High</t>
        </is>
      </c>
      <c r="Q1244" t="inlineStr">
        <is>
          <t>Scope_Emissions</t>
        </is>
      </c>
      <c r="R1244" t="inlineStr">
        <is>
          <t>Valid</t>
        </is>
      </c>
      <c r="S1244" t="n">
        <v>2035</v>
      </c>
      <c r="T1244" t="inlineStr">
        <is>
          <t>Supplier Target Pathway</t>
        </is>
      </c>
      <c r="U1244" t="n">
        <v>13707.4562</v>
      </c>
      <c r="V1244" t="n">
        <v>10154.4836</v>
      </c>
      <c r="W1244" t="n">
        <v>11089.4764</v>
      </c>
      <c r="X1244" t="n">
        <v>11089.4764</v>
      </c>
      <c r="Y1244" t="n">
        <v>2617.9798</v>
      </c>
      <c r="Z1244" t="n">
        <v>0.00060615</v>
      </c>
      <c r="AA1244" t="n">
        <v>0.190989</v>
      </c>
      <c r="AB1244" t="n">
        <v>934.9928</v>
      </c>
      <c r="AC1244" t="n">
        <v>186.9986</v>
      </c>
      <c r="AD1244" t="n">
        <v>30202.5768</v>
      </c>
      <c r="AE1244" t="n">
        <v>132269.1608</v>
      </c>
      <c r="AF1244" t="n">
        <v>0.99</v>
      </c>
      <c r="AG1244" t="inlineStr">
        <is>
          <t>Medium</t>
        </is>
      </c>
      <c r="AH1244" t="inlineStr">
        <is>
          <t>On Track to Glide Path</t>
        </is>
      </c>
    </row>
    <row r="1245">
      <c r="A1245" t="inlineStr">
        <is>
          <t>SUP-0078</t>
        </is>
      </c>
      <c r="B1245" t="inlineStr">
        <is>
          <t>Metals Supplier 078</t>
        </is>
      </c>
      <c r="C1245" t="inlineStr">
        <is>
          <t>Metals</t>
        </is>
      </c>
      <c r="D1245" t="n">
        <v>2024</v>
      </c>
      <c r="E1245" t="n">
        <v>2021</v>
      </c>
      <c r="F1245" t="n">
        <v>2040</v>
      </c>
      <c r="G1245" t="n">
        <v>17796.3863</v>
      </c>
      <c r="H1245" t="inlineStr"/>
      <c r="I1245" t="inlineStr"/>
      <c r="J1245" t="n">
        <v>11557.1335</v>
      </c>
      <c r="K1245" t="n">
        <v>18295020.38</v>
      </c>
      <c r="L1245" t="n">
        <v>140143212.12</v>
      </c>
      <c r="M1245" t="n">
        <v>17796.3863</v>
      </c>
      <c r="N1245" t="inlineStr">
        <is>
          <t>Supplier Reported Emissions</t>
        </is>
      </c>
      <c r="O1245" t="b">
        <v>0</v>
      </c>
      <c r="P1245" t="inlineStr">
        <is>
          <t>High</t>
        </is>
      </c>
      <c r="Q1245" t="inlineStr">
        <is>
          <t>Scope_Emissions</t>
        </is>
      </c>
      <c r="R1245" t="inlineStr">
        <is>
          <t>Valid</t>
        </is>
      </c>
      <c r="S1245" t="n">
        <v>2036</v>
      </c>
      <c r="T1245" t="inlineStr">
        <is>
          <t>Supplier Target Pathway</t>
        </is>
      </c>
      <c r="U1245" t="n">
        <v>13707.4562</v>
      </c>
      <c r="V1245" t="n">
        <v>10154.4836</v>
      </c>
      <c r="W1245" t="n">
        <v>10902.4778</v>
      </c>
      <c r="X1245" t="n">
        <v>10902.4778</v>
      </c>
      <c r="Y1245" t="n">
        <v>2804.9784</v>
      </c>
      <c r="Z1245" t="n">
        <v>0.00059593</v>
      </c>
      <c r="AA1245" t="n">
        <v>0.204632</v>
      </c>
      <c r="AB1245" t="n">
        <v>747.9942</v>
      </c>
      <c r="AC1245" t="n">
        <v>186.9986</v>
      </c>
      <c r="AD1245" t="n">
        <v>19300.099</v>
      </c>
      <c r="AE1245" t="n">
        <v>143171.6386</v>
      </c>
      <c r="AF1245" t="n">
        <v>0.99</v>
      </c>
      <c r="AG1245" t="inlineStr">
        <is>
          <t>Medium</t>
        </is>
      </c>
      <c r="AH1245" t="inlineStr">
        <is>
          <t>On Track to Glide Path</t>
        </is>
      </c>
    </row>
    <row r="1246">
      <c r="A1246" t="inlineStr">
        <is>
          <t>SUP-0078</t>
        </is>
      </c>
      <c r="B1246" t="inlineStr">
        <is>
          <t>Metals Supplier 078</t>
        </is>
      </c>
      <c r="C1246" t="inlineStr">
        <is>
          <t>Metals</t>
        </is>
      </c>
      <c r="D1246" t="n">
        <v>2024</v>
      </c>
      <c r="E1246" t="n">
        <v>2021</v>
      </c>
      <c r="F1246" t="n">
        <v>2040</v>
      </c>
      <c r="G1246" t="n">
        <v>17796.3863</v>
      </c>
      <c r="H1246" t="inlineStr"/>
      <c r="I1246" t="inlineStr"/>
      <c r="J1246" t="n">
        <v>11557.1335</v>
      </c>
      <c r="K1246" t="n">
        <v>18295020.38</v>
      </c>
      <c r="L1246" t="n">
        <v>140143212.12</v>
      </c>
      <c r="M1246" t="n">
        <v>17796.3863</v>
      </c>
      <c r="N1246" t="inlineStr">
        <is>
          <t>Supplier Reported Emissions</t>
        </is>
      </c>
      <c r="O1246" t="b">
        <v>0</v>
      </c>
      <c r="P1246" t="inlineStr">
        <is>
          <t>High</t>
        </is>
      </c>
      <c r="Q1246" t="inlineStr">
        <is>
          <t>Scope_Emissions</t>
        </is>
      </c>
      <c r="R1246" t="inlineStr">
        <is>
          <t>Valid</t>
        </is>
      </c>
      <c r="S1246" t="n">
        <v>2037</v>
      </c>
      <c r="T1246" t="inlineStr">
        <is>
          <t>Supplier Target Pathway</t>
        </is>
      </c>
      <c r="U1246" t="n">
        <v>13707.4562</v>
      </c>
      <c r="V1246" t="n">
        <v>10154.4836</v>
      </c>
      <c r="W1246" t="n">
        <v>10715.4792</v>
      </c>
      <c r="X1246" t="n">
        <v>10715.4792</v>
      </c>
      <c r="Y1246" t="n">
        <v>2991.977</v>
      </c>
      <c r="Z1246" t="n">
        <v>0.0005857</v>
      </c>
      <c r="AA1246" t="n">
        <v>0.218274</v>
      </c>
      <c r="AB1246" t="n">
        <v>560.9957000000001</v>
      </c>
      <c r="AC1246" t="n">
        <v>186.9986</v>
      </c>
      <c r="AD1246" t="n">
        <v>8584.6198</v>
      </c>
      <c r="AE1246" t="n">
        <v>153887.1178</v>
      </c>
      <c r="AF1246" t="n">
        <v>0.99</v>
      </c>
      <c r="AG1246" t="inlineStr">
        <is>
          <t>Medium</t>
        </is>
      </c>
      <c r="AH1246" t="inlineStr">
        <is>
          <t>On Track to Glide Path</t>
        </is>
      </c>
    </row>
    <row r="1247">
      <c r="A1247" t="inlineStr">
        <is>
          <t>SUP-0078</t>
        </is>
      </c>
      <c r="B1247" t="inlineStr">
        <is>
          <t>Metals Supplier 078</t>
        </is>
      </c>
      <c r="C1247" t="inlineStr">
        <is>
          <t>Metals</t>
        </is>
      </c>
      <c r="D1247" t="n">
        <v>2024</v>
      </c>
      <c r="E1247" t="n">
        <v>2021</v>
      </c>
      <c r="F1247" t="n">
        <v>2040</v>
      </c>
      <c r="G1247" t="n">
        <v>17796.3863</v>
      </c>
      <c r="H1247" t="inlineStr"/>
      <c r="I1247" t="inlineStr"/>
      <c r="J1247" t="n">
        <v>11557.1335</v>
      </c>
      <c r="K1247" t="n">
        <v>18295020.38</v>
      </c>
      <c r="L1247" t="n">
        <v>140143212.12</v>
      </c>
      <c r="M1247" t="n">
        <v>17796.3863</v>
      </c>
      <c r="N1247" t="inlineStr">
        <is>
          <t>Supplier Reported Emissions</t>
        </is>
      </c>
      <c r="O1247" t="b">
        <v>0</v>
      </c>
      <c r="P1247" t="inlineStr">
        <is>
          <t>High</t>
        </is>
      </c>
      <c r="Q1247" t="inlineStr">
        <is>
          <t>Scope_Emissions</t>
        </is>
      </c>
      <c r="R1247" t="inlineStr">
        <is>
          <t>Valid</t>
        </is>
      </c>
      <c r="S1247" t="n">
        <v>2038</v>
      </c>
      <c r="T1247" t="inlineStr">
        <is>
          <t>Supplier Target Pathway</t>
        </is>
      </c>
      <c r="U1247" t="n">
        <v>13707.4562</v>
      </c>
      <c r="V1247" t="n">
        <v>10154.4836</v>
      </c>
      <c r="W1247" t="n">
        <v>10528.4807</v>
      </c>
      <c r="X1247" t="n">
        <v>10528.4807</v>
      </c>
      <c r="Y1247" t="n">
        <v>3178.9755</v>
      </c>
      <c r="Z1247" t="n">
        <v>0.00057548</v>
      </c>
      <c r="AA1247" t="n">
        <v>0.231916</v>
      </c>
      <c r="AB1247" t="n">
        <v>373.9971</v>
      </c>
      <c r="AC1247" t="n">
        <v>186.9986</v>
      </c>
      <c r="AD1247" t="n">
        <v>-1943.8609</v>
      </c>
      <c r="AE1247" t="n">
        <v>164415.5985</v>
      </c>
      <c r="AF1247" t="n">
        <v>0.99</v>
      </c>
      <c r="AG1247" t="inlineStr">
        <is>
          <t>Medium</t>
        </is>
      </c>
      <c r="AH1247" t="inlineStr">
        <is>
          <t>On Track to Glide Path</t>
        </is>
      </c>
    </row>
    <row r="1248">
      <c r="A1248" t="inlineStr">
        <is>
          <t>SUP-0078</t>
        </is>
      </c>
      <c r="B1248" t="inlineStr">
        <is>
          <t>Metals Supplier 078</t>
        </is>
      </c>
      <c r="C1248" t="inlineStr">
        <is>
          <t>Metals</t>
        </is>
      </c>
      <c r="D1248" t="n">
        <v>2024</v>
      </c>
      <c r="E1248" t="n">
        <v>2021</v>
      </c>
      <c r="F1248" t="n">
        <v>2040</v>
      </c>
      <c r="G1248" t="n">
        <v>17796.3863</v>
      </c>
      <c r="H1248" t="inlineStr"/>
      <c r="I1248" t="inlineStr"/>
      <c r="J1248" t="n">
        <v>11557.1335</v>
      </c>
      <c r="K1248" t="n">
        <v>18295020.38</v>
      </c>
      <c r="L1248" t="n">
        <v>140143212.12</v>
      </c>
      <c r="M1248" t="n">
        <v>17796.3863</v>
      </c>
      <c r="N1248" t="inlineStr">
        <is>
          <t>Supplier Reported Emissions</t>
        </is>
      </c>
      <c r="O1248" t="b">
        <v>0</v>
      </c>
      <c r="P1248" t="inlineStr">
        <is>
          <t>High</t>
        </is>
      </c>
      <c r="Q1248" t="inlineStr">
        <is>
          <t>Scope_Emissions</t>
        </is>
      </c>
      <c r="R1248" t="inlineStr">
        <is>
          <t>Valid</t>
        </is>
      </c>
      <c r="S1248" t="n">
        <v>2039</v>
      </c>
      <c r="T1248" t="inlineStr">
        <is>
          <t>Supplier Target Pathway</t>
        </is>
      </c>
      <c r="U1248" t="n">
        <v>13707.4562</v>
      </c>
      <c r="V1248" t="n">
        <v>10154.4836</v>
      </c>
      <c r="W1248" t="n">
        <v>10341.4821</v>
      </c>
      <c r="X1248" t="n">
        <v>10341.4821</v>
      </c>
      <c r="Y1248" t="n">
        <v>3365.9741</v>
      </c>
      <c r="Z1248" t="n">
        <v>0.00056526</v>
      </c>
      <c r="AA1248" t="n">
        <v>0.245558</v>
      </c>
      <c r="AB1248" t="n">
        <v>186.9986</v>
      </c>
      <c r="AC1248" t="n">
        <v>186.9986</v>
      </c>
      <c r="AD1248" t="n">
        <v>-12285.343</v>
      </c>
      <c r="AE1248" t="n">
        <v>174757.0806</v>
      </c>
      <c r="AF1248" t="n">
        <v>0.99</v>
      </c>
      <c r="AG1248" t="inlineStr">
        <is>
          <t>Medium</t>
        </is>
      </c>
      <c r="AH1248" t="inlineStr">
        <is>
          <t>On Track to Glide Path</t>
        </is>
      </c>
    </row>
    <row r="1249">
      <c r="A1249" t="inlineStr">
        <is>
          <t>SUP-0078</t>
        </is>
      </c>
      <c r="B1249" t="inlineStr">
        <is>
          <t>Metals Supplier 078</t>
        </is>
      </c>
      <c r="C1249" t="inlineStr">
        <is>
          <t>Metals</t>
        </is>
      </c>
      <c r="D1249" t="n">
        <v>2024</v>
      </c>
      <c r="E1249" t="n">
        <v>2021</v>
      </c>
      <c r="F1249" t="n">
        <v>2040</v>
      </c>
      <c r="G1249" t="n">
        <v>17796.3863</v>
      </c>
      <c r="H1249" t="inlineStr"/>
      <c r="I1249" t="inlineStr"/>
      <c r="J1249" t="n">
        <v>11557.1335</v>
      </c>
      <c r="K1249" t="n">
        <v>18295020.38</v>
      </c>
      <c r="L1249" t="n">
        <v>140143212.12</v>
      </c>
      <c r="M1249" t="n">
        <v>17796.3863</v>
      </c>
      <c r="N1249" t="inlineStr">
        <is>
          <t>Supplier Reported Emissions</t>
        </is>
      </c>
      <c r="O1249" t="b">
        <v>0</v>
      </c>
      <c r="P1249" t="inlineStr">
        <is>
          <t>High</t>
        </is>
      </c>
      <c r="Q1249" t="inlineStr">
        <is>
          <t>Scope_Emissions</t>
        </is>
      </c>
      <c r="R1249" t="inlineStr">
        <is>
          <t>Valid</t>
        </is>
      </c>
      <c r="S1249" t="n">
        <v>2040</v>
      </c>
      <c r="T1249" t="inlineStr">
        <is>
          <t>Supplier Target Pathway</t>
        </is>
      </c>
      <c r="U1249" t="n">
        <v>13707.4562</v>
      </c>
      <c r="V1249" t="n">
        <v>10154.4836</v>
      </c>
      <c r="W1249" t="n">
        <v>10154.4836</v>
      </c>
      <c r="X1249" t="n">
        <v>10154.4836</v>
      </c>
      <c r="Y1249" t="n">
        <v>3552.9726</v>
      </c>
      <c r="Z1249" t="n">
        <v>0.00055504</v>
      </c>
      <c r="AA1249" t="n">
        <v>0.2592</v>
      </c>
      <c r="AB1249" t="n">
        <v>0</v>
      </c>
      <c r="AC1249" t="n">
        <v>186.9986</v>
      </c>
      <c r="AD1249" t="n">
        <v>-22439.8266</v>
      </c>
      <c r="AE1249" t="n">
        <v>184911.5642</v>
      </c>
      <c r="AF1249" t="n">
        <v>0.99</v>
      </c>
      <c r="AG1249" t="inlineStr">
        <is>
          <t>Low</t>
        </is>
      </c>
      <c r="AH1249" t="inlineStr">
        <is>
          <t>On Track</t>
        </is>
      </c>
    </row>
    <row r="1250">
      <c r="A1250" t="inlineStr">
        <is>
          <t>SUP-0079</t>
        </is>
      </c>
      <c r="B1250" t="inlineStr">
        <is>
          <t>Logistics Supplier 079</t>
        </is>
      </c>
      <c r="C1250" t="inlineStr">
        <is>
          <t>Logistics</t>
        </is>
      </c>
      <c r="D1250" t="n">
        <v>2024</v>
      </c>
      <c r="E1250" t="n">
        <v>2015</v>
      </c>
      <c r="F1250" t="n">
        <v>2040</v>
      </c>
      <c r="G1250" t="n">
        <v>2155.0259</v>
      </c>
      <c r="H1250" t="n">
        <v>365.4405</v>
      </c>
      <c r="I1250" t="inlineStr"/>
      <c r="J1250" t="inlineStr"/>
      <c r="K1250" t="n">
        <v>8849317.130000001</v>
      </c>
      <c r="L1250" t="n">
        <v>68063579.62</v>
      </c>
      <c r="M1250" t="n">
        <v>2155.0259</v>
      </c>
      <c r="N1250" t="inlineStr">
        <is>
          <t>Supplier Reported Emissions</t>
        </is>
      </c>
      <c r="O1250" t="b">
        <v>0</v>
      </c>
      <c r="P1250" t="inlineStr">
        <is>
          <t>High</t>
        </is>
      </c>
      <c r="Q1250" t="inlineStr">
        <is>
          <t>Scope_Emissions</t>
        </is>
      </c>
      <c r="R1250" t="inlineStr">
        <is>
          <t>Valid</t>
        </is>
      </c>
      <c r="S1250" t="n">
        <v>2025</v>
      </c>
      <c r="T1250" t="inlineStr">
        <is>
          <t>Industry Haircut Pathway</t>
        </is>
      </c>
      <c r="U1250" t="n">
        <v>1305.5313</v>
      </c>
      <c r="V1250" t="n">
        <v>702.8981</v>
      </c>
      <c r="W1250" t="n">
        <v>1064.478</v>
      </c>
      <c r="X1250" t="n">
        <v>1064.478</v>
      </c>
      <c r="Y1250" t="n">
        <v>241.0533</v>
      </c>
      <c r="Z1250" t="n">
        <v>0.00012029</v>
      </c>
      <c r="AA1250" t="n">
        <v>0.18464</v>
      </c>
      <c r="AB1250" t="n">
        <v>361.5799</v>
      </c>
      <c r="AC1250" t="n">
        <v>24.1053</v>
      </c>
      <c r="AD1250" t="n">
        <v>10181.8916</v>
      </c>
      <c r="AE1250" t="n">
        <v>1064.478</v>
      </c>
      <c r="AF1250" t="n">
        <v>0.918</v>
      </c>
      <c r="AG1250" t="inlineStr">
        <is>
          <t>Critical</t>
        </is>
      </c>
      <c r="AH1250" t="inlineStr">
        <is>
          <t>On Track to Glide Path</t>
        </is>
      </c>
    </row>
    <row r="1251">
      <c r="A1251" t="inlineStr">
        <is>
          <t>SUP-0079</t>
        </is>
      </c>
      <c r="B1251" t="inlineStr">
        <is>
          <t>Logistics Supplier 079</t>
        </is>
      </c>
      <c r="C1251" t="inlineStr">
        <is>
          <t>Logistics</t>
        </is>
      </c>
      <c r="D1251" t="n">
        <v>2024</v>
      </c>
      <c r="E1251" t="n">
        <v>2015</v>
      </c>
      <c r="F1251" t="n">
        <v>2040</v>
      </c>
      <c r="G1251" t="n">
        <v>2155.0259</v>
      </c>
      <c r="H1251" t="n">
        <v>365.4405</v>
      </c>
      <c r="I1251" t="inlineStr"/>
      <c r="J1251" t="inlineStr"/>
      <c r="K1251" t="n">
        <v>8849317.130000001</v>
      </c>
      <c r="L1251" t="n">
        <v>68063579.62</v>
      </c>
      <c r="M1251" t="n">
        <v>2155.0259</v>
      </c>
      <c r="N1251" t="inlineStr">
        <is>
          <t>Supplier Reported Emissions</t>
        </is>
      </c>
      <c r="O1251" t="b">
        <v>0</v>
      </c>
      <c r="P1251" t="inlineStr">
        <is>
          <t>High</t>
        </is>
      </c>
      <c r="Q1251" t="inlineStr">
        <is>
          <t>Scope_Emissions</t>
        </is>
      </c>
      <c r="R1251" t="inlineStr">
        <is>
          <t>Valid</t>
        </is>
      </c>
      <c r="S1251" t="n">
        <v>2026</v>
      </c>
      <c r="T1251" t="inlineStr">
        <is>
          <t>Industry Haircut Pathway</t>
        </is>
      </c>
      <c r="U1251" t="n">
        <v>1305.5313</v>
      </c>
      <c r="V1251" t="n">
        <v>702.8981</v>
      </c>
      <c r="W1251" t="n">
        <v>1040.3727</v>
      </c>
      <c r="X1251" t="n">
        <v>1040.3727</v>
      </c>
      <c r="Y1251" t="n">
        <v>265.1586</v>
      </c>
      <c r="Z1251" t="n">
        <v>0.00011757</v>
      </c>
      <c r="AA1251" t="n">
        <v>0.203104</v>
      </c>
      <c r="AB1251" t="n">
        <v>337.4746</v>
      </c>
      <c r="AC1251" t="n">
        <v>24.1053</v>
      </c>
      <c r="AD1251" t="n">
        <v>9141.518899999999</v>
      </c>
      <c r="AE1251" t="n">
        <v>2104.8507</v>
      </c>
      <c r="AF1251" t="n">
        <v>0.918</v>
      </c>
      <c r="AG1251" t="inlineStr">
        <is>
          <t>Critical</t>
        </is>
      </c>
      <c r="AH1251" t="inlineStr">
        <is>
          <t>On Track to Glide Path</t>
        </is>
      </c>
    </row>
    <row r="1252">
      <c r="A1252" t="inlineStr">
        <is>
          <t>SUP-0079</t>
        </is>
      </c>
      <c r="B1252" t="inlineStr">
        <is>
          <t>Logistics Supplier 079</t>
        </is>
      </c>
      <c r="C1252" t="inlineStr">
        <is>
          <t>Logistics</t>
        </is>
      </c>
      <c r="D1252" t="n">
        <v>2024</v>
      </c>
      <c r="E1252" t="n">
        <v>2015</v>
      </c>
      <c r="F1252" t="n">
        <v>2040</v>
      </c>
      <c r="G1252" t="n">
        <v>2155.0259</v>
      </c>
      <c r="H1252" t="n">
        <v>365.4405</v>
      </c>
      <c r="I1252" t="inlineStr"/>
      <c r="J1252" t="inlineStr"/>
      <c r="K1252" t="n">
        <v>8849317.130000001</v>
      </c>
      <c r="L1252" t="n">
        <v>68063579.62</v>
      </c>
      <c r="M1252" t="n">
        <v>2155.0259</v>
      </c>
      <c r="N1252" t="inlineStr">
        <is>
          <t>Supplier Reported Emissions</t>
        </is>
      </c>
      <c r="O1252" t="b">
        <v>0</v>
      </c>
      <c r="P1252" t="inlineStr">
        <is>
          <t>High</t>
        </is>
      </c>
      <c r="Q1252" t="inlineStr">
        <is>
          <t>Scope_Emissions</t>
        </is>
      </c>
      <c r="R1252" t="inlineStr">
        <is>
          <t>Valid</t>
        </is>
      </c>
      <c r="S1252" t="n">
        <v>2027</v>
      </c>
      <c r="T1252" t="inlineStr">
        <is>
          <t>Industry Haircut Pathway</t>
        </is>
      </c>
      <c r="U1252" t="n">
        <v>1305.5313</v>
      </c>
      <c r="V1252" t="n">
        <v>702.8981</v>
      </c>
      <c r="W1252" t="n">
        <v>1016.2673</v>
      </c>
      <c r="X1252" t="n">
        <v>1016.2673</v>
      </c>
      <c r="Y1252" t="n">
        <v>289.264</v>
      </c>
      <c r="Z1252" t="n">
        <v>0.00011484</v>
      </c>
      <c r="AA1252" t="n">
        <v>0.221568</v>
      </c>
      <c r="AB1252" t="n">
        <v>313.3693</v>
      </c>
      <c r="AC1252" t="n">
        <v>24.1053</v>
      </c>
      <c r="AD1252" t="n">
        <v>8125.2516</v>
      </c>
      <c r="AE1252" t="n">
        <v>3121.118</v>
      </c>
      <c r="AF1252" t="n">
        <v>0.918</v>
      </c>
      <c r="AG1252" t="inlineStr">
        <is>
          <t>Critical</t>
        </is>
      </c>
      <c r="AH1252" t="inlineStr">
        <is>
          <t>On Track to Glide Path</t>
        </is>
      </c>
    </row>
    <row r="1253">
      <c r="A1253" t="inlineStr">
        <is>
          <t>SUP-0079</t>
        </is>
      </c>
      <c r="B1253" t="inlineStr">
        <is>
          <t>Logistics Supplier 079</t>
        </is>
      </c>
      <c r="C1253" t="inlineStr">
        <is>
          <t>Logistics</t>
        </is>
      </c>
      <c r="D1253" t="n">
        <v>2024</v>
      </c>
      <c r="E1253" t="n">
        <v>2015</v>
      </c>
      <c r="F1253" t="n">
        <v>2040</v>
      </c>
      <c r="G1253" t="n">
        <v>2155.0259</v>
      </c>
      <c r="H1253" t="n">
        <v>365.4405</v>
      </c>
      <c r="I1253" t="inlineStr"/>
      <c r="J1253" t="inlineStr"/>
      <c r="K1253" t="n">
        <v>8849317.130000001</v>
      </c>
      <c r="L1253" t="n">
        <v>68063579.62</v>
      </c>
      <c r="M1253" t="n">
        <v>2155.0259</v>
      </c>
      <c r="N1253" t="inlineStr">
        <is>
          <t>Supplier Reported Emissions</t>
        </is>
      </c>
      <c r="O1253" t="b">
        <v>0</v>
      </c>
      <c r="P1253" t="inlineStr">
        <is>
          <t>High</t>
        </is>
      </c>
      <c r="Q1253" t="inlineStr">
        <is>
          <t>Scope_Emissions</t>
        </is>
      </c>
      <c r="R1253" t="inlineStr">
        <is>
          <t>Valid</t>
        </is>
      </c>
      <c r="S1253" t="n">
        <v>2028</v>
      </c>
      <c r="T1253" t="inlineStr">
        <is>
          <t>Industry Haircut Pathway</t>
        </is>
      </c>
      <c r="U1253" t="n">
        <v>1305.5313</v>
      </c>
      <c r="V1253" t="n">
        <v>702.8981</v>
      </c>
      <c r="W1253" t="n">
        <v>992.162</v>
      </c>
      <c r="X1253" t="n">
        <v>992.162</v>
      </c>
      <c r="Y1253" t="n">
        <v>313.3693</v>
      </c>
      <c r="Z1253" t="n">
        <v>0.00011212</v>
      </c>
      <c r="AA1253" t="n">
        <v>0.240032</v>
      </c>
      <c r="AB1253" t="n">
        <v>289.264</v>
      </c>
      <c r="AC1253" t="n">
        <v>24.1053</v>
      </c>
      <c r="AD1253" t="n">
        <v>7133.0896</v>
      </c>
      <c r="AE1253" t="n">
        <v>4113.28</v>
      </c>
      <c r="AF1253" t="n">
        <v>0.918</v>
      </c>
      <c r="AG1253" t="inlineStr">
        <is>
          <t>Critical</t>
        </is>
      </c>
      <c r="AH1253" t="inlineStr">
        <is>
          <t>On Track to Glide Path</t>
        </is>
      </c>
    </row>
    <row r="1254">
      <c r="A1254" t="inlineStr">
        <is>
          <t>SUP-0079</t>
        </is>
      </c>
      <c r="B1254" t="inlineStr">
        <is>
          <t>Logistics Supplier 079</t>
        </is>
      </c>
      <c r="C1254" t="inlineStr">
        <is>
          <t>Logistics</t>
        </is>
      </c>
      <c r="D1254" t="n">
        <v>2024</v>
      </c>
      <c r="E1254" t="n">
        <v>2015</v>
      </c>
      <c r="F1254" t="n">
        <v>2040</v>
      </c>
      <c r="G1254" t="n">
        <v>2155.0259</v>
      </c>
      <c r="H1254" t="n">
        <v>365.4405</v>
      </c>
      <c r="I1254" t="inlineStr"/>
      <c r="J1254" t="inlineStr"/>
      <c r="K1254" t="n">
        <v>8849317.130000001</v>
      </c>
      <c r="L1254" t="n">
        <v>68063579.62</v>
      </c>
      <c r="M1254" t="n">
        <v>2155.0259</v>
      </c>
      <c r="N1254" t="inlineStr">
        <is>
          <t>Supplier Reported Emissions</t>
        </is>
      </c>
      <c r="O1254" t="b">
        <v>0</v>
      </c>
      <c r="P1254" t="inlineStr">
        <is>
          <t>High</t>
        </is>
      </c>
      <c r="Q1254" t="inlineStr">
        <is>
          <t>Scope_Emissions</t>
        </is>
      </c>
      <c r="R1254" t="inlineStr">
        <is>
          <t>Valid</t>
        </is>
      </c>
      <c r="S1254" t="n">
        <v>2029</v>
      </c>
      <c r="T1254" t="inlineStr">
        <is>
          <t>Industry Haircut Pathway</t>
        </is>
      </c>
      <c r="U1254" t="n">
        <v>1305.5313</v>
      </c>
      <c r="V1254" t="n">
        <v>702.8981</v>
      </c>
      <c r="W1254" t="n">
        <v>968.0567</v>
      </c>
      <c r="X1254" t="n">
        <v>968.0567</v>
      </c>
      <c r="Y1254" t="n">
        <v>337.4746</v>
      </c>
      <c r="Z1254" t="n">
        <v>0.00010939</v>
      </c>
      <c r="AA1254" t="n">
        <v>0.258496</v>
      </c>
      <c r="AB1254" t="n">
        <v>265.1586</v>
      </c>
      <c r="AC1254" t="n">
        <v>24.1053</v>
      </c>
      <c r="AD1254" t="n">
        <v>6165.0329</v>
      </c>
      <c r="AE1254" t="n">
        <v>5081.3367</v>
      </c>
      <c r="AF1254" t="n">
        <v>0.918</v>
      </c>
      <c r="AG1254" t="inlineStr">
        <is>
          <t>Critical</t>
        </is>
      </c>
      <c r="AH1254" t="inlineStr">
        <is>
          <t>On Track to Glide Path</t>
        </is>
      </c>
    </row>
    <row r="1255">
      <c r="A1255" t="inlineStr">
        <is>
          <t>SUP-0079</t>
        </is>
      </c>
      <c r="B1255" t="inlineStr">
        <is>
          <t>Logistics Supplier 079</t>
        </is>
      </c>
      <c r="C1255" t="inlineStr">
        <is>
          <t>Logistics</t>
        </is>
      </c>
      <c r="D1255" t="n">
        <v>2024</v>
      </c>
      <c r="E1255" t="n">
        <v>2015</v>
      </c>
      <c r="F1255" t="n">
        <v>2040</v>
      </c>
      <c r="G1255" t="n">
        <v>2155.0259</v>
      </c>
      <c r="H1255" t="n">
        <v>365.4405</v>
      </c>
      <c r="I1255" t="inlineStr"/>
      <c r="J1255" t="inlineStr"/>
      <c r="K1255" t="n">
        <v>8849317.130000001</v>
      </c>
      <c r="L1255" t="n">
        <v>68063579.62</v>
      </c>
      <c r="M1255" t="n">
        <v>2155.0259</v>
      </c>
      <c r="N1255" t="inlineStr">
        <is>
          <t>Supplier Reported Emissions</t>
        </is>
      </c>
      <c r="O1255" t="b">
        <v>0</v>
      </c>
      <c r="P1255" t="inlineStr">
        <is>
          <t>High</t>
        </is>
      </c>
      <c r="Q1255" t="inlineStr">
        <is>
          <t>Scope_Emissions</t>
        </is>
      </c>
      <c r="R1255" t="inlineStr">
        <is>
          <t>Valid</t>
        </is>
      </c>
      <c r="S1255" t="n">
        <v>2030</v>
      </c>
      <c r="T1255" t="inlineStr">
        <is>
          <t>Industry Haircut Pathway</t>
        </is>
      </c>
      <c r="U1255" t="n">
        <v>1305.5313</v>
      </c>
      <c r="V1255" t="n">
        <v>702.8981</v>
      </c>
      <c r="W1255" t="n">
        <v>943.9514</v>
      </c>
      <c r="X1255" t="n">
        <v>943.9514</v>
      </c>
      <c r="Y1255" t="n">
        <v>361.5799</v>
      </c>
      <c r="Z1255" t="n">
        <v>0.00010667</v>
      </c>
      <c r="AA1255" t="n">
        <v>0.27696</v>
      </c>
      <c r="AB1255" t="n">
        <v>241.0533</v>
      </c>
      <c r="AC1255" t="n">
        <v>24.1053</v>
      </c>
      <c r="AD1255" t="n">
        <v>5221.0815</v>
      </c>
      <c r="AE1255" t="n">
        <v>6025.2881</v>
      </c>
      <c r="AF1255" t="n">
        <v>0.918</v>
      </c>
      <c r="AG1255" t="inlineStr">
        <is>
          <t>High</t>
        </is>
      </c>
      <c r="AH1255" t="inlineStr">
        <is>
          <t>On Track to Glide Path</t>
        </is>
      </c>
    </row>
    <row r="1256">
      <c r="A1256" t="inlineStr">
        <is>
          <t>SUP-0079</t>
        </is>
      </c>
      <c r="B1256" t="inlineStr">
        <is>
          <t>Logistics Supplier 079</t>
        </is>
      </c>
      <c r="C1256" t="inlineStr">
        <is>
          <t>Logistics</t>
        </is>
      </c>
      <c r="D1256" t="n">
        <v>2024</v>
      </c>
      <c r="E1256" t="n">
        <v>2015</v>
      </c>
      <c r="F1256" t="n">
        <v>2040</v>
      </c>
      <c r="G1256" t="n">
        <v>2155.0259</v>
      </c>
      <c r="H1256" t="n">
        <v>365.4405</v>
      </c>
      <c r="I1256" t="inlineStr"/>
      <c r="J1256" t="inlineStr"/>
      <c r="K1256" t="n">
        <v>8849317.130000001</v>
      </c>
      <c r="L1256" t="n">
        <v>68063579.62</v>
      </c>
      <c r="M1256" t="n">
        <v>2155.0259</v>
      </c>
      <c r="N1256" t="inlineStr">
        <is>
          <t>Supplier Reported Emissions</t>
        </is>
      </c>
      <c r="O1256" t="b">
        <v>0</v>
      </c>
      <c r="P1256" t="inlineStr">
        <is>
          <t>High</t>
        </is>
      </c>
      <c r="Q1256" t="inlineStr">
        <is>
          <t>Scope_Emissions</t>
        </is>
      </c>
      <c r="R1256" t="inlineStr">
        <is>
          <t>Valid</t>
        </is>
      </c>
      <c r="S1256" t="n">
        <v>2031</v>
      </c>
      <c r="T1256" t="inlineStr">
        <is>
          <t>Industry Haircut Pathway</t>
        </is>
      </c>
      <c r="U1256" t="n">
        <v>1305.5313</v>
      </c>
      <c r="V1256" t="n">
        <v>702.8981</v>
      </c>
      <c r="W1256" t="n">
        <v>919.846</v>
      </c>
      <c r="X1256" t="n">
        <v>919.846</v>
      </c>
      <c r="Y1256" t="n">
        <v>385.6853</v>
      </c>
      <c r="Z1256" t="n">
        <v>0.00010395</v>
      </c>
      <c r="AA1256" t="n">
        <v>0.295424</v>
      </c>
      <c r="AB1256" t="n">
        <v>216.948</v>
      </c>
      <c r="AC1256" t="n">
        <v>24.1053</v>
      </c>
      <c r="AD1256" t="n">
        <v>4301.2355</v>
      </c>
      <c r="AE1256" t="n">
        <v>6945.1341</v>
      </c>
      <c r="AF1256" t="n">
        <v>0.918</v>
      </c>
      <c r="AG1256" t="inlineStr">
        <is>
          <t>High</t>
        </is>
      </c>
      <c r="AH1256" t="inlineStr">
        <is>
          <t>On Track to Glide Path</t>
        </is>
      </c>
    </row>
    <row r="1257">
      <c r="A1257" t="inlineStr">
        <is>
          <t>SUP-0079</t>
        </is>
      </c>
      <c r="B1257" t="inlineStr">
        <is>
          <t>Logistics Supplier 079</t>
        </is>
      </c>
      <c r="C1257" t="inlineStr">
        <is>
          <t>Logistics</t>
        </is>
      </c>
      <c r="D1257" t="n">
        <v>2024</v>
      </c>
      <c r="E1257" t="n">
        <v>2015</v>
      </c>
      <c r="F1257" t="n">
        <v>2040</v>
      </c>
      <c r="G1257" t="n">
        <v>2155.0259</v>
      </c>
      <c r="H1257" t="n">
        <v>365.4405</v>
      </c>
      <c r="I1257" t="inlineStr"/>
      <c r="J1257" t="inlineStr"/>
      <c r="K1257" t="n">
        <v>8849317.130000001</v>
      </c>
      <c r="L1257" t="n">
        <v>68063579.62</v>
      </c>
      <c r="M1257" t="n">
        <v>2155.0259</v>
      </c>
      <c r="N1257" t="inlineStr">
        <is>
          <t>Supplier Reported Emissions</t>
        </is>
      </c>
      <c r="O1257" t="b">
        <v>0</v>
      </c>
      <c r="P1257" t="inlineStr">
        <is>
          <t>High</t>
        </is>
      </c>
      <c r="Q1257" t="inlineStr">
        <is>
          <t>Scope_Emissions</t>
        </is>
      </c>
      <c r="R1257" t="inlineStr">
        <is>
          <t>Valid</t>
        </is>
      </c>
      <c r="S1257" t="n">
        <v>2032</v>
      </c>
      <c r="T1257" t="inlineStr">
        <is>
          <t>Industry Haircut Pathway</t>
        </is>
      </c>
      <c r="U1257" t="n">
        <v>1305.5313</v>
      </c>
      <c r="V1257" t="n">
        <v>702.8981</v>
      </c>
      <c r="W1257" t="n">
        <v>895.7406999999999</v>
      </c>
      <c r="X1257" t="n">
        <v>895.7406999999999</v>
      </c>
      <c r="Y1257" t="n">
        <v>409.7906</v>
      </c>
      <c r="Z1257" t="n">
        <v>0.00010122</v>
      </c>
      <c r="AA1257" t="n">
        <v>0.313888</v>
      </c>
      <c r="AB1257" t="n">
        <v>192.8426</v>
      </c>
      <c r="AC1257" t="n">
        <v>24.1053</v>
      </c>
      <c r="AD1257" t="n">
        <v>3405.4948</v>
      </c>
      <c r="AE1257" t="n">
        <v>7840.8748</v>
      </c>
      <c r="AF1257" t="n">
        <v>0.918</v>
      </c>
      <c r="AG1257" t="inlineStr">
        <is>
          <t>High</t>
        </is>
      </c>
      <c r="AH1257" t="inlineStr">
        <is>
          <t>On Track to Glide Path</t>
        </is>
      </c>
    </row>
    <row r="1258">
      <c r="A1258" t="inlineStr">
        <is>
          <t>SUP-0079</t>
        </is>
      </c>
      <c r="B1258" t="inlineStr">
        <is>
          <t>Logistics Supplier 079</t>
        </is>
      </c>
      <c r="C1258" t="inlineStr">
        <is>
          <t>Logistics</t>
        </is>
      </c>
      <c r="D1258" t="n">
        <v>2024</v>
      </c>
      <c r="E1258" t="n">
        <v>2015</v>
      </c>
      <c r="F1258" t="n">
        <v>2040</v>
      </c>
      <c r="G1258" t="n">
        <v>2155.0259</v>
      </c>
      <c r="H1258" t="n">
        <v>365.4405</v>
      </c>
      <c r="I1258" t="inlineStr"/>
      <c r="J1258" t="inlineStr"/>
      <c r="K1258" t="n">
        <v>8849317.130000001</v>
      </c>
      <c r="L1258" t="n">
        <v>68063579.62</v>
      </c>
      <c r="M1258" t="n">
        <v>2155.0259</v>
      </c>
      <c r="N1258" t="inlineStr">
        <is>
          <t>Supplier Reported Emissions</t>
        </is>
      </c>
      <c r="O1258" t="b">
        <v>0</v>
      </c>
      <c r="P1258" t="inlineStr">
        <is>
          <t>High</t>
        </is>
      </c>
      <c r="Q1258" t="inlineStr">
        <is>
          <t>Scope_Emissions</t>
        </is>
      </c>
      <c r="R1258" t="inlineStr">
        <is>
          <t>Valid</t>
        </is>
      </c>
      <c r="S1258" t="n">
        <v>2033</v>
      </c>
      <c r="T1258" t="inlineStr">
        <is>
          <t>Industry Haircut Pathway</t>
        </is>
      </c>
      <c r="U1258" t="n">
        <v>1305.5313</v>
      </c>
      <c r="V1258" t="n">
        <v>702.8981</v>
      </c>
      <c r="W1258" t="n">
        <v>871.6354</v>
      </c>
      <c r="X1258" t="n">
        <v>871.6354</v>
      </c>
      <c r="Y1258" t="n">
        <v>433.8959</v>
      </c>
      <c r="Z1258" t="n">
        <v>9.85e-05</v>
      </c>
      <c r="AA1258" t="n">
        <v>0.332352</v>
      </c>
      <c r="AB1258" t="n">
        <v>168.7373</v>
      </c>
      <c r="AC1258" t="n">
        <v>24.1053</v>
      </c>
      <c r="AD1258" t="n">
        <v>2533.8594</v>
      </c>
      <c r="AE1258" t="n">
        <v>8712.510200000001</v>
      </c>
      <c r="AF1258" t="n">
        <v>0.918</v>
      </c>
      <c r="AG1258" t="inlineStr">
        <is>
          <t>High</t>
        </is>
      </c>
      <c r="AH1258" t="inlineStr">
        <is>
          <t>On Track to Glide Path</t>
        </is>
      </c>
    </row>
    <row r="1259">
      <c r="A1259" t="inlineStr">
        <is>
          <t>SUP-0079</t>
        </is>
      </c>
      <c r="B1259" t="inlineStr">
        <is>
          <t>Logistics Supplier 079</t>
        </is>
      </c>
      <c r="C1259" t="inlineStr">
        <is>
          <t>Logistics</t>
        </is>
      </c>
      <c r="D1259" t="n">
        <v>2024</v>
      </c>
      <c r="E1259" t="n">
        <v>2015</v>
      </c>
      <c r="F1259" t="n">
        <v>2040</v>
      </c>
      <c r="G1259" t="n">
        <v>2155.0259</v>
      </c>
      <c r="H1259" t="n">
        <v>365.4405</v>
      </c>
      <c r="I1259" t="inlineStr"/>
      <c r="J1259" t="inlineStr"/>
      <c r="K1259" t="n">
        <v>8849317.130000001</v>
      </c>
      <c r="L1259" t="n">
        <v>68063579.62</v>
      </c>
      <c r="M1259" t="n">
        <v>2155.0259</v>
      </c>
      <c r="N1259" t="inlineStr">
        <is>
          <t>Supplier Reported Emissions</t>
        </is>
      </c>
      <c r="O1259" t="b">
        <v>0</v>
      </c>
      <c r="P1259" t="inlineStr">
        <is>
          <t>High</t>
        </is>
      </c>
      <c r="Q1259" t="inlineStr">
        <is>
          <t>Scope_Emissions</t>
        </is>
      </c>
      <c r="R1259" t="inlineStr">
        <is>
          <t>Valid</t>
        </is>
      </c>
      <c r="S1259" t="n">
        <v>2034</v>
      </c>
      <c r="T1259" t="inlineStr">
        <is>
          <t>Industry Haircut Pathway</t>
        </is>
      </c>
      <c r="U1259" t="n">
        <v>1305.5313</v>
      </c>
      <c r="V1259" t="n">
        <v>702.8981</v>
      </c>
      <c r="W1259" t="n">
        <v>847.53</v>
      </c>
      <c r="X1259" t="n">
        <v>847.53</v>
      </c>
      <c r="Y1259" t="n">
        <v>458.0013</v>
      </c>
      <c r="Z1259" t="n">
        <v>9.577e-05</v>
      </c>
      <c r="AA1259" t="n">
        <v>0.350816</v>
      </c>
      <c r="AB1259" t="n">
        <v>144.632</v>
      </c>
      <c r="AC1259" t="n">
        <v>24.1053</v>
      </c>
      <c r="AD1259" t="n">
        <v>1686.3294</v>
      </c>
      <c r="AE1259" t="n">
        <v>9560.040199999999</v>
      </c>
      <c r="AF1259" t="n">
        <v>0.918</v>
      </c>
      <c r="AG1259" t="inlineStr">
        <is>
          <t>High</t>
        </is>
      </c>
      <c r="AH1259" t="inlineStr">
        <is>
          <t>On Track to Glide Path</t>
        </is>
      </c>
    </row>
    <row r="1260">
      <c r="A1260" t="inlineStr">
        <is>
          <t>SUP-0079</t>
        </is>
      </c>
      <c r="B1260" t="inlineStr">
        <is>
          <t>Logistics Supplier 079</t>
        </is>
      </c>
      <c r="C1260" t="inlineStr">
        <is>
          <t>Logistics</t>
        </is>
      </c>
      <c r="D1260" t="n">
        <v>2024</v>
      </c>
      <c r="E1260" t="n">
        <v>2015</v>
      </c>
      <c r="F1260" t="n">
        <v>2040</v>
      </c>
      <c r="G1260" t="n">
        <v>2155.0259</v>
      </c>
      <c r="H1260" t="n">
        <v>365.4405</v>
      </c>
      <c r="I1260" t="inlineStr"/>
      <c r="J1260" t="inlineStr"/>
      <c r="K1260" t="n">
        <v>8849317.130000001</v>
      </c>
      <c r="L1260" t="n">
        <v>68063579.62</v>
      </c>
      <c r="M1260" t="n">
        <v>2155.0259</v>
      </c>
      <c r="N1260" t="inlineStr">
        <is>
          <t>Supplier Reported Emissions</t>
        </is>
      </c>
      <c r="O1260" t="b">
        <v>0</v>
      </c>
      <c r="P1260" t="inlineStr">
        <is>
          <t>High</t>
        </is>
      </c>
      <c r="Q1260" t="inlineStr">
        <is>
          <t>Scope_Emissions</t>
        </is>
      </c>
      <c r="R1260" t="inlineStr">
        <is>
          <t>Valid</t>
        </is>
      </c>
      <c r="S1260" t="n">
        <v>2035</v>
      </c>
      <c r="T1260" t="inlineStr">
        <is>
          <t>Industry Haircut Pathway</t>
        </is>
      </c>
      <c r="U1260" t="n">
        <v>1305.5313</v>
      </c>
      <c r="V1260" t="n">
        <v>702.8981</v>
      </c>
      <c r="W1260" t="n">
        <v>823.4247</v>
      </c>
      <c r="X1260" t="n">
        <v>823.4247</v>
      </c>
      <c r="Y1260" t="n">
        <v>482.1066</v>
      </c>
      <c r="Z1260" t="n">
        <v>9.305e-05</v>
      </c>
      <c r="AA1260" t="n">
        <v>0.36928</v>
      </c>
      <c r="AB1260" t="n">
        <v>120.5266</v>
      </c>
      <c r="AC1260" t="n">
        <v>24.1053</v>
      </c>
      <c r="AD1260" t="n">
        <v>862.9047</v>
      </c>
      <c r="AE1260" t="n">
        <v>10383.4649</v>
      </c>
      <c r="AF1260" t="n">
        <v>0.918</v>
      </c>
      <c r="AG1260" t="inlineStr">
        <is>
          <t>High</t>
        </is>
      </c>
      <c r="AH1260" t="inlineStr">
        <is>
          <t>On Track to Glide Path</t>
        </is>
      </c>
    </row>
    <row r="1261">
      <c r="A1261" t="inlineStr">
        <is>
          <t>SUP-0079</t>
        </is>
      </c>
      <c r="B1261" t="inlineStr">
        <is>
          <t>Logistics Supplier 079</t>
        </is>
      </c>
      <c r="C1261" t="inlineStr">
        <is>
          <t>Logistics</t>
        </is>
      </c>
      <c r="D1261" t="n">
        <v>2024</v>
      </c>
      <c r="E1261" t="n">
        <v>2015</v>
      </c>
      <c r="F1261" t="n">
        <v>2040</v>
      </c>
      <c r="G1261" t="n">
        <v>2155.0259</v>
      </c>
      <c r="H1261" t="n">
        <v>365.4405</v>
      </c>
      <c r="I1261" t="inlineStr"/>
      <c r="J1261" t="inlineStr"/>
      <c r="K1261" t="n">
        <v>8849317.130000001</v>
      </c>
      <c r="L1261" t="n">
        <v>68063579.62</v>
      </c>
      <c r="M1261" t="n">
        <v>2155.0259</v>
      </c>
      <c r="N1261" t="inlineStr">
        <is>
          <t>Supplier Reported Emissions</t>
        </is>
      </c>
      <c r="O1261" t="b">
        <v>0</v>
      </c>
      <c r="P1261" t="inlineStr">
        <is>
          <t>High</t>
        </is>
      </c>
      <c r="Q1261" t="inlineStr">
        <is>
          <t>Scope_Emissions</t>
        </is>
      </c>
      <c r="R1261" t="inlineStr">
        <is>
          <t>Valid</t>
        </is>
      </c>
      <c r="S1261" t="n">
        <v>2036</v>
      </c>
      <c r="T1261" t="inlineStr">
        <is>
          <t>Industry Haircut Pathway</t>
        </is>
      </c>
      <c r="U1261" t="n">
        <v>1305.5313</v>
      </c>
      <c r="V1261" t="n">
        <v>702.8981</v>
      </c>
      <c r="W1261" t="n">
        <v>799.3194</v>
      </c>
      <c r="X1261" t="n">
        <v>799.3194</v>
      </c>
      <c r="Y1261" t="n">
        <v>506.2119</v>
      </c>
      <c r="Z1261" t="n">
        <v>9.033e-05</v>
      </c>
      <c r="AA1261" t="n">
        <v>0.387744</v>
      </c>
      <c r="AB1261" t="n">
        <v>96.4213</v>
      </c>
      <c r="AC1261" t="n">
        <v>24.1053</v>
      </c>
      <c r="AD1261" t="n">
        <v>63.5853</v>
      </c>
      <c r="AE1261" t="n">
        <v>11182.7843</v>
      </c>
      <c r="AF1261" t="n">
        <v>0.918</v>
      </c>
      <c r="AG1261" t="inlineStr">
        <is>
          <t>Medium</t>
        </is>
      </c>
      <c r="AH1261" t="inlineStr">
        <is>
          <t>On Track to Glide Path</t>
        </is>
      </c>
    </row>
    <row r="1262">
      <c r="A1262" t="inlineStr">
        <is>
          <t>SUP-0079</t>
        </is>
      </c>
      <c r="B1262" t="inlineStr">
        <is>
          <t>Logistics Supplier 079</t>
        </is>
      </c>
      <c r="C1262" t="inlineStr">
        <is>
          <t>Logistics</t>
        </is>
      </c>
      <c r="D1262" t="n">
        <v>2024</v>
      </c>
      <c r="E1262" t="n">
        <v>2015</v>
      </c>
      <c r="F1262" t="n">
        <v>2040</v>
      </c>
      <c r="G1262" t="n">
        <v>2155.0259</v>
      </c>
      <c r="H1262" t="n">
        <v>365.4405</v>
      </c>
      <c r="I1262" t="inlineStr"/>
      <c r="J1262" t="inlineStr"/>
      <c r="K1262" t="n">
        <v>8849317.130000001</v>
      </c>
      <c r="L1262" t="n">
        <v>68063579.62</v>
      </c>
      <c r="M1262" t="n">
        <v>2155.0259</v>
      </c>
      <c r="N1262" t="inlineStr">
        <is>
          <t>Supplier Reported Emissions</t>
        </is>
      </c>
      <c r="O1262" t="b">
        <v>0</v>
      </c>
      <c r="P1262" t="inlineStr">
        <is>
          <t>High</t>
        </is>
      </c>
      <c r="Q1262" t="inlineStr">
        <is>
          <t>Scope_Emissions</t>
        </is>
      </c>
      <c r="R1262" t="inlineStr">
        <is>
          <t>Valid</t>
        </is>
      </c>
      <c r="S1262" t="n">
        <v>2037</v>
      </c>
      <c r="T1262" t="inlineStr">
        <is>
          <t>Industry Haircut Pathway</t>
        </is>
      </c>
      <c r="U1262" t="n">
        <v>1305.5313</v>
      </c>
      <c r="V1262" t="n">
        <v>702.8981</v>
      </c>
      <c r="W1262" t="n">
        <v>775.2140000000001</v>
      </c>
      <c r="X1262" t="n">
        <v>775.2140000000001</v>
      </c>
      <c r="Y1262" t="n">
        <v>530.3173</v>
      </c>
      <c r="Z1262" t="n">
        <v>8.76e-05</v>
      </c>
      <c r="AA1262" t="n">
        <v>0.406208</v>
      </c>
      <c r="AB1262" t="n">
        <v>72.316</v>
      </c>
      <c r="AC1262" t="n">
        <v>24.1053</v>
      </c>
      <c r="AD1262" t="n">
        <v>-711.6287</v>
      </c>
      <c r="AE1262" t="n">
        <v>11957.9983</v>
      </c>
      <c r="AF1262" t="n">
        <v>0.918</v>
      </c>
      <c r="AG1262" t="inlineStr">
        <is>
          <t>Medium</t>
        </is>
      </c>
      <c r="AH1262" t="inlineStr">
        <is>
          <t>On Track to Glide Path</t>
        </is>
      </c>
    </row>
    <row r="1263">
      <c r="A1263" t="inlineStr">
        <is>
          <t>SUP-0079</t>
        </is>
      </c>
      <c r="B1263" t="inlineStr">
        <is>
          <t>Logistics Supplier 079</t>
        </is>
      </c>
      <c r="C1263" t="inlineStr">
        <is>
          <t>Logistics</t>
        </is>
      </c>
      <c r="D1263" t="n">
        <v>2024</v>
      </c>
      <c r="E1263" t="n">
        <v>2015</v>
      </c>
      <c r="F1263" t="n">
        <v>2040</v>
      </c>
      <c r="G1263" t="n">
        <v>2155.0259</v>
      </c>
      <c r="H1263" t="n">
        <v>365.4405</v>
      </c>
      <c r="I1263" t="inlineStr"/>
      <c r="J1263" t="inlineStr"/>
      <c r="K1263" t="n">
        <v>8849317.130000001</v>
      </c>
      <c r="L1263" t="n">
        <v>68063579.62</v>
      </c>
      <c r="M1263" t="n">
        <v>2155.0259</v>
      </c>
      <c r="N1263" t="inlineStr">
        <is>
          <t>Supplier Reported Emissions</t>
        </is>
      </c>
      <c r="O1263" t="b">
        <v>0</v>
      </c>
      <c r="P1263" t="inlineStr">
        <is>
          <t>High</t>
        </is>
      </c>
      <c r="Q1263" t="inlineStr">
        <is>
          <t>Scope_Emissions</t>
        </is>
      </c>
      <c r="R1263" t="inlineStr">
        <is>
          <t>Valid</t>
        </is>
      </c>
      <c r="S1263" t="n">
        <v>2038</v>
      </c>
      <c r="T1263" t="inlineStr">
        <is>
          <t>Industry Haircut Pathway</t>
        </is>
      </c>
      <c r="U1263" t="n">
        <v>1305.5313</v>
      </c>
      <c r="V1263" t="n">
        <v>702.8981</v>
      </c>
      <c r="W1263" t="n">
        <v>751.1087</v>
      </c>
      <c r="X1263" t="n">
        <v>751.1087</v>
      </c>
      <c r="Y1263" t="n">
        <v>554.4226</v>
      </c>
      <c r="Z1263" t="n">
        <v>8.488e-05</v>
      </c>
      <c r="AA1263" t="n">
        <v>0.424672</v>
      </c>
      <c r="AB1263" t="n">
        <v>48.2107</v>
      </c>
      <c r="AC1263" t="n">
        <v>24.1053</v>
      </c>
      <c r="AD1263" t="n">
        <v>-1462.7374</v>
      </c>
      <c r="AE1263" t="n">
        <v>12709.107</v>
      </c>
      <c r="AF1263" t="n">
        <v>0.918</v>
      </c>
      <c r="AG1263" t="inlineStr">
        <is>
          <t>Medium</t>
        </is>
      </c>
      <c r="AH1263" t="inlineStr">
        <is>
          <t>On Track to Glide Path</t>
        </is>
      </c>
    </row>
    <row r="1264">
      <c r="A1264" t="inlineStr">
        <is>
          <t>SUP-0079</t>
        </is>
      </c>
      <c r="B1264" t="inlineStr">
        <is>
          <t>Logistics Supplier 079</t>
        </is>
      </c>
      <c r="C1264" t="inlineStr">
        <is>
          <t>Logistics</t>
        </is>
      </c>
      <c r="D1264" t="n">
        <v>2024</v>
      </c>
      <c r="E1264" t="n">
        <v>2015</v>
      </c>
      <c r="F1264" t="n">
        <v>2040</v>
      </c>
      <c r="G1264" t="n">
        <v>2155.0259</v>
      </c>
      <c r="H1264" t="n">
        <v>365.4405</v>
      </c>
      <c r="I1264" t="inlineStr"/>
      <c r="J1264" t="inlineStr"/>
      <c r="K1264" t="n">
        <v>8849317.130000001</v>
      </c>
      <c r="L1264" t="n">
        <v>68063579.62</v>
      </c>
      <c r="M1264" t="n">
        <v>2155.0259</v>
      </c>
      <c r="N1264" t="inlineStr">
        <is>
          <t>Supplier Reported Emissions</t>
        </is>
      </c>
      <c r="O1264" t="b">
        <v>0</v>
      </c>
      <c r="P1264" t="inlineStr">
        <is>
          <t>High</t>
        </is>
      </c>
      <c r="Q1264" t="inlineStr">
        <is>
          <t>Scope_Emissions</t>
        </is>
      </c>
      <c r="R1264" t="inlineStr">
        <is>
          <t>Valid</t>
        </is>
      </c>
      <c r="S1264" t="n">
        <v>2039</v>
      </c>
      <c r="T1264" t="inlineStr">
        <is>
          <t>Industry Haircut Pathway</t>
        </is>
      </c>
      <c r="U1264" t="n">
        <v>1305.5313</v>
      </c>
      <c r="V1264" t="n">
        <v>702.8981</v>
      </c>
      <c r="W1264" t="n">
        <v>727.0034000000001</v>
      </c>
      <c r="X1264" t="n">
        <v>727.0034000000001</v>
      </c>
      <c r="Y1264" t="n">
        <v>578.5279</v>
      </c>
      <c r="Z1264" t="n">
        <v>8.215e-05</v>
      </c>
      <c r="AA1264" t="n">
        <v>0.443136</v>
      </c>
      <c r="AB1264" t="n">
        <v>24.1053</v>
      </c>
      <c r="AC1264" t="n">
        <v>24.1053</v>
      </c>
      <c r="AD1264" t="n">
        <v>-2189.7408</v>
      </c>
      <c r="AE1264" t="n">
        <v>13436.1104</v>
      </c>
      <c r="AF1264" t="n">
        <v>0.918</v>
      </c>
      <c r="AG1264" t="inlineStr">
        <is>
          <t>Medium</t>
        </is>
      </c>
      <c r="AH1264" t="inlineStr">
        <is>
          <t>On Track to Glide Path</t>
        </is>
      </c>
    </row>
    <row r="1265">
      <c r="A1265" t="inlineStr">
        <is>
          <t>SUP-0079</t>
        </is>
      </c>
      <c r="B1265" t="inlineStr">
        <is>
          <t>Logistics Supplier 079</t>
        </is>
      </c>
      <c r="C1265" t="inlineStr">
        <is>
          <t>Logistics</t>
        </is>
      </c>
      <c r="D1265" t="n">
        <v>2024</v>
      </c>
      <c r="E1265" t="n">
        <v>2015</v>
      </c>
      <c r="F1265" t="n">
        <v>2040</v>
      </c>
      <c r="G1265" t="n">
        <v>2155.0259</v>
      </c>
      <c r="H1265" t="n">
        <v>365.4405</v>
      </c>
      <c r="I1265" t="inlineStr"/>
      <c r="J1265" t="inlineStr"/>
      <c r="K1265" t="n">
        <v>8849317.130000001</v>
      </c>
      <c r="L1265" t="n">
        <v>68063579.62</v>
      </c>
      <c r="M1265" t="n">
        <v>2155.0259</v>
      </c>
      <c r="N1265" t="inlineStr">
        <is>
          <t>Supplier Reported Emissions</t>
        </is>
      </c>
      <c r="O1265" t="b">
        <v>0</v>
      </c>
      <c r="P1265" t="inlineStr">
        <is>
          <t>High</t>
        </is>
      </c>
      <c r="Q1265" t="inlineStr">
        <is>
          <t>Scope_Emissions</t>
        </is>
      </c>
      <c r="R1265" t="inlineStr">
        <is>
          <t>Valid</t>
        </is>
      </c>
      <c r="S1265" t="n">
        <v>2040</v>
      </c>
      <c r="T1265" t="inlineStr">
        <is>
          <t>Industry Haircut Pathway</t>
        </is>
      </c>
      <c r="U1265" t="n">
        <v>1305.5313</v>
      </c>
      <c r="V1265" t="n">
        <v>702.8981</v>
      </c>
      <c r="W1265" t="n">
        <v>702.8981</v>
      </c>
      <c r="X1265" t="n">
        <v>702.8981</v>
      </c>
      <c r="Y1265" t="n">
        <v>602.6332</v>
      </c>
      <c r="Z1265" t="n">
        <v>7.943e-05</v>
      </c>
      <c r="AA1265" t="n">
        <v>0.4616</v>
      </c>
      <c r="AB1265" t="n">
        <v>0</v>
      </c>
      <c r="AC1265" t="n">
        <v>24.1053</v>
      </c>
      <c r="AD1265" t="n">
        <v>-2892.6389</v>
      </c>
      <c r="AE1265" t="n">
        <v>14139.0085</v>
      </c>
      <c r="AF1265" t="n">
        <v>0.918</v>
      </c>
      <c r="AG1265" t="inlineStr">
        <is>
          <t>Low</t>
        </is>
      </c>
      <c r="AH1265" t="inlineStr">
        <is>
          <t>On Track</t>
        </is>
      </c>
    </row>
    <row r="1266">
      <c r="A1266" t="inlineStr">
        <is>
          <t>SUP-0080</t>
        </is>
      </c>
      <c r="B1266" t="inlineStr">
        <is>
          <t>Packaging Supplier 080</t>
        </is>
      </c>
      <c r="C1266" t="inlineStr">
        <is>
          <t>Packaging</t>
        </is>
      </c>
      <c r="D1266" t="n">
        <v>2024</v>
      </c>
      <c r="E1266" t="n">
        <v>2019</v>
      </c>
      <c r="F1266" t="n">
        <v>2040</v>
      </c>
      <c r="G1266" t="n">
        <v>38183.2936</v>
      </c>
      <c r="H1266" t="inlineStr"/>
      <c r="I1266" t="n">
        <v>3626.179</v>
      </c>
      <c r="J1266" t="n">
        <v>26461.5454</v>
      </c>
      <c r="K1266" t="n">
        <v>36949086.81</v>
      </c>
      <c r="L1266" t="n">
        <v>75278079.55</v>
      </c>
      <c r="M1266" t="n">
        <v>38183.2936</v>
      </c>
      <c r="N1266" t="inlineStr">
        <is>
          <t>Supplier Reported Emissions</t>
        </is>
      </c>
      <c r="O1266" t="b">
        <v>0</v>
      </c>
      <c r="P1266" t="inlineStr">
        <is>
          <t>High</t>
        </is>
      </c>
      <c r="Q1266" t="inlineStr">
        <is>
          <t>Scope_Emissions</t>
        </is>
      </c>
      <c r="R1266" t="inlineStr">
        <is>
          <t>Valid</t>
        </is>
      </c>
      <c r="S1266" t="n">
        <v>2025</v>
      </c>
      <c r="T1266" t="inlineStr">
        <is>
          <t>Supplier Target Pathway</t>
        </is>
      </c>
      <c r="U1266" t="n">
        <v>40076.9936</v>
      </c>
      <c r="V1266" t="n">
        <v>12331.6909</v>
      </c>
      <c r="W1266" t="n">
        <v>32149.7643</v>
      </c>
      <c r="X1266" t="n">
        <v>32149.7643</v>
      </c>
      <c r="Y1266" t="n">
        <v>7927.2293</v>
      </c>
      <c r="Z1266" t="n">
        <v>0.00087011</v>
      </c>
      <c r="AA1266" t="n">
        <v>0.1978</v>
      </c>
      <c r="AB1266" t="n">
        <v>19818.0733</v>
      </c>
      <c r="AC1266" t="n">
        <v>1321.2049</v>
      </c>
      <c r="AD1266" t="n">
        <v>165157.2901</v>
      </c>
      <c r="AE1266" t="n">
        <v>32149.7643</v>
      </c>
      <c r="AF1266" t="n">
        <v>0.99</v>
      </c>
      <c r="AG1266" t="inlineStr">
        <is>
          <t>Critical</t>
        </is>
      </c>
      <c r="AH1266" t="inlineStr">
        <is>
          <t>On Track to Glide Path</t>
        </is>
      </c>
    </row>
    <row r="1267">
      <c r="A1267" t="inlineStr">
        <is>
          <t>SUP-0080</t>
        </is>
      </c>
      <c r="B1267" t="inlineStr">
        <is>
          <t>Packaging Supplier 080</t>
        </is>
      </c>
      <c r="C1267" t="inlineStr">
        <is>
          <t>Packaging</t>
        </is>
      </c>
      <c r="D1267" t="n">
        <v>2024</v>
      </c>
      <c r="E1267" t="n">
        <v>2019</v>
      </c>
      <c r="F1267" t="n">
        <v>2040</v>
      </c>
      <c r="G1267" t="n">
        <v>38183.2936</v>
      </c>
      <c r="H1267" t="inlineStr"/>
      <c r="I1267" t="n">
        <v>3626.179</v>
      </c>
      <c r="J1267" t="n">
        <v>26461.5454</v>
      </c>
      <c r="K1267" t="n">
        <v>36949086.81</v>
      </c>
      <c r="L1267" t="n">
        <v>75278079.55</v>
      </c>
      <c r="M1267" t="n">
        <v>38183.2936</v>
      </c>
      <c r="N1267" t="inlineStr">
        <is>
          <t>Supplier Reported Emissions</t>
        </is>
      </c>
      <c r="O1267" t="b">
        <v>0</v>
      </c>
      <c r="P1267" t="inlineStr">
        <is>
          <t>High</t>
        </is>
      </c>
      <c r="Q1267" t="inlineStr">
        <is>
          <t>Scope_Emissions</t>
        </is>
      </c>
      <c r="R1267" t="inlineStr">
        <is>
          <t>Valid</t>
        </is>
      </c>
      <c r="S1267" t="n">
        <v>2026</v>
      </c>
      <c r="T1267" t="inlineStr">
        <is>
          <t>Supplier Target Pathway</t>
        </is>
      </c>
      <c r="U1267" t="n">
        <v>40076.9936</v>
      </c>
      <c r="V1267" t="n">
        <v>12331.6909</v>
      </c>
      <c r="W1267" t="n">
        <v>30828.5594</v>
      </c>
      <c r="X1267" t="n">
        <v>30828.5594</v>
      </c>
      <c r="Y1267" t="n">
        <v>9248.4342</v>
      </c>
      <c r="Z1267" t="n">
        <v>0.00083435</v>
      </c>
      <c r="AA1267" t="n">
        <v>0.230767</v>
      </c>
      <c r="AB1267" t="n">
        <v>18496.8684</v>
      </c>
      <c r="AC1267" t="n">
        <v>1321.2049</v>
      </c>
      <c r="AD1267" t="n">
        <v>134328.7307</v>
      </c>
      <c r="AE1267" t="n">
        <v>62978.3237</v>
      </c>
      <c r="AF1267" t="n">
        <v>0.99</v>
      </c>
      <c r="AG1267" t="inlineStr">
        <is>
          <t>Critical</t>
        </is>
      </c>
      <c r="AH1267" t="inlineStr">
        <is>
          <t>On Track to Glide Path</t>
        </is>
      </c>
    </row>
    <row r="1268">
      <c r="A1268" t="inlineStr">
        <is>
          <t>SUP-0080</t>
        </is>
      </c>
      <c r="B1268" t="inlineStr">
        <is>
          <t>Packaging Supplier 080</t>
        </is>
      </c>
      <c r="C1268" t="inlineStr">
        <is>
          <t>Packaging</t>
        </is>
      </c>
      <c r="D1268" t="n">
        <v>2024</v>
      </c>
      <c r="E1268" t="n">
        <v>2019</v>
      </c>
      <c r="F1268" t="n">
        <v>2040</v>
      </c>
      <c r="G1268" t="n">
        <v>38183.2936</v>
      </c>
      <c r="H1268" t="inlineStr"/>
      <c r="I1268" t="n">
        <v>3626.179</v>
      </c>
      <c r="J1268" t="n">
        <v>26461.5454</v>
      </c>
      <c r="K1268" t="n">
        <v>36949086.81</v>
      </c>
      <c r="L1268" t="n">
        <v>75278079.55</v>
      </c>
      <c r="M1268" t="n">
        <v>38183.2936</v>
      </c>
      <c r="N1268" t="inlineStr">
        <is>
          <t>Supplier Reported Emissions</t>
        </is>
      </c>
      <c r="O1268" t="b">
        <v>0</v>
      </c>
      <c r="P1268" t="inlineStr">
        <is>
          <t>High</t>
        </is>
      </c>
      <c r="Q1268" t="inlineStr">
        <is>
          <t>Scope_Emissions</t>
        </is>
      </c>
      <c r="R1268" t="inlineStr">
        <is>
          <t>Valid</t>
        </is>
      </c>
      <c r="S1268" t="n">
        <v>2027</v>
      </c>
      <c r="T1268" t="inlineStr">
        <is>
          <t>Supplier Target Pathway</t>
        </is>
      </c>
      <c r="U1268" t="n">
        <v>40076.9936</v>
      </c>
      <c r="V1268" t="n">
        <v>12331.6909</v>
      </c>
      <c r="W1268" t="n">
        <v>29507.3545</v>
      </c>
      <c r="X1268" t="n">
        <v>29507.3545</v>
      </c>
      <c r="Y1268" t="n">
        <v>10569.6391</v>
      </c>
      <c r="Z1268" t="n">
        <v>0.00079859</v>
      </c>
      <c r="AA1268" t="n">
        <v>0.263733</v>
      </c>
      <c r="AB1268" t="n">
        <v>17175.6636</v>
      </c>
      <c r="AC1268" t="n">
        <v>1321.2049</v>
      </c>
      <c r="AD1268" t="n">
        <v>104821.3762</v>
      </c>
      <c r="AE1268" t="n">
        <v>92485.67819999999</v>
      </c>
      <c r="AF1268" t="n">
        <v>0.99</v>
      </c>
      <c r="AG1268" t="inlineStr">
        <is>
          <t>Critical</t>
        </is>
      </c>
      <c r="AH1268" t="inlineStr">
        <is>
          <t>On Track to Glide Path</t>
        </is>
      </c>
    </row>
    <row r="1269">
      <c r="A1269" t="inlineStr">
        <is>
          <t>SUP-0080</t>
        </is>
      </c>
      <c r="B1269" t="inlineStr">
        <is>
          <t>Packaging Supplier 080</t>
        </is>
      </c>
      <c r="C1269" t="inlineStr">
        <is>
          <t>Packaging</t>
        </is>
      </c>
      <c r="D1269" t="n">
        <v>2024</v>
      </c>
      <c r="E1269" t="n">
        <v>2019</v>
      </c>
      <c r="F1269" t="n">
        <v>2040</v>
      </c>
      <c r="G1269" t="n">
        <v>38183.2936</v>
      </c>
      <c r="H1269" t="inlineStr"/>
      <c r="I1269" t="n">
        <v>3626.179</v>
      </c>
      <c r="J1269" t="n">
        <v>26461.5454</v>
      </c>
      <c r="K1269" t="n">
        <v>36949086.81</v>
      </c>
      <c r="L1269" t="n">
        <v>75278079.55</v>
      </c>
      <c r="M1269" t="n">
        <v>38183.2936</v>
      </c>
      <c r="N1269" t="inlineStr">
        <is>
          <t>Supplier Reported Emissions</t>
        </is>
      </c>
      <c r="O1269" t="b">
        <v>0</v>
      </c>
      <c r="P1269" t="inlineStr">
        <is>
          <t>High</t>
        </is>
      </c>
      <c r="Q1269" t="inlineStr">
        <is>
          <t>Scope_Emissions</t>
        </is>
      </c>
      <c r="R1269" t="inlineStr">
        <is>
          <t>Valid</t>
        </is>
      </c>
      <c r="S1269" t="n">
        <v>2028</v>
      </c>
      <c r="T1269" t="inlineStr">
        <is>
          <t>Supplier Target Pathway</t>
        </is>
      </c>
      <c r="U1269" t="n">
        <v>40076.9936</v>
      </c>
      <c r="V1269" t="n">
        <v>12331.6909</v>
      </c>
      <c r="W1269" t="n">
        <v>28186.1496</v>
      </c>
      <c r="X1269" t="n">
        <v>28186.1496</v>
      </c>
      <c r="Y1269" t="n">
        <v>11890.844</v>
      </c>
      <c r="Z1269" t="n">
        <v>0.00076284</v>
      </c>
      <c r="AA1269" t="n">
        <v>0.2967</v>
      </c>
      <c r="AB1269" t="n">
        <v>15854.4587</v>
      </c>
      <c r="AC1269" t="n">
        <v>1321.2049</v>
      </c>
      <c r="AD1269" t="n">
        <v>76635.22659999999</v>
      </c>
      <c r="AE1269" t="n">
        <v>120671.8278</v>
      </c>
      <c r="AF1269" t="n">
        <v>0.99</v>
      </c>
      <c r="AG1269" t="inlineStr">
        <is>
          <t>Critical</t>
        </is>
      </c>
      <c r="AH1269" t="inlineStr">
        <is>
          <t>On Track to Glide Path</t>
        </is>
      </c>
    </row>
    <row r="1270">
      <c r="A1270" t="inlineStr">
        <is>
          <t>SUP-0080</t>
        </is>
      </c>
      <c r="B1270" t="inlineStr">
        <is>
          <t>Packaging Supplier 080</t>
        </is>
      </c>
      <c r="C1270" t="inlineStr">
        <is>
          <t>Packaging</t>
        </is>
      </c>
      <c r="D1270" t="n">
        <v>2024</v>
      </c>
      <c r="E1270" t="n">
        <v>2019</v>
      </c>
      <c r="F1270" t="n">
        <v>2040</v>
      </c>
      <c r="G1270" t="n">
        <v>38183.2936</v>
      </c>
      <c r="H1270" t="inlineStr"/>
      <c r="I1270" t="n">
        <v>3626.179</v>
      </c>
      <c r="J1270" t="n">
        <v>26461.5454</v>
      </c>
      <c r="K1270" t="n">
        <v>36949086.81</v>
      </c>
      <c r="L1270" t="n">
        <v>75278079.55</v>
      </c>
      <c r="M1270" t="n">
        <v>38183.2936</v>
      </c>
      <c r="N1270" t="inlineStr">
        <is>
          <t>Supplier Reported Emissions</t>
        </is>
      </c>
      <c r="O1270" t="b">
        <v>0</v>
      </c>
      <c r="P1270" t="inlineStr">
        <is>
          <t>High</t>
        </is>
      </c>
      <c r="Q1270" t="inlineStr">
        <is>
          <t>Scope_Emissions</t>
        </is>
      </c>
      <c r="R1270" t="inlineStr">
        <is>
          <t>Valid</t>
        </is>
      </c>
      <c r="S1270" t="n">
        <v>2029</v>
      </c>
      <c r="T1270" t="inlineStr">
        <is>
          <t>Supplier Target Pathway</t>
        </is>
      </c>
      <c r="U1270" t="n">
        <v>40076.9936</v>
      </c>
      <c r="V1270" t="n">
        <v>12331.6909</v>
      </c>
      <c r="W1270" t="n">
        <v>26864.9447</v>
      </c>
      <c r="X1270" t="n">
        <v>26864.9447</v>
      </c>
      <c r="Y1270" t="n">
        <v>13212.0489</v>
      </c>
      <c r="Z1270" t="n">
        <v>0.00072708</v>
      </c>
      <c r="AA1270" t="n">
        <v>0.329667</v>
      </c>
      <c r="AB1270" t="n">
        <v>14533.2538</v>
      </c>
      <c r="AC1270" t="n">
        <v>1321.2049</v>
      </c>
      <c r="AD1270" t="n">
        <v>49770.2819</v>
      </c>
      <c r="AE1270" t="n">
        <v>147536.7725</v>
      </c>
      <c r="AF1270" t="n">
        <v>0.99</v>
      </c>
      <c r="AG1270" t="inlineStr">
        <is>
          <t>Critical</t>
        </is>
      </c>
      <c r="AH1270" t="inlineStr">
        <is>
          <t>On Track to Glide Path</t>
        </is>
      </c>
    </row>
    <row r="1271">
      <c r="A1271" t="inlineStr">
        <is>
          <t>SUP-0080</t>
        </is>
      </c>
      <c r="B1271" t="inlineStr">
        <is>
          <t>Packaging Supplier 080</t>
        </is>
      </c>
      <c r="C1271" t="inlineStr">
        <is>
          <t>Packaging</t>
        </is>
      </c>
      <c r="D1271" t="n">
        <v>2024</v>
      </c>
      <c r="E1271" t="n">
        <v>2019</v>
      </c>
      <c r="F1271" t="n">
        <v>2040</v>
      </c>
      <c r="G1271" t="n">
        <v>38183.2936</v>
      </c>
      <c r="H1271" t="inlineStr"/>
      <c r="I1271" t="n">
        <v>3626.179</v>
      </c>
      <c r="J1271" t="n">
        <v>26461.5454</v>
      </c>
      <c r="K1271" t="n">
        <v>36949086.81</v>
      </c>
      <c r="L1271" t="n">
        <v>75278079.55</v>
      </c>
      <c r="M1271" t="n">
        <v>38183.2936</v>
      </c>
      <c r="N1271" t="inlineStr">
        <is>
          <t>Supplier Reported Emissions</t>
        </is>
      </c>
      <c r="O1271" t="b">
        <v>0</v>
      </c>
      <c r="P1271" t="inlineStr">
        <is>
          <t>High</t>
        </is>
      </c>
      <c r="Q1271" t="inlineStr">
        <is>
          <t>Scope_Emissions</t>
        </is>
      </c>
      <c r="R1271" t="inlineStr">
        <is>
          <t>Valid</t>
        </is>
      </c>
      <c r="S1271" t="n">
        <v>2030</v>
      </c>
      <c r="T1271" t="inlineStr">
        <is>
          <t>Supplier Target Pathway</t>
        </is>
      </c>
      <c r="U1271" t="n">
        <v>40076.9936</v>
      </c>
      <c r="V1271" t="n">
        <v>12331.6909</v>
      </c>
      <c r="W1271" t="n">
        <v>25543.7398</v>
      </c>
      <c r="X1271" t="n">
        <v>25543.7398</v>
      </c>
      <c r="Y1271" t="n">
        <v>14533.2538</v>
      </c>
      <c r="Z1271" t="n">
        <v>0.00069132</v>
      </c>
      <c r="AA1271" t="n">
        <v>0.362633</v>
      </c>
      <c r="AB1271" t="n">
        <v>13212.0489</v>
      </c>
      <c r="AC1271" t="n">
        <v>1321.2049</v>
      </c>
      <c r="AD1271" t="n">
        <v>24226.5421</v>
      </c>
      <c r="AE1271" t="n">
        <v>173080.5123</v>
      </c>
      <c r="AF1271" t="n">
        <v>0.99</v>
      </c>
      <c r="AG1271" t="inlineStr">
        <is>
          <t>Critical</t>
        </is>
      </c>
      <c r="AH1271" t="inlineStr">
        <is>
          <t>On Track to Glide Path</t>
        </is>
      </c>
    </row>
    <row r="1272">
      <c r="A1272" t="inlineStr">
        <is>
          <t>SUP-0080</t>
        </is>
      </c>
      <c r="B1272" t="inlineStr">
        <is>
          <t>Packaging Supplier 080</t>
        </is>
      </c>
      <c r="C1272" t="inlineStr">
        <is>
          <t>Packaging</t>
        </is>
      </c>
      <c r="D1272" t="n">
        <v>2024</v>
      </c>
      <c r="E1272" t="n">
        <v>2019</v>
      </c>
      <c r="F1272" t="n">
        <v>2040</v>
      </c>
      <c r="G1272" t="n">
        <v>38183.2936</v>
      </c>
      <c r="H1272" t="inlineStr"/>
      <c r="I1272" t="n">
        <v>3626.179</v>
      </c>
      <c r="J1272" t="n">
        <v>26461.5454</v>
      </c>
      <c r="K1272" t="n">
        <v>36949086.81</v>
      </c>
      <c r="L1272" t="n">
        <v>75278079.55</v>
      </c>
      <c r="M1272" t="n">
        <v>38183.2936</v>
      </c>
      <c r="N1272" t="inlineStr">
        <is>
          <t>Supplier Reported Emissions</t>
        </is>
      </c>
      <c r="O1272" t="b">
        <v>0</v>
      </c>
      <c r="P1272" t="inlineStr">
        <is>
          <t>High</t>
        </is>
      </c>
      <c r="Q1272" t="inlineStr">
        <is>
          <t>Scope_Emissions</t>
        </is>
      </c>
      <c r="R1272" t="inlineStr">
        <is>
          <t>Valid</t>
        </is>
      </c>
      <c r="S1272" t="n">
        <v>2031</v>
      </c>
      <c r="T1272" t="inlineStr">
        <is>
          <t>Supplier Target Pathway</t>
        </is>
      </c>
      <c r="U1272" t="n">
        <v>40076.9936</v>
      </c>
      <c r="V1272" t="n">
        <v>12331.6909</v>
      </c>
      <c r="W1272" t="n">
        <v>24222.5349</v>
      </c>
      <c r="X1272" t="n">
        <v>24222.5349</v>
      </c>
      <c r="Y1272" t="n">
        <v>15854.4587</v>
      </c>
      <c r="Z1272" t="n">
        <v>0.00065557</v>
      </c>
      <c r="AA1272" t="n">
        <v>0.3956</v>
      </c>
      <c r="AB1272" t="n">
        <v>11890.844</v>
      </c>
      <c r="AC1272" t="n">
        <v>1321.2049</v>
      </c>
      <c r="AD1272" t="n">
        <v>4.0072</v>
      </c>
      <c r="AE1272" t="n">
        <v>197303.0472</v>
      </c>
      <c r="AF1272" t="n">
        <v>0.99</v>
      </c>
      <c r="AG1272" t="inlineStr">
        <is>
          <t>Critical</t>
        </is>
      </c>
      <c r="AH1272" t="inlineStr">
        <is>
          <t>On Track to Glide Path</t>
        </is>
      </c>
    </row>
    <row r="1273">
      <c r="A1273" t="inlineStr">
        <is>
          <t>SUP-0080</t>
        </is>
      </c>
      <c r="B1273" t="inlineStr">
        <is>
          <t>Packaging Supplier 080</t>
        </is>
      </c>
      <c r="C1273" t="inlineStr">
        <is>
          <t>Packaging</t>
        </is>
      </c>
      <c r="D1273" t="n">
        <v>2024</v>
      </c>
      <c r="E1273" t="n">
        <v>2019</v>
      </c>
      <c r="F1273" t="n">
        <v>2040</v>
      </c>
      <c r="G1273" t="n">
        <v>38183.2936</v>
      </c>
      <c r="H1273" t="inlineStr"/>
      <c r="I1273" t="n">
        <v>3626.179</v>
      </c>
      <c r="J1273" t="n">
        <v>26461.5454</v>
      </c>
      <c r="K1273" t="n">
        <v>36949086.81</v>
      </c>
      <c r="L1273" t="n">
        <v>75278079.55</v>
      </c>
      <c r="M1273" t="n">
        <v>38183.2936</v>
      </c>
      <c r="N1273" t="inlineStr">
        <is>
          <t>Supplier Reported Emissions</t>
        </is>
      </c>
      <c r="O1273" t="b">
        <v>0</v>
      </c>
      <c r="P1273" t="inlineStr">
        <is>
          <t>High</t>
        </is>
      </c>
      <c r="Q1273" t="inlineStr">
        <is>
          <t>Scope_Emissions</t>
        </is>
      </c>
      <c r="R1273" t="inlineStr">
        <is>
          <t>Valid</t>
        </is>
      </c>
      <c r="S1273" t="n">
        <v>2032</v>
      </c>
      <c r="T1273" t="inlineStr">
        <is>
          <t>Supplier Target Pathway</t>
        </is>
      </c>
      <c r="U1273" t="n">
        <v>40076.9936</v>
      </c>
      <c r="V1273" t="n">
        <v>12331.6909</v>
      </c>
      <c r="W1273" t="n">
        <v>22901.33</v>
      </c>
      <c r="X1273" t="n">
        <v>22901.33</v>
      </c>
      <c r="Y1273" t="n">
        <v>17175.6636</v>
      </c>
      <c r="Z1273" t="n">
        <v>0.00061981</v>
      </c>
      <c r="AA1273" t="n">
        <v>0.428567</v>
      </c>
      <c r="AB1273" t="n">
        <v>10569.6391</v>
      </c>
      <c r="AC1273" t="n">
        <v>1321.2049</v>
      </c>
      <c r="AD1273" t="n">
        <v>-22897.3228</v>
      </c>
      <c r="AE1273" t="n">
        <v>220204.3772</v>
      </c>
      <c r="AF1273" t="n">
        <v>0.99</v>
      </c>
      <c r="AG1273" t="inlineStr">
        <is>
          <t>Critical</t>
        </is>
      </c>
      <c r="AH1273" t="inlineStr">
        <is>
          <t>On Track to Glide Path</t>
        </is>
      </c>
    </row>
    <row r="1274">
      <c r="A1274" t="inlineStr">
        <is>
          <t>SUP-0080</t>
        </is>
      </c>
      <c r="B1274" t="inlineStr">
        <is>
          <t>Packaging Supplier 080</t>
        </is>
      </c>
      <c r="C1274" t="inlineStr">
        <is>
          <t>Packaging</t>
        </is>
      </c>
      <c r="D1274" t="n">
        <v>2024</v>
      </c>
      <c r="E1274" t="n">
        <v>2019</v>
      </c>
      <c r="F1274" t="n">
        <v>2040</v>
      </c>
      <c r="G1274" t="n">
        <v>38183.2936</v>
      </c>
      <c r="H1274" t="inlineStr"/>
      <c r="I1274" t="n">
        <v>3626.179</v>
      </c>
      <c r="J1274" t="n">
        <v>26461.5454</v>
      </c>
      <c r="K1274" t="n">
        <v>36949086.81</v>
      </c>
      <c r="L1274" t="n">
        <v>75278079.55</v>
      </c>
      <c r="M1274" t="n">
        <v>38183.2936</v>
      </c>
      <c r="N1274" t="inlineStr">
        <is>
          <t>Supplier Reported Emissions</t>
        </is>
      </c>
      <c r="O1274" t="b">
        <v>0</v>
      </c>
      <c r="P1274" t="inlineStr">
        <is>
          <t>High</t>
        </is>
      </c>
      <c r="Q1274" t="inlineStr">
        <is>
          <t>Scope_Emissions</t>
        </is>
      </c>
      <c r="R1274" t="inlineStr">
        <is>
          <t>Valid</t>
        </is>
      </c>
      <c r="S1274" t="n">
        <v>2033</v>
      </c>
      <c r="T1274" t="inlineStr">
        <is>
          <t>Supplier Target Pathway</t>
        </is>
      </c>
      <c r="U1274" t="n">
        <v>40076.9936</v>
      </c>
      <c r="V1274" t="n">
        <v>12331.6909</v>
      </c>
      <c r="W1274" t="n">
        <v>21580.1252</v>
      </c>
      <c r="X1274" t="n">
        <v>21580.1252</v>
      </c>
      <c r="Y1274" t="n">
        <v>18496.8684</v>
      </c>
      <c r="Z1274" t="n">
        <v>0.00058405</v>
      </c>
      <c r="AA1274" t="n">
        <v>0.461533</v>
      </c>
      <c r="AB1274" t="n">
        <v>9248.4342</v>
      </c>
      <c r="AC1274" t="n">
        <v>1321.2049</v>
      </c>
      <c r="AD1274" t="n">
        <v>-44477.448</v>
      </c>
      <c r="AE1274" t="n">
        <v>241784.5024</v>
      </c>
      <c r="AF1274" t="n">
        <v>0.99</v>
      </c>
      <c r="AG1274" t="inlineStr">
        <is>
          <t>Critical</t>
        </is>
      </c>
      <c r="AH1274" t="inlineStr">
        <is>
          <t>On Track to Glide Path</t>
        </is>
      </c>
    </row>
    <row r="1275">
      <c r="A1275" t="inlineStr">
        <is>
          <t>SUP-0080</t>
        </is>
      </c>
      <c r="B1275" t="inlineStr">
        <is>
          <t>Packaging Supplier 080</t>
        </is>
      </c>
      <c r="C1275" t="inlineStr">
        <is>
          <t>Packaging</t>
        </is>
      </c>
      <c r="D1275" t="n">
        <v>2024</v>
      </c>
      <c r="E1275" t="n">
        <v>2019</v>
      </c>
      <c r="F1275" t="n">
        <v>2040</v>
      </c>
      <c r="G1275" t="n">
        <v>38183.2936</v>
      </c>
      <c r="H1275" t="inlineStr"/>
      <c r="I1275" t="n">
        <v>3626.179</v>
      </c>
      <c r="J1275" t="n">
        <v>26461.5454</v>
      </c>
      <c r="K1275" t="n">
        <v>36949086.81</v>
      </c>
      <c r="L1275" t="n">
        <v>75278079.55</v>
      </c>
      <c r="M1275" t="n">
        <v>38183.2936</v>
      </c>
      <c r="N1275" t="inlineStr">
        <is>
          <t>Supplier Reported Emissions</t>
        </is>
      </c>
      <c r="O1275" t="b">
        <v>0</v>
      </c>
      <c r="P1275" t="inlineStr">
        <is>
          <t>High</t>
        </is>
      </c>
      <c r="Q1275" t="inlineStr">
        <is>
          <t>Scope_Emissions</t>
        </is>
      </c>
      <c r="R1275" t="inlineStr">
        <is>
          <t>Valid</t>
        </is>
      </c>
      <c r="S1275" t="n">
        <v>2034</v>
      </c>
      <c r="T1275" t="inlineStr">
        <is>
          <t>Supplier Target Pathway</t>
        </is>
      </c>
      <c r="U1275" t="n">
        <v>40076.9936</v>
      </c>
      <c r="V1275" t="n">
        <v>12331.6909</v>
      </c>
      <c r="W1275" t="n">
        <v>20258.9203</v>
      </c>
      <c r="X1275" t="n">
        <v>20258.9203</v>
      </c>
      <c r="Y1275" t="n">
        <v>19818.0733</v>
      </c>
      <c r="Z1275" t="n">
        <v>0.00054829</v>
      </c>
      <c r="AA1275" t="n">
        <v>0.4945</v>
      </c>
      <c r="AB1275" t="n">
        <v>7927.2293</v>
      </c>
      <c r="AC1275" t="n">
        <v>1321.2049</v>
      </c>
      <c r="AD1275" t="n">
        <v>-64736.3683</v>
      </c>
      <c r="AE1275" t="n">
        <v>262043.4227</v>
      </c>
      <c r="AF1275" t="n">
        <v>0.99</v>
      </c>
      <c r="AG1275" t="inlineStr">
        <is>
          <t>Critical</t>
        </is>
      </c>
      <c r="AH1275" t="inlineStr">
        <is>
          <t>On Track to Glide Path</t>
        </is>
      </c>
    </row>
    <row r="1276">
      <c r="A1276" t="inlineStr">
        <is>
          <t>SUP-0080</t>
        </is>
      </c>
      <c r="B1276" t="inlineStr">
        <is>
          <t>Packaging Supplier 080</t>
        </is>
      </c>
      <c r="C1276" t="inlineStr">
        <is>
          <t>Packaging</t>
        </is>
      </c>
      <c r="D1276" t="n">
        <v>2024</v>
      </c>
      <c r="E1276" t="n">
        <v>2019</v>
      </c>
      <c r="F1276" t="n">
        <v>2040</v>
      </c>
      <c r="G1276" t="n">
        <v>38183.2936</v>
      </c>
      <c r="H1276" t="inlineStr"/>
      <c r="I1276" t="n">
        <v>3626.179</v>
      </c>
      <c r="J1276" t="n">
        <v>26461.5454</v>
      </c>
      <c r="K1276" t="n">
        <v>36949086.81</v>
      </c>
      <c r="L1276" t="n">
        <v>75278079.55</v>
      </c>
      <c r="M1276" t="n">
        <v>38183.2936</v>
      </c>
      <c r="N1276" t="inlineStr">
        <is>
          <t>Supplier Reported Emissions</t>
        </is>
      </c>
      <c r="O1276" t="b">
        <v>0</v>
      </c>
      <c r="P1276" t="inlineStr">
        <is>
          <t>High</t>
        </is>
      </c>
      <c r="Q1276" t="inlineStr">
        <is>
          <t>Scope_Emissions</t>
        </is>
      </c>
      <c r="R1276" t="inlineStr">
        <is>
          <t>Valid</t>
        </is>
      </c>
      <c r="S1276" t="n">
        <v>2035</v>
      </c>
      <c r="T1276" t="inlineStr">
        <is>
          <t>Supplier Target Pathway</t>
        </is>
      </c>
      <c r="U1276" t="n">
        <v>40076.9936</v>
      </c>
      <c r="V1276" t="n">
        <v>12331.6909</v>
      </c>
      <c r="W1276" t="n">
        <v>18937.7154</v>
      </c>
      <c r="X1276" t="n">
        <v>18937.7154</v>
      </c>
      <c r="Y1276" t="n">
        <v>21139.2782</v>
      </c>
      <c r="Z1276" t="n">
        <v>0.00051254</v>
      </c>
      <c r="AA1276" t="n">
        <v>0.527467</v>
      </c>
      <c r="AB1276" t="n">
        <v>6606.0244</v>
      </c>
      <c r="AC1276" t="n">
        <v>1321.2049</v>
      </c>
      <c r="AD1276" t="n">
        <v>-83674.0837</v>
      </c>
      <c r="AE1276" t="n">
        <v>280981.1381</v>
      </c>
      <c r="AF1276" t="n">
        <v>0.99</v>
      </c>
      <c r="AG1276" t="inlineStr">
        <is>
          <t>Critical</t>
        </is>
      </c>
      <c r="AH1276" t="inlineStr">
        <is>
          <t>On Track to Glide Path</t>
        </is>
      </c>
    </row>
    <row r="1277">
      <c r="A1277" t="inlineStr">
        <is>
          <t>SUP-0080</t>
        </is>
      </c>
      <c r="B1277" t="inlineStr">
        <is>
          <t>Packaging Supplier 080</t>
        </is>
      </c>
      <c r="C1277" t="inlineStr">
        <is>
          <t>Packaging</t>
        </is>
      </c>
      <c r="D1277" t="n">
        <v>2024</v>
      </c>
      <c r="E1277" t="n">
        <v>2019</v>
      </c>
      <c r="F1277" t="n">
        <v>2040</v>
      </c>
      <c r="G1277" t="n">
        <v>38183.2936</v>
      </c>
      <c r="H1277" t="inlineStr"/>
      <c r="I1277" t="n">
        <v>3626.179</v>
      </c>
      <c r="J1277" t="n">
        <v>26461.5454</v>
      </c>
      <c r="K1277" t="n">
        <v>36949086.81</v>
      </c>
      <c r="L1277" t="n">
        <v>75278079.55</v>
      </c>
      <c r="M1277" t="n">
        <v>38183.2936</v>
      </c>
      <c r="N1277" t="inlineStr">
        <is>
          <t>Supplier Reported Emissions</t>
        </is>
      </c>
      <c r="O1277" t="b">
        <v>0</v>
      </c>
      <c r="P1277" t="inlineStr">
        <is>
          <t>High</t>
        </is>
      </c>
      <c r="Q1277" t="inlineStr">
        <is>
          <t>Scope_Emissions</t>
        </is>
      </c>
      <c r="R1277" t="inlineStr">
        <is>
          <t>Valid</t>
        </is>
      </c>
      <c r="S1277" t="n">
        <v>2036</v>
      </c>
      <c r="T1277" t="inlineStr">
        <is>
          <t>Supplier Target Pathway</t>
        </is>
      </c>
      <c r="U1277" t="n">
        <v>40076.9936</v>
      </c>
      <c r="V1277" t="n">
        <v>12331.6909</v>
      </c>
      <c r="W1277" t="n">
        <v>17616.5105</v>
      </c>
      <c r="X1277" t="n">
        <v>17616.5105</v>
      </c>
      <c r="Y1277" t="n">
        <v>22460.4831</v>
      </c>
      <c r="Z1277" t="n">
        <v>0.00047678</v>
      </c>
      <c r="AA1277" t="n">
        <v>0.560433</v>
      </c>
      <c r="AB1277" t="n">
        <v>5284.8196</v>
      </c>
      <c r="AC1277" t="n">
        <v>1321.2049</v>
      </c>
      <c r="AD1277" t="n">
        <v>-101290.5942</v>
      </c>
      <c r="AE1277" t="n">
        <v>298597.6486</v>
      </c>
      <c r="AF1277" t="n">
        <v>0.99</v>
      </c>
      <c r="AG1277" t="inlineStr">
        <is>
          <t>Critical</t>
        </is>
      </c>
      <c r="AH1277" t="inlineStr">
        <is>
          <t>On Track to Glide Path</t>
        </is>
      </c>
    </row>
    <row r="1278">
      <c r="A1278" t="inlineStr">
        <is>
          <t>SUP-0080</t>
        </is>
      </c>
      <c r="B1278" t="inlineStr">
        <is>
          <t>Packaging Supplier 080</t>
        </is>
      </c>
      <c r="C1278" t="inlineStr">
        <is>
          <t>Packaging</t>
        </is>
      </c>
      <c r="D1278" t="n">
        <v>2024</v>
      </c>
      <c r="E1278" t="n">
        <v>2019</v>
      </c>
      <c r="F1278" t="n">
        <v>2040</v>
      </c>
      <c r="G1278" t="n">
        <v>38183.2936</v>
      </c>
      <c r="H1278" t="inlineStr"/>
      <c r="I1278" t="n">
        <v>3626.179</v>
      </c>
      <c r="J1278" t="n">
        <v>26461.5454</v>
      </c>
      <c r="K1278" t="n">
        <v>36949086.81</v>
      </c>
      <c r="L1278" t="n">
        <v>75278079.55</v>
      </c>
      <c r="M1278" t="n">
        <v>38183.2936</v>
      </c>
      <c r="N1278" t="inlineStr">
        <is>
          <t>Supplier Reported Emissions</t>
        </is>
      </c>
      <c r="O1278" t="b">
        <v>0</v>
      </c>
      <c r="P1278" t="inlineStr">
        <is>
          <t>High</t>
        </is>
      </c>
      <c r="Q1278" t="inlineStr">
        <is>
          <t>Scope_Emissions</t>
        </is>
      </c>
      <c r="R1278" t="inlineStr">
        <is>
          <t>Valid</t>
        </is>
      </c>
      <c r="S1278" t="n">
        <v>2037</v>
      </c>
      <c r="T1278" t="inlineStr">
        <is>
          <t>Supplier Target Pathway</t>
        </is>
      </c>
      <c r="U1278" t="n">
        <v>40076.9936</v>
      </c>
      <c r="V1278" t="n">
        <v>12331.6909</v>
      </c>
      <c r="W1278" t="n">
        <v>16295.3056</v>
      </c>
      <c r="X1278" t="n">
        <v>16295.3056</v>
      </c>
      <c r="Y1278" t="n">
        <v>23781.688</v>
      </c>
      <c r="Z1278" t="n">
        <v>0.00044102</v>
      </c>
      <c r="AA1278" t="n">
        <v>0.5934</v>
      </c>
      <c r="AB1278" t="n">
        <v>3963.6147</v>
      </c>
      <c r="AC1278" t="n">
        <v>1321.2049</v>
      </c>
      <c r="AD1278" t="n">
        <v>-117585.8998</v>
      </c>
      <c r="AE1278" t="n">
        <v>314892.9542</v>
      </c>
      <c r="AF1278" t="n">
        <v>0.99</v>
      </c>
      <c r="AG1278" t="inlineStr">
        <is>
          <t>High</t>
        </is>
      </c>
      <c r="AH1278" t="inlineStr">
        <is>
          <t>On Track to Glide Path</t>
        </is>
      </c>
    </row>
    <row r="1279">
      <c r="A1279" t="inlineStr">
        <is>
          <t>SUP-0080</t>
        </is>
      </c>
      <c r="B1279" t="inlineStr">
        <is>
          <t>Packaging Supplier 080</t>
        </is>
      </c>
      <c r="C1279" t="inlineStr">
        <is>
          <t>Packaging</t>
        </is>
      </c>
      <c r="D1279" t="n">
        <v>2024</v>
      </c>
      <c r="E1279" t="n">
        <v>2019</v>
      </c>
      <c r="F1279" t="n">
        <v>2040</v>
      </c>
      <c r="G1279" t="n">
        <v>38183.2936</v>
      </c>
      <c r="H1279" t="inlineStr"/>
      <c r="I1279" t="n">
        <v>3626.179</v>
      </c>
      <c r="J1279" t="n">
        <v>26461.5454</v>
      </c>
      <c r="K1279" t="n">
        <v>36949086.81</v>
      </c>
      <c r="L1279" t="n">
        <v>75278079.55</v>
      </c>
      <c r="M1279" t="n">
        <v>38183.2936</v>
      </c>
      <c r="N1279" t="inlineStr">
        <is>
          <t>Supplier Reported Emissions</t>
        </is>
      </c>
      <c r="O1279" t="b">
        <v>0</v>
      </c>
      <c r="P1279" t="inlineStr">
        <is>
          <t>High</t>
        </is>
      </c>
      <c r="Q1279" t="inlineStr">
        <is>
          <t>Scope_Emissions</t>
        </is>
      </c>
      <c r="R1279" t="inlineStr">
        <is>
          <t>Valid</t>
        </is>
      </c>
      <c r="S1279" t="n">
        <v>2038</v>
      </c>
      <c r="T1279" t="inlineStr">
        <is>
          <t>Supplier Target Pathway</t>
        </is>
      </c>
      <c r="U1279" t="n">
        <v>40076.9936</v>
      </c>
      <c r="V1279" t="n">
        <v>12331.6909</v>
      </c>
      <c r="W1279" t="n">
        <v>14974.1007</v>
      </c>
      <c r="X1279" t="n">
        <v>14974.1007</v>
      </c>
      <c r="Y1279" t="n">
        <v>25102.8929</v>
      </c>
      <c r="Z1279" t="n">
        <v>0.00040526</v>
      </c>
      <c r="AA1279" t="n">
        <v>0.626367</v>
      </c>
      <c r="AB1279" t="n">
        <v>2642.4098</v>
      </c>
      <c r="AC1279" t="n">
        <v>1321.2049</v>
      </c>
      <c r="AD1279" t="n">
        <v>-132560.0005</v>
      </c>
      <c r="AE1279" t="n">
        <v>329867.0549</v>
      </c>
      <c r="AF1279" t="n">
        <v>0.99</v>
      </c>
      <c r="AG1279" t="inlineStr">
        <is>
          <t>High</t>
        </is>
      </c>
      <c r="AH1279" t="inlineStr">
        <is>
          <t>On Track to Glide Path</t>
        </is>
      </c>
    </row>
    <row r="1280">
      <c r="A1280" t="inlineStr">
        <is>
          <t>SUP-0080</t>
        </is>
      </c>
      <c r="B1280" t="inlineStr">
        <is>
          <t>Packaging Supplier 080</t>
        </is>
      </c>
      <c r="C1280" t="inlineStr">
        <is>
          <t>Packaging</t>
        </is>
      </c>
      <c r="D1280" t="n">
        <v>2024</v>
      </c>
      <c r="E1280" t="n">
        <v>2019</v>
      </c>
      <c r="F1280" t="n">
        <v>2040</v>
      </c>
      <c r="G1280" t="n">
        <v>38183.2936</v>
      </c>
      <c r="H1280" t="inlineStr"/>
      <c r="I1280" t="n">
        <v>3626.179</v>
      </c>
      <c r="J1280" t="n">
        <v>26461.5454</v>
      </c>
      <c r="K1280" t="n">
        <v>36949086.81</v>
      </c>
      <c r="L1280" t="n">
        <v>75278079.55</v>
      </c>
      <c r="M1280" t="n">
        <v>38183.2936</v>
      </c>
      <c r="N1280" t="inlineStr">
        <is>
          <t>Supplier Reported Emissions</t>
        </is>
      </c>
      <c r="O1280" t="b">
        <v>0</v>
      </c>
      <c r="P1280" t="inlineStr">
        <is>
          <t>High</t>
        </is>
      </c>
      <c r="Q1280" t="inlineStr">
        <is>
          <t>Scope_Emissions</t>
        </is>
      </c>
      <c r="R1280" t="inlineStr">
        <is>
          <t>Valid</t>
        </is>
      </c>
      <c r="S1280" t="n">
        <v>2039</v>
      </c>
      <c r="T1280" t="inlineStr">
        <is>
          <t>Supplier Target Pathway</t>
        </is>
      </c>
      <c r="U1280" t="n">
        <v>40076.9936</v>
      </c>
      <c r="V1280" t="n">
        <v>12331.6909</v>
      </c>
      <c r="W1280" t="n">
        <v>13652.8958</v>
      </c>
      <c r="X1280" t="n">
        <v>13652.8958</v>
      </c>
      <c r="Y1280" t="n">
        <v>26424.0978</v>
      </c>
      <c r="Z1280" t="n">
        <v>0.00036951</v>
      </c>
      <c r="AA1280" t="n">
        <v>0.6593329999999999</v>
      </c>
      <c r="AB1280" t="n">
        <v>1321.2049</v>
      </c>
      <c r="AC1280" t="n">
        <v>1321.2049</v>
      </c>
      <c r="AD1280" t="n">
        <v>-146212.8963</v>
      </c>
      <c r="AE1280" t="n">
        <v>343519.9507</v>
      </c>
      <c r="AF1280" t="n">
        <v>0.99</v>
      </c>
      <c r="AG1280" t="inlineStr">
        <is>
          <t>Medium</t>
        </is>
      </c>
      <c r="AH1280" t="inlineStr">
        <is>
          <t>On Track to Glide Path</t>
        </is>
      </c>
    </row>
    <row r="1281">
      <c r="A1281" t="inlineStr">
        <is>
          <t>SUP-0080</t>
        </is>
      </c>
      <c r="B1281" t="inlineStr">
        <is>
          <t>Packaging Supplier 080</t>
        </is>
      </c>
      <c r="C1281" t="inlineStr">
        <is>
          <t>Packaging</t>
        </is>
      </c>
      <c r="D1281" t="n">
        <v>2024</v>
      </c>
      <c r="E1281" t="n">
        <v>2019</v>
      </c>
      <c r="F1281" t="n">
        <v>2040</v>
      </c>
      <c r="G1281" t="n">
        <v>38183.2936</v>
      </c>
      <c r="H1281" t="inlineStr"/>
      <c r="I1281" t="n">
        <v>3626.179</v>
      </c>
      <c r="J1281" t="n">
        <v>26461.5454</v>
      </c>
      <c r="K1281" t="n">
        <v>36949086.81</v>
      </c>
      <c r="L1281" t="n">
        <v>75278079.55</v>
      </c>
      <c r="M1281" t="n">
        <v>38183.2936</v>
      </c>
      <c r="N1281" t="inlineStr">
        <is>
          <t>Supplier Reported Emissions</t>
        </is>
      </c>
      <c r="O1281" t="b">
        <v>0</v>
      </c>
      <c r="P1281" t="inlineStr">
        <is>
          <t>High</t>
        </is>
      </c>
      <c r="Q1281" t="inlineStr">
        <is>
          <t>Scope_Emissions</t>
        </is>
      </c>
      <c r="R1281" t="inlineStr">
        <is>
          <t>Valid</t>
        </is>
      </c>
      <c r="S1281" t="n">
        <v>2040</v>
      </c>
      <c r="T1281" t="inlineStr">
        <is>
          <t>Supplier Target Pathway</t>
        </is>
      </c>
      <c r="U1281" t="n">
        <v>40076.9936</v>
      </c>
      <c r="V1281" t="n">
        <v>12331.6909</v>
      </c>
      <c r="W1281" t="n">
        <v>12331.6909</v>
      </c>
      <c r="X1281" t="n">
        <v>12331.6909</v>
      </c>
      <c r="Y1281" t="n">
        <v>27745.3027</v>
      </c>
      <c r="Z1281" t="n">
        <v>0.00033375</v>
      </c>
      <c r="AA1281" t="n">
        <v>0.6923</v>
      </c>
      <c r="AB1281" t="n">
        <v>0</v>
      </c>
      <c r="AC1281" t="n">
        <v>1321.2049</v>
      </c>
      <c r="AD1281" t="n">
        <v>-158544.5872</v>
      </c>
      <c r="AE1281" t="n">
        <v>355851.6416</v>
      </c>
      <c r="AF1281" t="n">
        <v>0.99</v>
      </c>
      <c r="AG1281" t="inlineStr">
        <is>
          <t>Low</t>
        </is>
      </c>
      <c r="AH1281" t="inlineStr">
        <is>
          <t>On Track</t>
        </is>
      </c>
    </row>
    <row r="1282">
      <c r="A1282" t="inlineStr">
        <is>
          <t>SUP-0081</t>
        </is>
      </c>
      <c r="B1282" t="inlineStr">
        <is>
          <t>Textiles Supplier 081</t>
        </is>
      </c>
      <c r="C1282" t="inlineStr">
        <is>
          <t>Textiles</t>
        </is>
      </c>
      <c r="D1282" t="n">
        <v>2024</v>
      </c>
      <c r="E1282" t="n">
        <v>2015</v>
      </c>
      <c r="F1282" t="n">
        <v>2030</v>
      </c>
      <c r="G1282" t="n">
        <v>11296.2797</v>
      </c>
      <c r="H1282" t="n">
        <v>2190.8976</v>
      </c>
      <c r="I1282" t="n">
        <v>2408.1676</v>
      </c>
      <c r="J1282" t="n">
        <v>6408.7793</v>
      </c>
      <c r="K1282" t="n">
        <v>43956534.22</v>
      </c>
      <c r="L1282" t="n">
        <v>359245885.22</v>
      </c>
      <c r="M1282" t="n">
        <v>11296.2797</v>
      </c>
      <c r="N1282" t="inlineStr">
        <is>
          <t>Supplier Reported Emissions</t>
        </is>
      </c>
      <c r="O1282" t="b">
        <v>0</v>
      </c>
      <c r="P1282" t="inlineStr">
        <is>
          <t>High</t>
        </is>
      </c>
      <c r="Q1282" t="inlineStr">
        <is>
          <t>None</t>
        </is>
      </c>
      <c r="R1282" t="inlineStr">
        <is>
          <t>Valid</t>
        </is>
      </c>
      <c r="S1282" t="n">
        <v>2025</v>
      </c>
      <c r="T1282" t="inlineStr">
        <is>
          <t>Industry Haircut Pathway</t>
        </is>
      </c>
      <c r="U1282" t="n">
        <v>4772.8928</v>
      </c>
      <c r="V1282" t="n">
        <v>3259.4085</v>
      </c>
      <c r="W1282" t="n">
        <v>3763.9033</v>
      </c>
      <c r="X1282" t="n">
        <v>3763.9033</v>
      </c>
      <c r="Y1282" t="n">
        <v>1008.9895</v>
      </c>
      <c r="Z1282" t="n">
        <v>8.563000000000001e-05</v>
      </c>
      <c r="AA1282" t="n">
        <v>0.2114</v>
      </c>
      <c r="AB1282" t="n">
        <v>504.4948</v>
      </c>
      <c r="AC1282" t="n">
        <v>100.899</v>
      </c>
      <c r="AD1282" t="n">
        <v>15792.5477</v>
      </c>
      <c r="AE1282" t="n">
        <v>3763.9033</v>
      </c>
      <c r="AF1282" t="n">
        <v>0.918</v>
      </c>
      <c r="AG1282" t="inlineStr">
        <is>
          <t>High</t>
        </is>
      </c>
      <c r="AH1282" t="inlineStr">
        <is>
          <t>On Track to Glide Path</t>
        </is>
      </c>
    </row>
    <row r="1283">
      <c r="A1283" t="inlineStr">
        <is>
          <t>SUP-0081</t>
        </is>
      </c>
      <c r="B1283" t="inlineStr">
        <is>
          <t>Textiles Supplier 081</t>
        </is>
      </c>
      <c r="C1283" t="inlineStr">
        <is>
          <t>Textiles</t>
        </is>
      </c>
      <c r="D1283" t="n">
        <v>2024</v>
      </c>
      <c r="E1283" t="n">
        <v>2015</v>
      </c>
      <c r="F1283" t="n">
        <v>2030</v>
      </c>
      <c r="G1283" t="n">
        <v>11296.2797</v>
      </c>
      <c r="H1283" t="n">
        <v>2190.8976</v>
      </c>
      <c r="I1283" t="n">
        <v>2408.1676</v>
      </c>
      <c r="J1283" t="n">
        <v>6408.7793</v>
      </c>
      <c r="K1283" t="n">
        <v>43956534.22</v>
      </c>
      <c r="L1283" t="n">
        <v>359245885.22</v>
      </c>
      <c r="M1283" t="n">
        <v>11296.2797</v>
      </c>
      <c r="N1283" t="inlineStr">
        <is>
          <t>Supplier Reported Emissions</t>
        </is>
      </c>
      <c r="O1283" t="b">
        <v>0</v>
      </c>
      <c r="P1283" t="inlineStr">
        <is>
          <t>High</t>
        </is>
      </c>
      <c r="Q1283" t="inlineStr">
        <is>
          <t>None</t>
        </is>
      </c>
      <c r="R1283" t="inlineStr">
        <is>
          <t>Valid</t>
        </is>
      </c>
      <c r="S1283" t="n">
        <v>2026</v>
      </c>
      <c r="T1283" t="inlineStr">
        <is>
          <t>Industry Haircut Pathway</t>
        </is>
      </c>
      <c r="U1283" t="n">
        <v>4772.8928</v>
      </c>
      <c r="V1283" t="n">
        <v>3259.4085</v>
      </c>
      <c r="W1283" t="n">
        <v>3663.0043</v>
      </c>
      <c r="X1283" t="n">
        <v>3663.0043</v>
      </c>
      <c r="Y1283" t="n">
        <v>1109.8885</v>
      </c>
      <c r="Z1283" t="n">
        <v>8.333e-05</v>
      </c>
      <c r="AA1283" t="n">
        <v>0.23254</v>
      </c>
      <c r="AB1283" t="n">
        <v>403.5958</v>
      </c>
      <c r="AC1283" t="n">
        <v>100.899</v>
      </c>
      <c r="AD1283" t="n">
        <v>12129.5434</v>
      </c>
      <c r="AE1283" t="n">
        <v>7426.9076</v>
      </c>
      <c r="AF1283" t="n">
        <v>0.918</v>
      </c>
      <c r="AG1283" t="inlineStr">
        <is>
          <t>Medium</t>
        </is>
      </c>
      <c r="AH1283" t="inlineStr">
        <is>
          <t>On Track to Glide Path</t>
        </is>
      </c>
    </row>
    <row r="1284">
      <c r="A1284" t="inlineStr">
        <is>
          <t>SUP-0081</t>
        </is>
      </c>
      <c r="B1284" t="inlineStr">
        <is>
          <t>Textiles Supplier 081</t>
        </is>
      </c>
      <c r="C1284" t="inlineStr">
        <is>
          <t>Textiles</t>
        </is>
      </c>
      <c r="D1284" t="n">
        <v>2024</v>
      </c>
      <c r="E1284" t="n">
        <v>2015</v>
      </c>
      <c r="F1284" t="n">
        <v>2030</v>
      </c>
      <c r="G1284" t="n">
        <v>11296.2797</v>
      </c>
      <c r="H1284" t="n">
        <v>2190.8976</v>
      </c>
      <c r="I1284" t="n">
        <v>2408.1676</v>
      </c>
      <c r="J1284" t="n">
        <v>6408.7793</v>
      </c>
      <c r="K1284" t="n">
        <v>43956534.22</v>
      </c>
      <c r="L1284" t="n">
        <v>359245885.22</v>
      </c>
      <c r="M1284" t="n">
        <v>11296.2797</v>
      </c>
      <c r="N1284" t="inlineStr">
        <is>
          <t>Supplier Reported Emissions</t>
        </is>
      </c>
      <c r="O1284" t="b">
        <v>0</v>
      </c>
      <c r="P1284" t="inlineStr">
        <is>
          <t>High</t>
        </is>
      </c>
      <c r="Q1284" t="inlineStr">
        <is>
          <t>None</t>
        </is>
      </c>
      <c r="R1284" t="inlineStr">
        <is>
          <t>Valid</t>
        </is>
      </c>
      <c r="S1284" t="n">
        <v>2027</v>
      </c>
      <c r="T1284" t="inlineStr">
        <is>
          <t>Industry Haircut Pathway</t>
        </is>
      </c>
      <c r="U1284" t="n">
        <v>4772.8928</v>
      </c>
      <c r="V1284" t="n">
        <v>3259.4085</v>
      </c>
      <c r="W1284" t="n">
        <v>3562.1054</v>
      </c>
      <c r="X1284" t="n">
        <v>3562.1054</v>
      </c>
      <c r="Y1284" t="n">
        <v>1210.7874</v>
      </c>
      <c r="Z1284" t="n">
        <v>8.104e-05</v>
      </c>
      <c r="AA1284" t="n">
        <v>0.25368</v>
      </c>
      <c r="AB1284" t="n">
        <v>302.6969</v>
      </c>
      <c r="AC1284" t="n">
        <v>100.899</v>
      </c>
      <c r="AD1284" t="n">
        <v>8567.438</v>
      </c>
      <c r="AE1284" t="n">
        <v>10989.013</v>
      </c>
      <c r="AF1284" t="n">
        <v>0.918</v>
      </c>
      <c r="AG1284" t="inlineStr">
        <is>
          <t>Medium</t>
        </is>
      </c>
      <c r="AH1284" t="inlineStr">
        <is>
          <t>On Track to Glide Path</t>
        </is>
      </c>
    </row>
    <row r="1285">
      <c r="A1285" t="inlineStr">
        <is>
          <t>SUP-0081</t>
        </is>
      </c>
      <c r="B1285" t="inlineStr">
        <is>
          <t>Textiles Supplier 081</t>
        </is>
      </c>
      <c r="C1285" t="inlineStr">
        <is>
          <t>Textiles</t>
        </is>
      </c>
      <c r="D1285" t="n">
        <v>2024</v>
      </c>
      <c r="E1285" t="n">
        <v>2015</v>
      </c>
      <c r="F1285" t="n">
        <v>2030</v>
      </c>
      <c r="G1285" t="n">
        <v>11296.2797</v>
      </c>
      <c r="H1285" t="n">
        <v>2190.8976</v>
      </c>
      <c r="I1285" t="n">
        <v>2408.1676</v>
      </c>
      <c r="J1285" t="n">
        <v>6408.7793</v>
      </c>
      <c r="K1285" t="n">
        <v>43956534.22</v>
      </c>
      <c r="L1285" t="n">
        <v>359245885.22</v>
      </c>
      <c r="M1285" t="n">
        <v>11296.2797</v>
      </c>
      <c r="N1285" t="inlineStr">
        <is>
          <t>Supplier Reported Emissions</t>
        </is>
      </c>
      <c r="O1285" t="b">
        <v>0</v>
      </c>
      <c r="P1285" t="inlineStr">
        <is>
          <t>High</t>
        </is>
      </c>
      <c r="Q1285" t="inlineStr">
        <is>
          <t>None</t>
        </is>
      </c>
      <c r="R1285" t="inlineStr">
        <is>
          <t>Valid</t>
        </is>
      </c>
      <c r="S1285" t="n">
        <v>2028</v>
      </c>
      <c r="T1285" t="inlineStr">
        <is>
          <t>Industry Haircut Pathway</t>
        </is>
      </c>
      <c r="U1285" t="n">
        <v>4772.8928</v>
      </c>
      <c r="V1285" t="n">
        <v>3259.4085</v>
      </c>
      <c r="W1285" t="n">
        <v>3461.2064</v>
      </c>
      <c r="X1285" t="n">
        <v>3461.2064</v>
      </c>
      <c r="Y1285" t="n">
        <v>1311.6864</v>
      </c>
      <c r="Z1285" t="n">
        <v>7.873999999999999e-05</v>
      </c>
      <c r="AA1285" t="n">
        <v>0.27482</v>
      </c>
      <c r="AB1285" t="n">
        <v>201.7979</v>
      </c>
      <c r="AC1285" t="n">
        <v>100.899</v>
      </c>
      <c r="AD1285" t="n">
        <v>5106.2316</v>
      </c>
      <c r="AE1285" t="n">
        <v>14450.2194</v>
      </c>
      <c r="AF1285" t="n">
        <v>0.918</v>
      </c>
      <c r="AG1285" t="inlineStr">
        <is>
          <t>Medium</t>
        </is>
      </c>
      <c r="AH1285" t="inlineStr">
        <is>
          <t>On Track to Glide Path</t>
        </is>
      </c>
    </row>
    <row r="1286">
      <c r="A1286" t="inlineStr">
        <is>
          <t>SUP-0081</t>
        </is>
      </c>
      <c r="B1286" t="inlineStr">
        <is>
          <t>Textiles Supplier 081</t>
        </is>
      </c>
      <c r="C1286" t="inlineStr">
        <is>
          <t>Textiles</t>
        </is>
      </c>
      <c r="D1286" t="n">
        <v>2024</v>
      </c>
      <c r="E1286" t="n">
        <v>2015</v>
      </c>
      <c r="F1286" t="n">
        <v>2030</v>
      </c>
      <c r="G1286" t="n">
        <v>11296.2797</v>
      </c>
      <c r="H1286" t="n">
        <v>2190.8976</v>
      </c>
      <c r="I1286" t="n">
        <v>2408.1676</v>
      </c>
      <c r="J1286" t="n">
        <v>6408.7793</v>
      </c>
      <c r="K1286" t="n">
        <v>43956534.22</v>
      </c>
      <c r="L1286" t="n">
        <v>359245885.22</v>
      </c>
      <c r="M1286" t="n">
        <v>11296.2797</v>
      </c>
      <c r="N1286" t="inlineStr">
        <is>
          <t>Supplier Reported Emissions</t>
        </is>
      </c>
      <c r="O1286" t="b">
        <v>0</v>
      </c>
      <c r="P1286" t="inlineStr">
        <is>
          <t>High</t>
        </is>
      </c>
      <c r="Q1286" t="inlineStr">
        <is>
          <t>None</t>
        </is>
      </c>
      <c r="R1286" t="inlineStr">
        <is>
          <t>Valid</t>
        </is>
      </c>
      <c r="S1286" t="n">
        <v>2029</v>
      </c>
      <c r="T1286" t="inlineStr">
        <is>
          <t>Industry Haircut Pathway</t>
        </is>
      </c>
      <c r="U1286" t="n">
        <v>4772.8928</v>
      </c>
      <c r="V1286" t="n">
        <v>3259.4085</v>
      </c>
      <c r="W1286" t="n">
        <v>3360.3074</v>
      </c>
      <c r="X1286" t="n">
        <v>3360.3074</v>
      </c>
      <c r="Y1286" t="n">
        <v>1412.5854</v>
      </c>
      <c r="Z1286" t="n">
        <v>7.645e-05</v>
      </c>
      <c r="AA1286" t="n">
        <v>0.29596</v>
      </c>
      <c r="AB1286" t="n">
        <v>100.899</v>
      </c>
      <c r="AC1286" t="n">
        <v>100.899</v>
      </c>
      <c r="AD1286" t="n">
        <v>1745.9242</v>
      </c>
      <c r="AE1286" t="n">
        <v>17810.5268</v>
      </c>
      <c r="AF1286" t="n">
        <v>0.918</v>
      </c>
      <c r="AG1286" t="inlineStr">
        <is>
          <t>Medium</t>
        </is>
      </c>
      <c r="AH1286" t="inlineStr">
        <is>
          <t>On Track to Glide Path</t>
        </is>
      </c>
    </row>
    <row r="1287">
      <c r="A1287" t="inlineStr">
        <is>
          <t>SUP-0081</t>
        </is>
      </c>
      <c r="B1287" t="inlineStr">
        <is>
          <t>Textiles Supplier 081</t>
        </is>
      </c>
      <c r="C1287" t="inlineStr">
        <is>
          <t>Textiles</t>
        </is>
      </c>
      <c r="D1287" t="n">
        <v>2024</v>
      </c>
      <c r="E1287" t="n">
        <v>2015</v>
      </c>
      <c r="F1287" t="n">
        <v>2030</v>
      </c>
      <c r="G1287" t="n">
        <v>11296.2797</v>
      </c>
      <c r="H1287" t="n">
        <v>2190.8976</v>
      </c>
      <c r="I1287" t="n">
        <v>2408.1676</v>
      </c>
      <c r="J1287" t="n">
        <v>6408.7793</v>
      </c>
      <c r="K1287" t="n">
        <v>43956534.22</v>
      </c>
      <c r="L1287" t="n">
        <v>359245885.22</v>
      </c>
      <c r="M1287" t="n">
        <v>11296.2797</v>
      </c>
      <c r="N1287" t="inlineStr">
        <is>
          <t>Supplier Reported Emissions</t>
        </is>
      </c>
      <c r="O1287" t="b">
        <v>0</v>
      </c>
      <c r="P1287" t="inlineStr">
        <is>
          <t>High</t>
        </is>
      </c>
      <c r="Q1287" t="inlineStr">
        <is>
          <t>None</t>
        </is>
      </c>
      <c r="R1287" t="inlineStr">
        <is>
          <t>Valid</t>
        </is>
      </c>
      <c r="S1287" t="n">
        <v>2030</v>
      </c>
      <c r="T1287" t="inlineStr">
        <is>
          <t>Industry Haircut Pathway</t>
        </is>
      </c>
      <c r="U1287" t="n">
        <v>4772.8928</v>
      </c>
      <c r="V1287" t="n">
        <v>3259.4085</v>
      </c>
      <c r="W1287" t="n">
        <v>3259.4085</v>
      </c>
      <c r="X1287" t="n">
        <v>3259.4085</v>
      </c>
      <c r="Y1287" t="n">
        <v>1513.4843</v>
      </c>
      <c r="Z1287" t="n">
        <v>7.415e-05</v>
      </c>
      <c r="AA1287" t="n">
        <v>0.3171</v>
      </c>
      <c r="AB1287" t="n">
        <v>0</v>
      </c>
      <c r="AC1287" t="n">
        <v>100.899</v>
      </c>
      <c r="AD1287" t="n">
        <v>-1513.4843</v>
      </c>
      <c r="AE1287" t="n">
        <v>21069.9353</v>
      </c>
      <c r="AF1287" t="n">
        <v>0.918</v>
      </c>
      <c r="AG1287" t="inlineStr">
        <is>
          <t>Low</t>
        </is>
      </c>
      <c r="AH1287" t="inlineStr">
        <is>
          <t>On Track</t>
        </is>
      </c>
    </row>
    <row r="1288">
      <c r="A1288" t="inlineStr">
        <is>
          <t>SUP-0081</t>
        </is>
      </c>
      <c r="B1288" t="inlineStr">
        <is>
          <t>Textiles Supplier 081</t>
        </is>
      </c>
      <c r="C1288" t="inlineStr">
        <is>
          <t>Textiles</t>
        </is>
      </c>
      <c r="D1288" t="n">
        <v>2024</v>
      </c>
      <c r="E1288" t="n">
        <v>2015</v>
      </c>
      <c r="F1288" t="n">
        <v>2030</v>
      </c>
      <c r="G1288" t="n">
        <v>11296.2797</v>
      </c>
      <c r="H1288" t="n">
        <v>2190.8976</v>
      </c>
      <c r="I1288" t="n">
        <v>2408.1676</v>
      </c>
      <c r="J1288" t="n">
        <v>6408.7793</v>
      </c>
      <c r="K1288" t="n">
        <v>43956534.22</v>
      </c>
      <c r="L1288" t="n">
        <v>359245885.22</v>
      </c>
      <c r="M1288" t="n">
        <v>11296.2797</v>
      </c>
      <c r="N1288" t="inlineStr">
        <is>
          <t>Supplier Reported Emissions</t>
        </is>
      </c>
      <c r="O1288" t="b">
        <v>0</v>
      </c>
      <c r="P1288" t="inlineStr">
        <is>
          <t>High</t>
        </is>
      </c>
      <c r="Q1288" t="inlineStr">
        <is>
          <t>None</t>
        </is>
      </c>
      <c r="R1288" t="inlineStr">
        <is>
          <t>Valid</t>
        </is>
      </c>
      <c r="S1288" t="n">
        <v>2031</v>
      </c>
      <c r="T1288" t="inlineStr">
        <is>
          <t>Industry Haircut Pathway</t>
        </is>
      </c>
      <c r="U1288" t="n">
        <v>4772.8928</v>
      </c>
      <c r="V1288" t="n">
        <v>3259.4085</v>
      </c>
      <c r="W1288" t="n">
        <v>3259.4085</v>
      </c>
      <c r="X1288" t="n">
        <v>3259.4085</v>
      </c>
      <c r="Y1288" t="n">
        <v>1513.4843</v>
      </c>
      <c r="Z1288" t="n">
        <v>7.415e-05</v>
      </c>
      <c r="AA1288" t="n">
        <v>0.3171</v>
      </c>
      <c r="AB1288" t="n">
        <v>0</v>
      </c>
      <c r="AC1288" t="n">
        <v>100.899</v>
      </c>
      <c r="AD1288" t="n">
        <v>-4772.8928</v>
      </c>
      <c r="AE1288" t="n">
        <v>24329.3438</v>
      </c>
      <c r="AF1288" t="n">
        <v>0.918</v>
      </c>
      <c r="AG1288" t="inlineStr">
        <is>
          <t>Low</t>
        </is>
      </c>
      <c r="AH1288" t="inlineStr">
        <is>
          <t>On Track</t>
        </is>
      </c>
    </row>
    <row r="1289">
      <c r="A1289" t="inlineStr">
        <is>
          <t>SUP-0081</t>
        </is>
      </c>
      <c r="B1289" t="inlineStr">
        <is>
          <t>Textiles Supplier 081</t>
        </is>
      </c>
      <c r="C1289" t="inlineStr">
        <is>
          <t>Textiles</t>
        </is>
      </c>
      <c r="D1289" t="n">
        <v>2024</v>
      </c>
      <c r="E1289" t="n">
        <v>2015</v>
      </c>
      <c r="F1289" t="n">
        <v>2030</v>
      </c>
      <c r="G1289" t="n">
        <v>11296.2797</v>
      </c>
      <c r="H1289" t="n">
        <v>2190.8976</v>
      </c>
      <c r="I1289" t="n">
        <v>2408.1676</v>
      </c>
      <c r="J1289" t="n">
        <v>6408.7793</v>
      </c>
      <c r="K1289" t="n">
        <v>43956534.22</v>
      </c>
      <c r="L1289" t="n">
        <v>359245885.22</v>
      </c>
      <c r="M1289" t="n">
        <v>11296.2797</v>
      </c>
      <c r="N1289" t="inlineStr">
        <is>
          <t>Supplier Reported Emissions</t>
        </is>
      </c>
      <c r="O1289" t="b">
        <v>0</v>
      </c>
      <c r="P1289" t="inlineStr">
        <is>
          <t>High</t>
        </is>
      </c>
      <c r="Q1289" t="inlineStr">
        <is>
          <t>None</t>
        </is>
      </c>
      <c r="R1289" t="inlineStr">
        <is>
          <t>Valid</t>
        </is>
      </c>
      <c r="S1289" t="n">
        <v>2032</v>
      </c>
      <c r="T1289" t="inlineStr">
        <is>
          <t>Industry Haircut Pathway</t>
        </is>
      </c>
      <c r="U1289" t="n">
        <v>4772.8928</v>
      </c>
      <c r="V1289" t="n">
        <v>3259.4085</v>
      </c>
      <c r="W1289" t="n">
        <v>3259.4085</v>
      </c>
      <c r="X1289" t="n">
        <v>3259.4085</v>
      </c>
      <c r="Y1289" t="n">
        <v>1513.4843</v>
      </c>
      <c r="Z1289" t="n">
        <v>7.415e-05</v>
      </c>
      <c r="AA1289" t="n">
        <v>0.3171</v>
      </c>
      <c r="AB1289" t="n">
        <v>0</v>
      </c>
      <c r="AC1289" t="n">
        <v>100.899</v>
      </c>
      <c r="AD1289" t="n">
        <v>-8032.3013</v>
      </c>
      <c r="AE1289" t="n">
        <v>27588.7523</v>
      </c>
      <c r="AF1289" t="n">
        <v>0.918</v>
      </c>
      <c r="AG1289" t="inlineStr">
        <is>
          <t>Low</t>
        </is>
      </c>
      <c r="AH1289" t="inlineStr">
        <is>
          <t>On Track</t>
        </is>
      </c>
    </row>
    <row r="1290">
      <c r="A1290" t="inlineStr">
        <is>
          <t>SUP-0081</t>
        </is>
      </c>
      <c r="B1290" t="inlineStr">
        <is>
          <t>Textiles Supplier 081</t>
        </is>
      </c>
      <c r="C1290" t="inlineStr">
        <is>
          <t>Textiles</t>
        </is>
      </c>
      <c r="D1290" t="n">
        <v>2024</v>
      </c>
      <c r="E1290" t="n">
        <v>2015</v>
      </c>
      <c r="F1290" t="n">
        <v>2030</v>
      </c>
      <c r="G1290" t="n">
        <v>11296.2797</v>
      </c>
      <c r="H1290" t="n">
        <v>2190.8976</v>
      </c>
      <c r="I1290" t="n">
        <v>2408.1676</v>
      </c>
      <c r="J1290" t="n">
        <v>6408.7793</v>
      </c>
      <c r="K1290" t="n">
        <v>43956534.22</v>
      </c>
      <c r="L1290" t="n">
        <v>359245885.22</v>
      </c>
      <c r="M1290" t="n">
        <v>11296.2797</v>
      </c>
      <c r="N1290" t="inlineStr">
        <is>
          <t>Supplier Reported Emissions</t>
        </is>
      </c>
      <c r="O1290" t="b">
        <v>0</v>
      </c>
      <c r="P1290" t="inlineStr">
        <is>
          <t>High</t>
        </is>
      </c>
      <c r="Q1290" t="inlineStr">
        <is>
          <t>None</t>
        </is>
      </c>
      <c r="R1290" t="inlineStr">
        <is>
          <t>Valid</t>
        </is>
      </c>
      <c r="S1290" t="n">
        <v>2033</v>
      </c>
      <c r="T1290" t="inlineStr">
        <is>
          <t>Industry Haircut Pathway</t>
        </is>
      </c>
      <c r="U1290" t="n">
        <v>4772.8928</v>
      </c>
      <c r="V1290" t="n">
        <v>3259.4085</v>
      </c>
      <c r="W1290" t="n">
        <v>3259.4085</v>
      </c>
      <c r="X1290" t="n">
        <v>3259.4085</v>
      </c>
      <c r="Y1290" t="n">
        <v>1513.4843</v>
      </c>
      <c r="Z1290" t="n">
        <v>7.415e-05</v>
      </c>
      <c r="AA1290" t="n">
        <v>0.3171</v>
      </c>
      <c r="AB1290" t="n">
        <v>0</v>
      </c>
      <c r="AC1290" t="n">
        <v>100.899</v>
      </c>
      <c r="AD1290" t="n">
        <v>-11291.7098</v>
      </c>
      <c r="AE1290" t="n">
        <v>30848.1608</v>
      </c>
      <c r="AF1290" t="n">
        <v>0.918</v>
      </c>
      <c r="AG1290" t="inlineStr">
        <is>
          <t>Low</t>
        </is>
      </c>
      <c r="AH1290" t="inlineStr">
        <is>
          <t>On Track</t>
        </is>
      </c>
    </row>
    <row r="1291">
      <c r="A1291" t="inlineStr">
        <is>
          <t>SUP-0081</t>
        </is>
      </c>
      <c r="B1291" t="inlineStr">
        <is>
          <t>Textiles Supplier 081</t>
        </is>
      </c>
      <c r="C1291" t="inlineStr">
        <is>
          <t>Textiles</t>
        </is>
      </c>
      <c r="D1291" t="n">
        <v>2024</v>
      </c>
      <c r="E1291" t="n">
        <v>2015</v>
      </c>
      <c r="F1291" t="n">
        <v>2030</v>
      </c>
      <c r="G1291" t="n">
        <v>11296.2797</v>
      </c>
      <c r="H1291" t="n">
        <v>2190.8976</v>
      </c>
      <c r="I1291" t="n">
        <v>2408.1676</v>
      </c>
      <c r="J1291" t="n">
        <v>6408.7793</v>
      </c>
      <c r="K1291" t="n">
        <v>43956534.22</v>
      </c>
      <c r="L1291" t="n">
        <v>359245885.22</v>
      </c>
      <c r="M1291" t="n">
        <v>11296.2797</v>
      </c>
      <c r="N1291" t="inlineStr">
        <is>
          <t>Supplier Reported Emissions</t>
        </is>
      </c>
      <c r="O1291" t="b">
        <v>0</v>
      </c>
      <c r="P1291" t="inlineStr">
        <is>
          <t>High</t>
        </is>
      </c>
      <c r="Q1291" t="inlineStr">
        <is>
          <t>None</t>
        </is>
      </c>
      <c r="R1291" t="inlineStr">
        <is>
          <t>Valid</t>
        </is>
      </c>
      <c r="S1291" t="n">
        <v>2034</v>
      </c>
      <c r="T1291" t="inlineStr">
        <is>
          <t>Industry Haircut Pathway</t>
        </is>
      </c>
      <c r="U1291" t="n">
        <v>4772.8928</v>
      </c>
      <c r="V1291" t="n">
        <v>3259.4085</v>
      </c>
      <c r="W1291" t="n">
        <v>3259.4085</v>
      </c>
      <c r="X1291" t="n">
        <v>3259.4085</v>
      </c>
      <c r="Y1291" t="n">
        <v>1513.4843</v>
      </c>
      <c r="Z1291" t="n">
        <v>7.415e-05</v>
      </c>
      <c r="AA1291" t="n">
        <v>0.3171</v>
      </c>
      <c r="AB1291" t="n">
        <v>0</v>
      </c>
      <c r="AC1291" t="n">
        <v>100.899</v>
      </c>
      <c r="AD1291" t="n">
        <v>-14551.1183</v>
      </c>
      <c r="AE1291" t="n">
        <v>34107.5693</v>
      </c>
      <c r="AF1291" t="n">
        <v>0.918</v>
      </c>
      <c r="AG1291" t="inlineStr">
        <is>
          <t>Low</t>
        </is>
      </c>
      <c r="AH1291" t="inlineStr">
        <is>
          <t>On Track</t>
        </is>
      </c>
    </row>
    <row r="1292">
      <c r="A1292" t="inlineStr">
        <is>
          <t>SUP-0081</t>
        </is>
      </c>
      <c r="B1292" t="inlineStr">
        <is>
          <t>Textiles Supplier 081</t>
        </is>
      </c>
      <c r="C1292" t="inlineStr">
        <is>
          <t>Textiles</t>
        </is>
      </c>
      <c r="D1292" t="n">
        <v>2024</v>
      </c>
      <c r="E1292" t="n">
        <v>2015</v>
      </c>
      <c r="F1292" t="n">
        <v>2030</v>
      </c>
      <c r="G1292" t="n">
        <v>11296.2797</v>
      </c>
      <c r="H1292" t="n">
        <v>2190.8976</v>
      </c>
      <c r="I1292" t="n">
        <v>2408.1676</v>
      </c>
      <c r="J1292" t="n">
        <v>6408.7793</v>
      </c>
      <c r="K1292" t="n">
        <v>43956534.22</v>
      </c>
      <c r="L1292" t="n">
        <v>359245885.22</v>
      </c>
      <c r="M1292" t="n">
        <v>11296.2797</v>
      </c>
      <c r="N1292" t="inlineStr">
        <is>
          <t>Supplier Reported Emissions</t>
        </is>
      </c>
      <c r="O1292" t="b">
        <v>0</v>
      </c>
      <c r="P1292" t="inlineStr">
        <is>
          <t>High</t>
        </is>
      </c>
      <c r="Q1292" t="inlineStr">
        <is>
          <t>None</t>
        </is>
      </c>
      <c r="R1292" t="inlineStr">
        <is>
          <t>Valid</t>
        </is>
      </c>
      <c r="S1292" t="n">
        <v>2035</v>
      </c>
      <c r="T1292" t="inlineStr">
        <is>
          <t>Industry Haircut Pathway</t>
        </is>
      </c>
      <c r="U1292" t="n">
        <v>4772.8928</v>
      </c>
      <c r="V1292" t="n">
        <v>3259.4085</v>
      </c>
      <c r="W1292" t="n">
        <v>3259.4085</v>
      </c>
      <c r="X1292" t="n">
        <v>3259.4085</v>
      </c>
      <c r="Y1292" t="n">
        <v>1513.4843</v>
      </c>
      <c r="Z1292" t="n">
        <v>7.415e-05</v>
      </c>
      <c r="AA1292" t="n">
        <v>0.3171</v>
      </c>
      <c r="AB1292" t="n">
        <v>0</v>
      </c>
      <c r="AC1292" t="n">
        <v>100.899</v>
      </c>
      <c r="AD1292" t="n">
        <v>-17810.5268</v>
      </c>
      <c r="AE1292" t="n">
        <v>37366.9778</v>
      </c>
      <c r="AF1292" t="n">
        <v>0.918</v>
      </c>
      <c r="AG1292" t="inlineStr">
        <is>
          <t>Low</t>
        </is>
      </c>
      <c r="AH1292" t="inlineStr">
        <is>
          <t>On Track</t>
        </is>
      </c>
    </row>
    <row r="1293">
      <c r="A1293" t="inlineStr">
        <is>
          <t>SUP-0081</t>
        </is>
      </c>
      <c r="B1293" t="inlineStr">
        <is>
          <t>Textiles Supplier 081</t>
        </is>
      </c>
      <c r="C1293" t="inlineStr">
        <is>
          <t>Textiles</t>
        </is>
      </c>
      <c r="D1293" t="n">
        <v>2024</v>
      </c>
      <c r="E1293" t="n">
        <v>2015</v>
      </c>
      <c r="F1293" t="n">
        <v>2030</v>
      </c>
      <c r="G1293" t="n">
        <v>11296.2797</v>
      </c>
      <c r="H1293" t="n">
        <v>2190.8976</v>
      </c>
      <c r="I1293" t="n">
        <v>2408.1676</v>
      </c>
      <c r="J1293" t="n">
        <v>6408.7793</v>
      </c>
      <c r="K1293" t="n">
        <v>43956534.22</v>
      </c>
      <c r="L1293" t="n">
        <v>359245885.22</v>
      </c>
      <c r="M1293" t="n">
        <v>11296.2797</v>
      </c>
      <c r="N1293" t="inlineStr">
        <is>
          <t>Supplier Reported Emissions</t>
        </is>
      </c>
      <c r="O1293" t="b">
        <v>0</v>
      </c>
      <c r="P1293" t="inlineStr">
        <is>
          <t>High</t>
        </is>
      </c>
      <c r="Q1293" t="inlineStr">
        <is>
          <t>None</t>
        </is>
      </c>
      <c r="R1293" t="inlineStr">
        <is>
          <t>Valid</t>
        </is>
      </c>
      <c r="S1293" t="n">
        <v>2036</v>
      </c>
      <c r="T1293" t="inlineStr">
        <is>
          <t>Industry Haircut Pathway</t>
        </is>
      </c>
      <c r="U1293" t="n">
        <v>4772.8928</v>
      </c>
      <c r="V1293" t="n">
        <v>3259.4085</v>
      </c>
      <c r="W1293" t="n">
        <v>3259.4085</v>
      </c>
      <c r="X1293" t="n">
        <v>3259.4085</v>
      </c>
      <c r="Y1293" t="n">
        <v>1513.4843</v>
      </c>
      <c r="Z1293" t="n">
        <v>7.415e-05</v>
      </c>
      <c r="AA1293" t="n">
        <v>0.3171</v>
      </c>
      <c r="AB1293" t="n">
        <v>0</v>
      </c>
      <c r="AC1293" t="n">
        <v>100.899</v>
      </c>
      <c r="AD1293" t="n">
        <v>-21069.9353</v>
      </c>
      <c r="AE1293" t="n">
        <v>40626.3863</v>
      </c>
      <c r="AF1293" t="n">
        <v>0.918</v>
      </c>
      <c r="AG1293" t="inlineStr">
        <is>
          <t>Low</t>
        </is>
      </c>
      <c r="AH1293" t="inlineStr">
        <is>
          <t>On Track</t>
        </is>
      </c>
    </row>
    <row r="1294">
      <c r="A1294" t="inlineStr">
        <is>
          <t>SUP-0081</t>
        </is>
      </c>
      <c r="B1294" t="inlineStr">
        <is>
          <t>Textiles Supplier 081</t>
        </is>
      </c>
      <c r="C1294" t="inlineStr">
        <is>
          <t>Textiles</t>
        </is>
      </c>
      <c r="D1294" t="n">
        <v>2024</v>
      </c>
      <c r="E1294" t="n">
        <v>2015</v>
      </c>
      <c r="F1294" t="n">
        <v>2030</v>
      </c>
      <c r="G1294" t="n">
        <v>11296.2797</v>
      </c>
      <c r="H1294" t="n">
        <v>2190.8976</v>
      </c>
      <c r="I1294" t="n">
        <v>2408.1676</v>
      </c>
      <c r="J1294" t="n">
        <v>6408.7793</v>
      </c>
      <c r="K1294" t="n">
        <v>43956534.22</v>
      </c>
      <c r="L1294" t="n">
        <v>359245885.22</v>
      </c>
      <c r="M1294" t="n">
        <v>11296.2797</v>
      </c>
      <c r="N1294" t="inlineStr">
        <is>
          <t>Supplier Reported Emissions</t>
        </is>
      </c>
      <c r="O1294" t="b">
        <v>0</v>
      </c>
      <c r="P1294" t="inlineStr">
        <is>
          <t>High</t>
        </is>
      </c>
      <c r="Q1294" t="inlineStr">
        <is>
          <t>None</t>
        </is>
      </c>
      <c r="R1294" t="inlineStr">
        <is>
          <t>Valid</t>
        </is>
      </c>
      <c r="S1294" t="n">
        <v>2037</v>
      </c>
      <c r="T1294" t="inlineStr">
        <is>
          <t>Industry Haircut Pathway</t>
        </is>
      </c>
      <c r="U1294" t="n">
        <v>4772.8928</v>
      </c>
      <c r="V1294" t="n">
        <v>3259.4085</v>
      </c>
      <c r="W1294" t="n">
        <v>3259.4085</v>
      </c>
      <c r="X1294" t="n">
        <v>3259.4085</v>
      </c>
      <c r="Y1294" t="n">
        <v>1513.4843</v>
      </c>
      <c r="Z1294" t="n">
        <v>7.415e-05</v>
      </c>
      <c r="AA1294" t="n">
        <v>0.3171</v>
      </c>
      <c r="AB1294" t="n">
        <v>0</v>
      </c>
      <c r="AC1294" t="n">
        <v>100.899</v>
      </c>
      <c r="AD1294" t="n">
        <v>-24329.3438</v>
      </c>
      <c r="AE1294" t="n">
        <v>43885.7948</v>
      </c>
      <c r="AF1294" t="n">
        <v>0.918</v>
      </c>
      <c r="AG1294" t="inlineStr">
        <is>
          <t>Low</t>
        </is>
      </c>
      <c r="AH1294" t="inlineStr">
        <is>
          <t>On Track</t>
        </is>
      </c>
    </row>
    <row r="1295">
      <c r="A1295" t="inlineStr">
        <is>
          <t>SUP-0081</t>
        </is>
      </c>
      <c r="B1295" t="inlineStr">
        <is>
          <t>Textiles Supplier 081</t>
        </is>
      </c>
      <c r="C1295" t="inlineStr">
        <is>
          <t>Textiles</t>
        </is>
      </c>
      <c r="D1295" t="n">
        <v>2024</v>
      </c>
      <c r="E1295" t="n">
        <v>2015</v>
      </c>
      <c r="F1295" t="n">
        <v>2030</v>
      </c>
      <c r="G1295" t="n">
        <v>11296.2797</v>
      </c>
      <c r="H1295" t="n">
        <v>2190.8976</v>
      </c>
      <c r="I1295" t="n">
        <v>2408.1676</v>
      </c>
      <c r="J1295" t="n">
        <v>6408.7793</v>
      </c>
      <c r="K1295" t="n">
        <v>43956534.22</v>
      </c>
      <c r="L1295" t="n">
        <v>359245885.22</v>
      </c>
      <c r="M1295" t="n">
        <v>11296.2797</v>
      </c>
      <c r="N1295" t="inlineStr">
        <is>
          <t>Supplier Reported Emissions</t>
        </is>
      </c>
      <c r="O1295" t="b">
        <v>0</v>
      </c>
      <c r="P1295" t="inlineStr">
        <is>
          <t>High</t>
        </is>
      </c>
      <c r="Q1295" t="inlineStr">
        <is>
          <t>None</t>
        </is>
      </c>
      <c r="R1295" t="inlineStr">
        <is>
          <t>Valid</t>
        </is>
      </c>
      <c r="S1295" t="n">
        <v>2038</v>
      </c>
      <c r="T1295" t="inlineStr">
        <is>
          <t>Industry Haircut Pathway</t>
        </is>
      </c>
      <c r="U1295" t="n">
        <v>4772.8928</v>
      </c>
      <c r="V1295" t="n">
        <v>3259.4085</v>
      </c>
      <c r="W1295" t="n">
        <v>3259.4085</v>
      </c>
      <c r="X1295" t="n">
        <v>3259.4085</v>
      </c>
      <c r="Y1295" t="n">
        <v>1513.4843</v>
      </c>
      <c r="Z1295" t="n">
        <v>7.415e-05</v>
      </c>
      <c r="AA1295" t="n">
        <v>0.3171</v>
      </c>
      <c r="AB1295" t="n">
        <v>0</v>
      </c>
      <c r="AC1295" t="n">
        <v>100.899</v>
      </c>
      <c r="AD1295" t="n">
        <v>-27588.7523</v>
      </c>
      <c r="AE1295" t="n">
        <v>47145.2033</v>
      </c>
      <c r="AF1295" t="n">
        <v>0.918</v>
      </c>
      <c r="AG1295" t="inlineStr">
        <is>
          <t>Low</t>
        </is>
      </c>
      <c r="AH1295" t="inlineStr">
        <is>
          <t>On Track</t>
        </is>
      </c>
    </row>
    <row r="1296">
      <c r="A1296" t="inlineStr">
        <is>
          <t>SUP-0081</t>
        </is>
      </c>
      <c r="B1296" t="inlineStr">
        <is>
          <t>Textiles Supplier 081</t>
        </is>
      </c>
      <c r="C1296" t="inlineStr">
        <is>
          <t>Textiles</t>
        </is>
      </c>
      <c r="D1296" t="n">
        <v>2024</v>
      </c>
      <c r="E1296" t="n">
        <v>2015</v>
      </c>
      <c r="F1296" t="n">
        <v>2030</v>
      </c>
      <c r="G1296" t="n">
        <v>11296.2797</v>
      </c>
      <c r="H1296" t="n">
        <v>2190.8976</v>
      </c>
      <c r="I1296" t="n">
        <v>2408.1676</v>
      </c>
      <c r="J1296" t="n">
        <v>6408.7793</v>
      </c>
      <c r="K1296" t="n">
        <v>43956534.22</v>
      </c>
      <c r="L1296" t="n">
        <v>359245885.22</v>
      </c>
      <c r="M1296" t="n">
        <v>11296.2797</v>
      </c>
      <c r="N1296" t="inlineStr">
        <is>
          <t>Supplier Reported Emissions</t>
        </is>
      </c>
      <c r="O1296" t="b">
        <v>0</v>
      </c>
      <c r="P1296" t="inlineStr">
        <is>
          <t>High</t>
        </is>
      </c>
      <c r="Q1296" t="inlineStr">
        <is>
          <t>None</t>
        </is>
      </c>
      <c r="R1296" t="inlineStr">
        <is>
          <t>Valid</t>
        </is>
      </c>
      <c r="S1296" t="n">
        <v>2039</v>
      </c>
      <c r="T1296" t="inlineStr">
        <is>
          <t>Industry Haircut Pathway</t>
        </is>
      </c>
      <c r="U1296" t="n">
        <v>4772.8928</v>
      </c>
      <c r="V1296" t="n">
        <v>3259.4085</v>
      </c>
      <c r="W1296" t="n">
        <v>3259.4085</v>
      </c>
      <c r="X1296" t="n">
        <v>3259.4085</v>
      </c>
      <c r="Y1296" t="n">
        <v>1513.4843</v>
      </c>
      <c r="Z1296" t="n">
        <v>7.415e-05</v>
      </c>
      <c r="AA1296" t="n">
        <v>0.3171</v>
      </c>
      <c r="AB1296" t="n">
        <v>0</v>
      </c>
      <c r="AC1296" t="n">
        <v>100.899</v>
      </c>
      <c r="AD1296" t="n">
        <v>-30848.1608</v>
      </c>
      <c r="AE1296" t="n">
        <v>50404.6118</v>
      </c>
      <c r="AF1296" t="n">
        <v>0.918</v>
      </c>
      <c r="AG1296" t="inlineStr">
        <is>
          <t>Low</t>
        </is>
      </c>
      <c r="AH1296" t="inlineStr">
        <is>
          <t>On Track</t>
        </is>
      </c>
    </row>
    <row r="1297">
      <c r="A1297" t="inlineStr">
        <is>
          <t>SUP-0081</t>
        </is>
      </c>
      <c r="B1297" t="inlineStr">
        <is>
          <t>Textiles Supplier 081</t>
        </is>
      </c>
      <c r="C1297" t="inlineStr">
        <is>
          <t>Textiles</t>
        </is>
      </c>
      <c r="D1297" t="n">
        <v>2024</v>
      </c>
      <c r="E1297" t="n">
        <v>2015</v>
      </c>
      <c r="F1297" t="n">
        <v>2030</v>
      </c>
      <c r="G1297" t="n">
        <v>11296.2797</v>
      </c>
      <c r="H1297" t="n">
        <v>2190.8976</v>
      </c>
      <c r="I1297" t="n">
        <v>2408.1676</v>
      </c>
      <c r="J1297" t="n">
        <v>6408.7793</v>
      </c>
      <c r="K1297" t="n">
        <v>43956534.22</v>
      </c>
      <c r="L1297" t="n">
        <v>359245885.22</v>
      </c>
      <c r="M1297" t="n">
        <v>11296.2797</v>
      </c>
      <c r="N1297" t="inlineStr">
        <is>
          <t>Supplier Reported Emissions</t>
        </is>
      </c>
      <c r="O1297" t="b">
        <v>0</v>
      </c>
      <c r="P1297" t="inlineStr">
        <is>
          <t>High</t>
        </is>
      </c>
      <c r="Q1297" t="inlineStr">
        <is>
          <t>None</t>
        </is>
      </c>
      <c r="R1297" t="inlineStr">
        <is>
          <t>Valid</t>
        </is>
      </c>
      <c r="S1297" t="n">
        <v>2040</v>
      </c>
      <c r="T1297" t="inlineStr">
        <is>
          <t>Industry Haircut Pathway</t>
        </is>
      </c>
      <c r="U1297" t="n">
        <v>4772.8928</v>
      </c>
      <c r="V1297" t="n">
        <v>3259.4085</v>
      </c>
      <c r="W1297" t="n">
        <v>3259.4085</v>
      </c>
      <c r="X1297" t="n">
        <v>3259.4085</v>
      </c>
      <c r="Y1297" t="n">
        <v>1513.4843</v>
      </c>
      <c r="Z1297" t="n">
        <v>7.415e-05</v>
      </c>
      <c r="AA1297" t="n">
        <v>0.3171</v>
      </c>
      <c r="AB1297" t="n">
        <v>0</v>
      </c>
      <c r="AC1297" t="n">
        <v>100.899</v>
      </c>
      <c r="AD1297" t="n">
        <v>-34107.5693</v>
      </c>
      <c r="AE1297" t="n">
        <v>53664.0203</v>
      </c>
      <c r="AF1297" t="n">
        <v>0.918</v>
      </c>
      <c r="AG1297" t="inlineStr">
        <is>
          <t>Low</t>
        </is>
      </c>
      <c r="AH1297" t="inlineStr">
        <is>
          <t>On Track</t>
        </is>
      </c>
    </row>
    <row r="1298">
      <c r="A1298" t="inlineStr">
        <is>
          <t>SUP-0082</t>
        </is>
      </c>
      <c r="B1298" t="inlineStr">
        <is>
          <t>Packaging Supplier 082</t>
        </is>
      </c>
      <c r="C1298" t="inlineStr">
        <is>
          <t>Packaging</t>
        </is>
      </c>
      <c r="D1298" t="n">
        <v>2024</v>
      </c>
      <c r="E1298" t="n">
        <v>2018</v>
      </c>
      <c r="F1298" t="n">
        <v>2030</v>
      </c>
      <c r="G1298" t="n">
        <v>11257.113</v>
      </c>
      <c r="H1298" t="n">
        <v>1499.2803</v>
      </c>
      <c r="I1298" t="n">
        <v>2545.6284</v>
      </c>
      <c r="J1298" t="inlineStr"/>
      <c r="K1298" t="n">
        <v>19662671.02</v>
      </c>
      <c r="L1298" t="n">
        <v>127700101.15</v>
      </c>
      <c r="M1298" t="n">
        <v>11257.113</v>
      </c>
      <c r="N1298" t="inlineStr">
        <is>
          <t>Supplier Reported Emissions</t>
        </is>
      </c>
      <c r="O1298" t="b">
        <v>0</v>
      </c>
      <c r="P1298" t="inlineStr">
        <is>
          <t>High</t>
        </is>
      </c>
      <c r="Q1298" t="inlineStr">
        <is>
          <t>Scope_Emissions</t>
        </is>
      </c>
      <c r="R1298" t="inlineStr">
        <is>
          <t>Valid</t>
        </is>
      </c>
      <c r="S1298" t="n">
        <v>2025</v>
      </c>
      <c r="T1298" t="inlineStr">
        <is>
          <t>Supplier Target Pathway</t>
        </is>
      </c>
      <c r="U1298" t="n">
        <v>13079.7866</v>
      </c>
      <c r="V1298" t="n">
        <v>8278.196900000001</v>
      </c>
      <c r="W1298" t="n">
        <v>10278.8593</v>
      </c>
      <c r="X1298" t="n">
        <v>10278.8593</v>
      </c>
      <c r="Y1298" t="n">
        <v>2800.9273</v>
      </c>
      <c r="Z1298" t="n">
        <v>0.00052276</v>
      </c>
      <c r="AA1298" t="n">
        <v>0.214142</v>
      </c>
      <c r="AB1298" t="n">
        <v>2000.6624</v>
      </c>
      <c r="AC1298" t="n">
        <v>400.1325</v>
      </c>
      <c r="AD1298" t="n">
        <v>39390.3221</v>
      </c>
      <c r="AE1298" t="n">
        <v>10278.8593</v>
      </c>
      <c r="AF1298" t="n">
        <v>0.99</v>
      </c>
      <c r="AG1298" t="inlineStr">
        <is>
          <t>High</t>
        </is>
      </c>
      <c r="AH1298" t="inlineStr">
        <is>
          <t>On Track to Glide Path</t>
        </is>
      </c>
    </row>
    <row r="1299">
      <c r="A1299" t="inlineStr">
        <is>
          <t>SUP-0082</t>
        </is>
      </c>
      <c r="B1299" t="inlineStr">
        <is>
          <t>Packaging Supplier 082</t>
        </is>
      </c>
      <c r="C1299" t="inlineStr">
        <is>
          <t>Packaging</t>
        </is>
      </c>
      <c r="D1299" t="n">
        <v>2024</v>
      </c>
      <c r="E1299" t="n">
        <v>2018</v>
      </c>
      <c r="F1299" t="n">
        <v>2030</v>
      </c>
      <c r="G1299" t="n">
        <v>11257.113</v>
      </c>
      <c r="H1299" t="n">
        <v>1499.2803</v>
      </c>
      <c r="I1299" t="n">
        <v>2545.6284</v>
      </c>
      <c r="J1299" t="inlineStr"/>
      <c r="K1299" t="n">
        <v>19662671.02</v>
      </c>
      <c r="L1299" t="n">
        <v>127700101.15</v>
      </c>
      <c r="M1299" t="n">
        <v>11257.113</v>
      </c>
      <c r="N1299" t="inlineStr">
        <is>
          <t>Supplier Reported Emissions</t>
        </is>
      </c>
      <c r="O1299" t="b">
        <v>0</v>
      </c>
      <c r="P1299" t="inlineStr">
        <is>
          <t>High</t>
        </is>
      </c>
      <c r="Q1299" t="inlineStr">
        <is>
          <t>Scope_Emissions</t>
        </is>
      </c>
      <c r="R1299" t="inlineStr">
        <is>
          <t>Valid</t>
        </is>
      </c>
      <c r="S1299" t="n">
        <v>2026</v>
      </c>
      <c r="T1299" t="inlineStr">
        <is>
          <t>Supplier Target Pathway</t>
        </is>
      </c>
      <c r="U1299" t="n">
        <v>13079.7866</v>
      </c>
      <c r="V1299" t="n">
        <v>8278.196900000001</v>
      </c>
      <c r="W1299" t="n">
        <v>9878.7268</v>
      </c>
      <c r="X1299" t="n">
        <v>9878.7268</v>
      </c>
      <c r="Y1299" t="n">
        <v>3201.0598</v>
      </c>
      <c r="Z1299" t="n">
        <v>0.00050241</v>
      </c>
      <c r="AA1299" t="n">
        <v>0.244733</v>
      </c>
      <c r="AB1299" t="n">
        <v>1600.5299</v>
      </c>
      <c r="AC1299" t="n">
        <v>400.1325</v>
      </c>
      <c r="AD1299" t="n">
        <v>29511.5953</v>
      </c>
      <c r="AE1299" t="n">
        <v>20157.5861</v>
      </c>
      <c r="AF1299" t="n">
        <v>0.99</v>
      </c>
      <c r="AG1299" t="inlineStr">
        <is>
          <t>High</t>
        </is>
      </c>
      <c r="AH1299" t="inlineStr">
        <is>
          <t>On Track to Glide Path</t>
        </is>
      </c>
    </row>
    <row r="1300">
      <c r="A1300" t="inlineStr">
        <is>
          <t>SUP-0082</t>
        </is>
      </c>
      <c r="B1300" t="inlineStr">
        <is>
          <t>Packaging Supplier 082</t>
        </is>
      </c>
      <c r="C1300" t="inlineStr">
        <is>
          <t>Packaging</t>
        </is>
      </c>
      <c r="D1300" t="n">
        <v>2024</v>
      </c>
      <c r="E1300" t="n">
        <v>2018</v>
      </c>
      <c r="F1300" t="n">
        <v>2030</v>
      </c>
      <c r="G1300" t="n">
        <v>11257.113</v>
      </c>
      <c r="H1300" t="n">
        <v>1499.2803</v>
      </c>
      <c r="I1300" t="n">
        <v>2545.6284</v>
      </c>
      <c r="J1300" t="inlineStr"/>
      <c r="K1300" t="n">
        <v>19662671.02</v>
      </c>
      <c r="L1300" t="n">
        <v>127700101.15</v>
      </c>
      <c r="M1300" t="n">
        <v>11257.113</v>
      </c>
      <c r="N1300" t="inlineStr">
        <is>
          <t>Supplier Reported Emissions</t>
        </is>
      </c>
      <c r="O1300" t="b">
        <v>0</v>
      </c>
      <c r="P1300" t="inlineStr">
        <is>
          <t>High</t>
        </is>
      </c>
      <c r="Q1300" t="inlineStr">
        <is>
          <t>Scope_Emissions</t>
        </is>
      </c>
      <c r="R1300" t="inlineStr">
        <is>
          <t>Valid</t>
        </is>
      </c>
      <c r="S1300" t="n">
        <v>2027</v>
      </c>
      <c r="T1300" t="inlineStr">
        <is>
          <t>Supplier Target Pathway</t>
        </is>
      </c>
      <c r="U1300" t="n">
        <v>13079.7866</v>
      </c>
      <c r="V1300" t="n">
        <v>8278.196900000001</v>
      </c>
      <c r="W1300" t="n">
        <v>9478.5944</v>
      </c>
      <c r="X1300" t="n">
        <v>9478.5944</v>
      </c>
      <c r="Y1300" t="n">
        <v>3601.1922</v>
      </c>
      <c r="Z1300" t="n">
        <v>0.00048206</v>
      </c>
      <c r="AA1300" t="n">
        <v>0.275325</v>
      </c>
      <c r="AB1300" t="n">
        <v>1200.3974</v>
      </c>
      <c r="AC1300" t="n">
        <v>400.1325</v>
      </c>
      <c r="AD1300" t="n">
        <v>20033.0009</v>
      </c>
      <c r="AE1300" t="n">
        <v>29636.1805</v>
      </c>
      <c r="AF1300" t="n">
        <v>0.99</v>
      </c>
      <c r="AG1300" t="inlineStr">
        <is>
          <t>Medium</t>
        </is>
      </c>
      <c r="AH1300" t="inlineStr">
        <is>
          <t>On Track to Glide Path</t>
        </is>
      </c>
    </row>
    <row r="1301">
      <c r="A1301" t="inlineStr">
        <is>
          <t>SUP-0082</t>
        </is>
      </c>
      <c r="B1301" t="inlineStr">
        <is>
          <t>Packaging Supplier 082</t>
        </is>
      </c>
      <c r="C1301" t="inlineStr">
        <is>
          <t>Packaging</t>
        </is>
      </c>
      <c r="D1301" t="n">
        <v>2024</v>
      </c>
      <c r="E1301" t="n">
        <v>2018</v>
      </c>
      <c r="F1301" t="n">
        <v>2030</v>
      </c>
      <c r="G1301" t="n">
        <v>11257.113</v>
      </c>
      <c r="H1301" t="n">
        <v>1499.2803</v>
      </c>
      <c r="I1301" t="n">
        <v>2545.6284</v>
      </c>
      <c r="J1301" t="inlineStr"/>
      <c r="K1301" t="n">
        <v>19662671.02</v>
      </c>
      <c r="L1301" t="n">
        <v>127700101.15</v>
      </c>
      <c r="M1301" t="n">
        <v>11257.113</v>
      </c>
      <c r="N1301" t="inlineStr">
        <is>
          <t>Supplier Reported Emissions</t>
        </is>
      </c>
      <c r="O1301" t="b">
        <v>0</v>
      </c>
      <c r="P1301" t="inlineStr">
        <is>
          <t>High</t>
        </is>
      </c>
      <c r="Q1301" t="inlineStr">
        <is>
          <t>Scope_Emissions</t>
        </is>
      </c>
      <c r="R1301" t="inlineStr">
        <is>
          <t>Valid</t>
        </is>
      </c>
      <c r="S1301" t="n">
        <v>2028</v>
      </c>
      <c r="T1301" t="inlineStr">
        <is>
          <t>Supplier Target Pathway</t>
        </is>
      </c>
      <c r="U1301" t="n">
        <v>13079.7866</v>
      </c>
      <c r="V1301" t="n">
        <v>8278.196900000001</v>
      </c>
      <c r="W1301" t="n">
        <v>9078.4619</v>
      </c>
      <c r="X1301" t="n">
        <v>9078.4619</v>
      </c>
      <c r="Y1301" t="n">
        <v>4001.3247</v>
      </c>
      <c r="Z1301" t="n">
        <v>0.00046171</v>
      </c>
      <c r="AA1301" t="n">
        <v>0.305917</v>
      </c>
      <c r="AB1301" t="n">
        <v>800.2649</v>
      </c>
      <c r="AC1301" t="n">
        <v>400.1325</v>
      </c>
      <c r="AD1301" t="n">
        <v>10954.539</v>
      </c>
      <c r="AE1301" t="n">
        <v>38714.6424</v>
      </c>
      <c r="AF1301" t="n">
        <v>0.99</v>
      </c>
      <c r="AG1301" t="inlineStr">
        <is>
          <t>Medium</t>
        </is>
      </c>
      <c r="AH1301" t="inlineStr">
        <is>
          <t>On Track to Glide Path</t>
        </is>
      </c>
    </row>
    <row r="1302">
      <c r="A1302" t="inlineStr">
        <is>
          <t>SUP-0082</t>
        </is>
      </c>
      <c r="B1302" t="inlineStr">
        <is>
          <t>Packaging Supplier 082</t>
        </is>
      </c>
      <c r="C1302" t="inlineStr">
        <is>
          <t>Packaging</t>
        </is>
      </c>
      <c r="D1302" t="n">
        <v>2024</v>
      </c>
      <c r="E1302" t="n">
        <v>2018</v>
      </c>
      <c r="F1302" t="n">
        <v>2030</v>
      </c>
      <c r="G1302" t="n">
        <v>11257.113</v>
      </c>
      <c r="H1302" t="n">
        <v>1499.2803</v>
      </c>
      <c r="I1302" t="n">
        <v>2545.6284</v>
      </c>
      <c r="J1302" t="inlineStr"/>
      <c r="K1302" t="n">
        <v>19662671.02</v>
      </c>
      <c r="L1302" t="n">
        <v>127700101.15</v>
      </c>
      <c r="M1302" t="n">
        <v>11257.113</v>
      </c>
      <c r="N1302" t="inlineStr">
        <is>
          <t>Supplier Reported Emissions</t>
        </is>
      </c>
      <c r="O1302" t="b">
        <v>0</v>
      </c>
      <c r="P1302" t="inlineStr">
        <is>
          <t>High</t>
        </is>
      </c>
      <c r="Q1302" t="inlineStr">
        <is>
          <t>Scope_Emissions</t>
        </is>
      </c>
      <c r="R1302" t="inlineStr">
        <is>
          <t>Valid</t>
        </is>
      </c>
      <c r="S1302" t="n">
        <v>2029</v>
      </c>
      <c r="T1302" t="inlineStr">
        <is>
          <t>Supplier Target Pathway</t>
        </is>
      </c>
      <c r="U1302" t="n">
        <v>13079.7866</v>
      </c>
      <c r="V1302" t="n">
        <v>8278.196900000001</v>
      </c>
      <c r="W1302" t="n">
        <v>8678.329400000001</v>
      </c>
      <c r="X1302" t="n">
        <v>8678.329400000001</v>
      </c>
      <c r="Y1302" t="n">
        <v>4401.4572</v>
      </c>
      <c r="Z1302" t="n">
        <v>0.00044136</v>
      </c>
      <c r="AA1302" t="n">
        <v>0.336508</v>
      </c>
      <c r="AB1302" t="n">
        <v>400.1325</v>
      </c>
      <c r="AC1302" t="n">
        <v>400.1325</v>
      </c>
      <c r="AD1302" t="n">
        <v>2276.2096</v>
      </c>
      <c r="AE1302" t="n">
        <v>47392.9718</v>
      </c>
      <c r="AF1302" t="n">
        <v>0.99</v>
      </c>
      <c r="AG1302" t="inlineStr">
        <is>
          <t>Medium</t>
        </is>
      </c>
      <c r="AH1302" t="inlineStr">
        <is>
          <t>On Track to Glide Path</t>
        </is>
      </c>
    </row>
    <row r="1303">
      <c r="A1303" t="inlineStr">
        <is>
          <t>SUP-0082</t>
        </is>
      </c>
      <c r="B1303" t="inlineStr">
        <is>
          <t>Packaging Supplier 082</t>
        </is>
      </c>
      <c r="C1303" t="inlineStr">
        <is>
          <t>Packaging</t>
        </is>
      </c>
      <c r="D1303" t="n">
        <v>2024</v>
      </c>
      <c r="E1303" t="n">
        <v>2018</v>
      </c>
      <c r="F1303" t="n">
        <v>2030</v>
      </c>
      <c r="G1303" t="n">
        <v>11257.113</v>
      </c>
      <c r="H1303" t="n">
        <v>1499.2803</v>
      </c>
      <c r="I1303" t="n">
        <v>2545.6284</v>
      </c>
      <c r="J1303" t="inlineStr"/>
      <c r="K1303" t="n">
        <v>19662671.02</v>
      </c>
      <c r="L1303" t="n">
        <v>127700101.15</v>
      </c>
      <c r="M1303" t="n">
        <v>11257.113</v>
      </c>
      <c r="N1303" t="inlineStr">
        <is>
          <t>Supplier Reported Emissions</t>
        </is>
      </c>
      <c r="O1303" t="b">
        <v>0</v>
      </c>
      <c r="P1303" t="inlineStr">
        <is>
          <t>High</t>
        </is>
      </c>
      <c r="Q1303" t="inlineStr">
        <is>
          <t>Scope_Emissions</t>
        </is>
      </c>
      <c r="R1303" t="inlineStr">
        <is>
          <t>Valid</t>
        </is>
      </c>
      <c r="S1303" t="n">
        <v>2030</v>
      </c>
      <c r="T1303" t="inlineStr">
        <is>
          <t>Supplier Target Pathway</t>
        </is>
      </c>
      <c r="U1303" t="n">
        <v>13079.7866</v>
      </c>
      <c r="V1303" t="n">
        <v>8278.196900000001</v>
      </c>
      <c r="W1303" t="n">
        <v>8278.196900000001</v>
      </c>
      <c r="X1303" t="n">
        <v>8278.196900000001</v>
      </c>
      <c r="Y1303" t="n">
        <v>4801.5897</v>
      </c>
      <c r="Z1303" t="n">
        <v>0.00042101</v>
      </c>
      <c r="AA1303" t="n">
        <v>0.3671</v>
      </c>
      <c r="AB1303" t="n">
        <v>0</v>
      </c>
      <c r="AC1303" t="n">
        <v>400.1325</v>
      </c>
      <c r="AD1303" t="n">
        <v>-6001.9873</v>
      </c>
      <c r="AE1303" t="n">
        <v>55671.1687</v>
      </c>
      <c r="AF1303" t="n">
        <v>0.99</v>
      </c>
      <c r="AG1303" t="inlineStr">
        <is>
          <t>Low</t>
        </is>
      </c>
      <c r="AH1303" t="inlineStr">
        <is>
          <t>On Track</t>
        </is>
      </c>
    </row>
    <row r="1304">
      <c r="A1304" t="inlineStr">
        <is>
          <t>SUP-0082</t>
        </is>
      </c>
      <c r="B1304" t="inlineStr">
        <is>
          <t>Packaging Supplier 082</t>
        </is>
      </c>
      <c r="C1304" t="inlineStr">
        <is>
          <t>Packaging</t>
        </is>
      </c>
      <c r="D1304" t="n">
        <v>2024</v>
      </c>
      <c r="E1304" t="n">
        <v>2018</v>
      </c>
      <c r="F1304" t="n">
        <v>2030</v>
      </c>
      <c r="G1304" t="n">
        <v>11257.113</v>
      </c>
      <c r="H1304" t="n">
        <v>1499.2803</v>
      </c>
      <c r="I1304" t="n">
        <v>2545.6284</v>
      </c>
      <c r="J1304" t="inlineStr"/>
      <c r="K1304" t="n">
        <v>19662671.02</v>
      </c>
      <c r="L1304" t="n">
        <v>127700101.15</v>
      </c>
      <c r="M1304" t="n">
        <v>11257.113</v>
      </c>
      <c r="N1304" t="inlineStr">
        <is>
          <t>Supplier Reported Emissions</t>
        </is>
      </c>
      <c r="O1304" t="b">
        <v>0</v>
      </c>
      <c r="P1304" t="inlineStr">
        <is>
          <t>High</t>
        </is>
      </c>
      <c r="Q1304" t="inlineStr">
        <is>
          <t>Scope_Emissions</t>
        </is>
      </c>
      <c r="R1304" t="inlineStr">
        <is>
          <t>Valid</t>
        </is>
      </c>
      <c r="S1304" t="n">
        <v>2031</v>
      </c>
      <c r="T1304" t="inlineStr">
        <is>
          <t>Supplier Target Pathway</t>
        </is>
      </c>
      <c r="U1304" t="n">
        <v>13079.7866</v>
      </c>
      <c r="V1304" t="n">
        <v>8278.196900000001</v>
      </c>
      <c r="W1304" t="n">
        <v>8278.196900000001</v>
      </c>
      <c r="X1304" t="n">
        <v>8278.196900000001</v>
      </c>
      <c r="Y1304" t="n">
        <v>4801.5897</v>
      </c>
      <c r="Z1304" t="n">
        <v>0.00042101</v>
      </c>
      <c r="AA1304" t="n">
        <v>0.3671</v>
      </c>
      <c r="AB1304" t="n">
        <v>0</v>
      </c>
      <c r="AC1304" t="n">
        <v>400.1325</v>
      </c>
      <c r="AD1304" t="n">
        <v>-14280.1842</v>
      </c>
      <c r="AE1304" t="n">
        <v>63949.3656</v>
      </c>
      <c r="AF1304" t="n">
        <v>0.99</v>
      </c>
      <c r="AG1304" t="inlineStr">
        <is>
          <t>Low</t>
        </is>
      </c>
      <c r="AH1304" t="inlineStr">
        <is>
          <t>On Track</t>
        </is>
      </c>
    </row>
    <row r="1305">
      <c r="A1305" t="inlineStr">
        <is>
          <t>SUP-0082</t>
        </is>
      </c>
      <c r="B1305" t="inlineStr">
        <is>
          <t>Packaging Supplier 082</t>
        </is>
      </c>
      <c r="C1305" t="inlineStr">
        <is>
          <t>Packaging</t>
        </is>
      </c>
      <c r="D1305" t="n">
        <v>2024</v>
      </c>
      <c r="E1305" t="n">
        <v>2018</v>
      </c>
      <c r="F1305" t="n">
        <v>2030</v>
      </c>
      <c r="G1305" t="n">
        <v>11257.113</v>
      </c>
      <c r="H1305" t="n">
        <v>1499.2803</v>
      </c>
      <c r="I1305" t="n">
        <v>2545.6284</v>
      </c>
      <c r="J1305" t="inlineStr"/>
      <c r="K1305" t="n">
        <v>19662671.02</v>
      </c>
      <c r="L1305" t="n">
        <v>127700101.15</v>
      </c>
      <c r="M1305" t="n">
        <v>11257.113</v>
      </c>
      <c r="N1305" t="inlineStr">
        <is>
          <t>Supplier Reported Emissions</t>
        </is>
      </c>
      <c r="O1305" t="b">
        <v>0</v>
      </c>
      <c r="P1305" t="inlineStr">
        <is>
          <t>High</t>
        </is>
      </c>
      <c r="Q1305" t="inlineStr">
        <is>
          <t>Scope_Emissions</t>
        </is>
      </c>
      <c r="R1305" t="inlineStr">
        <is>
          <t>Valid</t>
        </is>
      </c>
      <c r="S1305" t="n">
        <v>2032</v>
      </c>
      <c r="T1305" t="inlineStr">
        <is>
          <t>Supplier Target Pathway</t>
        </is>
      </c>
      <c r="U1305" t="n">
        <v>13079.7866</v>
      </c>
      <c r="V1305" t="n">
        <v>8278.196900000001</v>
      </c>
      <c r="W1305" t="n">
        <v>8278.196900000001</v>
      </c>
      <c r="X1305" t="n">
        <v>8278.196900000001</v>
      </c>
      <c r="Y1305" t="n">
        <v>4801.5897</v>
      </c>
      <c r="Z1305" t="n">
        <v>0.00042101</v>
      </c>
      <c r="AA1305" t="n">
        <v>0.3671</v>
      </c>
      <c r="AB1305" t="n">
        <v>0</v>
      </c>
      <c r="AC1305" t="n">
        <v>400.1325</v>
      </c>
      <c r="AD1305" t="n">
        <v>-22558.3811</v>
      </c>
      <c r="AE1305" t="n">
        <v>72227.5625</v>
      </c>
      <c r="AF1305" t="n">
        <v>0.99</v>
      </c>
      <c r="AG1305" t="inlineStr">
        <is>
          <t>Low</t>
        </is>
      </c>
      <c r="AH1305" t="inlineStr">
        <is>
          <t>On Track</t>
        </is>
      </c>
    </row>
    <row r="1306">
      <c r="A1306" t="inlineStr">
        <is>
          <t>SUP-0082</t>
        </is>
      </c>
      <c r="B1306" t="inlineStr">
        <is>
          <t>Packaging Supplier 082</t>
        </is>
      </c>
      <c r="C1306" t="inlineStr">
        <is>
          <t>Packaging</t>
        </is>
      </c>
      <c r="D1306" t="n">
        <v>2024</v>
      </c>
      <c r="E1306" t="n">
        <v>2018</v>
      </c>
      <c r="F1306" t="n">
        <v>2030</v>
      </c>
      <c r="G1306" t="n">
        <v>11257.113</v>
      </c>
      <c r="H1306" t="n">
        <v>1499.2803</v>
      </c>
      <c r="I1306" t="n">
        <v>2545.6284</v>
      </c>
      <c r="J1306" t="inlineStr"/>
      <c r="K1306" t="n">
        <v>19662671.02</v>
      </c>
      <c r="L1306" t="n">
        <v>127700101.15</v>
      </c>
      <c r="M1306" t="n">
        <v>11257.113</v>
      </c>
      <c r="N1306" t="inlineStr">
        <is>
          <t>Supplier Reported Emissions</t>
        </is>
      </c>
      <c r="O1306" t="b">
        <v>0</v>
      </c>
      <c r="P1306" t="inlineStr">
        <is>
          <t>High</t>
        </is>
      </c>
      <c r="Q1306" t="inlineStr">
        <is>
          <t>Scope_Emissions</t>
        </is>
      </c>
      <c r="R1306" t="inlineStr">
        <is>
          <t>Valid</t>
        </is>
      </c>
      <c r="S1306" t="n">
        <v>2033</v>
      </c>
      <c r="T1306" t="inlineStr">
        <is>
          <t>Supplier Target Pathway</t>
        </is>
      </c>
      <c r="U1306" t="n">
        <v>13079.7866</v>
      </c>
      <c r="V1306" t="n">
        <v>8278.196900000001</v>
      </c>
      <c r="W1306" t="n">
        <v>8278.196900000001</v>
      </c>
      <c r="X1306" t="n">
        <v>8278.196900000001</v>
      </c>
      <c r="Y1306" t="n">
        <v>4801.5897</v>
      </c>
      <c r="Z1306" t="n">
        <v>0.00042101</v>
      </c>
      <c r="AA1306" t="n">
        <v>0.3671</v>
      </c>
      <c r="AB1306" t="n">
        <v>0</v>
      </c>
      <c r="AC1306" t="n">
        <v>400.1325</v>
      </c>
      <c r="AD1306" t="n">
        <v>-30836.578</v>
      </c>
      <c r="AE1306" t="n">
        <v>80505.7594</v>
      </c>
      <c r="AF1306" t="n">
        <v>0.99</v>
      </c>
      <c r="AG1306" t="inlineStr">
        <is>
          <t>Low</t>
        </is>
      </c>
      <c r="AH1306" t="inlineStr">
        <is>
          <t>On Track</t>
        </is>
      </c>
    </row>
    <row r="1307">
      <c r="A1307" t="inlineStr">
        <is>
          <t>SUP-0082</t>
        </is>
      </c>
      <c r="B1307" t="inlineStr">
        <is>
          <t>Packaging Supplier 082</t>
        </is>
      </c>
      <c r="C1307" t="inlineStr">
        <is>
          <t>Packaging</t>
        </is>
      </c>
      <c r="D1307" t="n">
        <v>2024</v>
      </c>
      <c r="E1307" t="n">
        <v>2018</v>
      </c>
      <c r="F1307" t="n">
        <v>2030</v>
      </c>
      <c r="G1307" t="n">
        <v>11257.113</v>
      </c>
      <c r="H1307" t="n">
        <v>1499.2803</v>
      </c>
      <c r="I1307" t="n">
        <v>2545.6284</v>
      </c>
      <c r="J1307" t="inlineStr"/>
      <c r="K1307" t="n">
        <v>19662671.02</v>
      </c>
      <c r="L1307" t="n">
        <v>127700101.15</v>
      </c>
      <c r="M1307" t="n">
        <v>11257.113</v>
      </c>
      <c r="N1307" t="inlineStr">
        <is>
          <t>Supplier Reported Emissions</t>
        </is>
      </c>
      <c r="O1307" t="b">
        <v>0</v>
      </c>
      <c r="P1307" t="inlineStr">
        <is>
          <t>High</t>
        </is>
      </c>
      <c r="Q1307" t="inlineStr">
        <is>
          <t>Scope_Emissions</t>
        </is>
      </c>
      <c r="R1307" t="inlineStr">
        <is>
          <t>Valid</t>
        </is>
      </c>
      <c r="S1307" t="n">
        <v>2034</v>
      </c>
      <c r="T1307" t="inlineStr">
        <is>
          <t>Supplier Target Pathway</t>
        </is>
      </c>
      <c r="U1307" t="n">
        <v>13079.7866</v>
      </c>
      <c r="V1307" t="n">
        <v>8278.196900000001</v>
      </c>
      <c r="W1307" t="n">
        <v>8278.196900000001</v>
      </c>
      <c r="X1307" t="n">
        <v>8278.196900000001</v>
      </c>
      <c r="Y1307" t="n">
        <v>4801.5897</v>
      </c>
      <c r="Z1307" t="n">
        <v>0.00042101</v>
      </c>
      <c r="AA1307" t="n">
        <v>0.3671</v>
      </c>
      <c r="AB1307" t="n">
        <v>0</v>
      </c>
      <c r="AC1307" t="n">
        <v>400.1325</v>
      </c>
      <c r="AD1307" t="n">
        <v>-39114.7749</v>
      </c>
      <c r="AE1307" t="n">
        <v>88783.95630000001</v>
      </c>
      <c r="AF1307" t="n">
        <v>0.99</v>
      </c>
      <c r="AG1307" t="inlineStr">
        <is>
          <t>Low</t>
        </is>
      </c>
      <c r="AH1307" t="inlineStr">
        <is>
          <t>On Track</t>
        </is>
      </c>
    </row>
    <row r="1308">
      <c r="A1308" t="inlineStr">
        <is>
          <t>SUP-0082</t>
        </is>
      </c>
      <c r="B1308" t="inlineStr">
        <is>
          <t>Packaging Supplier 082</t>
        </is>
      </c>
      <c r="C1308" t="inlineStr">
        <is>
          <t>Packaging</t>
        </is>
      </c>
      <c r="D1308" t="n">
        <v>2024</v>
      </c>
      <c r="E1308" t="n">
        <v>2018</v>
      </c>
      <c r="F1308" t="n">
        <v>2030</v>
      </c>
      <c r="G1308" t="n">
        <v>11257.113</v>
      </c>
      <c r="H1308" t="n">
        <v>1499.2803</v>
      </c>
      <c r="I1308" t="n">
        <v>2545.6284</v>
      </c>
      <c r="J1308" t="inlineStr"/>
      <c r="K1308" t="n">
        <v>19662671.02</v>
      </c>
      <c r="L1308" t="n">
        <v>127700101.15</v>
      </c>
      <c r="M1308" t="n">
        <v>11257.113</v>
      </c>
      <c r="N1308" t="inlineStr">
        <is>
          <t>Supplier Reported Emissions</t>
        </is>
      </c>
      <c r="O1308" t="b">
        <v>0</v>
      </c>
      <c r="P1308" t="inlineStr">
        <is>
          <t>High</t>
        </is>
      </c>
      <c r="Q1308" t="inlineStr">
        <is>
          <t>Scope_Emissions</t>
        </is>
      </c>
      <c r="R1308" t="inlineStr">
        <is>
          <t>Valid</t>
        </is>
      </c>
      <c r="S1308" t="n">
        <v>2035</v>
      </c>
      <c r="T1308" t="inlineStr">
        <is>
          <t>Supplier Target Pathway</t>
        </is>
      </c>
      <c r="U1308" t="n">
        <v>13079.7866</v>
      </c>
      <c r="V1308" t="n">
        <v>8278.196900000001</v>
      </c>
      <c r="W1308" t="n">
        <v>8278.196900000001</v>
      </c>
      <c r="X1308" t="n">
        <v>8278.196900000001</v>
      </c>
      <c r="Y1308" t="n">
        <v>4801.5897</v>
      </c>
      <c r="Z1308" t="n">
        <v>0.00042101</v>
      </c>
      <c r="AA1308" t="n">
        <v>0.3671</v>
      </c>
      <c r="AB1308" t="n">
        <v>0</v>
      </c>
      <c r="AC1308" t="n">
        <v>400.1325</v>
      </c>
      <c r="AD1308" t="n">
        <v>-47392.9718</v>
      </c>
      <c r="AE1308" t="n">
        <v>97062.1532</v>
      </c>
      <c r="AF1308" t="n">
        <v>0.99</v>
      </c>
      <c r="AG1308" t="inlineStr">
        <is>
          <t>Low</t>
        </is>
      </c>
      <c r="AH1308" t="inlineStr">
        <is>
          <t>On Track</t>
        </is>
      </c>
    </row>
    <row r="1309">
      <c r="A1309" t="inlineStr">
        <is>
          <t>SUP-0082</t>
        </is>
      </c>
      <c r="B1309" t="inlineStr">
        <is>
          <t>Packaging Supplier 082</t>
        </is>
      </c>
      <c r="C1309" t="inlineStr">
        <is>
          <t>Packaging</t>
        </is>
      </c>
      <c r="D1309" t="n">
        <v>2024</v>
      </c>
      <c r="E1309" t="n">
        <v>2018</v>
      </c>
      <c r="F1309" t="n">
        <v>2030</v>
      </c>
      <c r="G1309" t="n">
        <v>11257.113</v>
      </c>
      <c r="H1309" t="n">
        <v>1499.2803</v>
      </c>
      <c r="I1309" t="n">
        <v>2545.6284</v>
      </c>
      <c r="J1309" t="inlineStr"/>
      <c r="K1309" t="n">
        <v>19662671.02</v>
      </c>
      <c r="L1309" t="n">
        <v>127700101.15</v>
      </c>
      <c r="M1309" t="n">
        <v>11257.113</v>
      </c>
      <c r="N1309" t="inlineStr">
        <is>
          <t>Supplier Reported Emissions</t>
        </is>
      </c>
      <c r="O1309" t="b">
        <v>0</v>
      </c>
      <c r="P1309" t="inlineStr">
        <is>
          <t>High</t>
        </is>
      </c>
      <c r="Q1309" t="inlineStr">
        <is>
          <t>Scope_Emissions</t>
        </is>
      </c>
      <c r="R1309" t="inlineStr">
        <is>
          <t>Valid</t>
        </is>
      </c>
      <c r="S1309" t="n">
        <v>2036</v>
      </c>
      <c r="T1309" t="inlineStr">
        <is>
          <t>Supplier Target Pathway</t>
        </is>
      </c>
      <c r="U1309" t="n">
        <v>13079.7866</v>
      </c>
      <c r="V1309" t="n">
        <v>8278.196900000001</v>
      </c>
      <c r="W1309" t="n">
        <v>8278.196900000001</v>
      </c>
      <c r="X1309" t="n">
        <v>8278.196900000001</v>
      </c>
      <c r="Y1309" t="n">
        <v>4801.5897</v>
      </c>
      <c r="Z1309" t="n">
        <v>0.00042101</v>
      </c>
      <c r="AA1309" t="n">
        <v>0.3671</v>
      </c>
      <c r="AB1309" t="n">
        <v>0</v>
      </c>
      <c r="AC1309" t="n">
        <v>400.1325</v>
      </c>
      <c r="AD1309" t="n">
        <v>-55671.1687</v>
      </c>
      <c r="AE1309" t="n">
        <v>105340.3501</v>
      </c>
      <c r="AF1309" t="n">
        <v>0.99</v>
      </c>
      <c r="AG1309" t="inlineStr">
        <is>
          <t>Low</t>
        </is>
      </c>
      <c r="AH1309" t="inlineStr">
        <is>
          <t>On Track</t>
        </is>
      </c>
    </row>
    <row r="1310">
      <c r="A1310" t="inlineStr">
        <is>
          <t>SUP-0082</t>
        </is>
      </c>
      <c r="B1310" t="inlineStr">
        <is>
          <t>Packaging Supplier 082</t>
        </is>
      </c>
      <c r="C1310" t="inlineStr">
        <is>
          <t>Packaging</t>
        </is>
      </c>
      <c r="D1310" t="n">
        <v>2024</v>
      </c>
      <c r="E1310" t="n">
        <v>2018</v>
      </c>
      <c r="F1310" t="n">
        <v>2030</v>
      </c>
      <c r="G1310" t="n">
        <v>11257.113</v>
      </c>
      <c r="H1310" t="n">
        <v>1499.2803</v>
      </c>
      <c r="I1310" t="n">
        <v>2545.6284</v>
      </c>
      <c r="J1310" t="inlineStr"/>
      <c r="K1310" t="n">
        <v>19662671.02</v>
      </c>
      <c r="L1310" t="n">
        <v>127700101.15</v>
      </c>
      <c r="M1310" t="n">
        <v>11257.113</v>
      </c>
      <c r="N1310" t="inlineStr">
        <is>
          <t>Supplier Reported Emissions</t>
        </is>
      </c>
      <c r="O1310" t="b">
        <v>0</v>
      </c>
      <c r="P1310" t="inlineStr">
        <is>
          <t>High</t>
        </is>
      </c>
      <c r="Q1310" t="inlineStr">
        <is>
          <t>Scope_Emissions</t>
        </is>
      </c>
      <c r="R1310" t="inlineStr">
        <is>
          <t>Valid</t>
        </is>
      </c>
      <c r="S1310" t="n">
        <v>2037</v>
      </c>
      <c r="T1310" t="inlineStr">
        <is>
          <t>Supplier Target Pathway</t>
        </is>
      </c>
      <c r="U1310" t="n">
        <v>13079.7866</v>
      </c>
      <c r="V1310" t="n">
        <v>8278.196900000001</v>
      </c>
      <c r="W1310" t="n">
        <v>8278.196900000001</v>
      </c>
      <c r="X1310" t="n">
        <v>8278.196900000001</v>
      </c>
      <c r="Y1310" t="n">
        <v>4801.5897</v>
      </c>
      <c r="Z1310" t="n">
        <v>0.00042101</v>
      </c>
      <c r="AA1310" t="n">
        <v>0.3671</v>
      </c>
      <c r="AB1310" t="n">
        <v>0</v>
      </c>
      <c r="AC1310" t="n">
        <v>400.1325</v>
      </c>
      <c r="AD1310" t="n">
        <v>-63949.3656</v>
      </c>
      <c r="AE1310" t="n">
        <v>113618.547</v>
      </c>
      <c r="AF1310" t="n">
        <v>0.99</v>
      </c>
      <c r="AG1310" t="inlineStr">
        <is>
          <t>Low</t>
        </is>
      </c>
      <c r="AH1310" t="inlineStr">
        <is>
          <t>On Track</t>
        </is>
      </c>
    </row>
    <row r="1311">
      <c r="A1311" t="inlineStr">
        <is>
          <t>SUP-0082</t>
        </is>
      </c>
      <c r="B1311" t="inlineStr">
        <is>
          <t>Packaging Supplier 082</t>
        </is>
      </c>
      <c r="C1311" t="inlineStr">
        <is>
          <t>Packaging</t>
        </is>
      </c>
      <c r="D1311" t="n">
        <v>2024</v>
      </c>
      <c r="E1311" t="n">
        <v>2018</v>
      </c>
      <c r="F1311" t="n">
        <v>2030</v>
      </c>
      <c r="G1311" t="n">
        <v>11257.113</v>
      </c>
      <c r="H1311" t="n">
        <v>1499.2803</v>
      </c>
      <c r="I1311" t="n">
        <v>2545.6284</v>
      </c>
      <c r="J1311" t="inlineStr"/>
      <c r="K1311" t="n">
        <v>19662671.02</v>
      </c>
      <c r="L1311" t="n">
        <v>127700101.15</v>
      </c>
      <c r="M1311" t="n">
        <v>11257.113</v>
      </c>
      <c r="N1311" t="inlineStr">
        <is>
          <t>Supplier Reported Emissions</t>
        </is>
      </c>
      <c r="O1311" t="b">
        <v>0</v>
      </c>
      <c r="P1311" t="inlineStr">
        <is>
          <t>High</t>
        </is>
      </c>
      <c r="Q1311" t="inlineStr">
        <is>
          <t>Scope_Emissions</t>
        </is>
      </c>
      <c r="R1311" t="inlineStr">
        <is>
          <t>Valid</t>
        </is>
      </c>
      <c r="S1311" t="n">
        <v>2038</v>
      </c>
      <c r="T1311" t="inlineStr">
        <is>
          <t>Supplier Target Pathway</t>
        </is>
      </c>
      <c r="U1311" t="n">
        <v>13079.7866</v>
      </c>
      <c r="V1311" t="n">
        <v>8278.196900000001</v>
      </c>
      <c r="W1311" t="n">
        <v>8278.196900000001</v>
      </c>
      <c r="X1311" t="n">
        <v>8278.196900000001</v>
      </c>
      <c r="Y1311" t="n">
        <v>4801.5897</v>
      </c>
      <c r="Z1311" t="n">
        <v>0.00042101</v>
      </c>
      <c r="AA1311" t="n">
        <v>0.3671</v>
      </c>
      <c r="AB1311" t="n">
        <v>0</v>
      </c>
      <c r="AC1311" t="n">
        <v>400.1325</v>
      </c>
      <c r="AD1311" t="n">
        <v>-72227.5625</v>
      </c>
      <c r="AE1311" t="n">
        <v>121896.7439</v>
      </c>
      <c r="AF1311" t="n">
        <v>0.99</v>
      </c>
      <c r="AG1311" t="inlineStr">
        <is>
          <t>Low</t>
        </is>
      </c>
      <c r="AH1311" t="inlineStr">
        <is>
          <t>On Track</t>
        </is>
      </c>
    </row>
    <row r="1312">
      <c r="A1312" t="inlineStr">
        <is>
          <t>SUP-0082</t>
        </is>
      </c>
      <c r="B1312" t="inlineStr">
        <is>
          <t>Packaging Supplier 082</t>
        </is>
      </c>
      <c r="C1312" t="inlineStr">
        <is>
          <t>Packaging</t>
        </is>
      </c>
      <c r="D1312" t="n">
        <v>2024</v>
      </c>
      <c r="E1312" t="n">
        <v>2018</v>
      </c>
      <c r="F1312" t="n">
        <v>2030</v>
      </c>
      <c r="G1312" t="n">
        <v>11257.113</v>
      </c>
      <c r="H1312" t="n">
        <v>1499.2803</v>
      </c>
      <c r="I1312" t="n">
        <v>2545.6284</v>
      </c>
      <c r="J1312" t="inlineStr"/>
      <c r="K1312" t="n">
        <v>19662671.02</v>
      </c>
      <c r="L1312" t="n">
        <v>127700101.15</v>
      </c>
      <c r="M1312" t="n">
        <v>11257.113</v>
      </c>
      <c r="N1312" t="inlineStr">
        <is>
          <t>Supplier Reported Emissions</t>
        </is>
      </c>
      <c r="O1312" t="b">
        <v>0</v>
      </c>
      <c r="P1312" t="inlineStr">
        <is>
          <t>High</t>
        </is>
      </c>
      <c r="Q1312" t="inlineStr">
        <is>
          <t>Scope_Emissions</t>
        </is>
      </c>
      <c r="R1312" t="inlineStr">
        <is>
          <t>Valid</t>
        </is>
      </c>
      <c r="S1312" t="n">
        <v>2039</v>
      </c>
      <c r="T1312" t="inlineStr">
        <is>
          <t>Supplier Target Pathway</t>
        </is>
      </c>
      <c r="U1312" t="n">
        <v>13079.7866</v>
      </c>
      <c r="V1312" t="n">
        <v>8278.196900000001</v>
      </c>
      <c r="W1312" t="n">
        <v>8278.196900000001</v>
      </c>
      <c r="X1312" t="n">
        <v>8278.196900000001</v>
      </c>
      <c r="Y1312" t="n">
        <v>4801.5897</v>
      </c>
      <c r="Z1312" t="n">
        <v>0.00042101</v>
      </c>
      <c r="AA1312" t="n">
        <v>0.3671</v>
      </c>
      <c r="AB1312" t="n">
        <v>0</v>
      </c>
      <c r="AC1312" t="n">
        <v>400.1325</v>
      </c>
      <c r="AD1312" t="n">
        <v>-80505.7594</v>
      </c>
      <c r="AE1312" t="n">
        <v>130174.9408</v>
      </c>
      <c r="AF1312" t="n">
        <v>0.99</v>
      </c>
      <c r="AG1312" t="inlineStr">
        <is>
          <t>Low</t>
        </is>
      </c>
      <c r="AH1312" t="inlineStr">
        <is>
          <t>On Track</t>
        </is>
      </c>
    </row>
    <row r="1313">
      <c r="A1313" t="inlineStr">
        <is>
          <t>SUP-0082</t>
        </is>
      </c>
      <c r="B1313" t="inlineStr">
        <is>
          <t>Packaging Supplier 082</t>
        </is>
      </c>
      <c r="C1313" t="inlineStr">
        <is>
          <t>Packaging</t>
        </is>
      </c>
      <c r="D1313" t="n">
        <v>2024</v>
      </c>
      <c r="E1313" t="n">
        <v>2018</v>
      </c>
      <c r="F1313" t="n">
        <v>2030</v>
      </c>
      <c r="G1313" t="n">
        <v>11257.113</v>
      </c>
      <c r="H1313" t="n">
        <v>1499.2803</v>
      </c>
      <c r="I1313" t="n">
        <v>2545.6284</v>
      </c>
      <c r="J1313" t="inlineStr"/>
      <c r="K1313" t="n">
        <v>19662671.02</v>
      </c>
      <c r="L1313" t="n">
        <v>127700101.15</v>
      </c>
      <c r="M1313" t="n">
        <v>11257.113</v>
      </c>
      <c r="N1313" t="inlineStr">
        <is>
          <t>Supplier Reported Emissions</t>
        </is>
      </c>
      <c r="O1313" t="b">
        <v>0</v>
      </c>
      <c r="P1313" t="inlineStr">
        <is>
          <t>High</t>
        </is>
      </c>
      <c r="Q1313" t="inlineStr">
        <is>
          <t>Scope_Emissions</t>
        </is>
      </c>
      <c r="R1313" t="inlineStr">
        <is>
          <t>Valid</t>
        </is>
      </c>
      <c r="S1313" t="n">
        <v>2040</v>
      </c>
      <c r="T1313" t="inlineStr">
        <is>
          <t>Supplier Target Pathway</t>
        </is>
      </c>
      <c r="U1313" t="n">
        <v>13079.7866</v>
      </c>
      <c r="V1313" t="n">
        <v>8278.196900000001</v>
      </c>
      <c r="W1313" t="n">
        <v>8278.196900000001</v>
      </c>
      <c r="X1313" t="n">
        <v>8278.196900000001</v>
      </c>
      <c r="Y1313" t="n">
        <v>4801.5897</v>
      </c>
      <c r="Z1313" t="n">
        <v>0.00042101</v>
      </c>
      <c r="AA1313" t="n">
        <v>0.3671</v>
      </c>
      <c r="AB1313" t="n">
        <v>0</v>
      </c>
      <c r="AC1313" t="n">
        <v>400.1325</v>
      </c>
      <c r="AD1313" t="n">
        <v>-88783.95630000001</v>
      </c>
      <c r="AE1313" t="n">
        <v>138453.1377</v>
      </c>
      <c r="AF1313" t="n">
        <v>0.99</v>
      </c>
      <c r="AG1313" t="inlineStr">
        <is>
          <t>Low</t>
        </is>
      </c>
      <c r="AH1313" t="inlineStr">
        <is>
          <t>On Track</t>
        </is>
      </c>
    </row>
    <row r="1314">
      <c r="A1314" t="inlineStr">
        <is>
          <t>SUP-0083</t>
        </is>
      </c>
      <c r="B1314" t="inlineStr">
        <is>
          <t>Logistics Supplier 083</t>
        </is>
      </c>
      <c r="C1314" t="inlineStr">
        <is>
          <t>Logistics</t>
        </is>
      </c>
      <c r="D1314" t="n">
        <v>2024</v>
      </c>
      <c r="E1314" t="n">
        <v>2015</v>
      </c>
      <c r="F1314" t="n">
        <v>2040</v>
      </c>
      <c r="G1314" t="n">
        <v>4022.9771</v>
      </c>
      <c r="H1314" t="n">
        <v>347.7898</v>
      </c>
      <c r="I1314" t="n">
        <v>519.3823</v>
      </c>
      <c r="J1314" t="n">
        <v>3297.3892</v>
      </c>
      <c r="K1314" t="n">
        <v>25887438.76</v>
      </c>
      <c r="L1314" t="n">
        <v>104255540.52</v>
      </c>
      <c r="M1314" t="n">
        <v>4022.9771</v>
      </c>
      <c r="N1314" t="inlineStr">
        <is>
          <t>Supplier Reported Emissions</t>
        </is>
      </c>
      <c r="O1314" t="b">
        <v>0</v>
      </c>
      <c r="P1314" t="inlineStr">
        <is>
          <t>High</t>
        </is>
      </c>
      <c r="Q1314" t="inlineStr">
        <is>
          <t>None</t>
        </is>
      </c>
      <c r="R1314" t="inlineStr">
        <is>
          <t>Valid</t>
        </is>
      </c>
      <c r="S1314" t="n">
        <v>2025</v>
      </c>
      <c r="T1314" t="inlineStr">
        <is>
          <t>Industry Haircut Pathway</t>
        </is>
      </c>
      <c r="U1314" t="n">
        <v>3839.4065</v>
      </c>
      <c r="V1314" t="n">
        <v>2067.1365</v>
      </c>
      <c r="W1314" t="n">
        <v>3130.4985</v>
      </c>
      <c r="X1314" t="n">
        <v>3130.4985</v>
      </c>
      <c r="Y1314" t="n">
        <v>708.908</v>
      </c>
      <c r="Z1314" t="n">
        <v>0.00012093</v>
      </c>
      <c r="AA1314" t="n">
        <v>0.18464</v>
      </c>
      <c r="AB1314" t="n">
        <v>1063.362</v>
      </c>
      <c r="AC1314" t="n">
        <v>70.8908</v>
      </c>
      <c r="AD1314" t="n">
        <v>29943.6855</v>
      </c>
      <c r="AE1314" t="n">
        <v>3130.4985</v>
      </c>
      <c r="AF1314" t="n">
        <v>0.875</v>
      </c>
      <c r="AG1314" t="inlineStr">
        <is>
          <t>Critical</t>
        </is>
      </c>
      <c r="AH1314" t="inlineStr">
        <is>
          <t>On Track to Glide Path</t>
        </is>
      </c>
    </row>
    <row r="1315">
      <c r="A1315" t="inlineStr">
        <is>
          <t>SUP-0083</t>
        </is>
      </c>
      <c r="B1315" t="inlineStr">
        <is>
          <t>Logistics Supplier 083</t>
        </is>
      </c>
      <c r="C1315" t="inlineStr">
        <is>
          <t>Logistics</t>
        </is>
      </c>
      <c r="D1315" t="n">
        <v>2024</v>
      </c>
      <c r="E1315" t="n">
        <v>2015</v>
      </c>
      <c r="F1315" t="n">
        <v>2040</v>
      </c>
      <c r="G1315" t="n">
        <v>4022.9771</v>
      </c>
      <c r="H1315" t="n">
        <v>347.7898</v>
      </c>
      <c r="I1315" t="n">
        <v>519.3823</v>
      </c>
      <c r="J1315" t="n">
        <v>3297.3892</v>
      </c>
      <c r="K1315" t="n">
        <v>25887438.76</v>
      </c>
      <c r="L1315" t="n">
        <v>104255540.52</v>
      </c>
      <c r="M1315" t="n">
        <v>4022.9771</v>
      </c>
      <c r="N1315" t="inlineStr">
        <is>
          <t>Supplier Reported Emissions</t>
        </is>
      </c>
      <c r="O1315" t="b">
        <v>0</v>
      </c>
      <c r="P1315" t="inlineStr">
        <is>
          <t>High</t>
        </is>
      </c>
      <c r="Q1315" t="inlineStr">
        <is>
          <t>None</t>
        </is>
      </c>
      <c r="R1315" t="inlineStr">
        <is>
          <t>Valid</t>
        </is>
      </c>
      <c r="S1315" t="n">
        <v>2026</v>
      </c>
      <c r="T1315" t="inlineStr">
        <is>
          <t>Industry Haircut Pathway</t>
        </is>
      </c>
      <c r="U1315" t="n">
        <v>3839.4065</v>
      </c>
      <c r="V1315" t="n">
        <v>2067.1365</v>
      </c>
      <c r="W1315" t="n">
        <v>3059.6077</v>
      </c>
      <c r="X1315" t="n">
        <v>3059.6077</v>
      </c>
      <c r="Y1315" t="n">
        <v>779.7988</v>
      </c>
      <c r="Z1315" t="n">
        <v>0.00011819</v>
      </c>
      <c r="AA1315" t="n">
        <v>0.203104</v>
      </c>
      <c r="AB1315" t="n">
        <v>992.4712</v>
      </c>
      <c r="AC1315" t="n">
        <v>70.8908</v>
      </c>
      <c r="AD1315" t="n">
        <v>26884.0778</v>
      </c>
      <c r="AE1315" t="n">
        <v>6190.1062</v>
      </c>
      <c r="AF1315" t="n">
        <v>0.875</v>
      </c>
      <c r="AG1315" t="inlineStr">
        <is>
          <t>Critical</t>
        </is>
      </c>
      <c r="AH1315" t="inlineStr">
        <is>
          <t>On Track to Glide Path</t>
        </is>
      </c>
    </row>
    <row r="1316">
      <c r="A1316" t="inlineStr">
        <is>
          <t>SUP-0083</t>
        </is>
      </c>
      <c r="B1316" t="inlineStr">
        <is>
          <t>Logistics Supplier 083</t>
        </is>
      </c>
      <c r="C1316" t="inlineStr">
        <is>
          <t>Logistics</t>
        </is>
      </c>
      <c r="D1316" t="n">
        <v>2024</v>
      </c>
      <c r="E1316" t="n">
        <v>2015</v>
      </c>
      <c r="F1316" t="n">
        <v>2040</v>
      </c>
      <c r="G1316" t="n">
        <v>4022.9771</v>
      </c>
      <c r="H1316" t="n">
        <v>347.7898</v>
      </c>
      <c r="I1316" t="n">
        <v>519.3823</v>
      </c>
      <c r="J1316" t="n">
        <v>3297.3892</v>
      </c>
      <c r="K1316" t="n">
        <v>25887438.76</v>
      </c>
      <c r="L1316" t="n">
        <v>104255540.52</v>
      </c>
      <c r="M1316" t="n">
        <v>4022.9771</v>
      </c>
      <c r="N1316" t="inlineStr">
        <is>
          <t>Supplier Reported Emissions</t>
        </is>
      </c>
      <c r="O1316" t="b">
        <v>0</v>
      </c>
      <c r="P1316" t="inlineStr">
        <is>
          <t>High</t>
        </is>
      </c>
      <c r="Q1316" t="inlineStr">
        <is>
          <t>None</t>
        </is>
      </c>
      <c r="R1316" t="inlineStr">
        <is>
          <t>Valid</t>
        </is>
      </c>
      <c r="S1316" t="n">
        <v>2027</v>
      </c>
      <c r="T1316" t="inlineStr">
        <is>
          <t>Industry Haircut Pathway</t>
        </is>
      </c>
      <c r="U1316" t="n">
        <v>3839.4065</v>
      </c>
      <c r="V1316" t="n">
        <v>2067.1365</v>
      </c>
      <c r="W1316" t="n">
        <v>2988.7169</v>
      </c>
      <c r="X1316" t="n">
        <v>2988.7169</v>
      </c>
      <c r="Y1316" t="n">
        <v>850.6896</v>
      </c>
      <c r="Z1316" t="n">
        <v>0.00011545</v>
      </c>
      <c r="AA1316" t="n">
        <v>0.221568</v>
      </c>
      <c r="AB1316" t="n">
        <v>921.5804000000001</v>
      </c>
      <c r="AC1316" t="n">
        <v>70.8908</v>
      </c>
      <c r="AD1316" t="n">
        <v>23895.3609</v>
      </c>
      <c r="AE1316" t="n">
        <v>9178.8231</v>
      </c>
      <c r="AF1316" t="n">
        <v>0.875</v>
      </c>
      <c r="AG1316" t="inlineStr">
        <is>
          <t>Critical</t>
        </is>
      </c>
      <c r="AH1316" t="inlineStr">
        <is>
          <t>On Track to Glide Path</t>
        </is>
      </c>
    </row>
    <row r="1317">
      <c r="A1317" t="inlineStr">
        <is>
          <t>SUP-0083</t>
        </is>
      </c>
      <c r="B1317" t="inlineStr">
        <is>
          <t>Logistics Supplier 083</t>
        </is>
      </c>
      <c r="C1317" t="inlineStr">
        <is>
          <t>Logistics</t>
        </is>
      </c>
      <c r="D1317" t="n">
        <v>2024</v>
      </c>
      <c r="E1317" t="n">
        <v>2015</v>
      </c>
      <c r="F1317" t="n">
        <v>2040</v>
      </c>
      <c r="G1317" t="n">
        <v>4022.9771</v>
      </c>
      <c r="H1317" t="n">
        <v>347.7898</v>
      </c>
      <c r="I1317" t="n">
        <v>519.3823</v>
      </c>
      <c r="J1317" t="n">
        <v>3297.3892</v>
      </c>
      <c r="K1317" t="n">
        <v>25887438.76</v>
      </c>
      <c r="L1317" t="n">
        <v>104255540.52</v>
      </c>
      <c r="M1317" t="n">
        <v>4022.9771</v>
      </c>
      <c r="N1317" t="inlineStr">
        <is>
          <t>Supplier Reported Emissions</t>
        </is>
      </c>
      <c r="O1317" t="b">
        <v>0</v>
      </c>
      <c r="P1317" t="inlineStr">
        <is>
          <t>High</t>
        </is>
      </c>
      <c r="Q1317" t="inlineStr">
        <is>
          <t>None</t>
        </is>
      </c>
      <c r="R1317" t="inlineStr">
        <is>
          <t>Valid</t>
        </is>
      </c>
      <c r="S1317" t="n">
        <v>2028</v>
      </c>
      <c r="T1317" t="inlineStr">
        <is>
          <t>Industry Haircut Pathway</t>
        </is>
      </c>
      <c r="U1317" t="n">
        <v>3839.4065</v>
      </c>
      <c r="V1317" t="n">
        <v>2067.1365</v>
      </c>
      <c r="W1317" t="n">
        <v>2917.8261</v>
      </c>
      <c r="X1317" t="n">
        <v>2917.8261</v>
      </c>
      <c r="Y1317" t="n">
        <v>921.5804000000001</v>
      </c>
      <c r="Z1317" t="n">
        <v>0.00011271</v>
      </c>
      <c r="AA1317" t="n">
        <v>0.240032</v>
      </c>
      <c r="AB1317" t="n">
        <v>850.6896</v>
      </c>
      <c r="AC1317" t="n">
        <v>70.8908</v>
      </c>
      <c r="AD1317" t="n">
        <v>20977.5348</v>
      </c>
      <c r="AE1317" t="n">
        <v>12096.6492</v>
      </c>
      <c r="AF1317" t="n">
        <v>0.875</v>
      </c>
      <c r="AG1317" t="inlineStr">
        <is>
          <t>Critical</t>
        </is>
      </c>
      <c r="AH1317" t="inlineStr">
        <is>
          <t>On Track to Glide Path</t>
        </is>
      </c>
    </row>
    <row r="1318">
      <c r="A1318" t="inlineStr">
        <is>
          <t>SUP-0083</t>
        </is>
      </c>
      <c r="B1318" t="inlineStr">
        <is>
          <t>Logistics Supplier 083</t>
        </is>
      </c>
      <c r="C1318" t="inlineStr">
        <is>
          <t>Logistics</t>
        </is>
      </c>
      <c r="D1318" t="n">
        <v>2024</v>
      </c>
      <c r="E1318" t="n">
        <v>2015</v>
      </c>
      <c r="F1318" t="n">
        <v>2040</v>
      </c>
      <c r="G1318" t="n">
        <v>4022.9771</v>
      </c>
      <c r="H1318" t="n">
        <v>347.7898</v>
      </c>
      <c r="I1318" t="n">
        <v>519.3823</v>
      </c>
      <c r="J1318" t="n">
        <v>3297.3892</v>
      </c>
      <c r="K1318" t="n">
        <v>25887438.76</v>
      </c>
      <c r="L1318" t="n">
        <v>104255540.52</v>
      </c>
      <c r="M1318" t="n">
        <v>4022.9771</v>
      </c>
      <c r="N1318" t="inlineStr">
        <is>
          <t>Supplier Reported Emissions</t>
        </is>
      </c>
      <c r="O1318" t="b">
        <v>0</v>
      </c>
      <c r="P1318" t="inlineStr">
        <is>
          <t>High</t>
        </is>
      </c>
      <c r="Q1318" t="inlineStr">
        <is>
          <t>None</t>
        </is>
      </c>
      <c r="R1318" t="inlineStr">
        <is>
          <t>Valid</t>
        </is>
      </c>
      <c r="S1318" t="n">
        <v>2029</v>
      </c>
      <c r="T1318" t="inlineStr">
        <is>
          <t>Industry Haircut Pathway</t>
        </is>
      </c>
      <c r="U1318" t="n">
        <v>3839.4065</v>
      </c>
      <c r="V1318" t="n">
        <v>2067.1365</v>
      </c>
      <c r="W1318" t="n">
        <v>2846.9353</v>
      </c>
      <c r="X1318" t="n">
        <v>2846.9353</v>
      </c>
      <c r="Y1318" t="n">
        <v>992.4712</v>
      </c>
      <c r="Z1318" t="n">
        <v>0.00010997</v>
      </c>
      <c r="AA1318" t="n">
        <v>0.258496</v>
      </c>
      <c r="AB1318" t="n">
        <v>779.7988</v>
      </c>
      <c r="AC1318" t="n">
        <v>70.8908</v>
      </c>
      <c r="AD1318" t="n">
        <v>18130.5995</v>
      </c>
      <c r="AE1318" t="n">
        <v>14943.5845</v>
      </c>
      <c r="AF1318" t="n">
        <v>0.875</v>
      </c>
      <c r="AG1318" t="inlineStr">
        <is>
          <t>Critical</t>
        </is>
      </c>
      <c r="AH1318" t="inlineStr">
        <is>
          <t>On Track to Glide Path</t>
        </is>
      </c>
    </row>
    <row r="1319">
      <c r="A1319" t="inlineStr">
        <is>
          <t>SUP-0083</t>
        </is>
      </c>
      <c r="B1319" t="inlineStr">
        <is>
          <t>Logistics Supplier 083</t>
        </is>
      </c>
      <c r="C1319" t="inlineStr">
        <is>
          <t>Logistics</t>
        </is>
      </c>
      <c r="D1319" t="n">
        <v>2024</v>
      </c>
      <c r="E1319" t="n">
        <v>2015</v>
      </c>
      <c r="F1319" t="n">
        <v>2040</v>
      </c>
      <c r="G1319" t="n">
        <v>4022.9771</v>
      </c>
      <c r="H1319" t="n">
        <v>347.7898</v>
      </c>
      <c r="I1319" t="n">
        <v>519.3823</v>
      </c>
      <c r="J1319" t="n">
        <v>3297.3892</v>
      </c>
      <c r="K1319" t="n">
        <v>25887438.76</v>
      </c>
      <c r="L1319" t="n">
        <v>104255540.52</v>
      </c>
      <c r="M1319" t="n">
        <v>4022.9771</v>
      </c>
      <c r="N1319" t="inlineStr">
        <is>
          <t>Supplier Reported Emissions</t>
        </is>
      </c>
      <c r="O1319" t="b">
        <v>0</v>
      </c>
      <c r="P1319" t="inlineStr">
        <is>
          <t>High</t>
        </is>
      </c>
      <c r="Q1319" t="inlineStr">
        <is>
          <t>None</t>
        </is>
      </c>
      <c r="R1319" t="inlineStr">
        <is>
          <t>Valid</t>
        </is>
      </c>
      <c r="S1319" t="n">
        <v>2030</v>
      </c>
      <c r="T1319" t="inlineStr">
        <is>
          <t>Industry Haircut Pathway</t>
        </is>
      </c>
      <c r="U1319" t="n">
        <v>3839.4065</v>
      </c>
      <c r="V1319" t="n">
        <v>2067.1365</v>
      </c>
      <c r="W1319" t="n">
        <v>2776.0445</v>
      </c>
      <c r="X1319" t="n">
        <v>2776.0445</v>
      </c>
      <c r="Y1319" t="n">
        <v>1063.362</v>
      </c>
      <c r="Z1319" t="n">
        <v>0.00010724</v>
      </c>
      <c r="AA1319" t="n">
        <v>0.27696</v>
      </c>
      <c r="AB1319" t="n">
        <v>708.908</v>
      </c>
      <c r="AC1319" t="n">
        <v>70.8908</v>
      </c>
      <c r="AD1319" t="n">
        <v>15354.555</v>
      </c>
      <c r="AE1319" t="n">
        <v>17719.629</v>
      </c>
      <c r="AF1319" t="n">
        <v>0.875</v>
      </c>
      <c r="AG1319" t="inlineStr">
        <is>
          <t>High</t>
        </is>
      </c>
      <c r="AH1319" t="inlineStr">
        <is>
          <t>On Track to Glide Path</t>
        </is>
      </c>
    </row>
    <row r="1320">
      <c r="A1320" t="inlineStr">
        <is>
          <t>SUP-0083</t>
        </is>
      </c>
      <c r="B1320" t="inlineStr">
        <is>
          <t>Logistics Supplier 083</t>
        </is>
      </c>
      <c r="C1320" t="inlineStr">
        <is>
          <t>Logistics</t>
        </is>
      </c>
      <c r="D1320" t="n">
        <v>2024</v>
      </c>
      <c r="E1320" t="n">
        <v>2015</v>
      </c>
      <c r="F1320" t="n">
        <v>2040</v>
      </c>
      <c r="G1320" t="n">
        <v>4022.9771</v>
      </c>
      <c r="H1320" t="n">
        <v>347.7898</v>
      </c>
      <c r="I1320" t="n">
        <v>519.3823</v>
      </c>
      <c r="J1320" t="n">
        <v>3297.3892</v>
      </c>
      <c r="K1320" t="n">
        <v>25887438.76</v>
      </c>
      <c r="L1320" t="n">
        <v>104255540.52</v>
      </c>
      <c r="M1320" t="n">
        <v>4022.9771</v>
      </c>
      <c r="N1320" t="inlineStr">
        <is>
          <t>Supplier Reported Emissions</t>
        </is>
      </c>
      <c r="O1320" t="b">
        <v>0</v>
      </c>
      <c r="P1320" t="inlineStr">
        <is>
          <t>High</t>
        </is>
      </c>
      <c r="Q1320" t="inlineStr">
        <is>
          <t>None</t>
        </is>
      </c>
      <c r="R1320" t="inlineStr">
        <is>
          <t>Valid</t>
        </is>
      </c>
      <c r="S1320" t="n">
        <v>2031</v>
      </c>
      <c r="T1320" t="inlineStr">
        <is>
          <t>Industry Haircut Pathway</t>
        </is>
      </c>
      <c r="U1320" t="n">
        <v>3839.4065</v>
      </c>
      <c r="V1320" t="n">
        <v>2067.1365</v>
      </c>
      <c r="W1320" t="n">
        <v>2705.1537</v>
      </c>
      <c r="X1320" t="n">
        <v>2705.1537</v>
      </c>
      <c r="Y1320" t="n">
        <v>1134.2528</v>
      </c>
      <c r="Z1320" t="n">
        <v>0.0001045</v>
      </c>
      <c r="AA1320" t="n">
        <v>0.295424</v>
      </c>
      <c r="AB1320" t="n">
        <v>638.0172</v>
      </c>
      <c r="AC1320" t="n">
        <v>70.8908</v>
      </c>
      <c r="AD1320" t="n">
        <v>12649.4013</v>
      </c>
      <c r="AE1320" t="n">
        <v>20424.7827</v>
      </c>
      <c r="AF1320" t="n">
        <v>0.875</v>
      </c>
      <c r="AG1320" t="inlineStr">
        <is>
          <t>High</t>
        </is>
      </c>
      <c r="AH1320" t="inlineStr">
        <is>
          <t>On Track to Glide Path</t>
        </is>
      </c>
    </row>
    <row r="1321">
      <c r="A1321" t="inlineStr">
        <is>
          <t>SUP-0083</t>
        </is>
      </c>
      <c r="B1321" t="inlineStr">
        <is>
          <t>Logistics Supplier 083</t>
        </is>
      </c>
      <c r="C1321" t="inlineStr">
        <is>
          <t>Logistics</t>
        </is>
      </c>
      <c r="D1321" t="n">
        <v>2024</v>
      </c>
      <c r="E1321" t="n">
        <v>2015</v>
      </c>
      <c r="F1321" t="n">
        <v>2040</v>
      </c>
      <c r="G1321" t="n">
        <v>4022.9771</v>
      </c>
      <c r="H1321" t="n">
        <v>347.7898</v>
      </c>
      <c r="I1321" t="n">
        <v>519.3823</v>
      </c>
      <c r="J1321" t="n">
        <v>3297.3892</v>
      </c>
      <c r="K1321" t="n">
        <v>25887438.76</v>
      </c>
      <c r="L1321" t="n">
        <v>104255540.52</v>
      </c>
      <c r="M1321" t="n">
        <v>4022.9771</v>
      </c>
      <c r="N1321" t="inlineStr">
        <is>
          <t>Supplier Reported Emissions</t>
        </is>
      </c>
      <c r="O1321" t="b">
        <v>0</v>
      </c>
      <c r="P1321" t="inlineStr">
        <is>
          <t>High</t>
        </is>
      </c>
      <c r="Q1321" t="inlineStr">
        <is>
          <t>None</t>
        </is>
      </c>
      <c r="R1321" t="inlineStr">
        <is>
          <t>Valid</t>
        </is>
      </c>
      <c r="S1321" t="n">
        <v>2032</v>
      </c>
      <c r="T1321" t="inlineStr">
        <is>
          <t>Industry Haircut Pathway</t>
        </is>
      </c>
      <c r="U1321" t="n">
        <v>3839.4065</v>
      </c>
      <c r="V1321" t="n">
        <v>2067.1365</v>
      </c>
      <c r="W1321" t="n">
        <v>2634.2629</v>
      </c>
      <c r="X1321" t="n">
        <v>2634.2629</v>
      </c>
      <c r="Y1321" t="n">
        <v>1205.1436</v>
      </c>
      <c r="Z1321" t="n">
        <v>0.00010176</v>
      </c>
      <c r="AA1321" t="n">
        <v>0.313888</v>
      </c>
      <c r="AB1321" t="n">
        <v>567.1264</v>
      </c>
      <c r="AC1321" t="n">
        <v>70.8908</v>
      </c>
      <c r="AD1321" t="n">
        <v>10015.1384</v>
      </c>
      <c r="AE1321" t="n">
        <v>23059.0456</v>
      </c>
      <c r="AF1321" t="n">
        <v>0.875</v>
      </c>
      <c r="AG1321" t="inlineStr">
        <is>
          <t>High</t>
        </is>
      </c>
      <c r="AH1321" t="inlineStr">
        <is>
          <t>On Track to Glide Path</t>
        </is>
      </c>
    </row>
    <row r="1322">
      <c r="A1322" t="inlineStr">
        <is>
          <t>SUP-0083</t>
        </is>
      </c>
      <c r="B1322" t="inlineStr">
        <is>
          <t>Logistics Supplier 083</t>
        </is>
      </c>
      <c r="C1322" t="inlineStr">
        <is>
          <t>Logistics</t>
        </is>
      </c>
      <c r="D1322" t="n">
        <v>2024</v>
      </c>
      <c r="E1322" t="n">
        <v>2015</v>
      </c>
      <c r="F1322" t="n">
        <v>2040</v>
      </c>
      <c r="G1322" t="n">
        <v>4022.9771</v>
      </c>
      <c r="H1322" t="n">
        <v>347.7898</v>
      </c>
      <c r="I1322" t="n">
        <v>519.3823</v>
      </c>
      <c r="J1322" t="n">
        <v>3297.3892</v>
      </c>
      <c r="K1322" t="n">
        <v>25887438.76</v>
      </c>
      <c r="L1322" t="n">
        <v>104255540.52</v>
      </c>
      <c r="M1322" t="n">
        <v>4022.9771</v>
      </c>
      <c r="N1322" t="inlineStr">
        <is>
          <t>Supplier Reported Emissions</t>
        </is>
      </c>
      <c r="O1322" t="b">
        <v>0</v>
      </c>
      <c r="P1322" t="inlineStr">
        <is>
          <t>High</t>
        </is>
      </c>
      <c r="Q1322" t="inlineStr">
        <is>
          <t>None</t>
        </is>
      </c>
      <c r="R1322" t="inlineStr">
        <is>
          <t>Valid</t>
        </is>
      </c>
      <c r="S1322" t="n">
        <v>2033</v>
      </c>
      <c r="T1322" t="inlineStr">
        <is>
          <t>Industry Haircut Pathway</t>
        </is>
      </c>
      <c r="U1322" t="n">
        <v>3839.4065</v>
      </c>
      <c r="V1322" t="n">
        <v>2067.1365</v>
      </c>
      <c r="W1322" t="n">
        <v>2563.3721</v>
      </c>
      <c r="X1322" t="n">
        <v>2563.3721</v>
      </c>
      <c r="Y1322" t="n">
        <v>1276.0344</v>
      </c>
      <c r="Z1322" t="n">
        <v>9.902e-05</v>
      </c>
      <c r="AA1322" t="n">
        <v>0.332352</v>
      </c>
      <c r="AB1322" t="n">
        <v>496.2356</v>
      </c>
      <c r="AC1322" t="n">
        <v>70.8908</v>
      </c>
      <c r="AD1322" t="n">
        <v>7451.7663</v>
      </c>
      <c r="AE1322" t="n">
        <v>25622.4177</v>
      </c>
      <c r="AF1322" t="n">
        <v>0.875</v>
      </c>
      <c r="AG1322" t="inlineStr">
        <is>
          <t>High</t>
        </is>
      </c>
      <c r="AH1322" t="inlineStr">
        <is>
          <t>On Track to Glide Path</t>
        </is>
      </c>
    </row>
    <row r="1323">
      <c r="A1323" t="inlineStr">
        <is>
          <t>SUP-0083</t>
        </is>
      </c>
      <c r="B1323" t="inlineStr">
        <is>
          <t>Logistics Supplier 083</t>
        </is>
      </c>
      <c r="C1323" t="inlineStr">
        <is>
          <t>Logistics</t>
        </is>
      </c>
      <c r="D1323" t="n">
        <v>2024</v>
      </c>
      <c r="E1323" t="n">
        <v>2015</v>
      </c>
      <c r="F1323" t="n">
        <v>2040</v>
      </c>
      <c r="G1323" t="n">
        <v>4022.9771</v>
      </c>
      <c r="H1323" t="n">
        <v>347.7898</v>
      </c>
      <c r="I1323" t="n">
        <v>519.3823</v>
      </c>
      <c r="J1323" t="n">
        <v>3297.3892</v>
      </c>
      <c r="K1323" t="n">
        <v>25887438.76</v>
      </c>
      <c r="L1323" t="n">
        <v>104255540.52</v>
      </c>
      <c r="M1323" t="n">
        <v>4022.9771</v>
      </c>
      <c r="N1323" t="inlineStr">
        <is>
          <t>Supplier Reported Emissions</t>
        </is>
      </c>
      <c r="O1323" t="b">
        <v>0</v>
      </c>
      <c r="P1323" t="inlineStr">
        <is>
          <t>High</t>
        </is>
      </c>
      <c r="Q1323" t="inlineStr">
        <is>
          <t>None</t>
        </is>
      </c>
      <c r="R1323" t="inlineStr">
        <is>
          <t>Valid</t>
        </is>
      </c>
      <c r="S1323" t="n">
        <v>2034</v>
      </c>
      <c r="T1323" t="inlineStr">
        <is>
          <t>Industry Haircut Pathway</t>
        </is>
      </c>
      <c r="U1323" t="n">
        <v>3839.4065</v>
      </c>
      <c r="V1323" t="n">
        <v>2067.1365</v>
      </c>
      <c r="W1323" t="n">
        <v>2492.4813</v>
      </c>
      <c r="X1323" t="n">
        <v>2492.4813</v>
      </c>
      <c r="Y1323" t="n">
        <v>1346.9252</v>
      </c>
      <c r="Z1323" t="n">
        <v>9.628000000000001e-05</v>
      </c>
      <c r="AA1323" t="n">
        <v>0.350816</v>
      </c>
      <c r="AB1323" t="n">
        <v>425.3448</v>
      </c>
      <c r="AC1323" t="n">
        <v>70.8908</v>
      </c>
      <c r="AD1323" t="n">
        <v>4959.285</v>
      </c>
      <c r="AE1323" t="n">
        <v>28114.899</v>
      </c>
      <c r="AF1323" t="n">
        <v>0.875</v>
      </c>
      <c r="AG1323" t="inlineStr">
        <is>
          <t>High</t>
        </is>
      </c>
      <c r="AH1323" t="inlineStr">
        <is>
          <t>On Track to Glide Path</t>
        </is>
      </c>
    </row>
    <row r="1324">
      <c r="A1324" t="inlineStr">
        <is>
          <t>SUP-0083</t>
        </is>
      </c>
      <c r="B1324" t="inlineStr">
        <is>
          <t>Logistics Supplier 083</t>
        </is>
      </c>
      <c r="C1324" t="inlineStr">
        <is>
          <t>Logistics</t>
        </is>
      </c>
      <c r="D1324" t="n">
        <v>2024</v>
      </c>
      <c r="E1324" t="n">
        <v>2015</v>
      </c>
      <c r="F1324" t="n">
        <v>2040</v>
      </c>
      <c r="G1324" t="n">
        <v>4022.9771</v>
      </c>
      <c r="H1324" t="n">
        <v>347.7898</v>
      </c>
      <c r="I1324" t="n">
        <v>519.3823</v>
      </c>
      <c r="J1324" t="n">
        <v>3297.3892</v>
      </c>
      <c r="K1324" t="n">
        <v>25887438.76</v>
      </c>
      <c r="L1324" t="n">
        <v>104255540.52</v>
      </c>
      <c r="M1324" t="n">
        <v>4022.9771</v>
      </c>
      <c r="N1324" t="inlineStr">
        <is>
          <t>Supplier Reported Emissions</t>
        </is>
      </c>
      <c r="O1324" t="b">
        <v>0</v>
      </c>
      <c r="P1324" t="inlineStr">
        <is>
          <t>High</t>
        </is>
      </c>
      <c r="Q1324" t="inlineStr">
        <is>
          <t>None</t>
        </is>
      </c>
      <c r="R1324" t="inlineStr">
        <is>
          <t>Valid</t>
        </is>
      </c>
      <c r="S1324" t="n">
        <v>2035</v>
      </c>
      <c r="T1324" t="inlineStr">
        <is>
          <t>Industry Haircut Pathway</t>
        </is>
      </c>
      <c r="U1324" t="n">
        <v>3839.4065</v>
      </c>
      <c r="V1324" t="n">
        <v>2067.1365</v>
      </c>
      <c r="W1324" t="n">
        <v>2421.5905</v>
      </c>
      <c r="X1324" t="n">
        <v>2421.5905</v>
      </c>
      <c r="Y1324" t="n">
        <v>1417.816</v>
      </c>
      <c r="Z1324" t="n">
        <v>9.354e-05</v>
      </c>
      <c r="AA1324" t="n">
        <v>0.36928</v>
      </c>
      <c r="AB1324" t="n">
        <v>354.454</v>
      </c>
      <c r="AC1324" t="n">
        <v>70.8908</v>
      </c>
      <c r="AD1324" t="n">
        <v>2537.6945</v>
      </c>
      <c r="AE1324" t="n">
        <v>30536.4895</v>
      </c>
      <c r="AF1324" t="n">
        <v>0.875</v>
      </c>
      <c r="AG1324" t="inlineStr">
        <is>
          <t>High</t>
        </is>
      </c>
      <c r="AH1324" t="inlineStr">
        <is>
          <t>On Track to Glide Path</t>
        </is>
      </c>
    </row>
    <row r="1325">
      <c r="A1325" t="inlineStr">
        <is>
          <t>SUP-0083</t>
        </is>
      </c>
      <c r="B1325" t="inlineStr">
        <is>
          <t>Logistics Supplier 083</t>
        </is>
      </c>
      <c r="C1325" t="inlineStr">
        <is>
          <t>Logistics</t>
        </is>
      </c>
      <c r="D1325" t="n">
        <v>2024</v>
      </c>
      <c r="E1325" t="n">
        <v>2015</v>
      </c>
      <c r="F1325" t="n">
        <v>2040</v>
      </c>
      <c r="G1325" t="n">
        <v>4022.9771</v>
      </c>
      <c r="H1325" t="n">
        <v>347.7898</v>
      </c>
      <c r="I1325" t="n">
        <v>519.3823</v>
      </c>
      <c r="J1325" t="n">
        <v>3297.3892</v>
      </c>
      <c r="K1325" t="n">
        <v>25887438.76</v>
      </c>
      <c r="L1325" t="n">
        <v>104255540.52</v>
      </c>
      <c r="M1325" t="n">
        <v>4022.9771</v>
      </c>
      <c r="N1325" t="inlineStr">
        <is>
          <t>Supplier Reported Emissions</t>
        </is>
      </c>
      <c r="O1325" t="b">
        <v>0</v>
      </c>
      <c r="P1325" t="inlineStr">
        <is>
          <t>High</t>
        </is>
      </c>
      <c r="Q1325" t="inlineStr">
        <is>
          <t>None</t>
        </is>
      </c>
      <c r="R1325" t="inlineStr">
        <is>
          <t>Valid</t>
        </is>
      </c>
      <c r="S1325" t="n">
        <v>2036</v>
      </c>
      <c r="T1325" t="inlineStr">
        <is>
          <t>Industry Haircut Pathway</t>
        </is>
      </c>
      <c r="U1325" t="n">
        <v>3839.4065</v>
      </c>
      <c r="V1325" t="n">
        <v>2067.1365</v>
      </c>
      <c r="W1325" t="n">
        <v>2350.6997</v>
      </c>
      <c r="X1325" t="n">
        <v>2350.6997</v>
      </c>
      <c r="Y1325" t="n">
        <v>1488.7068</v>
      </c>
      <c r="Z1325" t="n">
        <v>9.08e-05</v>
      </c>
      <c r="AA1325" t="n">
        <v>0.387744</v>
      </c>
      <c r="AB1325" t="n">
        <v>283.5632</v>
      </c>
      <c r="AC1325" t="n">
        <v>70.8908</v>
      </c>
      <c r="AD1325" t="n">
        <v>186.9948</v>
      </c>
      <c r="AE1325" t="n">
        <v>32887.1892</v>
      </c>
      <c r="AF1325" t="n">
        <v>0.875</v>
      </c>
      <c r="AG1325" t="inlineStr">
        <is>
          <t>Medium</t>
        </is>
      </c>
      <c r="AH1325" t="inlineStr">
        <is>
          <t>On Track to Glide Path</t>
        </is>
      </c>
    </row>
    <row r="1326">
      <c r="A1326" t="inlineStr">
        <is>
          <t>SUP-0083</t>
        </is>
      </c>
      <c r="B1326" t="inlineStr">
        <is>
          <t>Logistics Supplier 083</t>
        </is>
      </c>
      <c r="C1326" t="inlineStr">
        <is>
          <t>Logistics</t>
        </is>
      </c>
      <c r="D1326" t="n">
        <v>2024</v>
      </c>
      <c r="E1326" t="n">
        <v>2015</v>
      </c>
      <c r="F1326" t="n">
        <v>2040</v>
      </c>
      <c r="G1326" t="n">
        <v>4022.9771</v>
      </c>
      <c r="H1326" t="n">
        <v>347.7898</v>
      </c>
      <c r="I1326" t="n">
        <v>519.3823</v>
      </c>
      <c r="J1326" t="n">
        <v>3297.3892</v>
      </c>
      <c r="K1326" t="n">
        <v>25887438.76</v>
      </c>
      <c r="L1326" t="n">
        <v>104255540.52</v>
      </c>
      <c r="M1326" t="n">
        <v>4022.9771</v>
      </c>
      <c r="N1326" t="inlineStr">
        <is>
          <t>Supplier Reported Emissions</t>
        </is>
      </c>
      <c r="O1326" t="b">
        <v>0</v>
      </c>
      <c r="P1326" t="inlineStr">
        <is>
          <t>High</t>
        </is>
      </c>
      <c r="Q1326" t="inlineStr">
        <is>
          <t>None</t>
        </is>
      </c>
      <c r="R1326" t="inlineStr">
        <is>
          <t>Valid</t>
        </is>
      </c>
      <c r="S1326" t="n">
        <v>2037</v>
      </c>
      <c r="T1326" t="inlineStr">
        <is>
          <t>Industry Haircut Pathway</t>
        </is>
      </c>
      <c r="U1326" t="n">
        <v>3839.4065</v>
      </c>
      <c r="V1326" t="n">
        <v>2067.1365</v>
      </c>
      <c r="W1326" t="n">
        <v>2279.8089</v>
      </c>
      <c r="X1326" t="n">
        <v>2279.8089</v>
      </c>
      <c r="Y1326" t="n">
        <v>1559.5976</v>
      </c>
      <c r="Z1326" t="n">
        <v>8.807e-05</v>
      </c>
      <c r="AA1326" t="n">
        <v>0.406208</v>
      </c>
      <c r="AB1326" t="n">
        <v>212.6724</v>
      </c>
      <c r="AC1326" t="n">
        <v>70.8908</v>
      </c>
      <c r="AD1326" t="n">
        <v>-2092.8141</v>
      </c>
      <c r="AE1326" t="n">
        <v>35166.9981</v>
      </c>
      <c r="AF1326" t="n">
        <v>0.875</v>
      </c>
      <c r="AG1326" t="inlineStr">
        <is>
          <t>Medium</t>
        </is>
      </c>
      <c r="AH1326" t="inlineStr">
        <is>
          <t>On Track to Glide Path</t>
        </is>
      </c>
    </row>
    <row r="1327">
      <c r="A1327" t="inlineStr">
        <is>
          <t>SUP-0083</t>
        </is>
      </c>
      <c r="B1327" t="inlineStr">
        <is>
          <t>Logistics Supplier 083</t>
        </is>
      </c>
      <c r="C1327" t="inlineStr">
        <is>
          <t>Logistics</t>
        </is>
      </c>
      <c r="D1327" t="n">
        <v>2024</v>
      </c>
      <c r="E1327" t="n">
        <v>2015</v>
      </c>
      <c r="F1327" t="n">
        <v>2040</v>
      </c>
      <c r="G1327" t="n">
        <v>4022.9771</v>
      </c>
      <c r="H1327" t="n">
        <v>347.7898</v>
      </c>
      <c r="I1327" t="n">
        <v>519.3823</v>
      </c>
      <c r="J1327" t="n">
        <v>3297.3892</v>
      </c>
      <c r="K1327" t="n">
        <v>25887438.76</v>
      </c>
      <c r="L1327" t="n">
        <v>104255540.52</v>
      </c>
      <c r="M1327" t="n">
        <v>4022.9771</v>
      </c>
      <c r="N1327" t="inlineStr">
        <is>
          <t>Supplier Reported Emissions</t>
        </is>
      </c>
      <c r="O1327" t="b">
        <v>0</v>
      </c>
      <c r="P1327" t="inlineStr">
        <is>
          <t>High</t>
        </is>
      </c>
      <c r="Q1327" t="inlineStr">
        <is>
          <t>None</t>
        </is>
      </c>
      <c r="R1327" t="inlineStr">
        <is>
          <t>Valid</t>
        </is>
      </c>
      <c r="S1327" t="n">
        <v>2038</v>
      </c>
      <c r="T1327" t="inlineStr">
        <is>
          <t>Industry Haircut Pathway</t>
        </is>
      </c>
      <c r="U1327" t="n">
        <v>3839.4065</v>
      </c>
      <c r="V1327" t="n">
        <v>2067.1365</v>
      </c>
      <c r="W1327" t="n">
        <v>2208.9181</v>
      </c>
      <c r="X1327" t="n">
        <v>2208.9181</v>
      </c>
      <c r="Y1327" t="n">
        <v>1630.4884</v>
      </c>
      <c r="Z1327" t="n">
        <v>8.533e-05</v>
      </c>
      <c r="AA1327" t="n">
        <v>0.424672</v>
      </c>
      <c r="AB1327" t="n">
        <v>141.7816</v>
      </c>
      <c r="AC1327" t="n">
        <v>70.8908</v>
      </c>
      <c r="AD1327" t="n">
        <v>-4301.7322</v>
      </c>
      <c r="AE1327" t="n">
        <v>37375.9162</v>
      </c>
      <c r="AF1327" t="n">
        <v>0.875</v>
      </c>
      <c r="AG1327" t="inlineStr">
        <is>
          <t>Medium</t>
        </is>
      </c>
      <c r="AH1327" t="inlineStr">
        <is>
          <t>On Track to Glide Path</t>
        </is>
      </c>
    </row>
    <row r="1328">
      <c r="A1328" t="inlineStr">
        <is>
          <t>SUP-0083</t>
        </is>
      </c>
      <c r="B1328" t="inlineStr">
        <is>
          <t>Logistics Supplier 083</t>
        </is>
      </c>
      <c r="C1328" t="inlineStr">
        <is>
          <t>Logistics</t>
        </is>
      </c>
      <c r="D1328" t="n">
        <v>2024</v>
      </c>
      <c r="E1328" t="n">
        <v>2015</v>
      </c>
      <c r="F1328" t="n">
        <v>2040</v>
      </c>
      <c r="G1328" t="n">
        <v>4022.9771</v>
      </c>
      <c r="H1328" t="n">
        <v>347.7898</v>
      </c>
      <c r="I1328" t="n">
        <v>519.3823</v>
      </c>
      <c r="J1328" t="n">
        <v>3297.3892</v>
      </c>
      <c r="K1328" t="n">
        <v>25887438.76</v>
      </c>
      <c r="L1328" t="n">
        <v>104255540.52</v>
      </c>
      <c r="M1328" t="n">
        <v>4022.9771</v>
      </c>
      <c r="N1328" t="inlineStr">
        <is>
          <t>Supplier Reported Emissions</t>
        </is>
      </c>
      <c r="O1328" t="b">
        <v>0</v>
      </c>
      <c r="P1328" t="inlineStr">
        <is>
          <t>High</t>
        </is>
      </c>
      <c r="Q1328" t="inlineStr">
        <is>
          <t>None</t>
        </is>
      </c>
      <c r="R1328" t="inlineStr">
        <is>
          <t>Valid</t>
        </is>
      </c>
      <c r="S1328" t="n">
        <v>2039</v>
      </c>
      <c r="T1328" t="inlineStr">
        <is>
          <t>Industry Haircut Pathway</t>
        </is>
      </c>
      <c r="U1328" t="n">
        <v>3839.4065</v>
      </c>
      <c r="V1328" t="n">
        <v>2067.1365</v>
      </c>
      <c r="W1328" t="n">
        <v>2138.0273</v>
      </c>
      <c r="X1328" t="n">
        <v>2138.0273</v>
      </c>
      <c r="Y1328" t="n">
        <v>1701.3792</v>
      </c>
      <c r="Z1328" t="n">
        <v>8.258999999999999e-05</v>
      </c>
      <c r="AA1328" t="n">
        <v>0.443136</v>
      </c>
      <c r="AB1328" t="n">
        <v>70.8908</v>
      </c>
      <c r="AC1328" t="n">
        <v>70.8908</v>
      </c>
      <c r="AD1328" t="n">
        <v>-6439.7595</v>
      </c>
      <c r="AE1328" t="n">
        <v>39513.9435</v>
      </c>
      <c r="AF1328" t="n">
        <v>0.875</v>
      </c>
      <c r="AG1328" t="inlineStr">
        <is>
          <t>Medium</t>
        </is>
      </c>
      <c r="AH1328" t="inlineStr">
        <is>
          <t>On Track to Glide Path</t>
        </is>
      </c>
    </row>
    <row r="1329">
      <c r="A1329" t="inlineStr">
        <is>
          <t>SUP-0083</t>
        </is>
      </c>
      <c r="B1329" t="inlineStr">
        <is>
          <t>Logistics Supplier 083</t>
        </is>
      </c>
      <c r="C1329" t="inlineStr">
        <is>
          <t>Logistics</t>
        </is>
      </c>
      <c r="D1329" t="n">
        <v>2024</v>
      </c>
      <c r="E1329" t="n">
        <v>2015</v>
      </c>
      <c r="F1329" t="n">
        <v>2040</v>
      </c>
      <c r="G1329" t="n">
        <v>4022.9771</v>
      </c>
      <c r="H1329" t="n">
        <v>347.7898</v>
      </c>
      <c r="I1329" t="n">
        <v>519.3823</v>
      </c>
      <c r="J1329" t="n">
        <v>3297.3892</v>
      </c>
      <c r="K1329" t="n">
        <v>25887438.76</v>
      </c>
      <c r="L1329" t="n">
        <v>104255540.52</v>
      </c>
      <c r="M1329" t="n">
        <v>4022.9771</v>
      </c>
      <c r="N1329" t="inlineStr">
        <is>
          <t>Supplier Reported Emissions</t>
        </is>
      </c>
      <c r="O1329" t="b">
        <v>0</v>
      </c>
      <c r="P1329" t="inlineStr">
        <is>
          <t>High</t>
        </is>
      </c>
      <c r="Q1329" t="inlineStr">
        <is>
          <t>None</t>
        </is>
      </c>
      <c r="R1329" t="inlineStr">
        <is>
          <t>Valid</t>
        </is>
      </c>
      <c r="S1329" t="n">
        <v>2040</v>
      </c>
      <c r="T1329" t="inlineStr">
        <is>
          <t>Industry Haircut Pathway</t>
        </is>
      </c>
      <c r="U1329" t="n">
        <v>3839.4065</v>
      </c>
      <c r="V1329" t="n">
        <v>2067.1365</v>
      </c>
      <c r="W1329" t="n">
        <v>2067.1365</v>
      </c>
      <c r="X1329" t="n">
        <v>2067.1365</v>
      </c>
      <c r="Y1329" t="n">
        <v>1772.27</v>
      </c>
      <c r="Z1329" t="n">
        <v>7.985e-05</v>
      </c>
      <c r="AA1329" t="n">
        <v>0.4616</v>
      </c>
      <c r="AB1329" t="n">
        <v>0</v>
      </c>
      <c r="AC1329" t="n">
        <v>70.8908</v>
      </c>
      <c r="AD1329" t="n">
        <v>-8506.896000000001</v>
      </c>
      <c r="AE1329" t="n">
        <v>41581.08</v>
      </c>
      <c r="AF1329" t="n">
        <v>0.875</v>
      </c>
      <c r="AG1329" t="inlineStr">
        <is>
          <t>Low</t>
        </is>
      </c>
      <c r="AH1329" t="inlineStr">
        <is>
          <t>On Track</t>
        </is>
      </c>
    </row>
    <row r="1330">
      <c r="A1330" t="inlineStr">
        <is>
          <t>SUP-0084</t>
        </is>
      </c>
      <c r="B1330" t="inlineStr">
        <is>
          <t>Chemicals Supplier 084</t>
        </is>
      </c>
      <c r="C1330" t="inlineStr">
        <is>
          <t>Chemicals</t>
        </is>
      </c>
      <c r="D1330" t="n">
        <v>2024</v>
      </c>
      <c r="E1330" t="n">
        <v>2015</v>
      </c>
      <c r="F1330" t="n">
        <v>2035</v>
      </c>
      <c r="G1330" t="inlineStr"/>
      <c r="H1330" t="n">
        <v>3375.4867</v>
      </c>
      <c r="I1330" t="n">
        <v>4511.2423</v>
      </c>
      <c r="J1330" t="n">
        <v>15490.571</v>
      </c>
      <c r="K1330" t="n">
        <v>17673357.44</v>
      </c>
      <c r="L1330" t="n">
        <v>49317593</v>
      </c>
      <c r="M1330" t="n">
        <v>23377.3</v>
      </c>
      <c r="N1330" t="inlineStr">
        <is>
          <t>Scope 1 + Scope 2 + Scope 3</t>
        </is>
      </c>
      <c r="O1330" t="b">
        <v>1</v>
      </c>
      <c r="P1330" t="inlineStr">
        <is>
          <t>High</t>
        </is>
      </c>
      <c r="Q1330" t="inlineStr">
        <is>
          <t>Reported_Emissions</t>
        </is>
      </c>
      <c r="R1330" t="inlineStr">
        <is>
          <t>Valid</t>
        </is>
      </c>
      <c r="S1330" t="n">
        <v>2025</v>
      </c>
      <c r="T1330" t="inlineStr">
        <is>
          <t>Industry Haircut Pathway</t>
        </is>
      </c>
      <c r="U1330" t="n">
        <v>17222.4301</v>
      </c>
      <c r="V1330" t="n">
        <v>8216.821400000001</v>
      </c>
      <c r="W1330" t="n">
        <v>12719.6258</v>
      </c>
      <c r="X1330" t="n">
        <v>12719.6258</v>
      </c>
      <c r="Y1330" t="n">
        <v>4502.8043</v>
      </c>
      <c r="Z1330" t="n">
        <v>0.00071971</v>
      </c>
      <c r="AA1330" t="n">
        <v>0.26145</v>
      </c>
      <c r="AB1330" t="n">
        <v>4502.8043</v>
      </c>
      <c r="AC1330" t="n">
        <v>450.2804</v>
      </c>
      <c r="AD1330" t="n">
        <v>77665.4096</v>
      </c>
      <c r="AE1330" t="n">
        <v>12719.6258</v>
      </c>
      <c r="AF1330" t="n">
        <v>0.904</v>
      </c>
      <c r="AG1330" t="inlineStr">
        <is>
          <t>Critical</t>
        </is>
      </c>
      <c r="AH1330" t="inlineStr">
        <is>
          <t>On Track to Glide Path</t>
        </is>
      </c>
    </row>
    <row r="1331">
      <c r="A1331" t="inlineStr">
        <is>
          <t>SUP-0084</t>
        </is>
      </c>
      <c r="B1331" t="inlineStr">
        <is>
          <t>Chemicals Supplier 084</t>
        </is>
      </c>
      <c r="C1331" t="inlineStr">
        <is>
          <t>Chemicals</t>
        </is>
      </c>
      <c r="D1331" t="n">
        <v>2024</v>
      </c>
      <c r="E1331" t="n">
        <v>2015</v>
      </c>
      <c r="F1331" t="n">
        <v>2035</v>
      </c>
      <c r="G1331" t="inlineStr"/>
      <c r="H1331" t="n">
        <v>3375.4867</v>
      </c>
      <c r="I1331" t="n">
        <v>4511.2423</v>
      </c>
      <c r="J1331" t="n">
        <v>15490.571</v>
      </c>
      <c r="K1331" t="n">
        <v>17673357.44</v>
      </c>
      <c r="L1331" t="n">
        <v>49317593</v>
      </c>
      <c r="M1331" t="n">
        <v>23377.3</v>
      </c>
      <c r="N1331" t="inlineStr">
        <is>
          <t>Scope 1 + Scope 2 + Scope 3</t>
        </is>
      </c>
      <c r="O1331" t="b">
        <v>1</v>
      </c>
      <c r="P1331" t="inlineStr">
        <is>
          <t>High</t>
        </is>
      </c>
      <c r="Q1331" t="inlineStr">
        <is>
          <t>Reported_Emissions</t>
        </is>
      </c>
      <c r="R1331" t="inlineStr">
        <is>
          <t>Valid</t>
        </is>
      </c>
      <c r="S1331" t="n">
        <v>2026</v>
      </c>
      <c r="T1331" t="inlineStr">
        <is>
          <t>Industry Haircut Pathway</t>
        </is>
      </c>
      <c r="U1331" t="n">
        <v>17222.4301</v>
      </c>
      <c r="V1331" t="n">
        <v>8216.821400000001</v>
      </c>
      <c r="W1331" t="n">
        <v>12269.3453</v>
      </c>
      <c r="X1331" t="n">
        <v>12269.3453</v>
      </c>
      <c r="Y1331" t="n">
        <v>4953.0848</v>
      </c>
      <c r="Z1331" t="n">
        <v>0.00069423</v>
      </c>
      <c r="AA1331" t="n">
        <v>0.287595</v>
      </c>
      <c r="AB1331" t="n">
        <v>4052.5239</v>
      </c>
      <c r="AC1331" t="n">
        <v>450.2804</v>
      </c>
      <c r="AD1331" t="n">
        <v>65396.0643</v>
      </c>
      <c r="AE1331" t="n">
        <v>24988.9711</v>
      </c>
      <c r="AF1331" t="n">
        <v>0.904</v>
      </c>
      <c r="AG1331" t="inlineStr">
        <is>
          <t>Critical</t>
        </is>
      </c>
      <c r="AH1331" t="inlineStr">
        <is>
          <t>On Track to Glide Path</t>
        </is>
      </c>
    </row>
    <row r="1332">
      <c r="A1332" t="inlineStr">
        <is>
          <t>SUP-0084</t>
        </is>
      </c>
      <c r="B1332" t="inlineStr">
        <is>
          <t>Chemicals Supplier 084</t>
        </is>
      </c>
      <c r="C1332" t="inlineStr">
        <is>
          <t>Chemicals</t>
        </is>
      </c>
      <c r="D1332" t="n">
        <v>2024</v>
      </c>
      <c r="E1332" t="n">
        <v>2015</v>
      </c>
      <c r="F1332" t="n">
        <v>2035</v>
      </c>
      <c r="G1332" t="inlineStr"/>
      <c r="H1332" t="n">
        <v>3375.4867</v>
      </c>
      <c r="I1332" t="n">
        <v>4511.2423</v>
      </c>
      <c r="J1332" t="n">
        <v>15490.571</v>
      </c>
      <c r="K1332" t="n">
        <v>17673357.44</v>
      </c>
      <c r="L1332" t="n">
        <v>49317593</v>
      </c>
      <c r="M1332" t="n">
        <v>23377.3</v>
      </c>
      <c r="N1332" t="inlineStr">
        <is>
          <t>Scope 1 + Scope 2 + Scope 3</t>
        </is>
      </c>
      <c r="O1332" t="b">
        <v>1</v>
      </c>
      <c r="P1332" t="inlineStr">
        <is>
          <t>High</t>
        </is>
      </c>
      <c r="Q1332" t="inlineStr">
        <is>
          <t>Reported_Emissions</t>
        </is>
      </c>
      <c r="R1332" t="inlineStr">
        <is>
          <t>Valid</t>
        </is>
      </c>
      <c r="S1332" t="n">
        <v>2027</v>
      </c>
      <c r="T1332" t="inlineStr">
        <is>
          <t>Industry Haircut Pathway</t>
        </is>
      </c>
      <c r="U1332" t="n">
        <v>17222.4301</v>
      </c>
      <c r="V1332" t="n">
        <v>8216.821400000001</v>
      </c>
      <c r="W1332" t="n">
        <v>11819.0649</v>
      </c>
      <c r="X1332" t="n">
        <v>11819.0649</v>
      </c>
      <c r="Y1332" t="n">
        <v>5403.3652</v>
      </c>
      <c r="Z1332" t="n">
        <v>0.00066875</v>
      </c>
      <c r="AA1332" t="n">
        <v>0.31374</v>
      </c>
      <c r="AB1332" t="n">
        <v>3602.2435</v>
      </c>
      <c r="AC1332" t="n">
        <v>450.2804</v>
      </c>
      <c r="AD1332" t="n">
        <v>53576.9994</v>
      </c>
      <c r="AE1332" t="n">
        <v>36808.036</v>
      </c>
      <c r="AF1332" t="n">
        <v>0.904</v>
      </c>
      <c r="AG1332" t="inlineStr">
        <is>
          <t>Critical</t>
        </is>
      </c>
      <c r="AH1332" t="inlineStr">
        <is>
          <t>On Track to Glide Path</t>
        </is>
      </c>
    </row>
    <row r="1333">
      <c r="A1333" t="inlineStr">
        <is>
          <t>SUP-0084</t>
        </is>
      </c>
      <c r="B1333" t="inlineStr">
        <is>
          <t>Chemicals Supplier 084</t>
        </is>
      </c>
      <c r="C1333" t="inlineStr">
        <is>
          <t>Chemicals</t>
        </is>
      </c>
      <c r="D1333" t="n">
        <v>2024</v>
      </c>
      <c r="E1333" t="n">
        <v>2015</v>
      </c>
      <c r="F1333" t="n">
        <v>2035</v>
      </c>
      <c r="G1333" t="inlineStr"/>
      <c r="H1333" t="n">
        <v>3375.4867</v>
      </c>
      <c r="I1333" t="n">
        <v>4511.2423</v>
      </c>
      <c r="J1333" t="n">
        <v>15490.571</v>
      </c>
      <c r="K1333" t="n">
        <v>17673357.44</v>
      </c>
      <c r="L1333" t="n">
        <v>49317593</v>
      </c>
      <c r="M1333" t="n">
        <v>23377.3</v>
      </c>
      <c r="N1333" t="inlineStr">
        <is>
          <t>Scope 1 + Scope 2 + Scope 3</t>
        </is>
      </c>
      <c r="O1333" t="b">
        <v>1</v>
      </c>
      <c r="P1333" t="inlineStr">
        <is>
          <t>High</t>
        </is>
      </c>
      <c r="Q1333" t="inlineStr">
        <is>
          <t>Reported_Emissions</t>
        </is>
      </c>
      <c r="R1333" t="inlineStr">
        <is>
          <t>Valid</t>
        </is>
      </c>
      <c r="S1333" t="n">
        <v>2028</v>
      </c>
      <c r="T1333" t="inlineStr">
        <is>
          <t>Industry Haircut Pathway</t>
        </is>
      </c>
      <c r="U1333" t="n">
        <v>17222.4301</v>
      </c>
      <c r="V1333" t="n">
        <v>8216.821400000001</v>
      </c>
      <c r="W1333" t="n">
        <v>11368.7844</v>
      </c>
      <c r="X1333" t="n">
        <v>11368.7844</v>
      </c>
      <c r="Y1333" t="n">
        <v>5853.6457</v>
      </c>
      <c r="Z1333" t="n">
        <v>0.00064327</v>
      </c>
      <c r="AA1333" t="n">
        <v>0.339885</v>
      </c>
      <c r="AB1333" t="n">
        <v>3151.963</v>
      </c>
      <c r="AC1333" t="n">
        <v>450.2804</v>
      </c>
      <c r="AD1333" t="n">
        <v>42208.215</v>
      </c>
      <c r="AE1333" t="n">
        <v>48176.8204</v>
      </c>
      <c r="AF1333" t="n">
        <v>0.904</v>
      </c>
      <c r="AG1333" t="inlineStr">
        <is>
          <t>Critical</t>
        </is>
      </c>
      <c r="AH1333" t="inlineStr">
        <is>
          <t>On Track to Glide Path</t>
        </is>
      </c>
    </row>
    <row r="1334">
      <c r="A1334" t="inlineStr">
        <is>
          <t>SUP-0084</t>
        </is>
      </c>
      <c r="B1334" t="inlineStr">
        <is>
          <t>Chemicals Supplier 084</t>
        </is>
      </c>
      <c r="C1334" t="inlineStr">
        <is>
          <t>Chemicals</t>
        </is>
      </c>
      <c r="D1334" t="n">
        <v>2024</v>
      </c>
      <c r="E1334" t="n">
        <v>2015</v>
      </c>
      <c r="F1334" t="n">
        <v>2035</v>
      </c>
      <c r="G1334" t="inlineStr"/>
      <c r="H1334" t="n">
        <v>3375.4867</v>
      </c>
      <c r="I1334" t="n">
        <v>4511.2423</v>
      </c>
      <c r="J1334" t="n">
        <v>15490.571</v>
      </c>
      <c r="K1334" t="n">
        <v>17673357.44</v>
      </c>
      <c r="L1334" t="n">
        <v>49317593</v>
      </c>
      <c r="M1334" t="n">
        <v>23377.3</v>
      </c>
      <c r="N1334" t="inlineStr">
        <is>
          <t>Scope 1 + Scope 2 + Scope 3</t>
        </is>
      </c>
      <c r="O1334" t="b">
        <v>1</v>
      </c>
      <c r="P1334" t="inlineStr">
        <is>
          <t>High</t>
        </is>
      </c>
      <c r="Q1334" t="inlineStr">
        <is>
          <t>Reported_Emissions</t>
        </is>
      </c>
      <c r="R1334" t="inlineStr">
        <is>
          <t>Valid</t>
        </is>
      </c>
      <c r="S1334" t="n">
        <v>2029</v>
      </c>
      <c r="T1334" t="inlineStr">
        <is>
          <t>Industry Haircut Pathway</t>
        </is>
      </c>
      <c r="U1334" t="n">
        <v>17222.4301</v>
      </c>
      <c r="V1334" t="n">
        <v>8216.821400000001</v>
      </c>
      <c r="W1334" t="n">
        <v>10918.504</v>
      </c>
      <c r="X1334" t="n">
        <v>10918.504</v>
      </c>
      <c r="Y1334" t="n">
        <v>6303.9261</v>
      </c>
      <c r="Z1334" t="n">
        <v>0.00061779</v>
      </c>
      <c r="AA1334" t="n">
        <v>0.36603</v>
      </c>
      <c r="AB1334" t="n">
        <v>2701.6826</v>
      </c>
      <c r="AC1334" t="n">
        <v>450.2804</v>
      </c>
      <c r="AD1334" t="n">
        <v>31289.711</v>
      </c>
      <c r="AE1334" t="n">
        <v>59095.3244</v>
      </c>
      <c r="AF1334" t="n">
        <v>0.904</v>
      </c>
      <c r="AG1334" t="inlineStr">
        <is>
          <t>High</t>
        </is>
      </c>
      <c r="AH1334" t="inlineStr">
        <is>
          <t>On Track to Glide Path</t>
        </is>
      </c>
    </row>
    <row r="1335">
      <c r="A1335" t="inlineStr">
        <is>
          <t>SUP-0084</t>
        </is>
      </c>
      <c r="B1335" t="inlineStr">
        <is>
          <t>Chemicals Supplier 084</t>
        </is>
      </c>
      <c r="C1335" t="inlineStr">
        <is>
          <t>Chemicals</t>
        </is>
      </c>
      <c r="D1335" t="n">
        <v>2024</v>
      </c>
      <c r="E1335" t="n">
        <v>2015</v>
      </c>
      <c r="F1335" t="n">
        <v>2035</v>
      </c>
      <c r="G1335" t="inlineStr"/>
      <c r="H1335" t="n">
        <v>3375.4867</v>
      </c>
      <c r="I1335" t="n">
        <v>4511.2423</v>
      </c>
      <c r="J1335" t="n">
        <v>15490.571</v>
      </c>
      <c r="K1335" t="n">
        <v>17673357.44</v>
      </c>
      <c r="L1335" t="n">
        <v>49317593</v>
      </c>
      <c r="M1335" t="n">
        <v>23377.3</v>
      </c>
      <c r="N1335" t="inlineStr">
        <is>
          <t>Scope 1 + Scope 2 + Scope 3</t>
        </is>
      </c>
      <c r="O1335" t="b">
        <v>1</v>
      </c>
      <c r="P1335" t="inlineStr">
        <is>
          <t>High</t>
        </is>
      </c>
      <c r="Q1335" t="inlineStr">
        <is>
          <t>Reported_Emissions</t>
        </is>
      </c>
      <c r="R1335" t="inlineStr">
        <is>
          <t>Valid</t>
        </is>
      </c>
      <c r="S1335" t="n">
        <v>2030</v>
      </c>
      <c r="T1335" t="inlineStr">
        <is>
          <t>Industry Haircut Pathway</t>
        </is>
      </c>
      <c r="U1335" t="n">
        <v>17222.4301</v>
      </c>
      <c r="V1335" t="n">
        <v>8216.821400000001</v>
      </c>
      <c r="W1335" t="n">
        <v>10468.2236</v>
      </c>
      <c r="X1335" t="n">
        <v>10468.2236</v>
      </c>
      <c r="Y1335" t="n">
        <v>6754.2065</v>
      </c>
      <c r="Z1335" t="n">
        <v>0.00059232</v>
      </c>
      <c r="AA1335" t="n">
        <v>0.392175</v>
      </c>
      <c r="AB1335" t="n">
        <v>2251.4022</v>
      </c>
      <c r="AC1335" t="n">
        <v>450.2804</v>
      </c>
      <c r="AD1335" t="n">
        <v>20821.4874</v>
      </c>
      <c r="AE1335" t="n">
        <v>69563.548</v>
      </c>
      <c r="AF1335" t="n">
        <v>0.904</v>
      </c>
      <c r="AG1335" t="inlineStr">
        <is>
          <t>High</t>
        </is>
      </c>
      <c r="AH1335" t="inlineStr">
        <is>
          <t>On Track to Glide Path</t>
        </is>
      </c>
    </row>
    <row r="1336">
      <c r="A1336" t="inlineStr">
        <is>
          <t>SUP-0084</t>
        </is>
      </c>
      <c r="B1336" t="inlineStr">
        <is>
          <t>Chemicals Supplier 084</t>
        </is>
      </c>
      <c r="C1336" t="inlineStr">
        <is>
          <t>Chemicals</t>
        </is>
      </c>
      <c r="D1336" t="n">
        <v>2024</v>
      </c>
      <c r="E1336" t="n">
        <v>2015</v>
      </c>
      <c r="F1336" t="n">
        <v>2035</v>
      </c>
      <c r="G1336" t="inlineStr"/>
      <c r="H1336" t="n">
        <v>3375.4867</v>
      </c>
      <c r="I1336" t="n">
        <v>4511.2423</v>
      </c>
      <c r="J1336" t="n">
        <v>15490.571</v>
      </c>
      <c r="K1336" t="n">
        <v>17673357.44</v>
      </c>
      <c r="L1336" t="n">
        <v>49317593</v>
      </c>
      <c r="M1336" t="n">
        <v>23377.3</v>
      </c>
      <c r="N1336" t="inlineStr">
        <is>
          <t>Scope 1 + Scope 2 + Scope 3</t>
        </is>
      </c>
      <c r="O1336" t="b">
        <v>1</v>
      </c>
      <c r="P1336" t="inlineStr">
        <is>
          <t>High</t>
        </is>
      </c>
      <c r="Q1336" t="inlineStr">
        <is>
          <t>Reported_Emissions</t>
        </is>
      </c>
      <c r="R1336" t="inlineStr">
        <is>
          <t>Valid</t>
        </is>
      </c>
      <c r="S1336" t="n">
        <v>2031</v>
      </c>
      <c r="T1336" t="inlineStr">
        <is>
          <t>Industry Haircut Pathway</t>
        </is>
      </c>
      <c r="U1336" t="n">
        <v>17222.4301</v>
      </c>
      <c r="V1336" t="n">
        <v>8216.821400000001</v>
      </c>
      <c r="W1336" t="n">
        <v>10017.9431</v>
      </c>
      <c r="X1336" t="n">
        <v>10017.9431</v>
      </c>
      <c r="Y1336" t="n">
        <v>7204.487</v>
      </c>
      <c r="Z1336" t="n">
        <v>0.00056684</v>
      </c>
      <c r="AA1336" t="n">
        <v>0.41832</v>
      </c>
      <c r="AB1336" t="n">
        <v>1801.1217</v>
      </c>
      <c r="AC1336" t="n">
        <v>450.2804</v>
      </c>
      <c r="AD1336" t="n">
        <v>10803.5443</v>
      </c>
      <c r="AE1336" t="n">
        <v>79581.4911</v>
      </c>
      <c r="AF1336" t="n">
        <v>0.904</v>
      </c>
      <c r="AG1336" t="inlineStr">
        <is>
          <t>High</t>
        </is>
      </c>
      <c r="AH1336" t="inlineStr">
        <is>
          <t>On Track to Glide Path</t>
        </is>
      </c>
    </row>
    <row r="1337">
      <c r="A1337" t="inlineStr">
        <is>
          <t>SUP-0084</t>
        </is>
      </c>
      <c r="B1337" t="inlineStr">
        <is>
          <t>Chemicals Supplier 084</t>
        </is>
      </c>
      <c r="C1337" t="inlineStr">
        <is>
          <t>Chemicals</t>
        </is>
      </c>
      <c r="D1337" t="n">
        <v>2024</v>
      </c>
      <c r="E1337" t="n">
        <v>2015</v>
      </c>
      <c r="F1337" t="n">
        <v>2035</v>
      </c>
      <c r="G1337" t="inlineStr"/>
      <c r="H1337" t="n">
        <v>3375.4867</v>
      </c>
      <c r="I1337" t="n">
        <v>4511.2423</v>
      </c>
      <c r="J1337" t="n">
        <v>15490.571</v>
      </c>
      <c r="K1337" t="n">
        <v>17673357.44</v>
      </c>
      <c r="L1337" t="n">
        <v>49317593</v>
      </c>
      <c r="M1337" t="n">
        <v>23377.3</v>
      </c>
      <c r="N1337" t="inlineStr">
        <is>
          <t>Scope 1 + Scope 2 + Scope 3</t>
        </is>
      </c>
      <c r="O1337" t="b">
        <v>1</v>
      </c>
      <c r="P1337" t="inlineStr">
        <is>
          <t>High</t>
        </is>
      </c>
      <c r="Q1337" t="inlineStr">
        <is>
          <t>Reported_Emissions</t>
        </is>
      </c>
      <c r="R1337" t="inlineStr">
        <is>
          <t>Valid</t>
        </is>
      </c>
      <c r="S1337" t="n">
        <v>2032</v>
      </c>
      <c r="T1337" t="inlineStr">
        <is>
          <t>Industry Haircut Pathway</t>
        </is>
      </c>
      <c r="U1337" t="n">
        <v>17222.4301</v>
      </c>
      <c r="V1337" t="n">
        <v>8216.821400000001</v>
      </c>
      <c r="W1337" t="n">
        <v>9567.662700000001</v>
      </c>
      <c r="X1337" t="n">
        <v>9567.662700000001</v>
      </c>
      <c r="Y1337" t="n">
        <v>7654.7674</v>
      </c>
      <c r="Z1337" t="n">
        <v>0.00054136</v>
      </c>
      <c r="AA1337" t="n">
        <v>0.444465</v>
      </c>
      <c r="AB1337" t="n">
        <v>1350.8413</v>
      </c>
      <c r="AC1337" t="n">
        <v>450.2804</v>
      </c>
      <c r="AD1337" t="n">
        <v>1235.8816</v>
      </c>
      <c r="AE1337" t="n">
        <v>89149.1538</v>
      </c>
      <c r="AF1337" t="n">
        <v>0.904</v>
      </c>
      <c r="AG1337" t="inlineStr">
        <is>
          <t>High</t>
        </is>
      </c>
      <c r="AH1337" t="inlineStr">
        <is>
          <t>On Track to Glide Path</t>
        </is>
      </c>
    </row>
    <row r="1338">
      <c r="A1338" t="inlineStr">
        <is>
          <t>SUP-0084</t>
        </is>
      </c>
      <c r="B1338" t="inlineStr">
        <is>
          <t>Chemicals Supplier 084</t>
        </is>
      </c>
      <c r="C1338" t="inlineStr">
        <is>
          <t>Chemicals</t>
        </is>
      </c>
      <c r="D1338" t="n">
        <v>2024</v>
      </c>
      <c r="E1338" t="n">
        <v>2015</v>
      </c>
      <c r="F1338" t="n">
        <v>2035</v>
      </c>
      <c r="G1338" t="inlineStr"/>
      <c r="H1338" t="n">
        <v>3375.4867</v>
      </c>
      <c r="I1338" t="n">
        <v>4511.2423</v>
      </c>
      <c r="J1338" t="n">
        <v>15490.571</v>
      </c>
      <c r="K1338" t="n">
        <v>17673357.44</v>
      </c>
      <c r="L1338" t="n">
        <v>49317593</v>
      </c>
      <c r="M1338" t="n">
        <v>23377.3</v>
      </c>
      <c r="N1338" t="inlineStr">
        <is>
          <t>Scope 1 + Scope 2 + Scope 3</t>
        </is>
      </c>
      <c r="O1338" t="b">
        <v>1</v>
      </c>
      <c r="P1338" t="inlineStr">
        <is>
          <t>High</t>
        </is>
      </c>
      <c r="Q1338" t="inlineStr">
        <is>
          <t>Reported_Emissions</t>
        </is>
      </c>
      <c r="R1338" t="inlineStr">
        <is>
          <t>Valid</t>
        </is>
      </c>
      <c r="S1338" t="n">
        <v>2033</v>
      </c>
      <c r="T1338" t="inlineStr">
        <is>
          <t>Industry Haircut Pathway</t>
        </is>
      </c>
      <c r="U1338" t="n">
        <v>17222.4301</v>
      </c>
      <c r="V1338" t="n">
        <v>8216.821400000001</v>
      </c>
      <c r="W1338" t="n">
        <v>9117.382299999999</v>
      </c>
      <c r="X1338" t="n">
        <v>9117.382299999999</v>
      </c>
      <c r="Y1338" t="n">
        <v>8105.0478</v>
      </c>
      <c r="Z1338" t="n">
        <v>0.00051588</v>
      </c>
      <c r="AA1338" t="n">
        <v>0.47061</v>
      </c>
      <c r="AB1338" t="n">
        <v>900.5608999999999</v>
      </c>
      <c r="AC1338" t="n">
        <v>450.2804</v>
      </c>
      <c r="AD1338" t="n">
        <v>-7881.5007</v>
      </c>
      <c r="AE1338" t="n">
        <v>98266.5361</v>
      </c>
      <c r="AF1338" t="n">
        <v>0.904</v>
      </c>
      <c r="AG1338" t="inlineStr">
        <is>
          <t>Medium</t>
        </is>
      </c>
      <c r="AH1338" t="inlineStr">
        <is>
          <t>On Track to Glide Path</t>
        </is>
      </c>
    </row>
    <row r="1339">
      <c r="A1339" t="inlineStr">
        <is>
          <t>SUP-0084</t>
        </is>
      </c>
      <c r="B1339" t="inlineStr">
        <is>
          <t>Chemicals Supplier 084</t>
        </is>
      </c>
      <c r="C1339" t="inlineStr">
        <is>
          <t>Chemicals</t>
        </is>
      </c>
      <c r="D1339" t="n">
        <v>2024</v>
      </c>
      <c r="E1339" t="n">
        <v>2015</v>
      </c>
      <c r="F1339" t="n">
        <v>2035</v>
      </c>
      <c r="G1339" t="inlineStr"/>
      <c r="H1339" t="n">
        <v>3375.4867</v>
      </c>
      <c r="I1339" t="n">
        <v>4511.2423</v>
      </c>
      <c r="J1339" t="n">
        <v>15490.571</v>
      </c>
      <c r="K1339" t="n">
        <v>17673357.44</v>
      </c>
      <c r="L1339" t="n">
        <v>49317593</v>
      </c>
      <c r="M1339" t="n">
        <v>23377.3</v>
      </c>
      <c r="N1339" t="inlineStr">
        <is>
          <t>Scope 1 + Scope 2 + Scope 3</t>
        </is>
      </c>
      <c r="O1339" t="b">
        <v>1</v>
      </c>
      <c r="P1339" t="inlineStr">
        <is>
          <t>High</t>
        </is>
      </c>
      <c r="Q1339" t="inlineStr">
        <is>
          <t>Reported_Emissions</t>
        </is>
      </c>
      <c r="R1339" t="inlineStr">
        <is>
          <t>Valid</t>
        </is>
      </c>
      <c r="S1339" t="n">
        <v>2034</v>
      </c>
      <c r="T1339" t="inlineStr">
        <is>
          <t>Industry Haircut Pathway</t>
        </is>
      </c>
      <c r="U1339" t="n">
        <v>17222.4301</v>
      </c>
      <c r="V1339" t="n">
        <v>8216.821400000001</v>
      </c>
      <c r="W1339" t="n">
        <v>8667.1018</v>
      </c>
      <c r="X1339" t="n">
        <v>8667.1018</v>
      </c>
      <c r="Y1339" t="n">
        <v>8555.328299999999</v>
      </c>
      <c r="Z1339" t="n">
        <v>0.0004904</v>
      </c>
      <c r="AA1339" t="n">
        <v>0.496755</v>
      </c>
      <c r="AB1339" t="n">
        <v>450.2804</v>
      </c>
      <c r="AC1339" t="n">
        <v>450.2804</v>
      </c>
      <c r="AD1339" t="n">
        <v>-16548.6025</v>
      </c>
      <c r="AE1339" t="n">
        <v>106933.6379</v>
      </c>
      <c r="AF1339" t="n">
        <v>0.904</v>
      </c>
      <c r="AG1339" t="inlineStr">
        <is>
          <t>Medium</t>
        </is>
      </c>
      <c r="AH1339" t="inlineStr">
        <is>
          <t>On Track to Glide Path</t>
        </is>
      </c>
    </row>
    <row r="1340">
      <c r="A1340" t="inlineStr">
        <is>
          <t>SUP-0084</t>
        </is>
      </c>
      <c r="B1340" t="inlineStr">
        <is>
          <t>Chemicals Supplier 084</t>
        </is>
      </c>
      <c r="C1340" t="inlineStr">
        <is>
          <t>Chemicals</t>
        </is>
      </c>
      <c r="D1340" t="n">
        <v>2024</v>
      </c>
      <c r="E1340" t="n">
        <v>2015</v>
      </c>
      <c r="F1340" t="n">
        <v>2035</v>
      </c>
      <c r="G1340" t="inlineStr"/>
      <c r="H1340" t="n">
        <v>3375.4867</v>
      </c>
      <c r="I1340" t="n">
        <v>4511.2423</v>
      </c>
      <c r="J1340" t="n">
        <v>15490.571</v>
      </c>
      <c r="K1340" t="n">
        <v>17673357.44</v>
      </c>
      <c r="L1340" t="n">
        <v>49317593</v>
      </c>
      <c r="M1340" t="n">
        <v>23377.3</v>
      </c>
      <c r="N1340" t="inlineStr">
        <is>
          <t>Scope 1 + Scope 2 + Scope 3</t>
        </is>
      </c>
      <c r="O1340" t="b">
        <v>1</v>
      </c>
      <c r="P1340" t="inlineStr">
        <is>
          <t>High</t>
        </is>
      </c>
      <c r="Q1340" t="inlineStr">
        <is>
          <t>Reported_Emissions</t>
        </is>
      </c>
      <c r="R1340" t="inlineStr">
        <is>
          <t>Valid</t>
        </is>
      </c>
      <c r="S1340" t="n">
        <v>2035</v>
      </c>
      <c r="T1340" t="inlineStr">
        <is>
          <t>Industry Haircut Pathway</t>
        </is>
      </c>
      <c r="U1340" t="n">
        <v>17222.4301</v>
      </c>
      <c r="V1340" t="n">
        <v>8216.821400000001</v>
      </c>
      <c r="W1340" t="n">
        <v>8216.821400000001</v>
      </c>
      <c r="X1340" t="n">
        <v>8216.821400000001</v>
      </c>
      <c r="Y1340" t="n">
        <v>9005.608700000001</v>
      </c>
      <c r="Z1340" t="n">
        <v>0.00046493</v>
      </c>
      <c r="AA1340" t="n">
        <v>0.5229</v>
      </c>
      <c r="AB1340" t="n">
        <v>0</v>
      </c>
      <c r="AC1340" t="n">
        <v>450.2804</v>
      </c>
      <c r="AD1340" t="n">
        <v>-24765.4239</v>
      </c>
      <c r="AE1340" t="n">
        <v>115150.4593</v>
      </c>
      <c r="AF1340" t="n">
        <v>0.904</v>
      </c>
      <c r="AG1340" t="inlineStr">
        <is>
          <t>Low</t>
        </is>
      </c>
      <c r="AH1340" t="inlineStr">
        <is>
          <t>On Track</t>
        </is>
      </c>
    </row>
    <row r="1341">
      <c r="A1341" t="inlineStr">
        <is>
          <t>SUP-0084</t>
        </is>
      </c>
      <c r="B1341" t="inlineStr">
        <is>
          <t>Chemicals Supplier 084</t>
        </is>
      </c>
      <c r="C1341" t="inlineStr">
        <is>
          <t>Chemicals</t>
        </is>
      </c>
      <c r="D1341" t="n">
        <v>2024</v>
      </c>
      <c r="E1341" t="n">
        <v>2015</v>
      </c>
      <c r="F1341" t="n">
        <v>2035</v>
      </c>
      <c r="G1341" t="inlineStr"/>
      <c r="H1341" t="n">
        <v>3375.4867</v>
      </c>
      <c r="I1341" t="n">
        <v>4511.2423</v>
      </c>
      <c r="J1341" t="n">
        <v>15490.571</v>
      </c>
      <c r="K1341" t="n">
        <v>17673357.44</v>
      </c>
      <c r="L1341" t="n">
        <v>49317593</v>
      </c>
      <c r="M1341" t="n">
        <v>23377.3</v>
      </c>
      <c r="N1341" t="inlineStr">
        <is>
          <t>Scope 1 + Scope 2 + Scope 3</t>
        </is>
      </c>
      <c r="O1341" t="b">
        <v>1</v>
      </c>
      <c r="P1341" t="inlineStr">
        <is>
          <t>High</t>
        </is>
      </c>
      <c r="Q1341" t="inlineStr">
        <is>
          <t>Reported_Emissions</t>
        </is>
      </c>
      <c r="R1341" t="inlineStr">
        <is>
          <t>Valid</t>
        </is>
      </c>
      <c r="S1341" t="n">
        <v>2036</v>
      </c>
      <c r="T1341" t="inlineStr">
        <is>
          <t>Industry Haircut Pathway</t>
        </is>
      </c>
      <c r="U1341" t="n">
        <v>17222.4301</v>
      </c>
      <c r="V1341" t="n">
        <v>8216.821400000001</v>
      </c>
      <c r="W1341" t="n">
        <v>8216.821400000001</v>
      </c>
      <c r="X1341" t="n">
        <v>8216.821400000001</v>
      </c>
      <c r="Y1341" t="n">
        <v>9005.608700000001</v>
      </c>
      <c r="Z1341" t="n">
        <v>0.00046493</v>
      </c>
      <c r="AA1341" t="n">
        <v>0.5229</v>
      </c>
      <c r="AB1341" t="n">
        <v>0</v>
      </c>
      <c r="AC1341" t="n">
        <v>450.2804</v>
      </c>
      <c r="AD1341" t="n">
        <v>-32982.2453</v>
      </c>
      <c r="AE1341" t="n">
        <v>123367.2807</v>
      </c>
      <c r="AF1341" t="n">
        <v>0.904</v>
      </c>
      <c r="AG1341" t="inlineStr">
        <is>
          <t>Low</t>
        </is>
      </c>
      <c r="AH1341" t="inlineStr">
        <is>
          <t>On Track</t>
        </is>
      </c>
    </row>
    <row r="1342">
      <c r="A1342" t="inlineStr">
        <is>
          <t>SUP-0084</t>
        </is>
      </c>
      <c r="B1342" t="inlineStr">
        <is>
          <t>Chemicals Supplier 084</t>
        </is>
      </c>
      <c r="C1342" t="inlineStr">
        <is>
          <t>Chemicals</t>
        </is>
      </c>
      <c r="D1342" t="n">
        <v>2024</v>
      </c>
      <c r="E1342" t="n">
        <v>2015</v>
      </c>
      <c r="F1342" t="n">
        <v>2035</v>
      </c>
      <c r="G1342" t="inlineStr"/>
      <c r="H1342" t="n">
        <v>3375.4867</v>
      </c>
      <c r="I1342" t="n">
        <v>4511.2423</v>
      </c>
      <c r="J1342" t="n">
        <v>15490.571</v>
      </c>
      <c r="K1342" t="n">
        <v>17673357.44</v>
      </c>
      <c r="L1342" t="n">
        <v>49317593</v>
      </c>
      <c r="M1342" t="n">
        <v>23377.3</v>
      </c>
      <c r="N1342" t="inlineStr">
        <is>
          <t>Scope 1 + Scope 2 + Scope 3</t>
        </is>
      </c>
      <c r="O1342" t="b">
        <v>1</v>
      </c>
      <c r="P1342" t="inlineStr">
        <is>
          <t>High</t>
        </is>
      </c>
      <c r="Q1342" t="inlineStr">
        <is>
          <t>Reported_Emissions</t>
        </is>
      </c>
      <c r="R1342" t="inlineStr">
        <is>
          <t>Valid</t>
        </is>
      </c>
      <c r="S1342" t="n">
        <v>2037</v>
      </c>
      <c r="T1342" t="inlineStr">
        <is>
          <t>Industry Haircut Pathway</t>
        </is>
      </c>
      <c r="U1342" t="n">
        <v>17222.4301</v>
      </c>
      <c r="V1342" t="n">
        <v>8216.821400000001</v>
      </c>
      <c r="W1342" t="n">
        <v>8216.821400000001</v>
      </c>
      <c r="X1342" t="n">
        <v>8216.821400000001</v>
      </c>
      <c r="Y1342" t="n">
        <v>9005.608700000001</v>
      </c>
      <c r="Z1342" t="n">
        <v>0.00046493</v>
      </c>
      <c r="AA1342" t="n">
        <v>0.5229</v>
      </c>
      <c r="AB1342" t="n">
        <v>0</v>
      </c>
      <c r="AC1342" t="n">
        <v>450.2804</v>
      </c>
      <c r="AD1342" t="n">
        <v>-41199.0667</v>
      </c>
      <c r="AE1342" t="n">
        <v>131584.1021</v>
      </c>
      <c r="AF1342" t="n">
        <v>0.904</v>
      </c>
      <c r="AG1342" t="inlineStr">
        <is>
          <t>Low</t>
        </is>
      </c>
      <c r="AH1342" t="inlineStr">
        <is>
          <t>On Track</t>
        </is>
      </c>
    </row>
    <row r="1343">
      <c r="A1343" t="inlineStr">
        <is>
          <t>SUP-0084</t>
        </is>
      </c>
      <c r="B1343" t="inlineStr">
        <is>
          <t>Chemicals Supplier 084</t>
        </is>
      </c>
      <c r="C1343" t="inlineStr">
        <is>
          <t>Chemicals</t>
        </is>
      </c>
      <c r="D1343" t="n">
        <v>2024</v>
      </c>
      <c r="E1343" t="n">
        <v>2015</v>
      </c>
      <c r="F1343" t="n">
        <v>2035</v>
      </c>
      <c r="G1343" t="inlineStr"/>
      <c r="H1343" t="n">
        <v>3375.4867</v>
      </c>
      <c r="I1343" t="n">
        <v>4511.2423</v>
      </c>
      <c r="J1343" t="n">
        <v>15490.571</v>
      </c>
      <c r="K1343" t="n">
        <v>17673357.44</v>
      </c>
      <c r="L1343" t="n">
        <v>49317593</v>
      </c>
      <c r="M1343" t="n">
        <v>23377.3</v>
      </c>
      <c r="N1343" t="inlineStr">
        <is>
          <t>Scope 1 + Scope 2 + Scope 3</t>
        </is>
      </c>
      <c r="O1343" t="b">
        <v>1</v>
      </c>
      <c r="P1343" t="inlineStr">
        <is>
          <t>High</t>
        </is>
      </c>
      <c r="Q1343" t="inlineStr">
        <is>
          <t>Reported_Emissions</t>
        </is>
      </c>
      <c r="R1343" t="inlineStr">
        <is>
          <t>Valid</t>
        </is>
      </c>
      <c r="S1343" t="n">
        <v>2038</v>
      </c>
      <c r="T1343" t="inlineStr">
        <is>
          <t>Industry Haircut Pathway</t>
        </is>
      </c>
      <c r="U1343" t="n">
        <v>17222.4301</v>
      </c>
      <c r="V1343" t="n">
        <v>8216.821400000001</v>
      </c>
      <c r="W1343" t="n">
        <v>8216.821400000001</v>
      </c>
      <c r="X1343" t="n">
        <v>8216.821400000001</v>
      </c>
      <c r="Y1343" t="n">
        <v>9005.608700000001</v>
      </c>
      <c r="Z1343" t="n">
        <v>0.00046493</v>
      </c>
      <c r="AA1343" t="n">
        <v>0.5229</v>
      </c>
      <c r="AB1343" t="n">
        <v>0</v>
      </c>
      <c r="AC1343" t="n">
        <v>450.2804</v>
      </c>
      <c r="AD1343" t="n">
        <v>-49415.8881</v>
      </c>
      <c r="AE1343" t="n">
        <v>139800.9235</v>
      </c>
      <c r="AF1343" t="n">
        <v>0.904</v>
      </c>
      <c r="AG1343" t="inlineStr">
        <is>
          <t>Low</t>
        </is>
      </c>
      <c r="AH1343" t="inlineStr">
        <is>
          <t>On Track</t>
        </is>
      </c>
    </row>
    <row r="1344">
      <c r="A1344" t="inlineStr">
        <is>
          <t>SUP-0084</t>
        </is>
      </c>
      <c r="B1344" t="inlineStr">
        <is>
          <t>Chemicals Supplier 084</t>
        </is>
      </c>
      <c r="C1344" t="inlineStr">
        <is>
          <t>Chemicals</t>
        </is>
      </c>
      <c r="D1344" t="n">
        <v>2024</v>
      </c>
      <c r="E1344" t="n">
        <v>2015</v>
      </c>
      <c r="F1344" t="n">
        <v>2035</v>
      </c>
      <c r="G1344" t="inlineStr"/>
      <c r="H1344" t="n">
        <v>3375.4867</v>
      </c>
      <c r="I1344" t="n">
        <v>4511.2423</v>
      </c>
      <c r="J1344" t="n">
        <v>15490.571</v>
      </c>
      <c r="K1344" t="n">
        <v>17673357.44</v>
      </c>
      <c r="L1344" t="n">
        <v>49317593</v>
      </c>
      <c r="M1344" t="n">
        <v>23377.3</v>
      </c>
      <c r="N1344" t="inlineStr">
        <is>
          <t>Scope 1 + Scope 2 + Scope 3</t>
        </is>
      </c>
      <c r="O1344" t="b">
        <v>1</v>
      </c>
      <c r="P1344" t="inlineStr">
        <is>
          <t>High</t>
        </is>
      </c>
      <c r="Q1344" t="inlineStr">
        <is>
          <t>Reported_Emissions</t>
        </is>
      </c>
      <c r="R1344" t="inlineStr">
        <is>
          <t>Valid</t>
        </is>
      </c>
      <c r="S1344" t="n">
        <v>2039</v>
      </c>
      <c r="T1344" t="inlineStr">
        <is>
          <t>Industry Haircut Pathway</t>
        </is>
      </c>
      <c r="U1344" t="n">
        <v>17222.4301</v>
      </c>
      <c r="V1344" t="n">
        <v>8216.821400000001</v>
      </c>
      <c r="W1344" t="n">
        <v>8216.821400000001</v>
      </c>
      <c r="X1344" t="n">
        <v>8216.821400000001</v>
      </c>
      <c r="Y1344" t="n">
        <v>9005.608700000001</v>
      </c>
      <c r="Z1344" t="n">
        <v>0.00046493</v>
      </c>
      <c r="AA1344" t="n">
        <v>0.5229</v>
      </c>
      <c r="AB1344" t="n">
        <v>0</v>
      </c>
      <c r="AC1344" t="n">
        <v>450.2804</v>
      </c>
      <c r="AD1344" t="n">
        <v>-57632.7095</v>
      </c>
      <c r="AE1344" t="n">
        <v>148017.7449</v>
      </c>
      <c r="AF1344" t="n">
        <v>0.904</v>
      </c>
      <c r="AG1344" t="inlineStr">
        <is>
          <t>Low</t>
        </is>
      </c>
      <c r="AH1344" t="inlineStr">
        <is>
          <t>On Track</t>
        </is>
      </c>
    </row>
    <row r="1345">
      <c r="A1345" t="inlineStr">
        <is>
          <t>SUP-0084</t>
        </is>
      </c>
      <c r="B1345" t="inlineStr">
        <is>
          <t>Chemicals Supplier 084</t>
        </is>
      </c>
      <c r="C1345" t="inlineStr">
        <is>
          <t>Chemicals</t>
        </is>
      </c>
      <c r="D1345" t="n">
        <v>2024</v>
      </c>
      <c r="E1345" t="n">
        <v>2015</v>
      </c>
      <c r="F1345" t="n">
        <v>2035</v>
      </c>
      <c r="G1345" t="inlineStr"/>
      <c r="H1345" t="n">
        <v>3375.4867</v>
      </c>
      <c r="I1345" t="n">
        <v>4511.2423</v>
      </c>
      <c r="J1345" t="n">
        <v>15490.571</v>
      </c>
      <c r="K1345" t="n">
        <v>17673357.44</v>
      </c>
      <c r="L1345" t="n">
        <v>49317593</v>
      </c>
      <c r="M1345" t="n">
        <v>23377.3</v>
      </c>
      <c r="N1345" t="inlineStr">
        <is>
          <t>Scope 1 + Scope 2 + Scope 3</t>
        </is>
      </c>
      <c r="O1345" t="b">
        <v>1</v>
      </c>
      <c r="P1345" t="inlineStr">
        <is>
          <t>High</t>
        </is>
      </c>
      <c r="Q1345" t="inlineStr">
        <is>
          <t>Reported_Emissions</t>
        </is>
      </c>
      <c r="R1345" t="inlineStr">
        <is>
          <t>Valid</t>
        </is>
      </c>
      <c r="S1345" t="n">
        <v>2040</v>
      </c>
      <c r="T1345" t="inlineStr">
        <is>
          <t>Industry Haircut Pathway</t>
        </is>
      </c>
      <c r="U1345" t="n">
        <v>17222.4301</v>
      </c>
      <c r="V1345" t="n">
        <v>8216.821400000001</v>
      </c>
      <c r="W1345" t="n">
        <v>8216.821400000001</v>
      </c>
      <c r="X1345" t="n">
        <v>8216.821400000001</v>
      </c>
      <c r="Y1345" t="n">
        <v>9005.608700000001</v>
      </c>
      <c r="Z1345" t="n">
        <v>0.00046493</v>
      </c>
      <c r="AA1345" t="n">
        <v>0.5229</v>
      </c>
      <c r="AB1345" t="n">
        <v>0</v>
      </c>
      <c r="AC1345" t="n">
        <v>450.2804</v>
      </c>
      <c r="AD1345" t="n">
        <v>-65849.5309</v>
      </c>
      <c r="AE1345" t="n">
        <v>156234.5663</v>
      </c>
      <c r="AF1345" t="n">
        <v>0.904</v>
      </c>
      <c r="AG1345" t="inlineStr">
        <is>
          <t>Low</t>
        </is>
      </c>
      <c r="AH1345" t="inlineStr">
        <is>
          <t>On Track</t>
        </is>
      </c>
    </row>
    <row r="1346">
      <c r="A1346" t="inlineStr">
        <is>
          <t>SUP-0085</t>
        </is>
      </c>
      <c r="B1346" t="inlineStr">
        <is>
          <t>Textiles Supplier 085</t>
        </is>
      </c>
      <c r="C1346" t="inlineStr">
        <is>
          <t>Textiles</t>
        </is>
      </c>
      <c r="D1346" t="n">
        <v>2024</v>
      </c>
      <c r="E1346" t="n">
        <v>2015</v>
      </c>
      <c r="F1346" t="n">
        <v>2030</v>
      </c>
      <c r="G1346" t="n">
        <v>5865.7817</v>
      </c>
      <c r="H1346" t="n">
        <v>496.7147</v>
      </c>
      <c r="I1346" t="n">
        <v>1344.0838</v>
      </c>
      <c r="J1346" t="n">
        <v>4337.228</v>
      </c>
      <c r="K1346" t="n">
        <v>21801344.96</v>
      </c>
      <c r="L1346" t="inlineStr"/>
      <c r="M1346" t="n">
        <v>5865.7817</v>
      </c>
      <c r="N1346" t="inlineStr">
        <is>
          <t>Supplier Reported Emissions</t>
        </is>
      </c>
      <c r="O1346" t="b">
        <v>0</v>
      </c>
      <c r="P1346" t="inlineStr">
        <is>
          <t>High</t>
        </is>
      </c>
      <c r="Q1346" t="inlineStr">
        <is>
          <t>Revenue</t>
        </is>
      </c>
      <c r="R1346" t="inlineStr">
        <is>
          <t>Valid</t>
        </is>
      </c>
      <c r="S1346" t="n">
        <v>2025</v>
      </c>
      <c r="T1346" t="inlineStr">
        <is>
          <t>Industry Haircut Pathway</t>
        </is>
      </c>
      <c r="U1346" t="n">
        <v>5841.9028</v>
      </c>
      <c r="V1346" t="n">
        <v>3989.4354</v>
      </c>
      <c r="W1346" t="n">
        <v>4606.9245</v>
      </c>
      <c r="X1346" t="n">
        <v>4606.9245</v>
      </c>
      <c r="Y1346" t="n">
        <v>1234.9783</v>
      </c>
      <c r="Z1346" t="n">
        <v>0.00021131</v>
      </c>
      <c r="AA1346" t="n">
        <v>0.2114</v>
      </c>
      <c r="AB1346" t="n">
        <v>617.4891</v>
      </c>
      <c r="AC1346" t="n">
        <v>123.4978</v>
      </c>
      <c r="AD1346" t="n">
        <v>19329.6879</v>
      </c>
      <c r="AE1346" t="n">
        <v>4606.9245</v>
      </c>
      <c r="AF1346" t="n">
        <v>0.875</v>
      </c>
      <c r="AG1346" t="inlineStr">
        <is>
          <t>High</t>
        </is>
      </c>
      <c r="AH1346" t="inlineStr">
        <is>
          <t>On Track to Glide Path</t>
        </is>
      </c>
    </row>
    <row r="1347">
      <c r="A1347" t="inlineStr">
        <is>
          <t>SUP-0085</t>
        </is>
      </c>
      <c r="B1347" t="inlineStr">
        <is>
          <t>Textiles Supplier 085</t>
        </is>
      </c>
      <c r="C1347" t="inlineStr">
        <is>
          <t>Textiles</t>
        </is>
      </c>
      <c r="D1347" t="n">
        <v>2024</v>
      </c>
      <c r="E1347" t="n">
        <v>2015</v>
      </c>
      <c r="F1347" t="n">
        <v>2030</v>
      </c>
      <c r="G1347" t="n">
        <v>5865.7817</v>
      </c>
      <c r="H1347" t="n">
        <v>496.7147</v>
      </c>
      <c r="I1347" t="n">
        <v>1344.0838</v>
      </c>
      <c r="J1347" t="n">
        <v>4337.228</v>
      </c>
      <c r="K1347" t="n">
        <v>21801344.96</v>
      </c>
      <c r="L1347" t="inlineStr"/>
      <c r="M1347" t="n">
        <v>5865.7817</v>
      </c>
      <c r="N1347" t="inlineStr">
        <is>
          <t>Supplier Reported Emissions</t>
        </is>
      </c>
      <c r="O1347" t="b">
        <v>0</v>
      </c>
      <c r="P1347" t="inlineStr">
        <is>
          <t>High</t>
        </is>
      </c>
      <c r="Q1347" t="inlineStr">
        <is>
          <t>Revenue</t>
        </is>
      </c>
      <c r="R1347" t="inlineStr">
        <is>
          <t>Valid</t>
        </is>
      </c>
      <c r="S1347" t="n">
        <v>2026</v>
      </c>
      <c r="T1347" t="inlineStr">
        <is>
          <t>Industry Haircut Pathway</t>
        </is>
      </c>
      <c r="U1347" t="n">
        <v>5841.9028</v>
      </c>
      <c r="V1347" t="n">
        <v>3989.4354</v>
      </c>
      <c r="W1347" t="n">
        <v>4483.4267</v>
      </c>
      <c r="X1347" t="n">
        <v>4483.4267</v>
      </c>
      <c r="Y1347" t="n">
        <v>1358.4761</v>
      </c>
      <c r="Z1347" t="n">
        <v>0.00020565</v>
      </c>
      <c r="AA1347" t="n">
        <v>0.23254</v>
      </c>
      <c r="AB1347" t="n">
        <v>493.9913</v>
      </c>
      <c r="AC1347" t="n">
        <v>123.4978</v>
      </c>
      <c r="AD1347" t="n">
        <v>14846.2612</v>
      </c>
      <c r="AE1347" t="n">
        <v>9090.351199999999</v>
      </c>
      <c r="AF1347" t="n">
        <v>0.875</v>
      </c>
      <c r="AG1347" t="inlineStr">
        <is>
          <t>Medium</t>
        </is>
      </c>
      <c r="AH1347" t="inlineStr">
        <is>
          <t>On Track to Glide Path</t>
        </is>
      </c>
    </row>
    <row r="1348">
      <c r="A1348" t="inlineStr">
        <is>
          <t>SUP-0085</t>
        </is>
      </c>
      <c r="B1348" t="inlineStr">
        <is>
          <t>Textiles Supplier 085</t>
        </is>
      </c>
      <c r="C1348" t="inlineStr">
        <is>
          <t>Textiles</t>
        </is>
      </c>
      <c r="D1348" t="n">
        <v>2024</v>
      </c>
      <c r="E1348" t="n">
        <v>2015</v>
      </c>
      <c r="F1348" t="n">
        <v>2030</v>
      </c>
      <c r="G1348" t="n">
        <v>5865.7817</v>
      </c>
      <c r="H1348" t="n">
        <v>496.7147</v>
      </c>
      <c r="I1348" t="n">
        <v>1344.0838</v>
      </c>
      <c r="J1348" t="n">
        <v>4337.228</v>
      </c>
      <c r="K1348" t="n">
        <v>21801344.96</v>
      </c>
      <c r="L1348" t="inlineStr"/>
      <c r="M1348" t="n">
        <v>5865.7817</v>
      </c>
      <c r="N1348" t="inlineStr">
        <is>
          <t>Supplier Reported Emissions</t>
        </is>
      </c>
      <c r="O1348" t="b">
        <v>0</v>
      </c>
      <c r="P1348" t="inlineStr">
        <is>
          <t>High</t>
        </is>
      </c>
      <c r="Q1348" t="inlineStr">
        <is>
          <t>Revenue</t>
        </is>
      </c>
      <c r="R1348" t="inlineStr">
        <is>
          <t>Valid</t>
        </is>
      </c>
      <c r="S1348" t="n">
        <v>2027</v>
      </c>
      <c r="T1348" t="inlineStr">
        <is>
          <t>Industry Haircut Pathway</t>
        </is>
      </c>
      <c r="U1348" t="n">
        <v>5841.9028</v>
      </c>
      <c r="V1348" t="n">
        <v>3989.4354</v>
      </c>
      <c r="W1348" t="n">
        <v>4359.9289</v>
      </c>
      <c r="X1348" t="n">
        <v>4359.9289</v>
      </c>
      <c r="Y1348" t="n">
        <v>1481.9739</v>
      </c>
      <c r="Z1348" t="n">
        <v>0.00019998</v>
      </c>
      <c r="AA1348" t="n">
        <v>0.25368</v>
      </c>
      <c r="AB1348" t="n">
        <v>370.4935</v>
      </c>
      <c r="AC1348" t="n">
        <v>123.4978</v>
      </c>
      <c r="AD1348" t="n">
        <v>10486.3323</v>
      </c>
      <c r="AE1348" t="n">
        <v>13450.2801</v>
      </c>
      <c r="AF1348" t="n">
        <v>0.875</v>
      </c>
      <c r="AG1348" t="inlineStr">
        <is>
          <t>Medium</t>
        </is>
      </c>
      <c r="AH1348" t="inlineStr">
        <is>
          <t>On Track to Glide Path</t>
        </is>
      </c>
    </row>
    <row r="1349">
      <c r="A1349" t="inlineStr">
        <is>
          <t>SUP-0085</t>
        </is>
      </c>
      <c r="B1349" t="inlineStr">
        <is>
          <t>Textiles Supplier 085</t>
        </is>
      </c>
      <c r="C1349" t="inlineStr">
        <is>
          <t>Textiles</t>
        </is>
      </c>
      <c r="D1349" t="n">
        <v>2024</v>
      </c>
      <c r="E1349" t="n">
        <v>2015</v>
      </c>
      <c r="F1349" t="n">
        <v>2030</v>
      </c>
      <c r="G1349" t="n">
        <v>5865.7817</v>
      </c>
      <c r="H1349" t="n">
        <v>496.7147</v>
      </c>
      <c r="I1349" t="n">
        <v>1344.0838</v>
      </c>
      <c r="J1349" t="n">
        <v>4337.228</v>
      </c>
      <c r="K1349" t="n">
        <v>21801344.96</v>
      </c>
      <c r="L1349" t="inlineStr"/>
      <c r="M1349" t="n">
        <v>5865.7817</v>
      </c>
      <c r="N1349" t="inlineStr">
        <is>
          <t>Supplier Reported Emissions</t>
        </is>
      </c>
      <c r="O1349" t="b">
        <v>0</v>
      </c>
      <c r="P1349" t="inlineStr">
        <is>
          <t>High</t>
        </is>
      </c>
      <c r="Q1349" t="inlineStr">
        <is>
          <t>Revenue</t>
        </is>
      </c>
      <c r="R1349" t="inlineStr">
        <is>
          <t>Valid</t>
        </is>
      </c>
      <c r="S1349" t="n">
        <v>2028</v>
      </c>
      <c r="T1349" t="inlineStr">
        <is>
          <t>Industry Haircut Pathway</t>
        </is>
      </c>
      <c r="U1349" t="n">
        <v>5841.9028</v>
      </c>
      <c r="V1349" t="n">
        <v>3989.4354</v>
      </c>
      <c r="W1349" t="n">
        <v>4236.4311</v>
      </c>
      <c r="X1349" t="n">
        <v>4236.4311</v>
      </c>
      <c r="Y1349" t="n">
        <v>1605.4717</v>
      </c>
      <c r="Z1349" t="n">
        <v>0.00019432</v>
      </c>
      <c r="AA1349" t="n">
        <v>0.27482</v>
      </c>
      <c r="AB1349" t="n">
        <v>246.9957</v>
      </c>
      <c r="AC1349" t="n">
        <v>123.4978</v>
      </c>
      <c r="AD1349" t="n">
        <v>6249.9012</v>
      </c>
      <c r="AE1349" t="n">
        <v>17686.7112</v>
      </c>
      <c r="AF1349" t="n">
        <v>0.875</v>
      </c>
      <c r="AG1349" t="inlineStr">
        <is>
          <t>Medium</t>
        </is>
      </c>
      <c r="AH1349" t="inlineStr">
        <is>
          <t>On Track to Glide Path</t>
        </is>
      </c>
    </row>
    <row r="1350">
      <c r="A1350" t="inlineStr">
        <is>
          <t>SUP-0085</t>
        </is>
      </c>
      <c r="B1350" t="inlineStr">
        <is>
          <t>Textiles Supplier 085</t>
        </is>
      </c>
      <c r="C1350" t="inlineStr">
        <is>
          <t>Textiles</t>
        </is>
      </c>
      <c r="D1350" t="n">
        <v>2024</v>
      </c>
      <c r="E1350" t="n">
        <v>2015</v>
      </c>
      <c r="F1350" t="n">
        <v>2030</v>
      </c>
      <c r="G1350" t="n">
        <v>5865.7817</v>
      </c>
      <c r="H1350" t="n">
        <v>496.7147</v>
      </c>
      <c r="I1350" t="n">
        <v>1344.0838</v>
      </c>
      <c r="J1350" t="n">
        <v>4337.228</v>
      </c>
      <c r="K1350" t="n">
        <v>21801344.96</v>
      </c>
      <c r="L1350" t="inlineStr"/>
      <c r="M1350" t="n">
        <v>5865.7817</v>
      </c>
      <c r="N1350" t="inlineStr">
        <is>
          <t>Supplier Reported Emissions</t>
        </is>
      </c>
      <c r="O1350" t="b">
        <v>0</v>
      </c>
      <c r="P1350" t="inlineStr">
        <is>
          <t>High</t>
        </is>
      </c>
      <c r="Q1350" t="inlineStr">
        <is>
          <t>Revenue</t>
        </is>
      </c>
      <c r="R1350" t="inlineStr">
        <is>
          <t>Valid</t>
        </is>
      </c>
      <c r="S1350" t="n">
        <v>2029</v>
      </c>
      <c r="T1350" t="inlineStr">
        <is>
          <t>Industry Haircut Pathway</t>
        </is>
      </c>
      <c r="U1350" t="n">
        <v>5841.9028</v>
      </c>
      <c r="V1350" t="n">
        <v>3989.4354</v>
      </c>
      <c r="W1350" t="n">
        <v>4112.9332</v>
      </c>
      <c r="X1350" t="n">
        <v>4112.9332</v>
      </c>
      <c r="Y1350" t="n">
        <v>1728.9696</v>
      </c>
      <c r="Z1350" t="n">
        <v>0.00018866</v>
      </c>
      <c r="AA1350" t="n">
        <v>0.29596</v>
      </c>
      <c r="AB1350" t="n">
        <v>123.4978</v>
      </c>
      <c r="AC1350" t="n">
        <v>123.4978</v>
      </c>
      <c r="AD1350" t="n">
        <v>2136.968</v>
      </c>
      <c r="AE1350" t="n">
        <v>21799.6444</v>
      </c>
      <c r="AF1350" t="n">
        <v>0.875</v>
      </c>
      <c r="AG1350" t="inlineStr">
        <is>
          <t>Medium</t>
        </is>
      </c>
      <c r="AH1350" t="inlineStr">
        <is>
          <t>On Track to Glide Path</t>
        </is>
      </c>
    </row>
    <row r="1351">
      <c r="A1351" t="inlineStr">
        <is>
          <t>SUP-0085</t>
        </is>
      </c>
      <c r="B1351" t="inlineStr">
        <is>
          <t>Textiles Supplier 085</t>
        </is>
      </c>
      <c r="C1351" t="inlineStr">
        <is>
          <t>Textiles</t>
        </is>
      </c>
      <c r="D1351" t="n">
        <v>2024</v>
      </c>
      <c r="E1351" t="n">
        <v>2015</v>
      </c>
      <c r="F1351" t="n">
        <v>2030</v>
      </c>
      <c r="G1351" t="n">
        <v>5865.7817</v>
      </c>
      <c r="H1351" t="n">
        <v>496.7147</v>
      </c>
      <c r="I1351" t="n">
        <v>1344.0838</v>
      </c>
      <c r="J1351" t="n">
        <v>4337.228</v>
      </c>
      <c r="K1351" t="n">
        <v>21801344.96</v>
      </c>
      <c r="L1351" t="inlineStr"/>
      <c r="M1351" t="n">
        <v>5865.7817</v>
      </c>
      <c r="N1351" t="inlineStr">
        <is>
          <t>Supplier Reported Emissions</t>
        </is>
      </c>
      <c r="O1351" t="b">
        <v>0</v>
      </c>
      <c r="P1351" t="inlineStr">
        <is>
          <t>High</t>
        </is>
      </c>
      <c r="Q1351" t="inlineStr">
        <is>
          <t>Revenue</t>
        </is>
      </c>
      <c r="R1351" t="inlineStr">
        <is>
          <t>Valid</t>
        </is>
      </c>
      <c r="S1351" t="n">
        <v>2030</v>
      </c>
      <c r="T1351" t="inlineStr">
        <is>
          <t>Industry Haircut Pathway</t>
        </is>
      </c>
      <c r="U1351" t="n">
        <v>5841.9028</v>
      </c>
      <c r="V1351" t="n">
        <v>3989.4354</v>
      </c>
      <c r="W1351" t="n">
        <v>3989.4354</v>
      </c>
      <c r="X1351" t="n">
        <v>3989.4354</v>
      </c>
      <c r="Y1351" t="n">
        <v>1852.4674</v>
      </c>
      <c r="Z1351" t="n">
        <v>0.00018299</v>
      </c>
      <c r="AA1351" t="n">
        <v>0.3171</v>
      </c>
      <c r="AB1351" t="n">
        <v>0</v>
      </c>
      <c r="AC1351" t="n">
        <v>123.4978</v>
      </c>
      <c r="AD1351" t="n">
        <v>-1852.4674</v>
      </c>
      <c r="AE1351" t="n">
        <v>25789.0798</v>
      </c>
      <c r="AF1351" t="n">
        <v>0.875</v>
      </c>
      <c r="AG1351" t="inlineStr">
        <is>
          <t>Low</t>
        </is>
      </c>
      <c r="AH1351" t="inlineStr">
        <is>
          <t>On Track</t>
        </is>
      </c>
    </row>
    <row r="1352">
      <c r="A1352" t="inlineStr">
        <is>
          <t>SUP-0085</t>
        </is>
      </c>
      <c r="B1352" t="inlineStr">
        <is>
          <t>Textiles Supplier 085</t>
        </is>
      </c>
      <c r="C1352" t="inlineStr">
        <is>
          <t>Textiles</t>
        </is>
      </c>
      <c r="D1352" t="n">
        <v>2024</v>
      </c>
      <c r="E1352" t="n">
        <v>2015</v>
      </c>
      <c r="F1352" t="n">
        <v>2030</v>
      </c>
      <c r="G1352" t="n">
        <v>5865.7817</v>
      </c>
      <c r="H1352" t="n">
        <v>496.7147</v>
      </c>
      <c r="I1352" t="n">
        <v>1344.0838</v>
      </c>
      <c r="J1352" t="n">
        <v>4337.228</v>
      </c>
      <c r="K1352" t="n">
        <v>21801344.96</v>
      </c>
      <c r="L1352" t="inlineStr"/>
      <c r="M1352" t="n">
        <v>5865.7817</v>
      </c>
      <c r="N1352" t="inlineStr">
        <is>
          <t>Supplier Reported Emissions</t>
        </is>
      </c>
      <c r="O1352" t="b">
        <v>0</v>
      </c>
      <c r="P1352" t="inlineStr">
        <is>
          <t>High</t>
        </is>
      </c>
      <c r="Q1352" t="inlineStr">
        <is>
          <t>Revenue</t>
        </is>
      </c>
      <c r="R1352" t="inlineStr">
        <is>
          <t>Valid</t>
        </is>
      </c>
      <c r="S1352" t="n">
        <v>2031</v>
      </c>
      <c r="T1352" t="inlineStr">
        <is>
          <t>Industry Haircut Pathway</t>
        </is>
      </c>
      <c r="U1352" t="n">
        <v>5841.9028</v>
      </c>
      <c r="V1352" t="n">
        <v>3989.4354</v>
      </c>
      <c r="W1352" t="n">
        <v>3989.4354</v>
      </c>
      <c r="X1352" t="n">
        <v>3989.4354</v>
      </c>
      <c r="Y1352" t="n">
        <v>1852.4674</v>
      </c>
      <c r="Z1352" t="n">
        <v>0.00018299</v>
      </c>
      <c r="AA1352" t="n">
        <v>0.3171</v>
      </c>
      <c r="AB1352" t="n">
        <v>0</v>
      </c>
      <c r="AC1352" t="n">
        <v>123.4978</v>
      </c>
      <c r="AD1352" t="n">
        <v>-5841.9028</v>
      </c>
      <c r="AE1352" t="n">
        <v>29778.5152</v>
      </c>
      <c r="AF1352" t="n">
        <v>0.875</v>
      </c>
      <c r="AG1352" t="inlineStr">
        <is>
          <t>Low</t>
        </is>
      </c>
      <c r="AH1352" t="inlineStr">
        <is>
          <t>On Track</t>
        </is>
      </c>
    </row>
    <row r="1353">
      <c r="A1353" t="inlineStr">
        <is>
          <t>SUP-0085</t>
        </is>
      </c>
      <c r="B1353" t="inlineStr">
        <is>
          <t>Textiles Supplier 085</t>
        </is>
      </c>
      <c r="C1353" t="inlineStr">
        <is>
          <t>Textiles</t>
        </is>
      </c>
      <c r="D1353" t="n">
        <v>2024</v>
      </c>
      <c r="E1353" t="n">
        <v>2015</v>
      </c>
      <c r="F1353" t="n">
        <v>2030</v>
      </c>
      <c r="G1353" t="n">
        <v>5865.7817</v>
      </c>
      <c r="H1353" t="n">
        <v>496.7147</v>
      </c>
      <c r="I1353" t="n">
        <v>1344.0838</v>
      </c>
      <c r="J1353" t="n">
        <v>4337.228</v>
      </c>
      <c r="K1353" t="n">
        <v>21801344.96</v>
      </c>
      <c r="L1353" t="inlineStr"/>
      <c r="M1353" t="n">
        <v>5865.7817</v>
      </c>
      <c r="N1353" t="inlineStr">
        <is>
          <t>Supplier Reported Emissions</t>
        </is>
      </c>
      <c r="O1353" t="b">
        <v>0</v>
      </c>
      <c r="P1353" t="inlineStr">
        <is>
          <t>High</t>
        </is>
      </c>
      <c r="Q1353" t="inlineStr">
        <is>
          <t>Revenue</t>
        </is>
      </c>
      <c r="R1353" t="inlineStr">
        <is>
          <t>Valid</t>
        </is>
      </c>
      <c r="S1353" t="n">
        <v>2032</v>
      </c>
      <c r="T1353" t="inlineStr">
        <is>
          <t>Industry Haircut Pathway</t>
        </is>
      </c>
      <c r="U1353" t="n">
        <v>5841.9028</v>
      </c>
      <c r="V1353" t="n">
        <v>3989.4354</v>
      </c>
      <c r="W1353" t="n">
        <v>3989.4354</v>
      </c>
      <c r="X1353" t="n">
        <v>3989.4354</v>
      </c>
      <c r="Y1353" t="n">
        <v>1852.4674</v>
      </c>
      <c r="Z1353" t="n">
        <v>0.00018299</v>
      </c>
      <c r="AA1353" t="n">
        <v>0.3171</v>
      </c>
      <c r="AB1353" t="n">
        <v>0</v>
      </c>
      <c r="AC1353" t="n">
        <v>123.4978</v>
      </c>
      <c r="AD1353" t="n">
        <v>-9831.3382</v>
      </c>
      <c r="AE1353" t="n">
        <v>33767.9506</v>
      </c>
      <c r="AF1353" t="n">
        <v>0.875</v>
      </c>
      <c r="AG1353" t="inlineStr">
        <is>
          <t>Low</t>
        </is>
      </c>
      <c r="AH1353" t="inlineStr">
        <is>
          <t>On Track</t>
        </is>
      </c>
    </row>
    <row r="1354">
      <c r="A1354" t="inlineStr">
        <is>
          <t>SUP-0085</t>
        </is>
      </c>
      <c r="B1354" t="inlineStr">
        <is>
          <t>Textiles Supplier 085</t>
        </is>
      </c>
      <c r="C1354" t="inlineStr">
        <is>
          <t>Textiles</t>
        </is>
      </c>
      <c r="D1354" t="n">
        <v>2024</v>
      </c>
      <c r="E1354" t="n">
        <v>2015</v>
      </c>
      <c r="F1354" t="n">
        <v>2030</v>
      </c>
      <c r="G1354" t="n">
        <v>5865.7817</v>
      </c>
      <c r="H1354" t="n">
        <v>496.7147</v>
      </c>
      <c r="I1354" t="n">
        <v>1344.0838</v>
      </c>
      <c r="J1354" t="n">
        <v>4337.228</v>
      </c>
      <c r="K1354" t="n">
        <v>21801344.96</v>
      </c>
      <c r="L1354" t="inlineStr"/>
      <c r="M1354" t="n">
        <v>5865.7817</v>
      </c>
      <c r="N1354" t="inlineStr">
        <is>
          <t>Supplier Reported Emissions</t>
        </is>
      </c>
      <c r="O1354" t="b">
        <v>0</v>
      </c>
      <c r="P1354" t="inlineStr">
        <is>
          <t>High</t>
        </is>
      </c>
      <c r="Q1354" t="inlineStr">
        <is>
          <t>Revenue</t>
        </is>
      </c>
      <c r="R1354" t="inlineStr">
        <is>
          <t>Valid</t>
        </is>
      </c>
      <c r="S1354" t="n">
        <v>2033</v>
      </c>
      <c r="T1354" t="inlineStr">
        <is>
          <t>Industry Haircut Pathway</t>
        </is>
      </c>
      <c r="U1354" t="n">
        <v>5841.9028</v>
      </c>
      <c r="V1354" t="n">
        <v>3989.4354</v>
      </c>
      <c r="W1354" t="n">
        <v>3989.4354</v>
      </c>
      <c r="X1354" t="n">
        <v>3989.4354</v>
      </c>
      <c r="Y1354" t="n">
        <v>1852.4674</v>
      </c>
      <c r="Z1354" t="n">
        <v>0.00018299</v>
      </c>
      <c r="AA1354" t="n">
        <v>0.3171</v>
      </c>
      <c r="AB1354" t="n">
        <v>0</v>
      </c>
      <c r="AC1354" t="n">
        <v>123.4978</v>
      </c>
      <c r="AD1354" t="n">
        <v>-13820.7736</v>
      </c>
      <c r="AE1354" t="n">
        <v>37757.386</v>
      </c>
      <c r="AF1354" t="n">
        <v>0.875</v>
      </c>
      <c r="AG1354" t="inlineStr">
        <is>
          <t>Low</t>
        </is>
      </c>
      <c r="AH1354" t="inlineStr">
        <is>
          <t>On Track</t>
        </is>
      </c>
    </row>
    <row r="1355">
      <c r="A1355" t="inlineStr">
        <is>
          <t>SUP-0085</t>
        </is>
      </c>
      <c r="B1355" t="inlineStr">
        <is>
          <t>Textiles Supplier 085</t>
        </is>
      </c>
      <c r="C1355" t="inlineStr">
        <is>
          <t>Textiles</t>
        </is>
      </c>
      <c r="D1355" t="n">
        <v>2024</v>
      </c>
      <c r="E1355" t="n">
        <v>2015</v>
      </c>
      <c r="F1355" t="n">
        <v>2030</v>
      </c>
      <c r="G1355" t="n">
        <v>5865.7817</v>
      </c>
      <c r="H1355" t="n">
        <v>496.7147</v>
      </c>
      <c r="I1355" t="n">
        <v>1344.0838</v>
      </c>
      <c r="J1355" t="n">
        <v>4337.228</v>
      </c>
      <c r="K1355" t="n">
        <v>21801344.96</v>
      </c>
      <c r="L1355" t="inlineStr"/>
      <c r="M1355" t="n">
        <v>5865.7817</v>
      </c>
      <c r="N1355" t="inlineStr">
        <is>
          <t>Supplier Reported Emissions</t>
        </is>
      </c>
      <c r="O1355" t="b">
        <v>0</v>
      </c>
      <c r="P1355" t="inlineStr">
        <is>
          <t>High</t>
        </is>
      </c>
      <c r="Q1355" t="inlineStr">
        <is>
          <t>Revenue</t>
        </is>
      </c>
      <c r="R1355" t="inlineStr">
        <is>
          <t>Valid</t>
        </is>
      </c>
      <c r="S1355" t="n">
        <v>2034</v>
      </c>
      <c r="T1355" t="inlineStr">
        <is>
          <t>Industry Haircut Pathway</t>
        </is>
      </c>
      <c r="U1355" t="n">
        <v>5841.9028</v>
      </c>
      <c r="V1355" t="n">
        <v>3989.4354</v>
      </c>
      <c r="W1355" t="n">
        <v>3989.4354</v>
      </c>
      <c r="X1355" t="n">
        <v>3989.4354</v>
      </c>
      <c r="Y1355" t="n">
        <v>1852.4674</v>
      </c>
      <c r="Z1355" t="n">
        <v>0.00018299</v>
      </c>
      <c r="AA1355" t="n">
        <v>0.3171</v>
      </c>
      <c r="AB1355" t="n">
        <v>0</v>
      </c>
      <c r="AC1355" t="n">
        <v>123.4978</v>
      </c>
      <c r="AD1355" t="n">
        <v>-17810.209</v>
      </c>
      <c r="AE1355" t="n">
        <v>41746.8214</v>
      </c>
      <c r="AF1355" t="n">
        <v>0.875</v>
      </c>
      <c r="AG1355" t="inlineStr">
        <is>
          <t>Low</t>
        </is>
      </c>
      <c r="AH1355" t="inlineStr">
        <is>
          <t>On Track</t>
        </is>
      </c>
    </row>
    <row r="1356">
      <c r="A1356" t="inlineStr">
        <is>
          <t>SUP-0085</t>
        </is>
      </c>
      <c r="B1356" t="inlineStr">
        <is>
          <t>Textiles Supplier 085</t>
        </is>
      </c>
      <c r="C1356" t="inlineStr">
        <is>
          <t>Textiles</t>
        </is>
      </c>
      <c r="D1356" t="n">
        <v>2024</v>
      </c>
      <c r="E1356" t="n">
        <v>2015</v>
      </c>
      <c r="F1356" t="n">
        <v>2030</v>
      </c>
      <c r="G1356" t="n">
        <v>5865.7817</v>
      </c>
      <c r="H1356" t="n">
        <v>496.7147</v>
      </c>
      <c r="I1356" t="n">
        <v>1344.0838</v>
      </c>
      <c r="J1356" t="n">
        <v>4337.228</v>
      </c>
      <c r="K1356" t="n">
        <v>21801344.96</v>
      </c>
      <c r="L1356" t="inlineStr"/>
      <c r="M1356" t="n">
        <v>5865.7817</v>
      </c>
      <c r="N1356" t="inlineStr">
        <is>
          <t>Supplier Reported Emissions</t>
        </is>
      </c>
      <c r="O1356" t="b">
        <v>0</v>
      </c>
      <c r="P1356" t="inlineStr">
        <is>
          <t>High</t>
        </is>
      </c>
      <c r="Q1356" t="inlineStr">
        <is>
          <t>Revenue</t>
        </is>
      </c>
      <c r="R1356" t="inlineStr">
        <is>
          <t>Valid</t>
        </is>
      </c>
      <c r="S1356" t="n">
        <v>2035</v>
      </c>
      <c r="T1356" t="inlineStr">
        <is>
          <t>Industry Haircut Pathway</t>
        </is>
      </c>
      <c r="U1356" t="n">
        <v>5841.9028</v>
      </c>
      <c r="V1356" t="n">
        <v>3989.4354</v>
      </c>
      <c r="W1356" t="n">
        <v>3989.4354</v>
      </c>
      <c r="X1356" t="n">
        <v>3989.4354</v>
      </c>
      <c r="Y1356" t="n">
        <v>1852.4674</v>
      </c>
      <c r="Z1356" t="n">
        <v>0.00018299</v>
      </c>
      <c r="AA1356" t="n">
        <v>0.3171</v>
      </c>
      <c r="AB1356" t="n">
        <v>0</v>
      </c>
      <c r="AC1356" t="n">
        <v>123.4978</v>
      </c>
      <c r="AD1356" t="n">
        <v>-21799.6444</v>
      </c>
      <c r="AE1356" t="n">
        <v>45736.2568</v>
      </c>
      <c r="AF1356" t="n">
        <v>0.875</v>
      </c>
      <c r="AG1356" t="inlineStr">
        <is>
          <t>Low</t>
        </is>
      </c>
      <c r="AH1356" t="inlineStr">
        <is>
          <t>On Track</t>
        </is>
      </c>
    </row>
    <row r="1357">
      <c r="A1357" t="inlineStr">
        <is>
          <t>SUP-0085</t>
        </is>
      </c>
      <c r="B1357" t="inlineStr">
        <is>
          <t>Textiles Supplier 085</t>
        </is>
      </c>
      <c r="C1357" t="inlineStr">
        <is>
          <t>Textiles</t>
        </is>
      </c>
      <c r="D1357" t="n">
        <v>2024</v>
      </c>
      <c r="E1357" t="n">
        <v>2015</v>
      </c>
      <c r="F1357" t="n">
        <v>2030</v>
      </c>
      <c r="G1357" t="n">
        <v>5865.7817</v>
      </c>
      <c r="H1357" t="n">
        <v>496.7147</v>
      </c>
      <c r="I1357" t="n">
        <v>1344.0838</v>
      </c>
      <c r="J1357" t="n">
        <v>4337.228</v>
      </c>
      <c r="K1357" t="n">
        <v>21801344.96</v>
      </c>
      <c r="L1357" t="inlineStr"/>
      <c r="M1357" t="n">
        <v>5865.7817</v>
      </c>
      <c r="N1357" t="inlineStr">
        <is>
          <t>Supplier Reported Emissions</t>
        </is>
      </c>
      <c r="O1357" t="b">
        <v>0</v>
      </c>
      <c r="P1357" t="inlineStr">
        <is>
          <t>High</t>
        </is>
      </c>
      <c r="Q1357" t="inlineStr">
        <is>
          <t>Revenue</t>
        </is>
      </c>
      <c r="R1357" t="inlineStr">
        <is>
          <t>Valid</t>
        </is>
      </c>
      <c r="S1357" t="n">
        <v>2036</v>
      </c>
      <c r="T1357" t="inlineStr">
        <is>
          <t>Industry Haircut Pathway</t>
        </is>
      </c>
      <c r="U1357" t="n">
        <v>5841.9028</v>
      </c>
      <c r="V1357" t="n">
        <v>3989.4354</v>
      </c>
      <c r="W1357" t="n">
        <v>3989.4354</v>
      </c>
      <c r="X1357" t="n">
        <v>3989.4354</v>
      </c>
      <c r="Y1357" t="n">
        <v>1852.4674</v>
      </c>
      <c r="Z1357" t="n">
        <v>0.00018299</v>
      </c>
      <c r="AA1357" t="n">
        <v>0.3171</v>
      </c>
      <c r="AB1357" t="n">
        <v>0</v>
      </c>
      <c r="AC1357" t="n">
        <v>123.4978</v>
      </c>
      <c r="AD1357" t="n">
        <v>-25789.0798</v>
      </c>
      <c r="AE1357" t="n">
        <v>49725.6922</v>
      </c>
      <c r="AF1357" t="n">
        <v>0.875</v>
      </c>
      <c r="AG1357" t="inlineStr">
        <is>
          <t>Low</t>
        </is>
      </c>
      <c r="AH1357" t="inlineStr">
        <is>
          <t>On Track</t>
        </is>
      </c>
    </row>
    <row r="1358">
      <c r="A1358" t="inlineStr">
        <is>
          <t>SUP-0085</t>
        </is>
      </c>
      <c r="B1358" t="inlineStr">
        <is>
          <t>Textiles Supplier 085</t>
        </is>
      </c>
      <c r="C1358" t="inlineStr">
        <is>
          <t>Textiles</t>
        </is>
      </c>
      <c r="D1358" t="n">
        <v>2024</v>
      </c>
      <c r="E1358" t="n">
        <v>2015</v>
      </c>
      <c r="F1358" t="n">
        <v>2030</v>
      </c>
      <c r="G1358" t="n">
        <v>5865.7817</v>
      </c>
      <c r="H1358" t="n">
        <v>496.7147</v>
      </c>
      <c r="I1358" t="n">
        <v>1344.0838</v>
      </c>
      <c r="J1358" t="n">
        <v>4337.228</v>
      </c>
      <c r="K1358" t="n">
        <v>21801344.96</v>
      </c>
      <c r="L1358" t="inlineStr"/>
      <c r="M1358" t="n">
        <v>5865.7817</v>
      </c>
      <c r="N1358" t="inlineStr">
        <is>
          <t>Supplier Reported Emissions</t>
        </is>
      </c>
      <c r="O1358" t="b">
        <v>0</v>
      </c>
      <c r="P1358" t="inlineStr">
        <is>
          <t>High</t>
        </is>
      </c>
      <c r="Q1358" t="inlineStr">
        <is>
          <t>Revenue</t>
        </is>
      </c>
      <c r="R1358" t="inlineStr">
        <is>
          <t>Valid</t>
        </is>
      </c>
      <c r="S1358" t="n">
        <v>2037</v>
      </c>
      <c r="T1358" t="inlineStr">
        <is>
          <t>Industry Haircut Pathway</t>
        </is>
      </c>
      <c r="U1358" t="n">
        <v>5841.9028</v>
      </c>
      <c r="V1358" t="n">
        <v>3989.4354</v>
      </c>
      <c r="W1358" t="n">
        <v>3989.4354</v>
      </c>
      <c r="X1358" t="n">
        <v>3989.4354</v>
      </c>
      <c r="Y1358" t="n">
        <v>1852.4674</v>
      </c>
      <c r="Z1358" t="n">
        <v>0.00018299</v>
      </c>
      <c r="AA1358" t="n">
        <v>0.3171</v>
      </c>
      <c r="AB1358" t="n">
        <v>0</v>
      </c>
      <c r="AC1358" t="n">
        <v>123.4978</v>
      </c>
      <c r="AD1358" t="n">
        <v>-29778.5152</v>
      </c>
      <c r="AE1358" t="n">
        <v>53715.1276</v>
      </c>
      <c r="AF1358" t="n">
        <v>0.875</v>
      </c>
      <c r="AG1358" t="inlineStr">
        <is>
          <t>Low</t>
        </is>
      </c>
      <c r="AH1358" t="inlineStr">
        <is>
          <t>On Track</t>
        </is>
      </c>
    </row>
    <row r="1359">
      <c r="A1359" t="inlineStr">
        <is>
          <t>SUP-0085</t>
        </is>
      </c>
      <c r="B1359" t="inlineStr">
        <is>
          <t>Textiles Supplier 085</t>
        </is>
      </c>
      <c r="C1359" t="inlineStr">
        <is>
          <t>Textiles</t>
        </is>
      </c>
      <c r="D1359" t="n">
        <v>2024</v>
      </c>
      <c r="E1359" t="n">
        <v>2015</v>
      </c>
      <c r="F1359" t="n">
        <v>2030</v>
      </c>
      <c r="G1359" t="n">
        <v>5865.7817</v>
      </c>
      <c r="H1359" t="n">
        <v>496.7147</v>
      </c>
      <c r="I1359" t="n">
        <v>1344.0838</v>
      </c>
      <c r="J1359" t="n">
        <v>4337.228</v>
      </c>
      <c r="K1359" t="n">
        <v>21801344.96</v>
      </c>
      <c r="L1359" t="inlineStr"/>
      <c r="M1359" t="n">
        <v>5865.7817</v>
      </c>
      <c r="N1359" t="inlineStr">
        <is>
          <t>Supplier Reported Emissions</t>
        </is>
      </c>
      <c r="O1359" t="b">
        <v>0</v>
      </c>
      <c r="P1359" t="inlineStr">
        <is>
          <t>High</t>
        </is>
      </c>
      <c r="Q1359" t="inlineStr">
        <is>
          <t>Revenue</t>
        </is>
      </c>
      <c r="R1359" t="inlineStr">
        <is>
          <t>Valid</t>
        </is>
      </c>
      <c r="S1359" t="n">
        <v>2038</v>
      </c>
      <c r="T1359" t="inlineStr">
        <is>
          <t>Industry Haircut Pathway</t>
        </is>
      </c>
      <c r="U1359" t="n">
        <v>5841.9028</v>
      </c>
      <c r="V1359" t="n">
        <v>3989.4354</v>
      </c>
      <c r="W1359" t="n">
        <v>3989.4354</v>
      </c>
      <c r="X1359" t="n">
        <v>3989.4354</v>
      </c>
      <c r="Y1359" t="n">
        <v>1852.4674</v>
      </c>
      <c r="Z1359" t="n">
        <v>0.00018299</v>
      </c>
      <c r="AA1359" t="n">
        <v>0.3171</v>
      </c>
      <c r="AB1359" t="n">
        <v>0</v>
      </c>
      <c r="AC1359" t="n">
        <v>123.4978</v>
      </c>
      <c r="AD1359" t="n">
        <v>-33767.9506</v>
      </c>
      <c r="AE1359" t="n">
        <v>57704.563</v>
      </c>
      <c r="AF1359" t="n">
        <v>0.875</v>
      </c>
      <c r="AG1359" t="inlineStr">
        <is>
          <t>Low</t>
        </is>
      </c>
      <c r="AH1359" t="inlineStr">
        <is>
          <t>On Track</t>
        </is>
      </c>
    </row>
    <row r="1360">
      <c r="A1360" t="inlineStr">
        <is>
          <t>SUP-0085</t>
        </is>
      </c>
      <c r="B1360" t="inlineStr">
        <is>
          <t>Textiles Supplier 085</t>
        </is>
      </c>
      <c r="C1360" t="inlineStr">
        <is>
          <t>Textiles</t>
        </is>
      </c>
      <c r="D1360" t="n">
        <v>2024</v>
      </c>
      <c r="E1360" t="n">
        <v>2015</v>
      </c>
      <c r="F1360" t="n">
        <v>2030</v>
      </c>
      <c r="G1360" t="n">
        <v>5865.7817</v>
      </c>
      <c r="H1360" t="n">
        <v>496.7147</v>
      </c>
      <c r="I1360" t="n">
        <v>1344.0838</v>
      </c>
      <c r="J1360" t="n">
        <v>4337.228</v>
      </c>
      <c r="K1360" t="n">
        <v>21801344.96</v>
      </c>
      <c r="L1360" t="inlineStr"/>
      <c r="M1360" t="n">
        <v>5865.7817</v>
      </c>
      <c r="N1360" t="inlineStr">
        <is>
          <t>Supplier Reported Emissions</t>
        </is>
      </c>
      <c r="O1360" t="b">
        <v>0</v>
      </c>
      <c r="P1360" t="inlineStr">
        <is>
          <t>High</t>
        </is>
      </c>
      <c r="Q1360" t="inlineStr">
        <is>
          <t>Revenue</t>
        </is>
      </c>
      <c r="R1360" t="inlineStr">
        <is>
          <t>Valid</t>
        </is>
      </c>
      <c r="S1360" t="n">
        <v>2039</v>
      </c>
      <c r="T1360" t="inlineStr">
        <is>
          <t>Industry Haircut Pathway</t>
        </is>
      </c>
      <c r="U1360" t="n">
        <v>5841.9028</v>
      </c>
      <c r="V1360" t="n">
        <v>3989.4354</v>
      </c>
      <c r="W1360" t="n">
        <v>3989.4354</v>
      </c>
      <c r="X1360" t="n">
        <v>3989.4354</v>
      </c>
      <c r="Y1360" t="n">
        <v>1852.4674</v>
      </c>
      <c r="Z1360" t="n">
        <v>0.00018299</v>
      </c>
      <c r="AA1360" t="n">
        <v>0.3171</v>
      </c>
      <c r="AB1360" t="n">
        <v>0</v>
      </c>
      <c r="AC1360" t="n">
        <v>123.4978</v>
      </c>
      <c r="AD1360" t="n">
        <v>-37757.386</v>
      </c>
      <c r="AE1360" t="n">
        <v>61693.9984</v>
      </c>
      <c r="AF1360" t="n">
        <v>0.875</v>
      </c>
      <c r="AG1360" t="inlineStr">
        <is>
          <t>Low</t>
        </is>
      </c>
      <c r="AH1360" t="inlineStr">
        <is>
          <t>On Track</t>
        </is>
      </c>
    </row>
    <row r="1361">
      <c r="A1361" t="inlineStr">
        <is>
          <t>SUP-0085</t>
        </is>
      </c>
      <c r="B1361" t="inlineStr">
        <is>
          <t>Textiles Supplier 085</t>
        </is>
      </c>
      <c r="C1361" t="inlineStr">
        <is>
          <t>Textiles</t>
        </is>
      </c>
      <c r="D1361" t="n">
        <v>2024</v>
      </c>
      <c r="E1361" t="n">
        <v>2015</v>
      </c>
      <c r="F1361" t="n">
        <v>2030</v>
      </c>
      <c r="G1361" t="n">
        <v>5865.7817</v>
      </c>
      <c r="H1361" t="n">
        <v>496.7147</v>
      </c>
      <c r="I1361" t="n">
        <v>1344.0838</v>
      </c>
      <c r="J1361" t="n">
        <v>4337.228</v>
      </c>
      <c r="K1361" t="n">
        <v>21801344.96</v>
      </c>
      <c r="L1361" t="inlineStr"/>
      <c r="M1361" t="n">
        <v>5865.7817</v>
      </c>
      <c r="N1361" t="inlineStr">
        <is>
          <t>Supplier Reported Emissions</t>
        </is>
      </c>
      <c r="O1361" t="b">
        <v>0</v>
      </c>
      <c r="P1361" t="inlineStr">
        <is>
          <t>High</t>
        </is>
      </c>
      <c r="Q1361" t="inlineStr">
        <is>
          <t>Revenue</t>
        </is>
      </c>
      <c r="R1361" t="inlineStr">
        <is>
          <t>Valid</t>
        </is>
      </c>
      <c r="S1361" t="n">
        <v>2040</v>
      </c>
      <c r="T1361" t="inlineStr">
        <is>
          <t>Industry Haircut Pathway</t>
        </is>
      </c>
      <c r="U1361" t="n">
        <v>5841.9028</v>
      </c>
      <c r="V1361" t="n">
        <v>3989.4354</v>
      </c>
      <c r="W1361" t="n">
        <v>3989.4354</v>
      </c>
      <c r="X1361" t="n">
        <v>3989.4354</v>
      </c>
      <c r="Y1361" t="n">
        <v>1852.4674</v>
      </c>
      <c r="Z1361" t="n">
        <v>0.00018299</v>
      </c>
      <c r="AA1361" t="n">
        <v>0.3171</v>
      </c>
      <c r="AB1361" t="n">
        <v>0</v>
      </c>
      <c r="AC1361" t="n">
        <v>123.4978</v>
      </c>
      <c r="AD1361" t="n">
        <v>-41746.8214</v>
      </c>
      <c r="AE1361" t="n">
        <v>65683.4338</v>
      </c>
      <c r="AF1361" t="n">
        <v>0.875</v>
      </c>
      <c r="AG1361" t="inlineStr">
        <is>
          <t>Low</t>
        </is>
      </c>
      <c r="AH1361" t="inlineStr">
        <is>
          <t>On Track</t>
        </is>
      </c>
    </row>
    <row r="1362">
      <c r="A1362" t="inlineStr">
        <is>
          <t>SUP-0086</t>
        </is>
      </c>
      <c r="B1362" t="inlineStr">
        <is>
          <t>Metals Supplier 086</t>
        </is>
      </c>
      <c r="C1362" t="inlineStr">
        <is>
          <t>Metals</t>
        </is>
      </c>
      <c r="D1362" t="n">
        <v>2024</v>
      </c>
      <c r="E1362" t="n">
        <v>2019</v>
      </c>
      <c r="F1362" t="n">
        <v>2035</v>
      </c>
      <c r="G1362" t="inlineStr"/>
      <c r="H1362" t="n">
        <v>1494.6371</v>
      </c>
      <c r="I1362" t="n">
        <v>2747.089</v>
      </c>
      <c r="J1362" t="n">
        <v>11334.2244</v>
      </c>
      <c r="K1362" t="n">
        <v>17310943.41</v>
      </c>
      <c r="L1362" t="n">
        <v>66016811.64</v>
      </c>
      <c r="M1362" t="n">
        <v>15575.9505</v>
      </c>
      <c r="N1362" t="inlineStr">
        <is>
          <t>Scope 1 + Scope 2 + Scope 3</t>
        </is>
      </c>
      <c r="O1362" t="b">
        <v>1</v>
      </c>
      <c r="P1362" t="inlineStr">
        <is>
          <t>High</t>
        </is>
      </c>
      <c r="Q1362" t="inlineStr">
        <is>
          <t>Reported_Emissions</t>
        </is>
      </c>
      <c r="R1362" t="inlineStr">
        <is>
          <t>Valid</t>
        </is>
      </c>
      <c r="S1362" t="n">
        <v>2025</v>
      </c>
      <c r="T1362" t="inlineStr">
        <is>
          <t>Supplier Target Pathway</t>
        </is>
      </c>
      <c r="U1362" t="n">
        <v>22661.4098</v>
      </c>
      <c r="V1362" t="n">
        <v>13241.0617</v>
      </c>
      <c r="W1362" t="n">
        <v>19128.7793</v>
      </c>
      <c r="X1362" t="n">
        <v>19128.7793</v>
      </c>
      <c r="Y1362" t="n">
        <v>3532.6305</v>
      </c>
      <c r="Z1362" t="n">
        <v>0.00110501</v>
      </c>
      <c r="AA1362" t="n">
        <v>0.155888</v>
      </c>
      <c r="AB1362" t="n">
        <v>5887.7175</v>
      </c>
      <c r="AC1362" t="n">
        <v>588.7718</v>
      </c>
      <c r="AD1362" t="n">
        <v>126522.8994</v>
      </c>
      <c r="AE1362" t="n">
        <v>19128.7793</v>
      </c>
      <c r="AF1362" t="n">
        <v>0.99</v>
      </c>
      <c r="AG1362" t="inlineStr">
        <is>
          <t>Critical</t>
        </is>
      </c>
      <c r="AH1362" t="inlineStr">
        <is>
          <t>On Track to Glide Path</t>
        </is>
      </c>
    </row>
    <row r="1363">
      <c r="A1363" t="inlineStr">
        <is>
          <t>SUP-0086</t>
        </is>
      </c>
      <c r="B1363" t="inlineStr">
        <is>
          <t>Metals Supplier 086</t>
        </is>
      </c>
      <c r="C1363" t="inlineStr">
        <is>
          <t>Metals</t>
        </is>
      </c>
      <c r="D1363" t="n">
        <v>2024</v>
      </c>
      <c r="E1363" t="n">
        <v>2019</v>
      </c>
      <c r="F1363" t="n">
        <v>2035</v>
      </c>
      <c r="G1363" t="inlineStr"/>
      <c r="H1363" t="n">
        <v>1494.6371</v>
      </c>
      <c r="I1363" t="n">
        <v>2747.089</v>
      </c>
      <c r="J1363" t="n">
        <v>11334.2244</v>
      </c>
      <c r="K1363" t="n">
        <v>17310943.41</v>
      </c>
      <c r="L1363" t="n">
        <v>66016811.64</v>
      </c>
      <c r="M1363" t="n">
        <v>15575.9505</v>
      </c>
      <c r="N1363" t="inlineStr">
        <is>
          <t>Scope 1 + Scope 2 + Scope 3</t>
        </is>
      </c>
      <c r="O1363" t="b">
        <v>1</v>
      </c>
      <c r="P1363" t="inlineStr">
        <is>
          <t>High</t>
        </is>
      </c>
      <c r="Q1363" t="inlineStr">
        <is>
          <t>Reported_Emissions</t>
        </is>
      </c>
      <c r="R1363" t="inlineStr">
        <is>
          <t>Valid</t>
        </is>
      </c>
      <c r="S1363" t="n">
        <v>2026</v>
      </c>
      <c r="T1363" t="inlineStr">
        <is>
          <t>Supplier Target Pathway</t>
        </is>
      </c>
      <c r="U1363" t="n">
        <v>22661.4098</v>
      </c>
      <c r="V1363" t="n">
        <v>13241.0617</v>
      </c>
      <c r="W1363" t="n">
        <v>18540.0075</v>
      </c>
      <c r="X1363" t="n">
        <v>18540.0075</v>
      </c>
      <c r="Y1363" t="n">
        <v>4121.4023</v>
      </c>
      <c r="Z1363" t="n">
        <v>0.001071</v>
      </c>
      <c r="AA1363" t="n">
        <v>0.181869</v>
      </c>
      <c r="AB1363" t="n">
        <v>5298.9458</v>
      </c>
      <c r="AC1363" t="n">
        <v>588.7718</v>
      </c>
      <c r="AD1363" t="n">
        <v>107982.8919</v>
      </c>
      <c r="AE1363" t="n">
        <v>37668.7868</v>
      </c>
      <c r="AF1363" t="n">
        <v>0.99</v>
      </c>
      <c r="AG1363" t="inlineStr">
        <is>
          <t>Critical</t>
        </is>
      </c>
      <c r="AH1363" t="inlineStr">
        <is>
          <t>On Track to Glide Path</t>
        </is>
      </c>
    </row>
    <row r="1364">
      <c r="A1364" t="inlineStr">
        <is>
          <t>SUP-0086</t>
        </is>
      </c>
      <c r="B1364" t="inlineStr">
        <is>
          <t>Metals Supplier 086</t>
        </is>
      </c>
      <c r="C1364" t="inlineStr">
        <is>
          <t>Metals</t>
        </is>
      </c>
      <c r="D1364" t="n">
        <v>2024</v>
      </c>
      <c r="E1364" t="n">
        <v>2019</v>
      </c>
      <c r="F1364" t="n">
        <v>2035</v>
      </c>
      <c r="G1364" t="inlineStr"/>
      <c r="H1364" t="n">
        <v>1494.6371</v>
      </c>
      <c r="I1364" t="n">
        <v>2747.089</v>
      </c>
      <c r="J1364" t="n">
        <v>11334.2244</v>
      </c>
      <c r="K1364" t="n">
        <v>17310943.41</v>
      </c>
      <c r="L1364" t="n">
        <v>66016811.64</v>
      </c>
      <c r="M1364" t="n">
        <v>15575.9505</v>
      </c>
      <c r="N1364" t="inlineStr">
        <is>
          <t>Scope 1 + Scope 2 + Scope 3</t>
        </is>
      </c>
      <c r="O1364" t="b">
        <v>1</v>
      </c>
      <c r="P1364" t="inlineStr">
        <is>
          <t>High</t>
        </is>
      </c>
      <c r="Q1364" t="inlineStr">
        <is>
          <t>Reported_Emissions</t>
        </is>
      </c>
      <c r="R1364" t="inlineStr">
        <is>
          <t>Valid</t>
        </is>
      </c>
      <c r="S1364" t="n">
        <v>2027</v>
      </c>
      <c r="T1364" t="inlineStr">
        <is>
          <t>Supplier Target Pathway</t>
        </is>
      </c>
      <c r="U1364" t="n">
        <v>22661.4098</v>
      </c>
      <c r="V1364" t="n">
        <v>13241.0617</v>
      </c>
      <c r="W1364" t="n">
        <v>17951.2358</v>
      </c>
      <c r="X1364" t="n">
        <v>17951.2358</v>
      </c>
      <c r="Y1364" t="n">
        <v>4710.174</v>
      </c>
      <c r="Z1364" t="n">
        <v>0.00103699</v>
      </c>
      <c r="AA1364" t="n">
        <v>0.20785</v>
      </c>
      <c r="AB1364" t="n">
        <v>4710.174</v>
      </c>
      <c r="AC1364" t="n">
        <v>588.7718</v>
      </c>
      <c r="AD1364" t="n">
        <v>90031.65609999999</v>
      </c>
      <c r="AE1364" t="n">
        <v>55620.0226</v>
      </c>
      <c r="AF1364" t="n">
        <v>0.99</v>
      </c>
      <c r="AG1364" t="inlineStr">
        <is>
          <t>Critical</t>
        </is>
      </c>
      <c r="AH1364" t="inlineStr">
        <is>
          <t>On Track to Glide Path</t>
        </is>
      </c>
    </row>
    <row r="1365">
      <c r="A1365" t="inlineStr">
        <is>
          <t>SUP-0086</t>
        </is>
      </c>
      <c r="B1365" t="inlineStr">
        <is>
          <t>Metals Supplier 086</t>
        </is>
      </c>
      <c r="C1365" t="inlineStr">
        <is>
          <t>Metals</t>
        </is>
      </c>
      <c r="D1365" t="n">
        <v>2024</v>
      </c>
      <c r="E1365" t="n">
        <v>2019</v>
      </c>
      <c r="F1365" t="n">
        <v>2035</v>
      </c>
      <c r="G1365" t="inlineStr"/>
      <c r="H1365" t="n">
        <v>1494.6371</v>
      </c>
      <c r="I1365" t="n">
        <v>2747.089</v>
      </c>
      <c r="J1365" t="n">
        <v>11334.2244</v>
      </c>
      <c r="K1365" t="n">
        <v>17310943.41</v>
      </c>
      <c r="L1365" t="n">
        <v>66016811.64</v>
      </c>
      <c r="M1365" t="n">
        <v>15575.9505</v>
      </c>
      <c r="N1365" t="inlineStr">
        <is>
          <t>Scope 1 + Scope 2 + Scope 3</t>
        </is>
      </c>
      <c r="O1365" t="b">
        <v>1</v>
      </c>
      <c r="P1365" t="inlineStr">
        <is>
          <t>High</t>
        </is>
      </c>
      <c r="Q1365" t="inlineStr">
        <is>
          <t>Reported_Emissions</t>
        </is>
      </c>
      <c r="R1365" t="inlineStr">
        <is>
          <t>Valid</t>
        </is>
      </c>
      <c r="S1365" t="n">
        <v>2028</v>
      </c>
      <c r="T1365" t="inlineStr">
        <is>
          <t>Supplier Target Pathway</t>
        </is>
      </c>
      <c r="U1365" t="n">
        <v>22661.4098</v>
      </c>
      <c r="V1365" t="n">
        <v>13241.0617</v>
      </c>
      <c r="W1365" t="n">
        <v>17362.464</v>
      </c>
      <c r="X1365" t="n">
        <v>17362.464</v>
      </c>
      <c r="Y1365" t="n">
        <v>5298.9458</v>
      </c>
      <c r="Z1365" t="n">
        <v>0.00100298</v>
      </c>
      <c r="AA1365" t="n">
        <v>0.233831</v>
      </c>
      <c r="AB1365" t="n">
        <v>4121.4023</v>
      </c>
      <c r="AC1365" t="n">
        <v>588.7718</v>
      </c>
      <c r="AD1365" t="n">
        <v>72669.1921</v>
      </c>
      <c r="AE1365" t="n">
        <v>72982.4866</v>
      </c>
      <c r="AF1365" t="n">
        <v>0.99</v>
      </c>
      <c r="AG1365" t="inlineStr">
        <is>
          <t>High</t>
        </is>
      </c>
      <c r="AH1365" t="inlineStr">
        <is>
          <t>On Track to Glide Path</t>
        </is>
      </c>
    </row>
    <row r="1366">
      <c r="A1366" t="inlineStr">
        <is>
          <t>SUP-0086</t>
        </is>
      </c>
      <c r="B1366" t="inlineStr">
        <is>
          <t>Metals Supplier 086</t>
        </is>
      </c>
      <c r="C1366" t="inlineStr">
        <is>
          <t>Metals</t>
        </is>
      </c>
      <c r="D1366" t="n">
        <v>2024</v>
      </c>
      <c r="E1366" t="n">
        <v>2019</v>
      </c>
      <c r="F1366" t="n">
        <v>2035</v>
      </c>
      <c r="G1366" t="inlineStr"/>
      <c r="H1366" t="n">
        <v>1494.6371</v>
      </c>
      <c r="I1366" t="n">
        <v>2747.089</v>
      </c>
      <c r="J1366" t="n">
        <v>11334.2244</v>
      </c>
      <c r="K1366" t="n">
        <v>17310943.41</v>
      </c>
      <c r="L1366" t="n">
        <v>66016811.64</v>
      </c>
      <c r="M1366" t="n">
        <v>15575.9505</v>
      </c>
      <c r="N1366" t="inlineStr">
        <is>
          <t>Scope 1 + Scope 2 + Scope 3</t>
        </is>
      </c>
      <c r="O1366" t="b">
        <v>1</v>
      </c>
      <c r="P1366" t="inlineStr">
        <is>
          <t>High</t>
        </is>
      </c>
      <c r="Q1366" t="inlineStr">
        <is>
          <t>Reported_Emissions</t>
        </is>
      </c>
      <c r="R1366" t="inlineStr">
        <is>
          <t>Valid</t>
        </is>
      </c>
      <c r="S1366" t="n">
        <v>2029</v>
      </c>
      <c r="T1366" t="inlineStr">
        <is>
          <t>Supplier Target Pathway</t>
        </is>
      </c>
      <c r="U1366" t="n">
        <v>22661.4098</v>
      </c>
      <c r="V1366" t="n">
        <v>13241.0617</v>
      </c>
      <c r="W1366" t="n">
        <v>16773.6923</v>
      </c>
      <c r="X1366" t="n">
        <v>16773.6923</v>
      </c>
      <c r="Y1366" t="n">
        <v>5887.7175</v>
      </c>
      <c r="Z1366" t="n">
        <v>0.00096896</v>
      </c>
      <c r="AA1366" t="n">
        <v>0.259813</v>
      </c>
      <c r="AB1366" t="n">
        <v>3532.6305</v>
      </c>
      <c r="AC1366" t="n">
        <v>588.7718</v>
      </c>
      <c r="AD1366" t="n">
        <v>55895.4998</v>
      </c>
      <c r="AE1366" t="n">
        <v>89756.1789</v>
      </c>
      <c r="AF1366" t="n">
        <v>0.99</v>
      </c>
      <c r="AG1366" t="inlineStr">
        <is>
          <t>High</t>
        </is>
      </c>
      <c r="AH1366" t="inlineStr">
        <is>
          <t>On Track to Glide Path</t>
        </is>
      </c>
    </row>
    <row r="1367">
      <c r="A1367" t="inlineStr">
        <is>
          <t>SUP-0086</t>
        </is>
      </c>
      <c r="B1367" t="inlineStr">
        <is>
          <t>Metals Supplier 086</t>
        </is>
      </c>
      <c r="C1367" t="inlineStr">
        <is>
          <t>Metals</t>
        </is>
      </c>
      <c r="D1367" t="n">
        <v>2024</v>
      </c>
      <c r="E1367" t="n">
        <v>2019</v>
      </c>
      <c r="F1367" t="n">
        <v>2035</v>
      </c>
      <c r="G1367" t="inlineStr"/>
      <c r="H1367" t="n">
        <v>1494.6371</v>
      </c>
      <c r="I1367" t="n">
        <v>2747.089</v>
      </c>
      <c r="J1367" t="n">
        <v>11334.2244</v>
      </c>
      <c r="K1367" t="n">
        <v>17310943.41</v>
      </c>
      <c r="L1367" t="n">
        <v>66016811.64</v>
      </c>
      <c r="M1367" t="n">
        <v>15575.9505</v>
      </c>
      <c r="N1367" t="inlineStr">
        <is>
          <t>Scope 1 + Scope 2 + Scope 3</t>
        </is>
      </c>
      <c r="O1367" t="b">
        <v>1</v>
      </c>
      <c r="P1367" t="inlineStr">
        <is>
          <t>High</t>
        </is>
      </c>
      <c r="Q1367" t="inlineStr">
        <is>
          <t>Reported_Emissions</t>
        </is>
      </c>
      <c r="R1367" t="inlineStr">
        <is>
          <t>Valid</t>
        </is>
      </c>
      <c r="S1367" t="n">
        <v>2030</v>
      </c>
      <c r="T1367" t="inlineStr">
        <is>
          <t>Supplier Target Pathway</t>
        </is>
      </c>
      <c r="U1367" t="n">
        <v>22661.4098</v>
      </c>
      <c r="V1367" t="n">
        <v>13241.0617</v>
      </c>
      <c r="W1367" t="n">
        <v>16184.9205</v>
      </c>
      <c r="X1367" t="n">
        <v>16184.9205</v>
      </c>
      <c r="Y1367" t="n">
        <v>6476.4893</v>
      </c>
      <c r="Z1367" t="n">
        <v>0.00093495</v>
      </c>
      <c r="AA1367" t="n">
        <v>0.285794</v>
      </c>
      <c r="AB1367" t="n">
        <v>2943.8588</v>
      </c>
      <c r="AC1367" t="n">
        <v>588.7718</v>
      </c>
      <c r="AD1367" t="n">
        <v>39710.5793</v>
      </c>
      <c r="AE1367" t="n">
        <v>105941.0994</v>
      </c>
      <c r="AF1367" t="n">
        <v>0.99</v>
      </c>
      <c r="AG1367" t="inlineStr">
        <is>
          <t>High</t>
        </is>
      </c>
      <c r="AH1367" t="inlineStr">
        <is>
          <t>On Track to Glide Path</t>
        </is>
      </c>
    </row>
    <row r="1368">
      <c r="A1368" t="inlineStr">
        <is>
          <t>SUP-0086</t>
        </is>
      </c>
      <c r="B1368" t="inlineStr">
        <is>
          <t>Metals Supplier 086</t>
        </is>
      </c>
      <c r="C1368" t="inlineStr">
        <is>
          <t>Metals</t>
        </is>
      </c>
      <c r="D1368" t="n">
        <v>2024</v>
      </c>
      <c r="E1368" t="n">
        <v>2019</v>
      </c>
      <c r="F1368" t="n">
        <v>2035</v>
      </c>
      <c r="G1368" t="inlineStr"/>
      <c r="H1368" t="n">
        <v>1494.6371</v>
      </c>
      <c r="I1368" t="n">
        <v>2747.089</v>
      </c>
      <c r="J1368" t="n">
        <v>11334.2244</v>
      </c>
      <c r="K1368" t="n">
        <v>17310943.41</v>
      </c>
      <c r="L1368" t="n">
        <v>66016811.64</v>
      </c>
      <c r="M1368" t="n">
        <v>15575.9505</v>
      </c>
      <c r="N1368" t="inlineStr">
        <is>
          <t>Scope 1 + Scope 2 + Scope 3</t>
        </is>
      </c>
      <c r="O1368" t="b">
        <v>1</v>
      </c>
      <c r="P1368" t="inlineStr">
        <is>
          <t>High</t>
        </is>
      </c>
      <c r="Q1368" t="inlineStr">
        <is>
          <t>Reported_Emissions</t>
        </is>
      </c>
      <c r="R1368" t="inlineStr">
        <is>
          <t>Valid</t>
        </is>
      </c>
      <c r="S1368" t="n">
        <v>2031</v>
      </c>
      <c r="T1368" t="inlineStr">
        <is>
          <t>Supplier Target Pathway</t>
        </is>
      </c>
      <c r="U1368" t="n">
        <v>22661.4098</v>
      </c>
      <c r="V1368" t="n">
        <v>13241.0617</v>
      </c>
      <c r="W1368" t="n">
        <v>15596.1488</v>
      </c>
      <c r="X1368" t="n">
        <v>15596.1488</v>
      </c>
      <c r="Y1368" t="n">
        <v>7065.261</v>
      </c>
      <c r="Z1368" t="n">
        <v>0.00090094</v>
      </c>
      <c r="AA1368" t="n">
        <v>0.311775</v>
      </c>
      <c r="AB1368" t="n">
        <v>2355.087</v>
      </c>
      <c r="AC1368" t="n">
        <v>588.7718</v>
      </c>
      <c r="AD1368" t="n">
        <v>24114.4305</v>
      </c>
      <c r="AE1368" t="n">
        <v>121537.2482</v>
      </c>
      <c r="AF1368" t="n">
        <v>0.99</v>
      </c>
      <c r="AG1368" t="inlineStr">
        <is>
          <t>High</t>
        </is>
      </c>
      <c r="AH1368" t="inlineStr">
        <is>
          <t>On Track to Glide Path</t>
        </is>
      </c>
    </row>
    <row r="1369">
      <c r="A1369" t="inlineStr">
        <is>
          <t>SUP-0086</t>
        </is>
      </c>
      <c r="B1369" t="inlineStr">
        <is>
          <t>Metals Supplier 086</t>
        </is>
      </c>
      <c r="C1369" t="inlineStr">
        <is>
          <t>Metals</t>
        </is>
      </c>
      <c r="D1369" t="n">
        <v>2024</v>
      </c>
      <c r="E1369" t="n">
        <v>2019</v>
      </c>
      <c r="F1369" t="n">
        <v>2035</v>
      </c>
      <c r="G1369" t="inlineStr"/>
      <c r="H1369" t="n">
        <v>1494.6371</v>
      </c>
      <c r="I1369" t="n">
        <v>2747.089</v>
      </c>
      <c r="J1369" t="n">
        <v>11334.2244</v>
      </c>
      <c r="K1369" t="n">
        <v>17310943.41</v>
      </c>
      <c r="L1369" t="n">
        <v>66016811.64</v>
      </c>
      <c r="M1369" t="n">
        <v>15575.9505</v>
      </c>
      <c r="N1369" t="inlineStr">
        <is>
          <t>Scope 1 + Scope 2 + Scope 3</t>
        </is>
      </c>
      <c r="O1369" t="b">
        <v>1</v>
      </c>
      <c r="P1369" t="inlineStr">
        <is>
          <t>High</t>
        </is>
      </c>
      <c r="Q1369" t="inlineStr">
        <is>
          <t>Reported_Emissions</t>
        </is>
      </c>
      <c r="R1369" t="inlineStr">
        <is>
          <t>Valid</t>
        </is>
      </c>
      <c r="S1369" t="n">
        <v>2032</v>
      </c>
      <c r="T1369" t="inlineStr">
        <is>
          <t>Supplier Target Pathway</t>
        </is>
      </c>
      <c r="U1369" t="n">
        <v>22661.4098</v>
      </c>
      <c r="V1369" t="n">
        <v>13241.0617</v>
      </c>
      <c r="W1369" t="n">
        <v>15007.377</v>
      </c>
      <c r="X1369" t="n">
        <v>15007.377</v>
      </c>
      <c r="Y1369" t="n">
        <v>7654.0328</v>
      </c>
      <c r="Z1369" t="n">
        <v>0.00086693</v>
      </c>
      <c r="AA1369" t="n">
        <v>0.337756</v>
      </c>
      <c r="AB1369" t="n">
        <v>1766.3153</v>
      </c>
      <c r="AC1369" t="n">
        <v>588.7718</v>
      </c>
      <c r="AD1369" t="n">
        <v>9107.0535</v>
      </c>
      <c r="AE1369" t="n">
        <v>136544.6252</v>
      </c>
      <c r="AF1369" t="n">
        <v>0.99</v>
      </c>
      <c r="AG1369" t="inlineStr">
        <is>
          <t>Medium</t>
        </is>
      </c>
      <c r="AH1369" t="inlineStr">
        <is>
          <t>On Track to Glide Path</t>
        </is>
      </c>
    </row>
    <row r="1370">
      <c r="A1370" t="inlineStr">
        <is>
          <t>SUP-0086</t>
        </is>
      </c>
      <c r="B1370" t="inlineStr">
        <is>
          <t>Metals Supplier 086</t>
        </is>
      </c>
      <c r="C1370" t="inlineStr">
        <is>
          <t>Metals</t>
        </is>
      </c>
      <c r="D1370" t="n">
        <v>2024</v>
      </c>
      <c r="E1370" t="n">
        <v>2019</v>
      </c>
      <c r="F1370" t="n">
        <v>2035</v>
      </c>
      <c r="G1370" t="inlineStr"/>
      <c r="H1370" t="n">
        <v>1494.6371</v>
      </c>
      <c r="I1370" t="n">
        <v>2747.089</v>
      </c>
      <c r="J1370" t="n">
        <v>11334.2244</v>
      </c>
      <c r="K1370" t="n">
        <v>17310943.41</v>
      </c>
      <c r="L1370" t="n">
        <v>66016811.64</v>
      </c>
      <c r="M1370" t="n">
        <v>15575.9505</v>
      </c>
      <c r="N1370" t="inlineStr">
        <is>
          <t>Scope 1 + Scope 2 + Scope 3</t>
        </is>
      </c>
      <c r="O1370" t="b">
        <v>1</v>
      </c>
      <c r="P1370" t="inlineStr">
        <is>
          <t>High</t>
        </is>
      </c>
      <c r="Q1370" t="inlineStr">
        <is>
          <t>Reported_Emissions</t>
        </is>
      </c>
      <c r="R1370" t="inlineStr">
        <is>
          <t>Valid</t>
        </is>
      </c>
      <c r="S1370" t="n">
        <v>2033</v>
      </c>
      <c r="T1370" t="inlineStr">
        <is>
          <t>Supplier Target Pathway</t>
        </is>
      </c>
      <c r="U1370" t="n">
        <v>22661.4098</v>
      </c>
      <c r="V1370" t="n">
        <v>13241.0617</v>
      </c>
      <c r="W1370" t="n">
        <v>14418.6053</v>
      </c>
      <c r="X1370" t="n">
        <v>14418.6053</v>
      </c>
      <c r="Y1370" t="n">
        <v>8242.8045</v>
      </c>
      <c r="Z1370" t="n">
        <v>0.00083292</v>
      </c>
      <c r="AA1370" t="n">
        <v>0.363737</v>
      </c>
      <c r="AB1370" t="n">
        <v>1177.5435</v>
      </c>
      <c r="AC1370" t="n">
        <v>588.7718</v>
      </c>
      <c r="AD1370" t="n">
        <v>-5311.5518</v>
      </c>
      <c r="AE1370" t="n">
        <v>150963.2305</v>
      </c>
      <c r="AF1370" t="n">
        <v>0.99</v>
      </c>
      <c r="AG1370" t="inlineStr">
        <is>
          <t>Medium</t>
        </is>
      </c>
      <c r="AH1370" t="inlineStr">
        <is>
          <t>On Track to Glide Path</t>
        </is>
      </c>
    </row>
    <row r="1371">
      <c r="A1371" t="inlineStr">
        <is>
          <t>SUP-0086</t>
        </is>
      </c>
      <c r="B1371" t="inlineStr">
        <is>
          <t>Metals Supplier 086</t>
        </is>
      </c>
      <c r="C1371" t="inlineStr">
        <is>
          <t>Metals</t>
        </is>
      </c>
      <c r="D1371" t="n">
        <v>2024</v>
      </c>
      <c r="E1371" t="n">
        <v>2019</v>
      </c>
      <c r="F1371" t="n">
        <v>2035</v>
      </c>
      <c r="G1371" t="inlineStr"/>
      <c r="H1371" t="n">
        <v>1494.6371</v>
      </c>
      <c r="I1371" t="n">
        <v>2747.089</v>
      </c>
      <c r="J1371" t="n">
        <v>11334.2244</v>
      </c>
      <c r="K1371" t="n">
        <v>17310943.41</v>
      </c>
      <c r="L1371" t="n">
        <v>66016811.64</v>
      </c>
      <c r="M1371" t="n">
        <v>15575.9505</v>
      </c>
      <c r="N1371" t="inlineStr">
        <is>
          <t>Scope 1 + Scope 2 + Scope 3</t>
        </is>
      </c>
      <c r="O1371" t="b">
        <v>1</v>
      </c>
      <c r="P1371" t="inlineStr">
        <is>
          <t>High</t>
        </is>
      </c>
      <c r="Q1371" t="inlineStr">
        <is>
          <t>Reported_Emissions</t>
        </is>
      </c>
      <c r="R1371" t="inlineStr">
        <is>
          <t>Valid</t>
        </is>
      </c>
      <c r="S1371" t="n">
        <v>2034</v>
      </c>
      <c r="T1371" t="inlineStr">
        <is>
          <t>Supplier Target Pathway</t>
        </is>
      </c>
      <c r="U1371" t="n">
        <v>22661.4098</v>
      </c>
      <c r="V1371" t="n">
        <v>13241.0617</v>
      </c>
      <c r="W1371" t="n">
        <v>13829.8335</v>
      </c>
      <c r="X1371" t="n">
        <v>13829.8335</v>
      </c>
      <c r="Y1371" t="n">
        <v>8831.576300000001</v>
      </c>
      <c r="Z1371" t="n">
        <v>0.00079891</v>
      </c>
      <c r="AA1371" t="n">
        <v>0.389719</v>
      </c>
      <c r="AB1371" t="n">
        <v>588.7718</v>
      </c>
      <c r="AC1371" t="n">
        <v>588.7718</v>
      </c>
      <c r="AD1371" t="n">
        <v>-19141.3853</v>
      </c>
      <c r="AE1371" t="n">
        <v>164793.064</v>
      </c>
      <c r="AF1371" t="n">
        <v>0.99</v>
      </c>
      <c r="AG1371" t="inlineStr">
        <is>
          <t>Medium</t>
        </is>
      </c>
      <c r="AH1371" t="inlineStr">
        <is>
          <t>On Track to Glide Path</t>
        </is>
      </c>
    </row>
    <row r="1372">
      <c r="A1372" t="inlineStr">
        <is>
          <t>SUP-0086</t>
        </is>
      </c>
      <c r="B1372" t="inlineStr">
        <is>
          <t>Metals Supplier 086</t>
        </is>
      </c>
      <c r="C1372" t="inlineStr">
        <is>
          <t>Metals</t>
        </is>
      </c>
      <c r="D1372" t="n">
        <v>2024</v>
      </c>
      <c r="E1372" t="n">
        <v>2019</v>
      </c>
      <c r="F1372" t="n">
        <v>2035</v>
      </c>
      <c r="G1372" t="inlineStr"/>
      <c r="H1372" t="n">
        <v>1494.6371</v>
      </c>
      <c r="I1372" t="n">
        <v>2747.089</v>
      </c>
      <c r="J1372" t="n">
        <v>11334.2244</v>
      </c>
      <c r="K1372" t="n">
        <v>17310943.41</v>
      </c>
      <c r="L1372" t="n">
        <v>66016811.64</v>
      </c>
      <c r="M1372" t="n">
        <v>15575.9505</v>
      </c>
      <c r="N1372" t="inlineStr">
        <is>
          <t>Scope 1 + Scope 2 + Scope 3</t>
        </is>
      </c>
      <c r="O1372" t="b">
        <v>1</v>
      </c>
      <c r="P1372" t="inlineStr">
        <is>
          <t>High</t>
        </is>
      </c>
      <c r="Q1372" t="inlineStr">
        <is>
          <t>Reported_Emissions</t>
        </is>
      </c>
      <c r="R1372" t="inlineStr">
        <is>
          <t>Valid</t>
        </is>
      </c>
      <c r="S1372" t="n">
        <v>2035</v>
      </c>
      <c r="T1372" t="inlineStr">
        <is>
          <t>Supplier Target Pathway</t>
        </is>
      </c>
      <c r="U1372" t="n">
        <v>22661.4098</v>
      </c>
      <c r="V1372" t="n">
        <v>13241.0617</v>
      </c>
      <c r="W1372" t="n">
        <v>13241.0617</v>
      </c>
      <c r="X1372" t="n">
        <v>13241.0617</v>
      </c>
      <c r="Y1372" t="n">
        <v>9420.348099999999</v>
      </c>
      <c r="Z1372" t="n">
        <v>0.0007649</v>
      </c>
      <c r="AA1372" t="n">
        <v>0.4157</v>
      </c>
      <c r="AB1372" t="n">
        <v>0</v>
      </c>
      <c r="AC1372" t="n">
        <v>588.7718</v>
      </c>
      <c r="AD1372" t="n">
        <v>-32382.447</v>
      </c>
      <c r="AE1372" t="n">
        <v>178034.1257</v>
      </c>
      <c r="AF1372" t="n">
        <v>0.99</v>
      </c>
      <c r="AG1372" t="inlineStr">
        <is>
          <t>Low</t>
        </is>
      </c>
      <c r="AH1372" t="inlineStr">
        <is>
          <t>On Track</t>
        </is>
      </c>
    </row>
    <row r="1373">
      <c r="A1373" t="inlineStr">
        <is>
          <t>SUP-0086</t>
        </is>
      </c>
      <c r="B1373" t="inlineStr">
        <is>
          <t>Metals Supplier 086</t>
        </is>
      </c>
      <c r="C1373" t="inlineStr">
        <is>
          <t>Metals</t>
        </is>
      </c>
      <c r="D1373" t="n">
        <v>2024</v>
      </c>
      <c r="E1373" t="n">
        <v>2019</v>
      </c>
      <c r="F1373" t="n">
        <v>2035</v>
      </c>
      <c r="G1373" t="inlineStr"/>
      <c r="H1373" t="n">
        <v>1494.6371</v>
      </c>
      <c r="I1373" t="n">
        <v>2747.089</v>
      </c>
      <c r="J1373" t="n">
        <v>11334.2244</v>
      </c>
      <c r="K1373" t="n">
        <v>17310943.41</v>
      </c>
      <c r="L1373" t="n">
        <v>66016811.64</v>
      </c>
      <c r="M1373" t="n">
        <v>15575.9505</v>
      </c>
      <c r="N1373" t="inlineStr">
        <is>
          <t>Scope 1 + Scope 2 + Scope 3</t>
        </is>
      </c>
      <c r="O1373" t="b">
        <v>1</v>
      </c>
      <c r="P1373" t="inlineStr">
        <is>
          <t>High</t>
        </is>
      </c>
      <c r="Q1373" t="inlineStr">
        <is>
          <t>Reported_Emissions</t>
        </is>
      </c>
      <c r="R1373" t="inlineStr">
        <is>
          <t>Valid</t>
        </is>
      </c>
      <c r="S1373" t="n">
        <v>2036</v>
      </c>
      <c r="T1373" t="inlineStr">
        <is>
          <t>Supplier Target Pathway</t>
        </is>
      </c>
      <c r="U1373" t="n">
        <v>22661.4098</v>
      </c>
      <c r="V1373" t="n">
        <v>13241.0617</v>
      </c>
      <c r="W1373" t="n">
        <v>13241.0617</v>
      </c>
      <c r="X1373" t="n">
        <v>13241.0617</v>
      </c>
      <c r="Y1373" t="n">
        <v>9420.348099999999</v>
      </c>
      <c r="Z1373" t="n">
        <v>0.0007649</v>
      </c>
      <c r="AA1373" t="n">
        <v>0.4157</v>
      </c>
      <c r="AB1373" t="n">
        <v>0</v>
      </c>
      <c r="AC1373" t="n">
        <v>588.7718</v>
      </c>
      <c r="AD1373" t="n">
        <v>-45623.5087</v>
      </c>
      <c r="AE1373" t="n">
        <v>191275.1874</v>
      </c>
      <c r="AF1373" t="n">
        <v>0.99</v>
      </c>
      <c r="AG1373" t="inlineStr">
        <is>
          <t>Low</t>
        </is>
      </c>
      <c r="AH1373" t="inlineStr">
        <is>
          <t>On Track</t>
        </is>
      </c>
    </row>
    <row r="1374">
      <c r="A1374" t="inlineStr">
        <is>
          <t>SUP-0086</t>
        </is>
      </c>
      <c r="B1374" t="inlineStr">
        <is>
          <t>Metals Supplier 086</t>
        </is>
      </c>
      <c r="C1374" t="inlineStr">
        <is>
          <t>Metals</t>
        </is>
      </c>
      <c r="D1374" t="n">
        <v>2024</v>
      </c>
      <c r="E1374" t="n">
        <v>2019</v>
      </c>
      <c r="F1374" t="n">
        <v>2035</v>
      </c>
      <c r="G1374" t="inlineStr"/>
      <c r="H1374" t="n">
        <v>1494.6371</v>
      </c>
      <c r="I1374" t="n">
        <v>2747.089</v>
      </c>
      <c r="J1374" t="n">
        <v>11334.2244</v>
      </c>
      <c r="K1374" t="n">
        <v>17310943.41</v>
      </c>
      <c r="L1374" t="n">
        <v>66016811.64</v>
      </c>
      <c r="M1374" t="n">
        <v>15575.9505</v>
      </c>
      <c r="N1374" t="inlineStr">
        <is>
          <t>Scope 1 + Scope 2 + Scope 3</t>
        </is>
      </c>
      <c r="O1374" t="b">
        <v>1</v>
      </c>
      <c r="P1374" t="inlineStr">
        <is>
          <t>High</t>
        </is>
      </c>
      <c r="Q1374" t="inlineStr">
        <is>
          <t>Reported_Emissions</t>
        </is>
      </c>
      <c r="R1374" t="inlineStr">
        <is>
          <t>Valid</t>
        </is>
      </c>
      <c r="S1374" t="n">
        <v>2037</v>
      </c>
      <c r="T1374" t="inlineStr">
        <is>
          <t>Supplier Target Pathway</t>
        </is>
      </c>
      <c r="U1374" t="n">
        <v>22661.4098</v>
      </c>
      <c r="V1374" t="n">
        <v>13241.0617</v>
      </c>
      <c r="W1374" t="n">
        <v>13241.0617</v>
      </c>
      <c r="X1374" t="n">
        <v>13241.0617</v>
      </c>
      <c r="Y1374" t="n">
        <v>9420.348099999999</v>
      </c>
      <c r="Z1374" t="n">
        <v>0.0007649</v>
      </c>
      <c r="AA1374" t="n">
        <v>0.4157</v>
      </c>
      <c r="AB1374" t="n">
        <v>0</v>
      </c>
      <c r="AC1374" t="n">
        <v>588.7718</v>
      </c>
      <c r="AD1374" t="n">
        <v>-58864.5704</v>
      </c>
      <c r="AE1374" t="n">
        <v>204516.2491</v>
      </c>
      <c r="AF1374" t="n">
        <v>0.99</v>
      </c>
      <c r="AG1374" t="inlineStr">
        <is>
          <t>Low</t>
        </is>
      </c>
      <c r="AH1374" t="inlineStr">
        <is>
          <t>On Track</t>
        </is>
      </c>
    </row>
    <row r="1375">
      <c r="A1375" t="inlineStr">
        <is>
          <t>SUP-0086</t>
        </is>
      </c>
      <c r="B1375" t="inlineStr">
        <is>
          <t>Metals Supplier 086</t>
        </is>
      </c>
      <c r="C1375" t="inlineStr">
        <is>
          <t>Metals</t>
        </is>
      </c>
      <c r="D1375" t="n">
        <v>2024</v>
      </c>
      <c r="E1375" t="n">
        <v>2019</v>
      </c>
      <c r="F1375" t="n">
        <v>2035</v>
      </c>
      <c r="G1375" t="inlineStr"/>
      <c r="H1375" t="n">
        <v>1494.6371</v>
      </c>
      <c r="I1375" t="n">
        <v>2747.089</v>
      </c>
      <c r="J1375" t="n">
        <v>11334.2244</v>
      </c>
      <c r="K1375" t="n">
        <v>17310943.41</v>
      </c>
      <c r="L1375" t="n">
        <v>66016811.64</v>
      </c>
      <c r="M1375" t="n">
        <v>15575.9505</v>
      </c>
      <c r="N1375" t="inlineStr">
        <is>
          <t>Scope 1 + Scope 2 + Scope 3</t>
        </is>
      </c>
      <c r="O1375" t="b">
        <v>1</v>
      </c>
      <c r="P1375" t="inlineStr">
        <is>
          <t>High</t>
        </is>
      </c>
      <c r="Q1375" t="inlineStr">
        <is>
          <t>Reported_Emissions</t>
        </is>
      </c>
      <c r="R1375" t="inlineStr">
        <is>
          <t>Valid</t>
        </is>
      </c>
      <c r="S1375" t="n">
        <v>2038</v>
      </c>
      <c r="T1375" t="inlineStr">
        <is>
          <t>Supplier Target Pathway</t>
        </is>
      </c>
      <c r="U1375" t="n">
        <v>22661.4098</v>
      </c>
      <c r="V1375" t="n">
        <v>13241.0617</v>
      </c>
      <c r="W1375" t="n">
        <v>13241.0617</v>
      </c>
      <c r="X1375" t="n">
        <v>13241.0617</v>
      </c>
      <c r="Y1375" t="n">
        <v>9420.348099999999</v>
      </c>
      <c r="Z1375" t="n">
        <v>0.0007649</v>
      </c>
      <c r="AA1375" t="n">
        <v>0.4157</v>
      </c>
      <c r="AB1375" t="n">
        <v>0</v>
      </c>
      <c r="AC1375" t="n">
        <v>588.7718</v>
      </c>
      <c r="AD1375" t="n">
        <v>-72105.6321</v>
      </c>
      <c r="AE1375" t="n">
        <v>217757.3108</v>
      </c>
      <c r="AF1375" t="n">
        <v>0.99</v>
      </c>
      <c r="AG1375" t="inlineStr">
        <is>
          <t>Low</t>
        </is>
      </c>
      <c r="AH1375" t="inlineStr">
        <is>
          <t>On Track</t>
        </is>
      </c>
    </row>
    <row r="1376">
      <c r="A1376" t="inlineStr">
        <is>
          <t>SUP-0086</t>
        </is>
      </c>
      <c r="B1376" t="inlineStr">
        <is>
          <t>Metals Supplier 086</t>
        </is>
      </c>
      <c r="C1376" t="inlineStr">
        <is>
          <t>Metals</t>
        </is>
      </c>
      <c r="D1376" t="n">
        <v>2024</v>
      </c>
      <c r="E1376" t="n">
        <v>2019</v>
      </c>
      <c r="F1376" t="n">
        <v>2035</v>
      </c>
      <c r="G1376" t="inlineStr"/>
      <c r="H1376" t="n">
        <v>1494.6371</v>
      </c>
      <c r="I1376" t="n">
        <v>2747.089</v>
      </c>
      <c r="J1376" t="n">
        <v>11334.2244</v>
      </c>
      <c r="K1376" t="n">
        <v>17310943.41</v>
      </c>
      <c r="L1376" t="n">
        <v>66016811.64</v>
      </c>
      <c r="M1376" t="n">
        <v>15575.9505</v>
      </c>
      <c r="N1376" t="inlineStr">
        <is>
          <t>Scope 1 + Scope 2 + Scope 3</t>
        </is>
      </c>
      <c r="O1376" t="b">
        <v>1</v>
      </c>
      <c r="P1376" t="inlineStr">
        <is>
          <t>High</t>
        </is>
      </c>
      <c r="Q1376" t="inlineStr">
        <is>
          <t>Reported_Emissions</t>
        </is>
      </c>
      <c r="R1376" t="inlineStr">
        <is>
          <t>Valid</t>
        </is>
      </c>
      <c r="S1376" t="n">
        <v>2039</v>
      </c>
      <c r="T1376" t="inlineStr">
        <is>
          <t>Supplier Target Pathway</t>
        </is>
      </c>
      <c r="U1376" t="n">
        <v>22661.4098</v>
      </c>
      <c r="V1376" t="n">
        <v>13241.0617</v>
      </c>
      <c r="W1376" t="n">
        <v>13241.0617</v>
      </c>
      <c r="X1376" t="n">
        <v>13241.0617</v>
      </c>
      <c r="Y1376" t="n">
        <v>9420.348099999999</v>
      </c>
      <c r="Z1376" t="n">
        <v>0.0007649</v>
      </c>
      <c r="AA1376" t="n">
        <v>0.4157</v>
      </c>
      <c r="AB1376" t="n">
        <v>0</v>
      </c>
      <c r="AC1376" t="n">
        <v>588.7718</v>
      </c>
      <c r="AD1376" t="n">
        <v>-85346.69379999999</v>
      </c>
      <c r="AE1376" t="n">
        <v>230998.3725</v>
      </c>
      <c r="AF1376" t="n">
        <v>0.99</v>
      </c>
      <c r="AG1376" t="inlineStr">
        <is>
          <t>Low</t>
        </is>
      </c>
      <c r="AH1376" t="inlineStr">
        <is>
          <t>On Track</t>
        </is>
      </c>
    </row>
    <row r="1377">
      <c r="A1377" t="inlineStr">
        <is>
          <t>SUP-0086</t>
        </is>
      </c>
      <c r="B1377" t="inlineStr">
        <is>
          <t>Metals Supplier 086</t>
        </is>
      </c>
      <c r="C1377" t="inlineStr">
        <is>
          <t>Metals</t>
        </is>
      </c>
      <c r="D1377" t="n">
        <v>2024</v>
      </c>
      <c r="E1377" t="n">
        <v>2019</v>
      </c>
      <c r="F1377" t="n">
        <v>2035</v>
      </c>
      <c r="G1377" t="inlineStr"/>
      <c r="H1377" t="n">
        <v>1494.6371</v>
      </c>
      <c r="I1377" t="n">
        <v>2747.089</v>
      </c>
      <c r="J1377" t="n">
        <v>11334.2244</v>
      </c>
      <c r="K1377" t="n">
        <v>17310943.41</v>
      </c>
      <c r="L1377" t="n">
        <v>66016811.64</v>
      </c>
      <c r="M1377" t="n">
        <v>15575.9505</v>
      </c>
      <c r="N1377" t="inlineStr">
        <is>
          <t>Scope 1 + Scope 2 + Scope 3</t>
        </is>
      </c>
      <c r="O1377" t="b">
        <v>1</v>
      </c>
      <c r="P1377" t="inlineStr">
        <is>
          <t>High</t>
        </is>
      </c>
      <c r="Q1377" t="inlineStr">
        <is>
          <t>Reported_Emissions</t>
        </is>
      </c>
      <c r="R1377" t="inlineStr">
        <is>
          <t>Valid</t>
        </is>
      </c>
      <c r="S1377" t="n">
        <v>2040</v>
      </c>
      <c r="T1377" t="inlineStr">
        <is>
          <t>Supplier Target Pathway</t>
        </is>
      </c>
      <c r="U1377" t="n">
        <v>22661.4098</v>
      </c>
      <c r="V1377" t="n">
        <v>13241.0617</v>
      </c>
      <c r="W1377" t="n">
        <v>13241.0617</v>
      </c>
      <c r="X1377" t="n">
        <v>13241.0617</v>
      </c>
      <c r="Y1377" t="n">
        <v>9420.348099999999</v>
      </c>
      <c r="Z1377" t="n">
        <v>0.0007649</v>
      </c>
      <c r="AA1377" t="n">
        <v>0.4157</v>
      </c>
      <c r="AB1377" t="n">
        <v>0</v>
      </c>
      <c r="AC1377" t="n">
        <v>588.7718</v>
      </c>
      <c r="AD1377" t="n">
        <v>-98587.7555</v>
      </c>
      <c r="AE1377" t="n">
        <v>244239.4342</v>
      </c>
      <c r="AF1377" t="n">
        <v>0.99</v>
      </c>
      <c r="AG1377" t="inlineStr">
        <is>
          <t>Low</t>
        </is>
      </c>
      <c r="AH1377" t="inlineStr">
        <is>
          <t>On Track</t>
        </is>
      </c>
    </row>
    <row r="1378">
      <c r="A1378" t="inlineStr">
        <is>
          <t>SUP-0087</t>
        </is>
      </c>
      <c r="B1378" t="inlineStr">
        <is>
          <t>Agriculture Supplier 087</t>
        </is>
      </c>
      <c r="C1378" t="inlineStr">
        <is>
          <t>Agriculture</t>
        </is>
      </c>
      <c r="D1378" t="n">
        <v>2024</v>
      </c>
      <c r="E1378" t="n">
        <v>2020</v>
      </c>
      <c r="F1378" t="n">
        <v>2035</v>
      </c>
      <c r="G1378" t="n">
        <v>28286.5821</v>
      </c>
      <c r="H1378" t="inlineStr"/>
      <c r="I1378" t="n">
        <v>3339.6118</v>
      </c>
      <c r="J1378" t="n">
        <v>20351.0716</v>
      </c>
      <c r="K1378" t="n">
        <v>43755411.18</v>
      </c>
      <c r="L1378" t="n">
        <v>143262500.87</v>
      </c>
      <c r="M1378" t="n">
        <v>28286.5821</v>
      </c>
      <c r="N1378" t="inlineStr">
        <is>
          <t>Supplier Reported Emissions</t>
        </is>
      </c>
      <c r="O1378" t="b">
        <v>0</v>
      </c>
      <c r="P1378" t="inlineStr">
        <is>
          <t>High</t>
        </is>
      </c>
      <c r="Q1378" t="inlineStr">
        <is>
          <t>Scope_Emissions</t>
        </is>
      </c>
      <c r="R1378" t="inlineStr">
        <is>
          <t>Valid</t>
        </is>
      </c>
      <c r="S1378" t="n">
        <v>2025</v>
      </c>
      <c r="T1378" t="inlineStr">
        <is>
          <t>Supplier Target Pathway</t>
        </is>
      </c>
      <c r="U1378" t="n">
        <v>17196.2434</v>
      </c>
      <c r="V1378" t="n">
        <v>12229.9683</v>
      </c>
      <c r="W1378" t="n">
        <v>15540.8184</v>
      </c>
      <c r="X1378" t="n">
        <v>15540.8184</v>
      </c>
      <c r="Y1378" t="n">
        <v>1655.425</v>
      </c>
      <c r="Z1378" t="n">
        <v>0.00035517</v>
      </c>
      <c r="AA1378" t="n">
        <v>0.09626700000000001</v>
      </c>
      <c r="AB1378" t="n">
        <v>3310.8501</v>
      </c>
      <c r="AC1378" t="n">
        <v>331.085</v>
      </c>
      <c r="AD1378" t="n">
        <v>118988.8329</v>
      </c>
      <c r="AE1378" t="n">
        <v>15540.8184</v>
      </c>
      <c r="AF1378" t="n">
        <v>0.99</v>
      </c>
      <c r="AG1378" t="inlineStr">
        <is>
          <t>High</t>
        </is>
      </c>
      <c r="AH1378" t="inlineStr">
        <is>
          <t>On Track to Glide Path</t>
        </is>
      </c>
    </row>
    <row r="1379">
      <c r="A1379" t="inlineStr">
        <is>
          <t>SUP-0087</t>
        </is>
      </c>
      <c r="B1379" t="inlineStr">
        <is>
          <t>Agriculture Supplier 087</t>
        </is>
      </c>
      <c r="C1379" t="inlineStr">
        <is>
          <t>Agriculture</t>
        </is>
      </c>
      <c r="D1379" t="n">
        <v>2024</v>
      </c>
      <c r="E1379" t="n">
        <v>2020</v>
      </c>
      <c r="F1379" t="n">
        <v>2035</v>
      </c>
      <c r="G1379" t="n">
        <v>28286.5821</v>
      </c>
      <c r="H1379" t="inlineStr"/>
      <c r="I1379" t="n">
        <v>3339.6118</v>
      </c>
      <c r="J1379" t="n">
        <v>20351.0716</v>
      </c>
      <c r="K1379" t="n">
        <v>43755411.18</v>
      </c>
      <c r="L1379" t="n">
        <v>143262500.87</v>
      </c>
      <c r="M1379" t="n">
        <v>28286.5821</v>
      </c>
      <c r="N1379" t="inlineStr">
        <is>
          <t>Supplier Reported Emissions</t>
        </is>
      </c>
      <c r="O1379" t="b">
        <v>0</v>
      </c>
      <c r="P1379" t="inlineStr">
        <is>
          <t>High</t>
        </is>
      </c>
      <c r="Q1379" t="inlineStr">
        <is>
          <t>Scope_Emissions</t>
        </is>
      </c>
      <c r="R1379" t="inlineStr">
        <is>
          <t>Valid</t>
        </is>
      </c>
      <c r="S1379" t="n">
        <v>2026</v>
      </c>
      <c r="T1379" t="inlineStr">
        <is>
          <t>Supplier Target Pathway</t>
        </is>
      </c>
      <c r="U1379" t="n">
        <v>17196.2434</v>
      </c>
      <c r="V1379" t="n">
        <v>12229.9683</v>
      </c>
      <c r="W1379" t="n">
        <v>15209.7334</v>
      </c>
      <c r="X1379" t="n">
        <v>15209.7334</v>
      </c>
      <c r="Y1379" t="n">
        <v>1986.51</v>
      </c>
      <c r="Z1379" t="n">
        <v>0.00034761</v>
      </c>
      <c r="AA1379" t="n">
        <v>0.11552</v>
      </c>
      <c r="AB1379" t="n">
        <v>2979.7651</v>
      </c>
      <c r="AC1379" t="n">
        <v>331.085</v>
      </c>
      <c r="AD1379" t="n">
        <v>103779.0995</v>
      </c>
      <c r="AE1379" t="n">
        <v>30750.5518</v>
      </c>
      <c r="AF1379" t="n">
        <v>0.99</v>
      </c>
      <c r="AG1379" t="inlineStr">
        <is>
          <t>High</t>
        </is>
      </c>
      <c r="AH1379" t="inlineStr">
        <is>
          <t>On Track to Glide Path</t>
        </is>
      </c>
    </row>
    <row r="1380">
      <c r="A1380" t="inlineStr">
        <is>
          <t>SUP-0087</t>
        </is>
      </c>
      <c r="B1380" t="inlineStr">
        <is>
          <t>Agriculture Supplier 087</t>
        </is>
      </c>
      <c r="C1380" t="inlineStr">
        <is>
          <t>Agriculture</t>
        </is>
      </c>
      <c r="D1380" t="n">
        <v>2024</v>
      </c>
      <c r="E1380" t="n">
        <v>2020</v>
      </c>
      <c r="F1380" t="n">
        <v>2035</v>
      </c>
      <c r="G1380" t="n">
        <v>28286.5821</v>
      </c>
      <c r="H1380" t="inlineStr"/>
      <c r="I1380" t="n">
        <v>3339.6118</v>
      </c>
      <c r="J1380" t="n">
        <v>20351.0716</v>
      </c>
      <c r="K1380" t="n">
        <v>43755411.18</v>
      </c>
      <c r="L1380" t="n">
        <v>143262500.87</v>
      </c>
      <c r="M1380" t="n">
        <v>28286.5821</v>
      </c>
      <c r="N1380" t="inlineStr">
        <is>
          <t>Supplier Reported Emissions</t>
        </is>
      </c>
      <c r="O1380" t="b">
        <v>0</v>
      </c>
      <c r="P1380" t="inlineStr">
        <is>
          <t>High</t>
        </is>
      </c>
      <c r="Q1380" t="inlineStr">
        <is>
          <t>Scope_Emissions</t>
        </is>
      </c>
      <c r="R1380" t="inlineStr">
        <is>
          <t>Valid</t>
        </is>
      </c>
      <c r="S1380" t="n">
        <v>2027</v>
      </c>
      <c r="T1380" t="inlineStr">
        <is>
          <t>Supplier Target Pathway</t>
        </is>
      </c>
      <c r="U1380" t="n">
        <v>17196.2434</v>
      </c>
      <c r="V1380" t="n">
        <v>12229.9683</v>
      </c>
      <c r="W1380" t="n">
        <v>14878.6484</v>
      </c>
      <c r="X1380" t="n">
        <v>14878.6484</v>
      </c>
      <c r="Y1380" t="n">
        <v>2317.595</v>
      </c>
      <c r="Z1380" t="n">
        <v>0.00034004</v>
      </c>
      <c r="AA1380" t="n">
        <v>0.134773</v>
      </c>
      <c r="AB1380" t="n">
        <v>2648.6801</v>
      </c>
      <c r="AC1380" t="n">
        <v>331.085</v>
      </c>
      <c r="AD1380" t="n">
        <v>88900.45110000001</v>
      </c>
      <c r="AE1380" t="n">
        <v>45629.2002</v>
      </c>
      <c r="AF1380" t="n">
        <v>0.99</v>
      </c>
      <c r="AG1380" t="inlineStr">
        <is>
          <t>High</t>
        </is>
      </c>
      <c r="AH1380" t="inlineStr">
        <is>
          <t>On Track to Glide Path</t>
        </is>
      </c>
    </row>
    <row r="1381">
      <c r="A1381" t="inlineStr">
        <is>
          <t>SUP-0087</t>
        </is>
      </c>
      <c r="B1381" t="inlineStr">
        <is>
          <t>Agriculture Supplier 087</t>
        </is>
      </c>
      <c r="C1381" t="inlineStr">
        <is>
          <t>Agriculture</t>
        </is>
      </c>
      <c r="D1381" t="n">
        <v>2024</v>
      </c>
      <c r="E1381" t="n">
        <v>2020</v>
      </c>
      <c r="F1381" t="n">
        <v>2035</v>
      </c>
      <c r="G1381" t="n">
        <v>28286.5821</v>
      </c>
      <c r="H1381" t="inlineStr"/>
      <c r="I1381" t="n">
        <v>3339.6118</v>
      </c>
      <c r="J1381" t="n">
        <v>20351.0716</v>
      </c>
      <c r="K1381" t="n">
        <v>43755411.18</v>
      </c>
      <c r="L1381" t="n">
        <v>143262500.87</v>
      </c>
      <c r="M1381" t="n">
        <v>28286.5821</v>
      </c>
      <c r="N1381" t="inlineStr">
        <is>
          <t>Supplier Reported Emissions</t>
        </is>
      </c>
      <c r="O1381" t="b">
        <v>0</v>
      </c>
      <c r="P1381" t="inlineStr">
        <is>
          <t>High</t>
        </is>
      </c>
      <c r="Q1381" t="inlineStr">
        <is>
          <t>Scope_Emissions</t>
        </is>
      </c>
      <c r="R1381" t="inlineStr">
        <is>
          <t>Valid</t>
        </is>
      </c>
      <c r="S1381" t="n">
        <v>2028</v>
      </c>
      <c r="T1381" t="inlineStr">
        <is>
          <t>Supplier Target Pathway</t>
        </is>
      </c>
      <c r="U1381" t="n">
        <v>17196.2434</v>
      </c>
      <c r="V1381" t="n">
        <v>12229.9683</v>
      </c>
      <c r="W1381" t="n">
        <v>14547.5633</v>
      </c>
      <c r="X1381" t="n">
        <v>14547.5633</v>
      </c>
      <c r="Y1381" t="n">
        <v>2648.6801</v>
      </c>
      <c r="Z1381" t="n">
        <v>0.00033247</v>
      </c>
      <c r="AA1381" t="n">
        <v>0.154027</v>
      </c>
      <c r="AB1381" t="n">
        <v>2317.595</v>
      </c>
      <c r="AC1381" t="n">
        <v>331.085</v>
      </c>
      <c r="AD1381" t="n">
        <v>74352.8878</v>
      </c>
      <c r="AE1381" t="n">
        <v>60176.7635</v>
      </c>
      <c r="AF1381" t="n">
        <v>0.99</v>
      </c>
      <c r="AG1381" t="inlineStr">
        <is>
          <t>High</t>
        </is>
      </c>
      <c r="AH1381" t="inlineStr">
        <is>
          <t>On Track to Glide Path</t>
        </is>
      </c>
    </row>
    <row r="1382">
      <c r="A1382" t="inlineStr">
        <is>
          <t>SUP-0087</t>
        </is>
      </c>
      <c r="B1382" t="inlineStr">
        <is>
          <t>Agriculture Supplier 087</t>
        </is>
      </c>
      <c r="C1382" t="inlineStr">
        <is>
          <t>Agriculture</t>
        </is>
      </c>
      <c r="D1382" t="n">
        <v>2024</v>
      </c>
      <c r="E1382" t="n">
        <v>2020</v>
      </c>
      <c r="F1382" t="n">
        <v>2035</v>
      </c>
      <c r="G1382" t="n">
        <v>28286.5821</v>
      </c>
      <c r="H1382" t="inlineStr"/>
      <c r="I1382" t="n">
        <v>3339.6118</v>
      </c>
      <c r="J1382" t="n">
        <v>20351.0716</v>
      </c>
      <c r="K1382" t="n">
        <v>43755411.18</v>
      </c>
      <c r="L1382" t="n">
        <v>143262500.87</v>
      </c>
      <c r="M1382" t="n">
        <v>28286.5821</v>
      </c>
      <c r="N1382" t="inlineStr">
        <is>
          <t>Supplier Reported Emissions</t>
        </is>
      </c>
      <c r="O1382" t="b">
        <v>0</v>
      </c>
      <c r="P1382" t="inlineStr">
        <is>
          <t>High</t>
        </is>
      </c>
      <c r="Q1382" t="inlineStr">
        <is>
          <t>Scope_Emissions</t>
        </is>
      </c>
      <c r="R1382" t="inlineStr">
        <is>
          <t>Valid</t>
        </is>
      </c>
      <c r="S1382" t="n">
        <v>2029</v>
      </c>
      <c r="T1382" t="inlineStr">
        <is>
          <t>Supplier Target Pathway</t>
        </is>
      </c>
      <c r="U1382" t="n">
        <v>17196.2434</v>
      </c>
      <c r="V1382" t="n">
        <v>12229.9683</v>
      </c>
      <c r="W1382" t="n">
        <v>14216.4783</v>
      </c>
      <c r="X1382" t="n">
        <v>14216.4783</v>
      </c>
      <c r="Y1382" t="n">
        <v>2979.7651</v>
      </c>
      <c r="Z1382" t="n">
        <v>0.00032491</v>
      </c>
      <c r="AA1382" t="n">
        <v>0.17328</v>
      </c>
      <c r="AB1382" t="n">
        <v>1986.51</v>
      </c>
      <c r="AC1382" t="n">
        <v>331.085</v>
      </c>
      <c r="AD1382" t="n">
        <v>60136.4095</v>
      </c>
      <c r="AE1382" t="n">
        <v>74393.2418</v>
      </c>
      <c r="AF1382" t="n">
        <v>0.99</v>
      </c>
      <c r="AG1382" t="inlineStr">
        <is>
          <t>High</t>
        </is>
      </c>
      <c r="AH1382" t="inlineStr">
        <is>
          <t>On Track to Glide Path</t>
        </is>
      </c>
    </row>
    <row r="1383">
      <c r="A1383" t="inlineStr">
        <is>
          <t>SUP-0087</t>
        </is>
      </c>
      <c r="B1383" t="inlineStr">
        <is>
          <t>Agriculture Supplier 087</t>
        </is>
      </c>
      <c r="C1383" t="inlineStr">
        <is>
          <t>Agriculture</t>
        </is>
      </c>
      <c r="D1383" t="n">
        <v>2024</v>
      </c>
      <c r="E1383" t="n">
        <v>2020</v>
      </c>
      <c r="F1383" t="n">
        <v>2035</v>
      </c>
      <c r="G1383" t="n">
        <v>28286.5821</v>
      </c>
      <c r="H1383" t="inlineStr"/>
      <c r="I1383" t="n">
        <v>3339.6118</v>
      </c>
      <c r="J1383" t="n">
        <v>20351.0716</v>
      </c>
      <c r="K1383" t="n">
        <v>43755411.18</v>
      </c>
      <c r="L1383" t="n">
        <v>143262500.87</v>
      </c>
      <c r="M1383" t="n">
        <v>28286.5821</v>
      </c>
      <c r="N1383" t="inlineStr">
        <is>
          <t>Supplier Reported Emissions</t>
        </is>
      </c>
      <c r="O1383" t="b">
        <v>0</v>
      </c>
      <c r="P1383" t="inlineStr">
        <is>
          <t>High</t>
        </is>
      </c>
      <c r="Q1383" t="inlineStr">
        <is>
          <t>Scope_Emissions</t>
        </is>
      </c>
      <c r="R1383" t="inlineStr">
        <is>
          <t>Valid</t>
        </is>
      </c>
      <c r="S1383" t="n">
        <v>2030</v>
      </c>
      <c r="T1383" t="inlineStr">
        <is>
          <t>Supplier Target Pathway</t>
        </is>
      </c>
      <c r="U1383" t="n">
        <v>17196.2434</v>
      </c>
      <c r="V1383" t="n">
        <v>12229.9683</v>
      </c>
      <c r="W1383" t="n">
        <v>13885.3933</v>
      </c>
      <c r="X1383" t="n">
        <v>13885.3933</v>
      </c>
      <c r="Y1383" t="n">
        <v>3310.8501</v>
      </c>
      <c r="Z1383" t="n">
        <v>0.00031734</v>
      </c>
      <c r="AA1383" t="n">
        <v>0.192533</v>
      </c>
      <c r="AB1383" t="n">
        <v>1655.425</v>
      </c>
      <c r="AC1383" t="n">
        <v>331.085</v>
      </c>
      <c r="AD1383" t="n">
        <v>46251.0162</v>
      </c>
      <c r="AE1383" t="n">
        <v>88278.6351</v>
      </c>
      <c r="AF1383" t="n">
        <v>0.99</v>
      </c>
      <c r="AG1383" t="inlineStr">
        <is>
          <t>Medium</t>
        </is>
      </c>
      <c r="AH1383" t="inlineStr">
        <is>
          <t>On Track to Glide Path</t>
        </is>
      </c>
    </row>
    <row r="1384">
      <c r="A1384" t="inlineStr">
        <is>
          <t>SUP-0087</t>
        </is>
      </c>
      <c r="B1384" t="inlineStr">
        <is>
          <t>Agriculture Supplier 087</t>
        </is>
      </c>
      <c r="C1384" t="inlineStr">
        <is>
          <t>Agriculture</t>
        </is>
      </c>
      <c r="D1384" t="n">
        <v>2024</v>
      </c>
      <c r="E1384" t="n">
        <v>2020</v>
      </c>
      <c r="F1384" t="n">
        <v>2035</v>
      </c>
      <c r="G1384" t="n">
        <v>28286.5821</v>
      </c>
      <c r="H1384" t="inlineStr"/>
      <c r="I1384" t="n">
        <v>3339.6118</v>
      </c>
      <c r="J1384" t="n">
        <v>20351.0716</v>
      </c>
      <c r="K1384" t="n">
        <v>43755411.18</v>
      </c>
      <c r="L1384" t="n">
        <v>143262500.87</v>
      </c>
      <c r="M1384" t="n">
        <v>28286.5821</v>
      </c>
      <c r="N1384" t="inlineStr">
        <is>
          <t>Supplier Reported Emissions</t>
        </is>
      </c>
      <c r="O1384" t="b">
        <v>0</v>
      </c>
      <c r="P1384" t="inlineStr">
        <is>
          <t>High</t>
        </is>
      </c>
      <c r="Q1384" t="inlineStr">
        <is>
          <t>Scope_Emissions</t>
        </is>
      </c>
      <c r="R1384" t="inlineStr">
        <is>
          <t>Valid</t>
        </is>
      </c>
      <c r="S1384" t="n">
        <v>2031</v>
      </c>
      <c r="T1384" t="inlineStr">
        <is>
          <t>Supplier Target Pathway</t>
        </is>
      </c>
      <c r="U1384" t="n">
        <v>17196.2434</v>
      </c>
      <c r="V1384" t="n">
        <v>12229.9683</v>
      </c>
      <c r="W1384" t="n">
        <v>13554.3083</v>
      </c>
      <c r="X1384" t="n">
        <v>13554.3083</v>
      </c>
      <c r="Y1384" t="n">
        <v>3641.9351</v>
      </c>
      <c r="Z1384" t="n">
        <v>0.00030977</v>
      </c>
      <c r="AA1384" t="n">
        <v>0.211787</v>
      </c>
      <c r="AB1384" t="n">
        <v>1324.34</v>
      </c>
      <c r="AC1384" t="n">
        <v>331.085</v>
      </c>
      <c r="AD1384" t="n">
        <v>32696.7079</v>
      </c>
      <c r="AE1384" t="n">
        <v>101832.9434</v>
      </c>
      <c r="AF1384" t="n">
        <v>0.99</v>
      </c>
      <c r="AG1384" t="inlineStr">
        <is>
          <t>Medium</t>
        </is>
      </c>
      <c r="AH1384" t="inlineStr">
        <is>
          <t>On Track to Glide Path</t>
        </is>
      </c>
    </row>
    <row r="1385">
      <c r="A1385" t="inlineStr">
        <is>
          <t>SUP-0087</t>
        </is>
      </c>
      <c r="B1385" t="inlineStr">
        <is>
          <t>Agriculture Supplier 087</t>
        </is>
      </c>
      <c r="C1385" t="inlineStr">
        <is>
          <t>Agriculture</t>
        </is>
      </c>
      <c r="D1385" t="n">
        <v>2024</v>
      </c>
      <c r="E1385" t="n">
        <v>2020</v>
      </c>
      <c r="F1385" t="n">
        <v>2035</v>
      </c>
      <c r="G1385" t="n">
        <v>28286.5821</v>
      </c>
      <c r="H1385" t="inlineStr"/>
      <c r="I1385" t="n">
        <v>3339.6118</v>
      </c>
      <c r="J1385" t="n">
        <v>20351.0716</v>
      </c>
      <c r="K1385" t="n">
        <v>43755411.18</v>
      </c>
      <c r="L1385" t="n">
        <v>143262500.87</v>
      </c>
      <c r="M1385" t="n">
        <v>28286.5821</v>
      </c>
      <c r="N1385" t="inlineStr">
        <is>
          <t>Supplier Reported Emissions</t>
        </is>
      </c>
      <c r="O1385" t="b">
        <v>0</v>
      </c>
      <c r="P1385" t="inlineStr">
        <is>
          <t>High</t>
        </is>
      </c>
      <c r="Q1385" t="inlineStr">
        <is>
          <t>Scope_Emissions</t>
        </is>
      </c>
      <c r="R1385" t="inlineStr">
        <is>
          <t>Valid</t>
        </is>
      </c>
      <c r="S1385" t="n">
        <v>2032</v>
      </c>
      <c r="T1385" t="inlineStr">
        <is>
          <t>Supplier Target Pathway</t>
        </is>
      </c>
      <c r="U1385" t="n">
        <v>17196.2434</v>
      </c>
      <c r="V1385" t="n">
        <v>12229.9683</v>
      </c>
      <c r="W1385" t="n">
        <v>13223.2233</v>
      </c>
      <c r="X1385" t="n">
        <v>13223.2233</v>
      </c>
      <c r="Y1385" t="n">
        <v>3973.0201</v>
      </c>
      <c r="Z1385" t="n">
        <v>0.00030221</v>
      </c>
      <c r="AA1385" t="n">
        <v>0.23104</v>
      </c>
      <c r="AB1385" t="n">
        <v>993.255</v>
      </c>
      <c r="AC1385" t="n">
        <v>331.085</v>
      </c>
      <c r="AD1385" t="n">
        <v>19473.4846</v>
      </c>
      <c r="AE1385" t="n">
        <v>115056.1667</v>
      </c>
      <c r="AF1385" t="n">
        <v>0.99</v>
      </c>
      <c r="AG1385" t="inlineStr">
        <is>
          <t>Medium</t>
        </is>
      </c>
      <c r="AH1385" t="inlineStr">
        <is>
          <t>On Track to Glide Path</t>
        </is>
      </c>
    </row>
    <row r="1386">
      <c r="A1386" t="inlineStr">
        <is>
          <t>SUP-0087</t>
        </is>
      </c>
      <c r="B1386" t="inlineStr">
        <is>
          <t>Agriculture Supplier 087</t>
        </is>
      </c>
      <c r="C1386" t="inlineStr">
        <is>
          <t>Agriculture</t>
        </is>
      </c>
      <c r="D1386" t="n">
        <v>2024</v>
      </c>
      <c r="E1386" t="n">
        <v>2020</v>
      </c>
      <c r="F1386" t="n">
        <v>2035</v>
      </c>
      <c r="G1386" t="n">
        <v>28286.5821</v>
      </c>
      <c r="H1386" t="inlineStr"/>
      <c r="I1386" t="n">
        <v>3339.6118</v>
      </c>
      <c r="J1386" t="n">
        <v>20351.0716</v>
      </c>
      <c r="K1386" t="n">
        <v>43755411.18</v>
      </c>
      <c r="L1386" t="n">
        <v>143262500.87</v>
      </c>
      <c r="M1386" t="n">
        <v>28286.5821</v>
      </c>
      <c r="N1386" t="inlineStr">
        <is>
          <t>Supplier Reported Emissions</t>
        </is>
      </c>
      <c r="O1386" t="b">
        <v>0</v>
      </c>
      <c r="P1386" t="inlineStr">
        <is>
          <t>High</t>
        </is>
      </c>
      <c r="Q1386" t="inlineStr">
        <is>
          <t>Scope_Emissions</t>
        </is>
      </c>
      <c r="R1386" t="inlineStr">
        <is>
          <t>Valid</t>
        </is>
      </c>
      <c r="S1386" t="n">
        <v>2033</v>
      </c>
      <c r="T1386" t="inlineStr">
        <is>
          <t>Supplier Target Pathway</t>
        </is>
      </c>
      <c r="U1386" t="n">
        <v>17196.2434</v>
      </c>
      <c r="V1386" t="n">
        <v>12229.9683</v>
      </c>
      <c r="W1386" t="n">
        <v>12892.1383</v>
      </c>
      <c r="X1386" t="n">
        <v>12892.1383</v>
      </c>
      <c r="Y1386" t="n">
        <v>4304.1051</v>
      </c>
      <c r="Z1386" t="n">
        <v>0.00029464</v>
      </c>
      <c r="AA1386" t="n">
        <v>0.250293</v>
      </c>
      <c r="AB1386" t="n">
        <v>662.17</v>
      </c>
      <c r="AC1386" t="n">
        <v>331.085</v>
      </c>
      <c r="AD1386" t="n">
        <v>6581.3463</v>
      </c>
      <c r="AE1386" t="n">
        <v>127948.305</v>
      </c>
      <c r="AF1386" t="n">
        <v>0.99</v>
      </c>
      <c r="AG1386" t="inlineStr">
        <is>
          <t>Medium</t>
        </is>
      </c>
      <c r="AH1386" t="inlineStr">
        <is>
          <t>On Track to Glide Path</t>
        </is>
      </c>
    </row>
    <row r="1387">
      <c r="A1387" t="inlineStr">
        <is>
          <t>SUP-0087</t>
        </is>
      </c>
      <c r="B1387" t="inlineStr">
        <is>
          <t>Agriculture Supplier 087</t>
        </is>
      </c>
      <c r="C1387" t="inlineStr">
        <is>
          <t>Agriculture</t>
        </is>
      </c>
      <c r="D1387" t="n">
        <v>2024</v>
      </c>
      <c r="E1387" t="n">
        <v>2020</v>
      </c>
      <c r="F1387" t="n">
        <v>2035</v>
      </c>
      <c r="G1387" t="n">
        <v>28286.5821</v>
      </c>
      <c r="H1387" t="inlineStr"/>
      <c r="I1387" t="n">
        <v>3339.6118</v>
      </c>
      <c r="J1387" t="n">
        <v>20351.0716</v>
      </c>
      <c r="K1387" t="n">
        <v>43755411.18</v>
      </c>
      <c r="L1387" t="n">
        <v>143262500.87</v>
      </c>
      <c r="M1387" t="n">
        <v>28286.5821</v>
      </c>
      <c r="N1387" t="inlineStr">
        <is>
          <t>Supplier Reported Emissions</t>
        </is>
      </c>
      <c r="O1387" t="b">
        <v>0</v>
      </c>
      <c r="P1387" t="inlineStr">
        <is>
          <t>High</t>
        </is>
      </c>
      <c r="Q1387" t="inlineStr">
        <is>
          <t>Scope_Emissions</t>
        </is>
      </c>
      <c r="R1387" t="inlineStr">
        <is>
          <t>Valid</t>
        </is>
      </c>
      <c r="S1387" t="n">
        <v>2034</v>
      </c>
      <c r="T1387" t="inlineStr">
        <is>
          <t>Supplier Target Pathway</t>
        </is>
      </c>
      <c r="U1387" t="n">
        <v>17196.2434</v>
      </c>
      <c r="V1387" t="n">
        <v>12229.9683</v>
      </c>
      <c r="W1387" t="n">
        <v>12561.0533</v>
      </c>
      <c r="X1387" t="n">
        <v>12561.0533</v>
      </c>
      <c r="Y1387" t="n">
        <v>4635.1901</v>
      </c>
      <c r="Z1387" t="n">
        <v>0.00028707</v>
      </c>
      <c r="AA1387" t="n">
        <v>0.269547</v>
      </c>
      <c r="AB1387" t="n">
        <v>331.085</v>
      </c>
      <c r="AC1387" t="n">
        <v>331.085</v>
      </c>
      <c r="AD1387" t="n">
        <v>-5979.707</v>
      </c>
      <c r="AE1387" t="n">
        <v>140509.3583</v>
      </c>
      <c r="AF1387" t="n">
        <v>0.99</v>
      </c>
      <c r="AG1387" t="inlineStr">
        <is>
          <t>Medium</t>
        </is>
      </c>
      <c r="AH1387" t="inlineStr">
        <is>
          <t>On Track to Glide Path</t>
        </is>
      </c>
    </row>
    <row r="1388">
      <c r="A1388" t="inlineStr">
        <is>
          <t>SUP-0087</t>
        </is>
      </c>
      <c r="B1388" t="inlineStr">
        <is>
          <t>Agriculture Supplier 087</t>
        </is>
      </c>
      <c r="C1388" t="inlineStr">
        <is>
          <t>Agriculture</t>
        </is>
      </c>
      <c r="D1388" t="n">
        <v>2024</v>
      </c>
      <c r="E1388" t="n">
        <v>2020</v>
      </c>
      <c r="F1388" t="n">
        <v>2035</v>
      </c>
      <c r="G1388" t="n">
        <v>28286.5821</v>
      </c>
      <c r="H1388" t="inlineStr"/>
      <c r="I1388" t="n">
        <v>3339.6118</v>
      </c>
      <c r="J1388" t="n">
        <v>20351.0716</v>
      </c>
      <c r="K1388" t="n">
        <v>43755411.18</v>
      </c>
      <c r="L1388" t="n">
        <v>143262500.87</v>
      </c>
      <c r="M1388" t="n">
        <v>28286.5821</v>
      </c>
      <c r="N1388" t="inlineStr">
        <is>
          <t>Supplier Reported Emissions</t>
        </is>
      </c>
      <c r="O1388" t="b">
        <v>0</v>
      </c>
      <c r="P1388" t="inlineStr">
        <is>
          <t>High</t>
        </is>
      </c>
      <c r="Q1388" t="inlineStr">
        <is>
          <t>Scope_Emissions</t>
        </is>
      </c>
      <c r="R1388" t="inlineStr">
        <is>
          <t>Valid</t>
        </is>
      </c>
      <c r="S1388" t="n">
        <v>2035</v>
      </c>
      <c r="T1388" t="inlineStr">
        <is>
          <t>Supplier Target Pathway</t>
        </is>
      </c>
      <c r="U1388" t="n">
        <v>17196.2434</v>
      </c>
      <c r="V1388" t="n">
        <v>12229.9683</v>
      </c>
      <c r="W1388" t="n">
        <v>12229.9683</v>
      </c>
      <c r="X1388" t="n">
        <v>12229.9683</v>
      </c>
      <c r="Y1388" t="n">
        <v>4966.2751</v>
      </c>
      <c r="Z1388" t="n">
        <v>0.00027951</v>
      </c>
      <c r="AA1388" t="n">
        <v>0.2888</v>
      </c>
      <c r="AB1388" t="n">
        <v>0</v>
      </c>
      <c r="AC1388" t="n">
        <v>331.085</v>
      </c>
      <c r="AD1388" t="n">
        <v>-18209.6753</v>
      </c>
      <c r="AE1388" t="n">
        <v>152739.3266</v>
      </c>
      <c r="AF1388" t="n">
        <v>0.99</v>
      </c>
      <c r="AG1388" t="inlineStr">
        <is>
          <t>Low</t>
        </is>
      </c>
      <c r="AH1388" t="inlineStr">
        <is>
          <t>On Track</t>
        </is>
      </c>
    </row>
    <row r="1389">
      <c r="A1389" t="inlineStr">
        <is>
          <t>SUP-0087</t>
        </is>
      </c>
      <c r="B1389" t="inlineStr">
        <is>
          <t>Agriculture Supplier 087</t>
        </is>
      </c>
      <c r="C1389" t="inlineStr">
        <is>
          <t>Agriculture</t>
        </is>
      </c>
      <c r="D1389" t="n">
        <v>2024</v>
      </c>
      <c r="E1389" t="n">
        <v>2020</v>
      </c>
      <c r="F1389" t="n">
        <v>2035</v>
      </c>
      <c r="G1389" t="n">
        <v>28286.5821</v>
      </c>
      <c r="H1389" t="inlineStr"/>
      <c r="I1389" t="n">
        <v>3339.6118</v>
      </c>
      <c r="J1389" t="n">
        <v>20351.0716</v>
      </c>
      <c r="K1389" t="n">
        <v>43755411.18</v>
      </c>
      <c r="L1389" t="n">
        <v>143262500.87</v>
      </c>
      <c r="M1389" t="n">
        <v>28286.5821</v>
      </c>
      <c r="N1389" t="inlineStr">
        <is>
          <t>Supplier Reported Emissions</t>
        </is>
      </c>
      <c r="O1389" t="b">
        <v>0</v>
      </c>
      <c r="P1389" t="inlineStr">
        <is>
          <t>High</t>
        </is>
      </c>
      <c r="Q1389" t="inlineStr">
        <is>
          <t>Scope_Emissions</t>
        </is>
      </c>
      <c r="R1389" t="inlineStr">
        <is>
          <t>Valid</t>
        </is>
      </c>
      <c r="S1389" t="n">
        <v>2036</v>
      </c>
      <c r="T1389" t="inlineStr">
        <is>
          <t>Supplier Target Pathway</t>
        </is>
      </c>
      <c r="U1389" t="n">
        <v>17196.2434</v>
      </c>
      <c r="V1389" t="n">
        <v>12229.9683</v>
      </c>
      <c r="W1389" t="n">
        <v>12229.9683</v>
      </c>
      <c r="X1389" t="n">
        <v>12229.9683</v>
      </c>
      <c r="Y1389" t="n">
        <v>4966.2751</v>
      </c>
      <c r="Z1389" t="n">
        <v>0.00027951</v>
      </c>
      <c r="AA1389" t="n">
        <v>0.2888</v>
      </c>
      <c r="AB1389" t="n">
        <v>0</v>
      </c>
      <c r="AC1389" t="n">
        <v>331.085</v>
      </c>
      <c r="AD1389" t="n">
        <v>-30439.6436</v>
      </c>
      <c r="AE1389" t="n">
        <v>164969.2949</v>
      </c>
      <c r="AF1389" t="n">
        <v>0.99</v>
      </c>
      <c r="AG1389" t="inlineStr">
        <is>
          <t>Low</t>
        </is>
      </c>
      <c r="AH1389" t="inlineStr">
        <is>
          <t>On Track</t>
        </is>
      </c>
    </row>
    <row r="1390">
      <c r="A1390" t="inlineStr">
        <is>
          <t>SUP-0087</t>
        </is>
      </c>
      <c r="B1390" t="inlineStr">
        <is>
          <t>Agriculture Supplier 087</t>
        </is>
      </c>
      <c r="C1390" t="inlineStr">
        <is>
          <t>Agriculture</t>
        </is>
      </c>
      <c r="D1390" t="n">
        <v>2024</v>
      </c>
      <c r="E1390" t="n">
        <v>2020</v>
      </c>
      <c r="F1390" t="n">
        <v>2035</v>
      </c>
      <c r="G1390" t="n">
        <v>28286.5821</v>
      </c>
      <c r="H1390" t="inlineStr"/>
      <c r="I1390" t="n">
        <v>3339.6118</v>
      </c>
      <c r="J1390" t="n">
        <v>20351.0716</v>
      </c>
      <c r="K1390" t="n">
        <v>43755411.18</v>
      </c>
      <c r="L1390" t="n">
        <v>143262500.87</v>
      </c>
      <c r="M1390" t="n">
        <v>28286.5821</v>
      </c>
      <c r="N1390" t="inlineStr">
        <is>
          <t>Supplier Reported Emissions</t>
        </is>
      </c>
      <c r="O1390" t="b">
        <v>0</v>
      </c>
      <c r="P1390" t="inlineStr">
        <is>
          <t>High</t>
        </is>
      </c>
      <c r="Q1390" t="inlineStr">
        <is>
          <t>Scope_Emissions</t>
        </is>
      </c>
      <c r="R1390" t="inlineStr">
        <is>
          <t>Valid</t>
        </is>
      </c>
      <c r="S1390" t="n">
        <v>2037</v>
      </c>
      <c r="T1390" t="inlineStr">
        <is>
          <t>Supplier Target Pathway</t>
        </is>
      </c>
      <c r="U1390" t="n">
        <v>17196.2434</v>
      </c>
      <c r="V1390" t="n">
        <v>12229.9683</v>
      </c>
      <c r="W1390" t="n">
        <v>12229.9683</v>
      </c>
      <c r="X1390" t="n">
        <v>12229.9683</v>
      </c>
      <c r="Y1390" t="n">
        <v>4966.2751</v>
      </c>
      <c r="Z1390" t="n">
        <v>0.00027951</v>
      </c>
      <c r="AA1390" t="n">
        <v>0.2888</v>
      </c>
      <c r="AB1390" t="n">
        <v>0</v>
      </c>
      <c r="AC1390" t="n">
        <v>331.085</v>
      </c>
      <c r="AD1390" t="n">
        <v>-42669.6119</v>
      </c>
      <c r="AE1390" t="n">
        <v>177199.2632</v>
      </c>
      <c r="AF1390" t="n">
        <v>0.99</v>
      </c>
      <c r="AG1390" t="inlineStr">
        <is>
          <t>Low</t>
        </is>
      </c>
      <c r="AH1390" t="inlineStr">
        <is>
          <t>On Track</t>
        </is>
      </c>
    </row>
    <row r="1391">
      <c r="A1391" t="inlineStr">
        <is>
          <t>SUP-0087</t>
        </is>
      </c>
      <c r="B1391" t="inlineStr">
        <is>
          <t>Agriculture Supplier 087</t>
        </is>
      </c>
      <c r="C1391" t="inlineStr">
        <is>
          <t>Agriculture</t>
        </is>
      </c>
      <c r="D1391" t="n">
        <v>2024</v>
      </c>
      <c r="E1391" t="n">
        <v>2020</v>
      </c>
      <c r="F1391" t="n">
        <v>2035</v>
      </c>
      <c r="G1391" t="n">
        <v>28286.5821</v>
      </c>
      <c r="H1391" t="inlineStr"/>
      <c r="I1391" t="n">
        <v>3339.6118</v>
      </c>
      <c r="J1391" t="n">
        <v>20351.0716</v>
      </c>
      <c r="K1391" t="n">
        <v>43755411.18</v>
      </c>
      <c r="L1391" t="n">
        <v>143262500.87</v>
      </c>
      <c r="M1391" t="n">
        <v>28286.5821</v>
      </c>
      <c r="N1391" t="inlineStr">
        <is>
          <t>Supplier Reported Emissions</t>
        </is>
      </c>
      <c r="O1391" t="b">
        <v>0</v>
      </c>
      <c r="P1391" t="inlineStr">
        <is>
          <t>High</t>
        </is>
      </c>
      <c r="Q1391" t="inlineStr">
        <is>
          <t>Scope_Emissions</t>
        </is>
      </c>
      <c r="R1391" t="inlineStr">
        <is>
          <t>Valid</t>
        </is>
      </c>
      <c r="S1391" t="n">
        <v>2038</v>
      </c>
      <c r="T1391" t="inlineStr">
        <is>
          <t>Supplier Target Pathway</t>
        </is>
      </c>
      <c r="U1391" t="n">
        <v>17196.2434</v>
      </c>
      <c r="V1391" t="n">
        <v>12229.9683</v>
      </c>
      <c r="W1391" t="n">
        <v>12229.9683</v>
      </c>
      <c r="X1391" t="n">
        <v>12229.9683</v>
      </c>
      <c r="Y1391" t="n">
        <v>4966.2751</v>
      </c>
      <c r="Z1391" t="n">
        <v>0.00027951</v>
      </c>
      <c r="AA1391" t="n">
        <v>0.2888</v>
      </c>
      <c r="AB1391" t="n">
        <v>0</v>
      </c>
      <c r="AC1391" t="n">
        <v>331.085</v>
      </c>
      <c r="AD1391" t="n">
        <v>-54899.5802</v>
      </c>
      <c r="AE1391" t="n">
        <v>189429.2315</v>
      </c>
      <c r="AF1391" t="n">
        <v>0.99</v>
      </c>
      <c r="AG1391" t="inlineStr">
        <is>
          <t>Low</t>
        </is>
      </c>
      <c r="AH1391" t="inlineStr">
        <is>
          <t>On Track</t>
        </is>
      </c>
    </row>
    <row r="1392">
      <c r="A1392" t="inlineStr">
        <is>
          <t>SUP-0087</t>
        </is>
      </c>
      <c r="B1392" t="inlineStr">
        <is>
          <t>Agriculture Supplier 087</t>
        </is>
      </c>
      <c r="C1392" t="inlineStr">
        <is>
          <t>Agriculture</t>
        </is>
      </c>
      <c r="D1392" t="n">
        <v>2024</v>
      </c>
      <c r="E1392" t="n">
        <v>2020</v>
      </c>
      <c r="F1392" t="n">
        <v>2035</v>
      </c>
      <c r="G1392" t="n">
        <v>28286.5821</v>
      </c>
      <c r="H1392" t="inlineStr"/>
      <c r="I1392" t="n">
        <v>3339.6118</v>
      </c>
      <c r="J1392" t="n">
        <v>20351.0716</v>
      </c>
      <c r="K1392" t="n">
        <v>43755411.18</v>
      </c>
      <c r="L1392" t="n">
        <v>143262500.87</v>
      </c>
      <c r="M1392" t="n">
        <v>28286.5821</v>
      </c>
      <c r="N1392" t="inlineStr">
        <is>
          <t>Supplier Reported Emissions</t>
        </is>
      </c>
      <c r="O1392" t="b">
        <v>0</v>
      </c>
      <c r="P1392" t="inlineStr">
        <is>
          <t>High</t>
        </is>
      </c>
      <c r="Q1392" t="inlineStr">
        <is>
          <t>Scope_Emissions</t>
        </is>
      </c>
      <c r="R1392" t="inlineStr">
        <is>
          <t>Valid</t>
        </is>
      </c>
      <c r="S1392" t="n">
        <v>2039</v>
      </c>
      <c r="T1392" t="inlineStr">
        <is>
          <t>Supplier Target Pathway</t>
        </is>
      </c>
      <c r="U1392" t="n">
        <v>17196.2434</v>
      </c>
      <c r="V1392" t="n">
        <v>12229.9683</v>
      </c>
      <c r="W1392" t="n">
        <v>12229.9683</v>
      </c>
      <c r="X1392" t="n">
        <v>12229.9683</v>
      </c>
      <c r="Y1392" t="n">
        <v>4966.2751</v>
      </c>
      <c r="Z1392" t="n">
        <v>0.00027951</v>
      </c>
      <c r="AA1392" t="n">
        <v>0.2888</v>
      </c>
      <c r="AB1392" t="n">
        <v>0</v>
      </c>
      <c r="AC1392" t="n">
        <v>331.085</v>
      </c>
      <c r="AD1392" t="n">
        <v>-67129.5485</v>
      </c>
      <c r="AE1392" t="n">
        <v>201659.1998</v>
      </c>
      <c r="AF1392" t="n">
        <v>0.99</v>
      </c>
      <c r="AG1392" t="inlineStr">
        <is>
          <t>Low</t>
        </is>
      </c>
      <c r="AH1392" t="inlineStr">
        <is>
          <t>On Track</t>
        </is>
      </c>
    </row>
    <row r="1393">
      <c r="A1393" t="inlineStr">
        <is>
          <t>SUP-0087</t>
        </is>
      </c>
      <c r="B1393" t="inlineStr">
        <is>
          <t>Agriculture Supplier 087</t>
        </is>
      </c>
      <c r="C1393" t="inlineStr">
        <is>
          <t>Agriculture</t>
        </is>
      </c>
      <c r="D1393" t="n">
        <v>2024</v>
      </c>
      <c r="E1393" t="n">
        <v>2020</v>
      </c>
      <c r="F1393" t="n">
        <v>2035</v>
      </c>
      <c r="G1393" t="n">
        <v>28286.5821</v>
      </c>
      <c r="H1393" t="inlineStr"/>
      <c r="I1393" t="n">
        <v>3339.6118</v>
      </c>
      <c r="J1393" t="n">
        <v>20351.0716</v>
      </c>
      <c r="K1393" t="n">
        <v>43755411.18</v>
      </c>
      <c r="L1393" t="n">
        <v>143262500.87</v>
      </c>
      <c r="M1393" t="n">
        <v>28286.5821</v>
      </c>
      <c r="N1393" t="inlineStr">
        <is>
          <t>Supplier Reported Emissions</t>
        </is>
      </c>
      <c r="O1393" t="b">
        <v>0</v>
      </c>
      <c r="P1393" t="inlineStr">
        <is>
          <t>High</t>
        </is>
      </c>
      <c r="Q1393" t="inlineStr">
        <is>
          <t>Scope_Emissions</t>
        </is>
      </c>
      <c r="R1393" t="inlineStr">
        <is>
          <t>Valid</t>
        </is>
      </c>
      <c r="S1393" t="n">
        <v>2040</v>
      </c>
      <c r="T1393" t="inlineStr">
        <is>
          <t>Supplier Target Pathway</t>
        </is>
      </c>
      <c r="U1393" t="n">
        <v>17196.2434</v>
      </c>
      <c r="V1393" t="n">
        <v>12229.9683</v>
      </c>
      <c r="W1393" t="n">
        <v>12229.9683</v>
      </c>
      <c r="X1393" t="n">
        <v>12229.9683</v>
      </c>
      <c r="Y1393" t="n">
        <v>4966.2751</v>
      </c>
      <c r="Z1393" t="n">
        <v>0.00027951</v>
      </c>
      <c r="AA1393" t="n">
        <v>0.2888</v>
      </c>
      <c r="AB1393" t="n">
        <v>0</v>
      </c>
      <c r="AC1393" t="n">
        <v>331.085</v>
      </c>
      <c r="AD1393" t="n">
        <v>-79359.5168</v>
      </c>
      <c r="AE1393" t="n">
        <v>213889.1681</v>
      </c>
      <c r="AF1393" t="n">
        <v>0.99</v>
      </c>
      <c r="AG1393" t="inlineStr">
        <is>
          <t>Low</t>
        </is>
      </c>
      <c r="AH1393" t="inlineStr">
        <is>
          <t>On Track</t>
        </is>
      </c>
    </row>
    <row r="1394">
      <c r="A1394" t="inlineStr">
        <is>
          <t>SUP-0088</t>
        </is>
      </c>
      <c r="B1394" t="inlineStr">
        <is>
          <t>Packaging Supplier 088</t>
        </is>
      </c>
      <c r="C1394" t="inlineStr">
        <is>
          <t>Packaging</t>
        </is>
      </c>
      <c r="D1394" t="n">
        <v>2024</v>
      </c>
      <c r="E1394" t="n">
        <v>2019</v>
      </c>
      <c r="F1394" t="n">
        <v>2035</v>
      </c>
      <c r="G1394" t="n">
        <v>20140.6729</v>
      </c>
      <c r="H1394" t="n">
        <v>4003.0138</v>
      </c>
      <c r="I1394" t="inlineStr"/>
      <c r="J1394" t="n">
        <v>12780.2569</v>
      </c>
      <c r="K1394" t="n">
        <v>23582117.97</v>
      </c>
      <c r="L1394" t="n">
        <v>76755971.09999999</v>
      </c>
      <c r="M1394" t="n">
        <v>20140.6729</v>
      </c>
      <c r="N1394" t="inlineStr">
        <is>
          <t>Supplier Reported Emissions</t>
        </is>
      </c>
      <c r="O1394" t="b">
        <v>0</v>
      </c>
      <c r="P1394" t="inlineStr">
        <is>
          <t>High</t>
        </is>
      </c>
      <c r="Q1394" t="inlineStr">
        <is>
          <t>Scope_Emissions</t>
        </is>
      </c>
      <c r="R1394" t="inlineStr">
        <is>
          <t>Valid</t>
        </is>
      </c>
      <c r="S1394" t="n">
        <v>2025</v>
      </c>
      <c r="T1394" t="inlineStr">
        <is>
          <t>Supplier Target Pathway</t>
        </is>
      </c>
      <c r="U1394" t="n">
        <v>25170.1277</v>
      </c>
      <c r="V1394" t="n">
        <v>12932.4116</v>
      </c>
      <c r="W1394" t="n">
        <v>20580.9842</v>
      </c>
      <c r="X1394" t="n">
        <v>20580.9842</v>
      </c>
      <c r="Y1394" t="n">
        <v>4589.1435</v>
      </c>
      <c r="Z1394" t="n">
        <v>0.00087274</v>
      </c>
      <c r="AA1394" t="n">
        <v>0.182325</v>
      </c>
      <c r="AB1394" t="n">
        <v>7648.5726</v>
      </c>
      <c r="AC1394" t="n">
        <v>764.8573</v>
      </c>
      <c r="AD1394" t="n">
        <v>121675.5434</v>
      </c>
      <c r="AE1394" t="n">
        <v>20580.9842</v>
      </c>
      <c r="AF1394" t="n">
        <v>0.99</v>
      </c>
      <c r="AG1394" t="inlineStr">
        <is>
          <t>Critical</t>
        </is>
      </c>
      <c r="AH1394" t="inlineStr">
        <is>
          <t>On Track to Glide Path</t>
        </is>
      </c>
    </row>
    <row r="1395">
      <c r="A1395" t="inlineStr">
        <is>
          <t>SUP-0088</t>
        </is>
      </c>
      <c r="B1395" t="inlineStr">
        <is>
          <t>Packaging Supplier 088</t>
        </is>
      </c>
      <c r="C1395" t="inlineStr">
        <is>
          <t>Packaging</t>
        </is>
      </c>
      <c r="D1395" t="n">
        <v>2024</v>
      </c>
      <c r="E1395" t="n">
        <v>2019</v>
      </c>
      <c r="F1395" t="n">
        <v>2035</v>
      </c>
      <c r="G1395" t="n">
        <v>20140.6729</v>
      </c>
      <c r="H1395" t="n">
        <v>4003.0138</v>
      </c>
      <c r="I1395" t="inlineStr"/>
      <c r="J1395" t="n">
        <v>12780.2569</v>
      </c>
      <c r="K1395" t="n">
        <v>23582117.97</v>
      </c>
      <c r="L1395" t="n">
        <v>76755971.09999999</v>
      </c>
      <c r="M1395" t="n">
        <v>20140.6729</v>
      </c>
      <c r="N1395" t="inlineStr">
        <is>
          <t>Supplier Reported Emissions</t>
        </is>
      </c>
      <c r="O1395" t="b">
        <v>0</v>
      </c>
      <c r="P1395" t="inlineStr">
        <is>
          <t>High</t>
        </is>
      </c>
      <c r="Q1395" t="inlineStr">
        <is>
          <t>Scope_Emissions</t>
        </is>
      </c>
      <c r="R1395" t="inlineStr">
        <is>
          <t>Valid</t>
        </is>
      </c>
      <c r="S1395" t="n">
        <v>2026</v>
      </c>
      <c r="T1395" t="inlineStr">
        <is>
          <t>Supplier Target Pathway</t>
        </is>
      </c>
      <c r="U1395" t="n">
        <v>25170.1277</v>
      </c>
      <c r="V1395" t="n">
        <v>12932.4116</v>
      </c>
      <c r="W1395" t="n">
        <v>19816.1269</v>
      </c>
      <c r="X1395" t="n">
        <v>19816.1269</v>
      </c>
      <c r="Y1395" t="n">
        <v>5354.0008</v>
      </c>
      <c r="Z1395" t="n">
        <v>0.0008403</v>
      </c>
      <c r="AA1395" t="n">
        <v>0.212712</v>
      </c>
      <c r="AB1395" t="n">
        <v>6883.7153</v>
      </c>
      <c r="AC1395" t="n">
        <v>764.8573</v>
      </c>
      <c r="AD1395" t="n">
        <v>101859.4165</v>
      </c>
      <c r="AE1395" t="n">
        <v>40397.1111</v>
      </c>
      <c r="AF1395" t="n">
        <v>0.99</v>
      </c>
      <c r="AG1395" t="inlineStr">
        <is>
          <t>Critical</t>
        </is>
      </c>
      <c r="AH1395" t="inlineStr">
        <is>
          <t>On Track to Glide Path</t>
        </is>
      </c>
    </row>
    <row r="1396">
      <c r="A1396" t="inlineStr">
        <is>
          <t>SUP-0088</t>
        </is>
      </c>
      <c r="B1396" t="inlineStr">
        <is>
          <t>Packaging Supplier 088</t>
        </is>
      </c>
      <c r="C1396" t="inlineStr">
        <is>
          <t>Packaging</t>
        </is>
      </c>
      <c r="D1396" t="n">
        <v>2024</v>
      </c>
      <c r="E1396" t="n">
        <v>2019</v>
      </c>
      <c r="F1396" t="n">
        <v>2035</v>
      </c>
      <c r="G1396" t="n">
        <v>20140.6729</v>
      </c>
      <c r="H1396" t="n">
        <v>4003.0138</v>
      </c>
      <c r="I1396" t="inlineStr"/>
      <c r="J1396" t="n">
        <v>12780.2569</v>
      </c>
      <c r="K1396" t="n">
        <v>23582117.97</v>
      </c>
      <c r="L1396" t="n">
        <v>76755971.09999999</v>
      </c>
      <c r="M1396" t="n">
        <v>20140.6729</v>
      </c>
      <c r="N1396" t="inlineStr">
        <is>
          <t>Supplier Reported Emissions</t>
        </is>
      </c>
      <c r="O1396" t="b">
        <v>0</v>
      </c>
      <c r="P1396" t="inlineStr">
        <is>
          <t>High</t>
        </is>
      </c>
      <c r="Q1396" t="inlineStr">
        <is>
          <t>Scope_Emissions</t>
        </is>
      </c>
      <c r="R1396" t="inlineStr">
        <is>
          <t>Valid</t>
        </is>
      </c>
      <c r="S1396" t="n">
        <v>2027</v>
      </c>
      <c r="T1396" t="inlineStr">
        <is>
          <t>Supplier Target Pathway</t>
        </is>
      </c>
      <c r="U1396" t="n">
        <v>25170.1277</v>
      </c>
      <c r="V1396" t="n">
        <v>12932.4116</v>
      </c>
      <c r="W1396" t="n">
        <v>19051.2697</v>
      </c>
      <c r="X1396" t="n">
        <v>19051.2697</v>
      </c>
      <c r="Y1396" t="n">
        <v>6118.858</v>
      </c>
      <c r="Z1396" t="n">
        <v>0.00080787</v>
      </c>
      <c r="AA1396" t="n">
        <v>0.2431</v>
      </c>
      <c r="AB1396" t="n">
        <v>6118.858</v>
      </c>
      <c r="AC1396" t="n">
        <v>764.8573</v>
      </c>
      <c r="AD1396" t="n">
        <v>82808.1468</v>
      </c>
      <c r="AE1396" t="n">
        <v>59448.3808</v>
      </c>
      <c r="AF1396" t="n">
        <v>0.99</v>
      </c>
      <c r="AG1396" t="inlineStr">
        <is>
          <t>Critical</t>
        </is>
      </c>
      <c r="AH1396" t="inlineStr">
        <is>
          <t>On Track to Glide Path</t>
        </is>
      </c>
    </row>
    <row r="1397">
      <c r="A1397" t="inlineStr">
        <is>
          <t>SUP-0088</t>
        </is>
      </c>
      <c r="B1397" t="inlineStr">
        <is>
          <t>Packaging Supplier 088</t>
        </is>
      </c>
      <c r="C1397" t="inlineStr">
        <is>
          <t>Packaging</t>
        </is>
      </c>
      <c r="D1397" t="n">
        <v>2024</v>
      </c>
      <c r="E1397" t="n">
        <v>2019</v>
      </c>
      <c r="F1397" t="n">
        <v>2035</v>
      </c>
      <c r="G1397" t="n">
        <v>20140.6729</v>
      </c>
      <c r="H1397" t="n">
        <v>4003.0138</v>
      </c>
      <c r="I1397" t="inlineStr"/>
      <c r="J1397" t="n">
        <v>12780.2569</v>
      </c>
      <c r="K1397" t="n">
        <v>23582117.97</v>
      </c>
      <c r="L1397" t="n">
        <v>76755971.09999999</v>
      </c>
      <c r="M1397" t="n">
        <v>20140.6729</v>
      </c>
      <c r="N1397" t="inlineStr">
        <is>
          <t>Supplier Reported Emissions</t>
        </is>
      </c>
      <c r="O1397" t="b">
        <v>0</v>
      </c>
      <c r="P1397" t="inlineStr">
        <is>
          <t>High</t>
        </is>
      </c>
      <c r="Q1397" t="inlineStr">
        <is>
          <t>Scope_Emissions</t>
        </is>
      </c>
      <c r="R1397" t="inlineStr">
        <is>
          <t>Valid</t>
        </is>
      </c>
      <c r="S1397" t="n">
        <v>2028</v>
      </c>
      <c r="T1397" t="inlineStr">
        <is>
          <t>Supplier Target Pathway</t>
        </is>
      </c>
      <c r="U1397" t="n">
        <v>25170.1277</v>
      </c>
      <c r="V1397" t="n">
        <v>12932.4116</v>
      </c>
      <c r="W1397" t="n">
        <v>18286.4124</v>
      </c>
      <c r="X1397" t="n">
        <v>18286.4124</v>
      </c>
      <c r="Y1397" t="n">
        <v>6883.7153</v>
      </c>
      <c r="Z1397" t="n">
        <v>0.00077544</v>
      </c>
      <c r="AA1397" t="n">
        <v>0.273487</v>
      </c>
      <c r="AB1397" t="n">
        <v>5354.0008</v>
      </c>
      <c r="AC1397" t="n">
        <v>764.8573</v>
      </c>
      <c r="AD1397" t="n">
        <v>64521.7344</v>
      </c>
      <c r="AE1397" t="n">
        <v>77734.7932</v>
      </c>
      <c r="AF1397" t="n">
        <v>0.99</v>
      </c>
      <c r="AG1397" t="inlineStr">
        <is>
          <t>Critical</t>
        </is>
      </c>
      <c r="AH1397" t="inlineStr">
        <is>
          <t>On Track to Glide Path</t>
        </is>
      </c>
    </row>
    <row r="1398">
      <c r="A1398" t="inlineStr">
        <is>
          <t>SUP-0088</t>
        </is>
      </c>
      <c r="B1398" t="inlineStr">
        <is>
          <t>Packaging Supplier 088</t>
        </is>
      </c>
      <c r="C1398" t="inlineStr">
        <is>
          <t>Packaging</t>
        </is>
      </c>
      <c r="D1398" t="n">
        <v>2024</v>
      </c>
      <c r="E1398" t="n">
        <v>2019</v>
      </c>
      <c r="F1398" t="n">
        <v>2035</v>
      </c>
      <c r="G1398" t="n">
        <v>20140.6729</v>
      </c>
      <c r="H1398" t="n">
        <v>4003.0138</v>
      </c>
      <c r="I1398" t="inlineStr"/>
      <c r="J1398" t="n">
        <v>12780.2569</v>
      </c>
      <c r="K1398" t="n">
        <v>23582117.97</v>
      </c>
      <c r="L1398" t="n">
        <v>76755971.09999999</v>
      </c>
      <c r="M1398" t="n">
        <v>20140.6729</v>
      </c>
      <c r="N1398" t="inlineStr">
        <is>
          <t>Supplier Reported Emissions</t>
        </is>
      </c>
      <c r="O1398" t="b">
        <v>0</v>
      </c>
      <c r="P1398" t="inlineStr">
        <is>
          <t>High</t>
        </is>
      </c>
      <c r="Q1398" t="inlineStr">
        <is>
          <t>Scope_Emissions</t>
        </is>
      </c>
      <c r="R1398" t="inlineStr">
        <is>
          <t>Valid</t>
        </is>
      </c>
      <c r="S1398" t="n">
        <v>2029</v>
      </c>
      <c r="T1398" t="inlineStr">
        <is>
          <t>Supplier Target Pathway</t>
        </is>
      </c>
      <c r="U1398" t="n">
        <v>25170.1277</v>
      </c>
      <c r="V1398" t="n">
        <v>12932.4116</v>
      </c>
      <c r="W1398" t="n">
        <v>17521.5551</v>
      </c>
      <c r="X1398" t="n">
        <v>17521.5551</v>
      </c>
      <c r="Y1398" t="n">
        <v>7648.5726</v>
      </c>
      <c r="Z1398" t="n">
        <v>0.000743</v>
      </c>
      <c r="AA1398" t="n">
        <v>0.303875</v>
      </c>
      <c r="AB1398" t="n">
        <v>4589.1435</v>
      </c>
      <c r="AC1398" t="n">
        <v>764.8573</v>
      </c>
      <c r="AD1398" t="n">
        <v>47000.1793</v>
      </c>
      <c r="AE1398" t="n">
        <v>95256.3483</v>
      </c>
      <c r="AF1398" t="n">
        <v>0.99</v>
      </c>
      <c r="AG1398" t="inlineStr">
        <is>
          <t>Critical</t>
        </is>
      </c>
      <c r="AH1398" t="inlineStr">
        <is>
          <t>On Track to Glide Path</t>
        </is>
      </c>
    </row>
    <row r="1399">
      <c r="A1399" t="inlineStr">
        <is>
          <t>SUP-0088</t>
        </is>
      </c>
      <c r="B1399" t="inlineStr">
        <is>
          <t>Packaging Supplier 088</t>
        </is>
      </c>
      <c r="C1399" t="inlineStr">
        <is>
          <t>Packaging</t>
        </is>
      </c>
      <c r="D1399" t="n">
        <v>2024</v>
      </c>
      <c r="E1399" t="n">
        <v>2019</v>
      </c>
      <c r="F1399" t="n">
        <v>2035</v>
      </c>
      <c r="G1399" t="n">
        <v>20140.6729</v>
      </c>
      <c r="H1399" t="n">
        <v>4003.0138</v>
      </c>
      <c r="I1399" t="inlineStr"/>
      <c r="J1399" t="n">
        <v>12780.2569</v>
      </c>
      <c r="K1399" t="n">
        <v>23582117.97</v>
      </c>
      <c r="L1399" t="n">
        <v>76755971.09999999</v>
      </c>
      <c r="M1399" t="n">
        <v>20140.6729</v>
      </c>
      <c r="N1399" t="inlineStr">
        <is>
          <t>Supplier Reported Emissions</t>
        </is>
      </c>
      <c r="O1399" t="b">
        <v>0</v>
      </c>
      <c r="P1399" t="inlineStr">
        <is>
          <t>High</t>
        </is>
      </c>
      <c r="Q1399" t="inlineStr">
        <is>
          <t>Scope_Emissions</t>
        </is>
      </c>
      <c r="R1399" t="inlineStr">
        <is>
          <t>Valid</t>
        </is>
      </c>
      <c r="S1399" t="n">
        <v>2030</v>
      </c>
      <c r="T1399" t="inlineStr">
        <is>
          <t>Supplier Target Pathway</t>
        </is>
      </c>
      <c r="U1399" t="n">
        <v>25170.1277</v>
      </c>
      <c r="V1399" t="n">
        <v>12932.4116</v>
      </c>
      <c r="W1399" t="n">
        <v>16756.6979</v>
      </c>
      <c r="X1399" t="n">
        <v>16756.6979</v>
      </c>
      <c r="Y1399" t="n">
        <v>8413.4298</v>
      </c>
      <c r="Z1399" t="n">
        <v>0.00071057</v>
      </c>
      <c r="AA1399" t="n">
        <v>0.334262</v>
      </c>
      <c r="AB1399" t="n">
        <v>3824.2863</v>
      </c>
      <c r="AC1399" t="n">
        <v>764.8573</v>
      </c>
      <c r="AD1399" t="n">
        <v>30243.4814</v>
      </c>
      <c r="AE1399" t="n">
        <v>112013.0462</v>
      </c>
      <c r="AF1399" t="n">
        <v>0.99</v>
      </c>
      <c r="AG1399" t="inlineStr">
        <is>
          <t>High</t>
        </is>
      </c>
      <c r="AH1399" t="inlineStr">
        <is>
          <t>On Track to Glide Path</t>
        </is>
      </c>
    </row>
    <row r="1400">
      <c r="A1400" t="inlineStr">
        <is>
          <t>SUP-0088</t>
        </is>
      </c>
      <c r="B1400" t="inlineStr">
        <is>
          <t>Packaging Supplier 088</t>
        </is>
      </c>
      <c r="C1400" t="inlineStr">
        <is>
          <t>Packaging</t>
        </is>
      </c>
      <c r="D1400" t="n">
        <v>2024</v>
      </c>
      <c r="E1400" t="n">
        <v>2019</v>
      </c>
      <c r="F1400" t="n">
        <v>2035</v>
      </c>
      <c r="G1400" t="n">
        <v>20140.6729</v>
      </c>
      <c r="H1400" t="n">
        <v>4003.0138</v>
      </c>
      <c r="I1400" t="inlineStr"/>
      <c r="J1400" t="n">
        <v>12780.2569</v>
      </c>
      <c r="K1400" t="n">
        <v>23582117.97</v>
      </c>
      <c r="L1400" t="n">
        <v>76755971.09999999</v>
      </c>
      <c r="M1400" t="n">
        <v>20140.6729</v>
      </c>
      <c r="N1400" t="inlineStr">
        <is>
          <t>Supplier Reported Emissions</t>
        </is>
      </c>
      <c r="O1400" t="b">
        <v>0</v>
      </c>
      <c r="P1400" t="inlineStr">
        <is>
          <t>High</t>
        </is>
      </c>
      <c r="Q1400" t="inlineStr">
        <is>
          <t>Scope_Emissions</t>
        </is>
      </c>
      <c r="R1400" t="inlineStr">
        <is>
          <t>Valid</t>
        </is>
      </c>
      <c r="S1400" t="n">
        <v>2031</v>
      </c>
      <c r="T1400" t="inlineStr">
        <is>
          <t>Supplier Target Pathway</t>
        </is>
      </c>
      <c r="U1400" t="n">
        <v>25170.1277</v>
      </c>
      <c r="V1400" t="n">
        <v>12932.4116</v>
      </c>
      <c r="W1400" t="n">
        <v>15991.8406</v>
      </c>
      <c r="X1400" t="n">
        <v>15991.8406</v>
      </c>
      <c r="Y1400" t="n">
        <v>9178.2871</v>
      </c>
      <c r="Z1400" t="n">
        <v>0.00067813</v>
      </c>
      <c r="AA1400" t="n">
        <v>0.36465</v>
      </c>
      <c r="AB1400" t="n">
        <v>3059.429</v>
      </c>
      <c r="AC1400" t="n">
        <v>764.8573</v>
      </c>
      <c r="AD1400" t="n">
        <v>14251.6408</v>
      </c>
      <c r="AE1400" t="n">
        <v>128004.8868</v>
      </c>
      <c r="AF1400" t="n">
        <v>0.99</v>
      </c>
      <c r="AG1400" t="inlineStr">
        <is>
          <t>High</t>
        </is>
      </c>
      <c r="AH1400" t="inlineStr">
        <is>
          <t>On Track to Glide Path</t>
        </is>
      </c>
    </row>
    <row r="1401">
      <c r="A1401" t="inlineStr">
        <is>
          <t>SUP-0088</t>
        </is>
      </c>
      <c r="B1401" t="inlineStr">
        <is>
          <t>Packaging Supplier 088</t>
        </is>
      </c>
      <c r="C1401" t="inlineStr">
        <is>
          <t>Packaging</t>
        </is>
      </c>
      <c r="D1401" t="n">
        <v>2024</v>
      </c>
      <c r="E1401" t="n">
        <v>2019</v>
      </c>
      <c r="F1401" t="n">
        <v>2035</v>
      </c>
      <c r="G1401" t="n">
        <v>20140.6729</v>
      </c>
      <c r="H1401" t="n">
        <v>4003.0138</v>
      </c>
      <c r="I1401" t="inlineStr"/>
      <c r="J1401" t="n">
        <v>12780.2569</v>
      </c>
      <c r="K1401" t="n">
        <v>23582117.97</v>
      </c>
      <c r="L1401" t="n">
        <v>76755971.09999999</v>
      </c>
      <c r="M1401" t="n">
        <v>20140.6729</v>
      </c>
      <c r="N1401" t="inlineStr">
        <is>
          <t>Supplier Reported Emissions</t>
        </is>
      </c>
      <c r="O1401" t="b">
        <v>0</v>
      </c>
      <c r="P1401" t="inlineStr">
        <is>
          <t>High</t>
        </is>
      </c>
      <c r="Q1401" t="inlineStr">
        <is>
          <t>Scope_Emissions</t>
        </is>
      </c>
      <c r="R1401" t="inlineStr">
        <is>
          <t>Valid</t>
        </is>
      </c>
      <c r="S1401" t="n">
        <v>2032</v>
      </c>
      <c r="T1401" t="inlineStr">
        <is>
          <t>Supplier Target Pathway</t>
        </is>
      </c>
      <c r="U1401" t="n">
        <v>25170.1277</v>
      </c>
      <c r="V1401" t="n">
        <v>12932.4116</v>
      </c>
      <c r="W1401" t="n">
        <v>15226.9834</v>
      </c>
      <c r="X1401" t="n">
        <v>15226.9834</v>
      </c>
      <c r="Y1401" t="n">
        <v>9943.1443</v>
      </c>
      <c r="Z1401" t="n">
        <v>0.0006457</v>
      </c>
      <c r="AA1401" t="n">
        <v>0.395037</v>
      </c>
      <c r="AB1401" t="n">
        <v>2294.5718</v>
      </c>
      <c r="AC1401" t="n">
        <v>764.8573</v>
      </c>
      <c r="AD1401" t="n">
        <v>-975.3425999999999</v>
      </c>
      <c r="AE1401" t="n">
        <v>143231.8702</v>
      </c>
      <c r="AF1401" t="n">
        <v>0.99</v>
      </c>
      <c r="AG1401" t="inlineStr">
        <is>
          <t>High</t>
        </is>
      </c>
      <c r="AH1401" t="inlineStr">
        <is>
          <t>On Track to Glide Path</t>
        </is>
      </c>
    </row>
    <row r="1402">
      <c r="A1402" t="inlineStr">
        <is>
          <t>SUP-0088</t>
        </is>
      </c>
      <c r="B1402" t="inlineStr">
        <is>
          <t>Packaging Supplier 088</t>
        </is>
      </c>
      <c r="C1402" t="inlineStr">
        <is>
          <t>Packaging</t>
        </is>
      </c>
      <c r="D1402" t="n">
        <v>2024</v>
      </c>
      <c r="E1402" t="n">
        <v>2019</v>
      </c>
      <c r="F1402" t="n">
        <v>2035</v>
      </c>
      <c r="G1402" t="n">
        <v>20140.6729</v>
      </c>
      <c r="H1402" t="n">
        <v>4003.0138</v>
      </c>
      <c r="I1402" t="inlineStr"/>
      <c r="J1402" t="n">
        <v>12780.2569</v>
      </c>
      <c r="K1402" t="n">
        <v>23582117.97</v>
      </c>
      <c r="L1402" t="n">
        <v>76755971.09999999</v>
      </c>
      <c r="M1402" t="n">
        <v>20140.6729</v>
      </c>
      <c r="N1402" t="inlineStr">
        <is>
          <t>Supplier Reported Emissions</t>
        </is>
      </c>
      <c r="O1402" t="b">
        <v>0</v>
      </c>
      <c r="P1402" t="inlineStr">
        <is>
          <t>High</t>
        </is>
      </c>
      <c r="Q1402" t="inlineStr">
        <is>
          <t>Scope_Emissions</t>
        </is>
      </c>
      <c r="R1402" t="inlineStr">
        <is>
          <t>Valid</t>
        </is>
      </c>
      <c r="S1402" t="n">
        <v>2033</v>
      </c>
      <c r="T1402" t="inlineStr">
        <is>
          <t>Supplier Target Pathway</t>
        </is>
      </c>
      <c r="U1402" t="n">
        <v>25170.1277</v>
      </c>
      <c r="V1402" t="n">
        <v>12932.4116</v>
      </c>
      <c r="W1402" t="n">
        <v>14462.1261</v>
      </c>
      <c r="X1402" t="n">
        <v>14462.1261</v>
      </c>
      <c r="Y1402" t="n">
        <v>10708.0016</v>
      </c>
      <c r="Z1402" t="n">
        <v>0.00061327</v>
      </c>
      <c r="AA1402" t="n">
        <v>0.425425</v>
      </c>
      <c r="AB1402" t="n">
        <v>1529.7145</v>
      </c>
      <c r="AC1402" t="n">
        <v>764.8573</v>
      </c>
      <c r="AD1402" t="n">
        <v>-15437.4687</v>
      </c>
      <c r="AE1402" t="n">
        <v>157693.9963</v>
      </c>
      <c r="AF1402" t="n">
        <v>0.99</v>
      </c>
      <c r="AG1402" t="inlineStr">
        <is>
          <t>Medium</t>
        </is>
      </c>
      <c r="AH1402" t="inlineStr">
        <is>
          <t>On Track to Glide Path</t>
        </is>
      </c>
    </row>
    <row r="1403">
      <c r="A1403" t="inlineStr">
        <is>
          <t>SUP-0088</t>
        </is>
      </c>
      <c r="B1403" t="inlineStr">
        <is>
          <t>Packaging Supplier 088</t>
        </is>
      </c>
      <c r="C1403" t="inlineStr">
        <is>
          <t>Packaging</t>
        </is>
      </c>
      <c r="D1403" t="n">
        <v>2024</v>
      </c>
      <c r="E1403" t="n">
        <v>2019</v>
      </c>
      <c r="F1403" t="n">
        <v>2035</v>
      </c>
      <c r="G1403" t="n">
        <v>20140.6729</v>
      </c>
      <c r="H1403" t="n">
        <v>4003.0138</v>
      </c>
      <c r="I1403" t="inlineStr"/>
      <c r="J1403" t="n">
        <v>12780.2569</v>
      </c>
      <c r="K1403" t="n">
        <v>23582117.97</v>
      </c>
      <c r="L1403" t="n">
        <v>76755971.09999999</v>
      </c>
      <c r="M1403" t="n">
        <v>20140.6729</v>
      </c>
      <c r="N1403" t="inlineStr">
        <is>
          <t>Supplier Reported Emissions</t>
        </is>
      </c>
      <c r="O1403" t="b">
        <v>0</v>
      </c>
      <c r="P1403" t="inlineStr">
        <is>
          <t>High</t>
        </is>
      </c>
      <c r="Q1403" t="inlineStr">
        <is>
          <t>Scope_Emissions</t>
        </is>
      </c>
      <c r="R1403" t="inlineStr">
        <is>
          <t>Valid</t>
        </is>
      </c>
      <c r="S1403" t="n">
        <v>2034</v>
      </c>
      <c r="T1403" t="inlineStr">
        <is>
          <t>Supplier Target Pathway</t>
        </is>
      </c>
      <c r="U1403" t="n">
        <v>25170.1277</v>
      </c>
      <c r="V1403" t="n">
        <v>12932.4116</v>
      </c>
      <c r="W1403" t="n">
        <v>13697.2689</v>
      </c>
      <c r="X1403" t="n">
        <v>13697.2689</v>
      </c>
      <c r="Y1403" t="n">
        <v>11472.8588</v>
      </c>
      <c r="Z1403" t="n">
        <v>0.00058083</v>
      </c>
      <c r="AA1403" t="n">
        <v>0.455812</v>
      </c>
      <c r="AB1403" t="n">
        <v>764.8573</v>
      </c>
      <c r="AC1403" t="n">
        <v>764.8573</v>
      </c>
      <c r="AD1403" t="n">
        <v>-29134.7376</v>
      </c>
      <c r="AE1403" t="n">
        <v>171391.2652</v>
      </c>
      <c r="AF1403" t="n">
        <v>0.99</v>
      </c>
      <c r="AG1403" t="inlineStr">
        <is>
          <t>Medium</t>
        </is>
      </c>
      <c r="AH1403" t="inlineStr">
        <is>
          <t>On Track to Glide Path</t>
        </is>
      </c>
    </row>
    <row r="1404">
      <c r="A1404" t="inlineStr">
        <is>
          <t>SUP-0088</t>
        </is>
      </c>
      <c r="B1404" t="inlineStr">
        <is>
          <t>Packaging Supplier 088</t>
        </is>
      </c>
      <c r="C1404" t="inlineStr">
        <is>
          <t>Packaging</t>
        </is>
      </c>
      <c r="D1404" t="n">
        <v>2024</v>
      </c>
      <c r="E1404" t="n">
        <v>2019</v>
      </c>
      <c r="F1404" t="n">
        <v>2035</v>
      </c>
      <c r="G1404" t="n">
        <v>20140.6729</v>
      </c>
      <c r="H1404" t="n">
        <v>4003.0138</v>
      </c>
      <c r="I1404" t="inlineStr"/>
      <c r="J1404" t="n">
        <v>12780.2569</v>
      </c>
      <c r="K1404" t="n">
        <v>23582117.97</v>
      </c>
      <c r="L1404" t="n">
        <v>76755971.09999999</v>
      </c>
      <c r="M1404" t="n">
        <v>20140.6729</v>
      </c>
      <c r="N1404" t="inlineStr">
        <is>
          <t>Supplier Reported Emissions</t>
        </is>
      </c>
      <c r="O1404" t="b">
        <v>0</v>
      </c>
      <c r="P1404" t="inlineStr">
        <is>
          <t>High</t>
        </is>
      </c>
      <c r="Q1404" t="inlineStr">
        <is>
          <t>Scope_Emissions</t>
        </is>
      </c>
      <c r="R1404" t="inlineStr">
        <is>
          <t>Valid</t>
        </is>
      </c>
      <c r="S1404" t="n">
        <v>2035</v>
      </c>
      <c r="T1404" t="inlineStr">
        <is>
          <t>Supplier Target Pathway</t>
        </is>
      </c>
      <c r="U1404" t="n">
        <v>25170.1277</v>
      </c>
      <c r="V1404" t="n">
        <v>12932.4116</v>
      </c>
      <c r="W1404" t="n">
        <v>12932.4116</v>
      </c>
      <c r="X1404" t="n">
        <v>12932.4116</v>
      </c>
      <c r="Y1404" t="n">
        <v>12237.7161</v>
      </c>
      <c r="Z1404" t="n">
        <v>0.0005484</v>
      </c>
      <c r="AA1404" t="n">
        <v>0.4862</v>
      </c>
      <c r="AB1404" t="n">
        <v>0</v>
      </c>
      <c r="AC1404" t="n">
        <v>764.8573</v>
      </c>
      <c r="AD1404" t="n">
        <v>-42067.1492</v>
      </c>
      <c r="AE1404" t="n">
        <v>184323.6768</v>
      </c>
      <c r="AF1404" t="n">
        <v>0.99</v>
      </c>
      <c r="AG1404" t="inlineStr">
        <is>
          <t>Low</t>
        </is>
      </c>
      <c r="AH1404" t="inlineStr">
        <is>
          <t>On Track</t>
        </is>
      </c>
    </row>
    <row r="1405">
      <c r="A1405" t="inlineStr">
        <is>
          <t>SUP-0088</t>
        </is>
      </c>
      <c r="B1405" t="inlineStr">
        <is>
          <t>Packaging Supplier 088</t>
        </is>
      </c>
      <c r="C1405" t="inlineStr">
        <is>
          <t>Packaging</t>
        </is>
      </c>
      <c r="D1405" t="n">
        <v>2024</v>
      </c>
      <c r="E1405" t="n">
        <v>2019</v>
      </c>
      <c r="F1405" t="n">
        <v>2035</v>
      </c>
      <c r="G1405" t="n">
        <v>20140.6729</v>
      </c>
      <c r="H1405" t="n">
        <v>4003.0138</v>
      </c>
      <c r="I1405" t="inlineStr"/>
      <c r="J1405" t="n">
        <v>12780.2569</v>
      </c>
      <c r="K1405" t="n">
        <v>23582117.97</v>
      </c>
      <c r="L1405" t="n">
        <v>76755971.09999999</v>
      </c>
      <c r="M1405" t="n">
        <v>20140.6729</v>
      </c>
      <c r="N1405" t="inlineStr">
        <is>
          <t>Supplier Reported Emissions</t>
        </is>
      </c>
      <c r="O1405" t="b">
        <v>0</v>
      </c>
      <c r="P1405" t="inlineStr">
        <is>
          <t>High</t>
        </is>
      </c>
      <c r="Q1405" t="inlineStr">
        <is>
          <t>Scope_Emissions</t>
        </is>
      </c>
      <c r="R1405" t="inlineStr">
        <is>
          <t>Valid</t>
        </is>
      </c>
      <c r="S1405" t="n">
        <v>2036</v>
      </c>
      <c r="T1405" t="inlineStr">
        <is>
          <t>Supplier Target Pathway</t>
        </is>
      </c>
      <c r="U1405" t="n">
        <v>25170.1277</v>
      </c>
      <c r="V1405" t="n">
        <v>12932.4116</v>
      </c>
      <c r="W1405" t="n">
        <v>12932.4116</v>
      </c>
      <c r="X1405" t="n">
        <v>12932.4116</v>
      </c>
      <c r="Y1405" t="n">
        <v>12237.7161</v>
      </c>
      <c r="Z1405" t="n">
        <v>0.0005484</v>
      </c>
      <c r="AA1405" t="n">
        <v>0.4862</v>
      </c>
      <c r="AB1405" t="n">
        <v>0</v>
      </c>
      <c r="AC1405" t="n">
        <v>764.8573</v>
      </c>
      <c r="AD1405" t="n">
        <v>-54999.5608</v>
      </c>
      <c r="AE1405" t="n">
        <v>197256.0884</v>
      </c>
      <c r="AF1405" t="n">
        <v>0.99</v>
      </c>
      <c r="AG1405" t="inlineStr">
        <is>
          <t>Low</t>
        </is>
      </c>
      <c r="AH1405" t="inlineStr">
        <is>
          <t>On Track</t>
        </is>
      </c>
    </row>
    <row r="1406">
      <c r="A1406" t="inlineStr">
        <is>
          <t>SUP-0088</t>
        </is>
      </c>
      <c r="B1406" t="inlineStr">
        <is>
          <t>Packaging Supplier 088</t>
        </is>
      </c>
      <c r="C1406" t="inlineStr">
        <is>
          <t>Packaging</t>
        </is>
      </c>
      <c r="D1406" t="n">
        <v>2024</v>
      </c>
      <c r="E1406" t="n">
        <v>2019</v>
      </c>
      <c r="F1406" t="n">
        <v>2035</v>
      </c>
      <c r="G1406" t="n">
        <v>20140.6729</v>
      </c>
      <c r="H1406" t="n">
        <v>4003.0138</v>
      </c>
      <c r="I1406" t="inlineStr"/>
      <c r="J1406" t="n">
        <v>12780.2569</v>
      </c>
      <c r="K1406" t="n">
        <v>23582117.97</v>
      </c>
      <c r="L1406" t="n">
        <v>76755971.09999999</v>
      </c>
      <c r="M1406" t="n">
        <v>20140.6729</v>
      </c>
      <c r="N1406" t="inlineStr">
        <is>
          <t>Supplier Reported Emissions</t>
        </is>
      </c>
      <c r="O1406" t="b">
        <v>0</v>
      </c>
      <c r="P1406" t="inlineStr">
        <is>
          <t>High</t>
        </is>
      </c>
      <c r="Q1406" t="inlineStr">
        <is>
          <t>Scope_Emissions</t>
        </is>
      </c>
      <c r="R1406" t="inlineStr">
        <is>
          <t>Valid</t>
        </is>
      </c>
      <c r="S1406" t="n">
        <v>2037</v>
      </c>
      <c r="T1406" t="inlineStr">
        <is>
          <t>Supplier Target Pathway</t>
        </is>
      </c>
      <c r="U1406" t="n">
        <v>25170.1277</v>
      </c>
      <c r="V1406" t="n">
        <v>12932.4116</v>
      </c>
      <c r="W1406" t="n">
        <v>12932.4116</v>
      </c>
      <c r="X1406" t="n">
        <v>12932.4116</v>
      </c>
      <c r="Y1406" t="n">
        <v>12237.7161</v>
      </c>
      <c r="Z1406" t="n">
        <v>0.0005484</v>
      </c>
      <c r="AA1406" t="n">
        <v>0.4862</v>
      </c>
      <c r="AB1406" t="n">
        <v>0</v>
      </c>
      <c r="AC1406" t="n">
        <v>764.8573</v>
      </c>
      <c r="AD1406" t="n">
        <v>-67931.9724</v>
      </c>
      <c r="AE1406" t="n">
        <v>210188.5</v>
      </c>
      <c r="AF1406" t="n">
        <v>0.99</v>
      </c>
      <c r="AG1406" t="inlineStr">
        <is>
          <t>Low</t>
        </is>
      </c>
      <c r="AH1406" t="inlineStr">
        <is>
          <t>On Track</t>
        </is>
      </c>
    </row>
    <row r="1407">
      <c r="A1407" t="inlineStr">
        <is>
          <t>SUP-0088</t>
        </is>
      </c>
      <c r="B1407" t="inlineStr">
        <is>
          <t>Packaging Supplier 088</t>
        </is>
      </c>
      <c r="C1407" t="inlineStr">
        <is>
          <t>Packaging</t>
        </is>
      </c>
      <c r="D1407" t="n">
        <v>2024</v>
      </c>
      <c r="E1407" t="n">
        <v>2019</v>
      </c>
      <c r="F1407" t="n">
        <v>2035</v>
      </c>
      <c r="G1407" t="n">
        <v>20140.6729</v>
      </c>
      <c r="H1407" t="n">
        <v>4003.0138</v>
      </c>
      <c r="I1407" t="inlineStr"/>
      <c r="J1407" t="n">
        <v>12780.2569</v>
      </c>
      <c r="K1407" t="n">
        <v>23582117.97</v>
      </c>
      <c r="L1407" t="n">
        <v>76755971.09999999</v>
      </c>
      <c r="M1407" t="n">
        <v>20140.6729</v>
      </c>
      <c r="N1407" t="inlineStr">
        <is>
          <t>Supplier Reported Emissions</t>
        </is>
      </c>
      <c r="O1407" t="b">
        <v>0</v>
      </c>
      <c r="P1407" t="inlineStr">
        <is>
          <t>High</t>
        </is>
      </c>
      <c r="Q1407" t="inlineStr">
        <is>
          <t>Scope_Emissions</t>
        </is>
      </c>
      <c r="R1407" t="inlineStr">
        <is>
          <t>Valid</t>
        </is>
      </c>
      <c r="S1407" t="n">
        <v>2038</v>
      </c>
      <c r="T1407" t="inlineStr">
        <is>
          <t>Supplier Target Pathway</t>
        </is>
      </c>
      <c r="U1407" t="n">
        <v>25170.1277</v>
      </c>
      <c r="V1407" t="n">
        <v>12932.4116</v>
      </c>
      <c r="W1407" t="n">
        <v>12932.4116</v>
      </c>
      <c r="X1407" t="n">
        <v>12932.4116</v>
      </c>
      <c r="Y1407" t="n">
        <v>12237.7161</v>
      </c>
      <c r="Z1407" t="n">
        <v>0.0005484</v>
      </c>
      <c r="AA1407" t="n">
        <v>0.4862</v>
      </c>
      <c r="AB1407" t="n">
        <v>0</v>
      </c>
      <c r="AC1407" t="n">
        <v>764.8573</v>
      </c>
      <c r="AD1407" t="n">
        <v>-80864.38400000001</v>
      </c>
      <c r="AE1407" t="n">
        <v>223120.9116</v>
      </c>
      <c r="AF1407" t="n">
        <v>0.99</v>
      </c>
      <c r="AG1407" t="inlineStr">
        <is>
          <t>Low</t>
        </is>
      </c>
      <c r="AH1407" t="inlineStr">
        <is>
          <t>On Track</t>
        </is>
      </c>
    </row>
    <row r="1408">
      <c r="A1408" t="inlineStr">
        <is>
          <t>SUP-0088</t>
        </is>
      </c>
      <c r="B1408" t="inlineStr">
        <is>
          <t>Packaging Supplier 088</t>
        </is>
      </c>
      <c r="C1408" t="inlineStr">
        <is>
          <t>Packaging</t>
        </is>
      </c>
      <c r="D1408" t="n">
        <v>2024</v>
      </c>
      <c r="E1408" t="n">
        <v>2019</v>
      </c>
      <c r="F1408" t="n">
        <v>2035</v>
      </c>
      <c r="G1408" t="n">
        <v>20140.6729</v>
      </c>
      <c r="H1408" t="n">
        <v>4003.0138</v>
      </c>
      <c r="I1408" t="inlineStr"/>
      <c r="J1408" t="n">
        <v>12780.2569</v>
      </c>
      <c r="K1408" t="n">
        <v>23582117.97</v>
      </c>
      <c r="L1408" t="n">
        <v>76755971.09999999</v>
      </c>
      <c r="M1408" t="n">
        <v>20140.6729</v>
      </c>
      <c r="N1408" t="inlineStr">
        <is>
          <t>Supplier Reported Emissions</t>
        </is>
      </c>
      <c r="O1408" t="b">
        <v>0</v>
      </c>
      <c r="P1408" t="inlineStr">
        <is>
          <t>High</t>
        </is>
      </c>
      <c r="Q1408" t="inlineStr">
        <is>
          <t>Scope_Emissions</t>
        </is>
      </c>
      <c r="R1408" t="inlineStr">
        <is>
          <t>Valid</t>
        </is>
      </c>
      <c r="S1408" t="n">
        <v>2039</v>
      </c>
      <c r="T1408" t="inlineStr">
        <is>
          <t>Supplier Target Pathway</t>
        </is>
      </c>
      <c r="U1408" t="n">
        <v>25170.1277</v>
      </c>
      <c r="V1408" t="n">
        <v>12932.4116</v>
      </c>
      <c r="W1408" t="n">
        <v>12932.4116</v>
      </c>
      <c r="X1408" t="n">
        <v>12932.4116</v>
      </c>
      <c r="Y1408" t="n">
        <v>12237.7161</v>
      </c>
      <c r="Z1408" t="n">
        <v>0.0005484</v>
      </c>
      <c r="AA1408" t="n">
        <v>0.4862</v>
      </c>
      <c r="AB1408" t="n">
        <v>0</v>
      </c>
      <c r="AC1408" t="n">
        <v>764.8573</v>
      </c>
      <c r="AD1408" t="n">
        <v>-93796.7956</v>
      </c>
      <c r="AE1408" t="n">
        <v>236053.3232</v>
      </c>
      <c r="AF1408" t="n">
        <v>0.99</v>
      </c>
      <c r="AG1408" t="inlineStr">
        <is>
          <t>Low</t>
        </is>
      </c>
      <c r="AH1408" t="inlineStr">
        <is>
          <t>On Track</t>
        </is>
      </c>
    </row>
    <row r="1409">
      <c r="A1409" t="inlineStr">
        <is>
          <t>SUP-0088</t>
        </is>
      </c>
      <c r="B1409" t="inlineStr">
        <is>
          <t>Packaging Supplier 088</t>
        </is>
      </c>
      <c r="C1409" t="inlineStr">
        <is>
          <t>Packaging</t>
        </is>
      </c>
      <c r="D1409" t="n">
        <v>2024</v>
      </c>
      <c r="E1409" t="n">
        <v>2019</v>
      </c>
      <c r="F1409" t="n">
        <v>2035</v>
      </c>
      <c r="G1409" t="n">
        <v>20140.6729</v>
      </c>
      <c r="H1409" t="n">
        <v>4003.0138</v>
      </c>
      <c r="I1409" t="inlineStr"/>
      <c r="J1409" t="n">
        <v>12780.2569</v>
      </c>
      <c r="K1409" t="n">
        <v>23582117.97</v>
      </c>
      <c r="L1409" t="n">
        <v>76755971.09999999</v>
      </c>
      <c r="M1409" t="n">
        <v>20140.6729</v>
      </c>
      <c r="N1409" t="inlineStr">
        <is>
          <t>Supplier Reported Emissions</t>
        </is>
      </c>
      <c r="O1409" t="b">
        <v>0</v>
      </c>
      <c r="P1409" t="inlineStr">
        <is>
          <t>High</t>
        </is>
      </c>
      <c r="Q1409" t="inlineStr">
        <is>
          <t>Scope_Emissions</t>
        </is>
      </c>
      <c r="R1409" t="inlineStr">
        <is>
          <t>Valid</t>
        </is>
      </c>
      <c r="S1409" t="n">
        <v>2040</v>
      </c>
      <c r="T1409" t="inlineStr">
        <is>
          <t>Supplier Target Pathway</t>
        </is>
      </c>
      <c r="U1409" t="n">
        <v>25170.1277</v>
      </c>
      <c r="V1409" t="n">
        <v>12932.4116</v>
      </c>
      <c r="W1409" t="n">
        <v>12932.4116</v>
      </c>
      <c r="X1409" t="n">
        <v>12932.4116</v>
      </c>
      <c r="Y1409" t="n">
        <v>12237.7161</v>
      </c>
      <c r="Z1409" t="n">
        <v>0.0005484</v>
      </c>
      <c r="AA1409" t="n">
        <v>0.4862</v>
      </c>
      <c r="AB1409" t="n">
        <v>0</v>
      </c>
      <c r="AC1409" t="n">
        <v>764.8573</v>
      </c>
      <c r="AD1409" t="n">
        <v>-106729.2072</v>
      </c>
      <c r="AE1409" t="n">
        <v>248985.7348</v>
      </c>
      <c r="AF1409" t="n">
        <v>0.99</v>
      </c>
      <c r="AG1409" t="inlineStr">
        <is>
          <t>Low</t>
        </is>
      </c>
      <c r="AH1409" t="inlineStr">
        <is>
          <t>On Track</t>
        </is>
      </c>
    </row>
    <row r="1410">
      <c r="A1410" t="inlineStr">
        <is>
          <t>SUP-0089</t>
        </is>
      </c>
      <c r="B1410" t="inlineStr">
        <is>
          <t>Professional Supplier 089</t>
        </is>
      </c>
      <c r="C1410" t="inlineStr">
        <is>
          <t>Professional Services</t>
        </is>
      </c>
      <c r="D1410" t="n">
        <v>2024</v>
      </c>
      <c r="E1410" t="n">
        <v>2021</v>
      </c>
      <c r="F1410" t="n">
        <v>2035</v>
      </c>
      <c r="G1410" t="n">
        <v>579.8129</v>
      </c>
      <c r="H1410" t="n">
        <v>67.901</v>
      </c>
      <c r="I1410" t="n">
        <v>87.2749</v>
      </c>
      <c r="J1410" t="n">
        <v>408.4152</v>
      </c>
      <c r="K1410" t="inlineStr"/>
      <c r="L1410" t="n">
        <v>30853113.55</v>
      </c>
      <c r="M1410" t="n">
        <v>579.8129</v>
      </c>
      <c r="N1410" t="inlineStr">
        <is>
          <t>Supplier Reported Emissions</t>
        </is>
      </c>
      <c r="O1410" t="b">
        <v>0</v>
      </c>
      <c r="P1410" t="inlineStr">
        <is>
          <t>High</t>
        </is>
      </c>
      <c r="Q1410" t="inlineStr">
        <is>
          <t>Gross_Spend</t>
        </is>
      </c>
      <c r="R1410" t="inlineStr">
        <is>
          <t>Valid</t>
        </is>
      </c>
      <c r="S1410" t="n">
        <v>2025</v>
      </c>
      <c r="T1410" t="inlineStr">
        <is>
          <t>Supplier Target Pathway</t>
        </is>
      </c>
      <c r="U1410" t="n">
        <v>399.1534</v>
      </c>
      <c r="V1410" t="n">
        <v>244.2021</v>
      </c>
      <c r="W1410" t="n">
        <v>354.8816</v>
      </c>
      <c r="X1410" t="n">
        <v>354.8816</v>
      </c>
      <c r="Y1410" t="n">
        <v>44.2718</v>
      </c>
      <c r="Z1410" t="inlineStr"/>
      <c r="AA1410" t="inlineStr"/>
      <c r="AB1410" t="n">
        <v>110.6795</v>
      </c>
      <c r="AC1410" t="n">
        <v>11.068</v>
      </c>
      <c r="AD1410" t="n">
        <v>2331.3415</v>
      </c>
      <c r="AE1410" t="n">
        <v>354.8816</v>
      </c>
      <c r="AF1410" t="n">
        <v>0.99</v>
      </c>
      <c r="AG1410" t="inlineStr">
        <is>
          <t>Critical</t>
        </is>
      </c>
      <c r="AH1410" t="inlineStr">
        <is>
          <t>On Track to Glide Path</t>
        </is>
      </c>
    </row>
    <row r="1411">
      <c r="A1411" t="inlineStr">
        <is>
          <t>SUP-0089</t>
        </is>
      </c>
      <c r="B1411" t="inlineStr">
        <is>
          <t>Professional Supplier 089</t>
        </is>
      </c>
      <c r="C1411" t="inlineStr">
        <is>
          <t>Professional Services</t>
        </is>
      </c>
      <c r="D1411" t="n">
        <v>2024</v>
      </c>
      <c r="E1411" t="n">
        <v>2021</v>
      </c>
      <c r="F1411" t="n">
        <v>2035</v>
      </c>
      <c r="G1411" t="n">
        <v>579.8129</v>
      </c>
      <c r="H1411" t="n">
        <v>67.901</v>
      </c>
      <c r="I1411" t="n">
        <v>87.2749</v>
      </c>
      <c r="J1411" t="n">
        <v>408.4152</v>
      </c>
      <c r="K1411" t="inlineStr"/>
      <c r="L1411" t="n">
        <v>30853113.55</v>
      </c>
      <c r="M1411" t="n">
        <v>579.8129</v>
      </c>
      <c r="N1411" t="inlineStr">
        <is>
          <t>Supplier Reported Emissions</t>
        </is>
      </c>
      <c r="O1411" t="b">
        <v>0</v>
      </c>
      <c r="P1411" t="inlineStr">
        <is>
          <t>High</t>
        </is>
      </c>
      <c r="Q1411" t="inlineStr">
        <is>
          <t>Gross_Spend</t>
        </is>
      </c>
      <c r="R1411" t="inlineStr">
        <is>
          <t>Valid</t>
        </is>
      </c>
      <c r="S1411" t="n">
        <v>2026</v>
      </c>
      <c r="T1411" t="inlineStr">
        <is>
          <t>Supplier Target Pathway</t>
        </is>
      </c>
      <c r="U1411" t="n">
        <v>399.1534</v>
      </c>
      <c r="V1411" t="n">
        <v>244.2021</v>
      </c>
      <c r="W1411" t="n">
        <v>343.8136</v>
      </c>
      <c r="X1411" t="n">
        <v>343.8136</v>
      </c>
      <c r="Y1411" t="n">
        <v>55.3398</v>
      </c>
      <c r="Z1411" t="inlineStr"/>
      <c r="AA1411" t="inlineStr"/>
      <c r="AB1411" t="n">
        <v>99.6116</v>
      </c>
      <c r="AC1411" t="n">
        <v>11.068</v>
      </c>
      <c r="AD1411" t="n">
        <v>1987.5279</v>
      </c>
      <c r="AE1411" t="n">
        <v>698.6952</v>
      </c>
      <c r="AF1411" t="n">
        <v>0.99</v>
      </c>
      <c r="AG1411" t="inlineStr">
        <is>
          <t>Critical</t>
        </is>
      </c>
      <c r="AH1411" t="inlineStr">
        <is>
          <t>On Track to Glide Path</t>
        </is>
      </c>
    </row>
    <row r="1412">
      <c r="A1412" t="inlineStr">
        <is>
          <t>SUP-0089</t>
        </is>
      </c>
      <c r="B1412" t="inlineStr">
        <is>
          <t>Professional Supplier 089</t>
        </is>
      </c>
      <c r="C1412" t="inlineStr">
        <is>
          <t>Professional Services</t>
        </is>
      </c>
      <c r="D1412" t="n">
        <v>2024</v>
      </c>
      <c r="E1412" t="n">
        <v>2021</v>
      </c>
      <c r="F1412" t="n">
        <v>2035</v>
      </c>
      <c r="G1412" t="n">
        <v>579.8129</v>
      </c>
      <c r="H1412" t="n">
        <v>67.901</v>
      </c>
      <c r="I1412" t="n">
        <v>87.2749</v>
      </c>
      <c r="J1412" t="n">
        <v>408.4152</v>
      </c>
      <c r="K1412" t="inlineStr"/>
      <c r="L1412" t="n">
        <v>30853113.55</v>
      </c>
      <c r="M1412" t="n">
        <v>579.8129</v>
      </c>
      <c r="N1412" t="inlineStr">
        <is>
          <t>Supplier Reported Emissions</t>
        </is>
      </c>
      <c r="O1412" t="b">
        <v>0</v>
      </c>
      <c r="P1412" t="inlineStr">
        <is>
          <t>High</t>
        </is>
      </c>
      <c r="Q1412" t="inlineStr">
        <is>
          <t>Gross_Spend</t>
        </is>
      </c>
      <c r="R1412" t="inlineStr">
        <is>
          <t>Valid</t>
        </is>
      </c>
      <c r="S1412" t="n">
        <v>2027</v>
      </c>
      <c r="T1412" t="inlineStr">
        <is>
          <t>Supplier Target Pathway</t>
        </is>
      </c>
      <c r="U1412" t="n">
        <v>399.1534</v>
      </c>
      <c r="V1412" t="n">
        <v>244.2021</v>
      </c>
      <c r="W1412" t="n">
        <v>332.7457</v>
      </c>
      <c r="X1412" t="n">
        <v>332.7457</v>
      </c>
      <c r="Y1412" t="n">
        <v>66.40770000000001</v>
      </c>
      <c r="Z1412" t="inlineStr"/>
      <c r="AA1412" t="inlineStr"/>
      <c r="AB1412" t="n">
        <v>88.5436</v>
      </c>
      <c r="AC1412" t="n">
        <v>11.068</v>
      </c>
      <c r="AD1412" t="n">
        <v>1654.7822</v>
      </c>
      <c r="AE1412" t="n">
        <v>1031.4409</v>
      </c>
      <c r="AF1412" t="n">
        <v>0.99</v>
      </c>
      <c r="AG1412" t="inlineStr">
        <is>
          <t>Critical</t>
        </is>
      </c>
      <c r="AH1412" t="inlineStr">
        <is>
          <t>On Track to Glide Path</t>
        </is>
      </c>
    </row>
    <row r="1413">
      <c r="A1413" t="inlineStr">
        <is>
          <t>SUP-0089</t>
        </is>
      </c>
      <c r="B1413" t="inlineStr">
        <is>
          <t>Professional Supplier 089</t>
        </is>
      </c>
      <c r="C1413" t="inlineStr">
        <is>
          <t>Professional Services</t>
        </is>
      </c>
      <c r="D1413" t="n">
        <v>2024</v>
      </c>
      <c r="E1413" t="n">
        <v>2021</v>
      </c>
      <c r="F1413" t="n">
        <v>2035</v>
      </c>
      <c r="G1413" t="n">
        <v>579.8129</v>
      </c>
      <c r="H1413" t="n">
        <v>67.901</v>
      </c>
      <c r="I1413" t="n">
        <v>87.2749</v>
      </c>
      <c r="J1413" t="n">
        <v>408.4152</v>
      </c>
      <c r="K1413" t="inlineStr"/>
      <c r="L1413" t="n">
        <v>30853113.55</v>
      </c>
      <c r="M1413" t="n">
        <v>579.8129</v>
      </c>
      <c r="N1413" t="inlineStr">
        <is>
          <t>Supplier Reported Emissions</t>
        </is>
      </c>
      <c r="O1413" t="b">
        <v>0</v>
      </c>
      <c r="P1413" t="inlineStr">
        <is>
          <t>High</t>
        </is>
      </c>
      <c r="Q1413" t="inlineStr">
        <is>
          <t>Gross_Spend</t>
        </is>
      </c>
      <c r="R1413" t="inlineStr">
        <is>
          <t>Valid</t>
        </is>
      </c>
      <c r="S1413" t="n">
        <v>2028</v>
      </c>
      <c r="T1413" t="inlineStr">
        <is>
          <t>Supplier Target Pathway</t>
        </is>
      </c>
      <c r="U1413" t="n">
        <v>399.1534</v>
      </c>
      <c r="V1413" t="n">
        <v>244.2021</v>
      </c>
      <c r="W1413" t="n">
        <v>321.6777</v>
      </c>
      <c r="X1413" t="n">
        <v>321.6777</v>
      </c>
      <c r="Y1413" t="n">
        <v>77.4757</v>
      </c>
      <c r="Z1413" t="inlineStr"/>
      <c r="AA1413" t="inlineStr"/>
      <c r="AB1413" t="n">
        <v>77.4757</v>
      </c>
      <c r="AC1413" t="n">
        <v>11.068</v>
      </c>
      <c r="AD1413" t="n">
        <v>1333.1045</v>
      </c>
      <c r="AE1413" t="n">
        <v>1353.1186</v>
      </c>
      <c r="AF1413" t="n">
        <v>0.99</v>
      </c>
      <c r="AG1413" t="inlineStr">
        <is>
          <t>High</t>
        </is>
      </c>
      <c r="AH1413" t="inlineStr">
        <is>
          <t>On Track to Glide Path</t>
        </is>
      </c>
    </row>
    <row r="1414">
      <c r="A1414" t="inlineStr">
        <is>
          <t>SUP-0089</t>
        </is>
      </c>
      <c r="B1414" t="inlineStr">
        <is>
          <t>Professional Supplier 089</t>
        </is>
      </c>
      <c r="C1414" t="inlineStr">
        <is>
          <t>Professional Services</t>
        </is>
      </c>
      <c r="D1414" t="n">
        <v>2024</v>
      </c>
      <c r="E1414" t="n">
        <v>2021</v>
      </c>
      <c r="F1414" t="n">
        <v>2035</v>
      </c>
      <c r="G1414" t="n">
        <v>579.8129</v>
      </c>
      <c r="H1414" t="n">
        <v>67.901</v>
      </c>
      <c r="I1414" t="n">
        <v>87.2749</v>
      </c>
      <c r="J1414" t="n">
        <v>408.4152</v>
      </c>
      <c r="K1414" t="inlineStr"/>
      <c r="L1414" t="n">
        <v>30853113.55</v>
      </c>
      <c r="M1414" t="n">
        <v>579.8129</v>
      </c>
      <c r="N1414" t="inlineStr">
        <is>
          <t>Supplier Reported Emissions</t>
        </is>
      </c>
      <c r="O1414" t="b">
        <v>0</v>
      </c>
      <c r="P1414" t="inlineStr">
        <is>
          <t>High</t>
        </is>
      </c>
      <c r="Q1414" t="inlineStr">
        <is>
          <t>Gross_Spend</t>
        </is>
      </c>
      <c r="R1414" t="inlineStr">
        <is>
          <t>Valid</t>
        </is>
      </c>
      <c r="S1414" t="n">
        <v>2029</v>
      </c>
      <c r="T1414" t="inlineStr">
        <is>
          <t>Supplier Target Pathway</t>
        </is>
      </c>
      <c r="U1414" t="n">
        <v>399.1534</v>
      </c>
      <c r="V1414" t="n">
        <v>244.2021</v>
      </c>
      <c r="W1414" t="n">
        <v>310.6098</v>
      </c>
      <c r="X1414" t="n">
        <v>310.6098</v>
      </c>
      <c r="Y1414" t="n">
        <v>88.5436</v>
      </c>
      <c r="Z1414" t="inlineStr"/>
      <c r="AA1414" t="inlineStr"/>
      <c r="AB1414" t="n">
        <v>66.40770000000001</v>
      </c>
      <c r="AC1414" t="n">
        <v>11.068</v>
      </c>
      <c r="AD1414" t="n">
        <v>1022.4947</v>
      </c>
      <c r="AE1414" t="n">
        <v>1663.7284</v>
      </c>
      <c r="AF1414" t="n">
        <v>0.99</v>
      </c>
      <c r="AG1414" t="inlineStr">
        <is>
          <t>High</t>
        </is>
      </c>
      <c r="AH1414" t="inlineStr">
        <is>
          <t>On Track to Glide Path</t>
        </is>
      </c>
    </row>
    <row r="1415">
      <c r="A1415" t="inlineStr">
        <is>
          <t>SUP-0089</t>
        </is>
      </c>
      <c r="B1415" t="inlineStr">
        <is>
          <t>Professional Supplier 089</t>
        </is>
      </c>
      <c r="C1415" t="inlineStr">
        <is>
          <t>Professional Services</t>
        </is>
      </c>
      <c r="D1415" t="n">
        <v>2024</v>
      </c>
      <c r="E1415" t="n">
        <v>2021</v>
      </c>
      <c r="F1415" t="n">
        <v>2035</v>
      </c>
      <c r="G1415" t="n">
        <v>579.8129</v>
      </c>
      <c r="H1415" t="n">
        <v>67.901</v>
      </c>
      <c r="I1415" t="n">
        <v>87.2749</v>
      </c>
      <c r="J1415" t="n">
        <v>408.4152</v>
      </c>
      <c r="K1415" t="inlineStr"/>
      <c r="L1415" t="n">
        <v>30853113.55</v>
      </c>
      <c r="M1415" t="n">
        <v>579.8129</v>
      </c>
      <c r="N1415" t="inlineStr">
        <is>
          <t>Supplier Reported Emissions</t>
        </is>
      </c>
      <c r="O1415" t="b">
        <v>0</v>
      </c>
      <c r="P1415" t="inlineStr">
        <is>
          <t>High</t>
        </is>
      </c>
      <c r="Q1415" t="inlineStr">
        <is>
          <t>Gross_Spend</t>
        </is>
      </c>
      <c r="R1415" t="inlineStr">
        <is>
          <t>Valid</t>
        </is>
      </c>
      <c r="S1415" t="n">
        <v>2030</v>
      </c>
      <c r="T1415" t="inlineStr">
        <is>
          <t>Supplier Target Pathway</t>
        </is>
      </c>
      <c r="U1415" t="n">
        <v>399.1534</v>
      </c>
      <c r="V1415" t="n">
        <v>244.2021</v>
      </c>
      <c r="W1415" t="n">
        <v>299.5418</v>
      </c>
      <c r="X1415" t="n">
        <v>299.5418</v>
      </c>
      <c r="Y1415" t="n">
        <v>99.6116</v>
      </c>
      <c r="Z1415" t="inlineStr"/>
      <c r="AA1415" t="inlineStr"/>
      <c r="AB1415" t="n">
        <v>55.3398</v>
      </c>
      <c r="AC1415" t="n">
        <v>11.068</v>
      </c>
      <c r="AD1415" t="n">
        <v>722.9529</v>
      </c>
      <c r="AE1415" t="n">
        <v>1963.2702</v>
      </c>
      <c r="AF1415" t="n">
        <v>0.99</v>
      </c>
      <c r="AG1415" t="inlineStr">
        <is>
          <t>High</t>
        </is>
      </c>
      <c r="AH1415" t="inlineStr">
        <is>
          <t>On Track to Glide Path</t>
        </is>
      </c>
    </row>
    <row r="1416">
      <c r="A1416" t="inlineStr">
        <is>
          <t>SUP-0089</t>
        </is>
      </c>
      <c r="B1416" t="inlineStr">
        <is>
          <t>Professional Supplier 089</t>
        </is>
      </c>
      <c r="C1416" t="inlineStr">
        <is>
          <t>Professional Services</t>
        </is>
      </c>
      <c r="D1416" t="n">
        <v>2024</v>
      </c>
      <c r="E1416" t="n">
        <v>2021</v>
      </c>
      <c r="F1416" t="n">
        <v>2035</v>
      </c>
      <c r="G1416" t="n">
        <v>579.8129</v>
      </c>
      <c r="H1416" t="n">
        <v>67.901</v>
      </c>
      <c r="I1416" t="n">
        <v>87.2749</v>
      </c>
      <c r="J1416" t="n">
        <v>408.4152</v>
      </c>
      <c r="K1416" t="inlineStr"/>
      <c r="L1416" t="n">
        <v>30853113.55</v>
      </c>
      <c r="M1416" t="n">
        <v>579.8129</v>
      </c>
      <c r="N1416" t="inlineStr">
        <is>
          <t>Supplier Reported Emissions</t>
        </is>
      </c>
      <c r="O1416" t="b">
        <v>0</v>
      </c>
      <c r="P1416" t="inlineStr">
        <is>
          <t>High</t>
        </is>
      </c>
      <c r="Q1416" t="inlineStr">
        <is>
          <t>Gross_Spend</t>
        </is>
      </c>
      <c r="R1416" t="inlineStr">
        <is>
          <t>Valid</t>
        </is>
      </c>
      <c r="S1416" t="n">
        <v>2031</v>
      </c>
      <c r="T1416" t="inlineStr">
        <is>
          <t>Supplier Target Pathway</t>
        </is>
      </c>
      <c r="U1416" t="n">
        <v>399.1534</v>
      </c>
      <c r="V1416" t="n">
        <v>244.2021</v>
      </c>
      <c r="W1416" t="n">
        <v>288.4739</v>
      </c>
      <c r="X1416" t="n">
        <v>288.4739</v>
      </c>
      <c r="Y1416" t="n">
        <v>110.6795</v>
      </c>
      <c r="Z1416" t="inlineStr"/>
      <c r="AA1416" t="inlineStr"/>
      <c r="AB1416" t="n">
        <v>44.2718</v>
      </c>
      <c r="AC1416" t="n">
        <v>11.068</v>
      </c>
      <c r="AD1416" t="n">
        <v>434.479</v>
      </c>
      <c r="AE1416" t="n">
        <v>2251.7441</v>
      </c>
      <c r="AF1416" t="n">
        <v>0.99</v>
      </c>
      <c r="AG1416" t="inlineStr">
        <is>
          <t>High</t>
        </is>
      </c>
      <c r="AH1416" t="inlineStr">
        <is>
          <t>On Track to Glide Path</t>
        </is>
      </c>
    </row>
    <row r="1417">
      <c r="A1417" t="inlineStr">
        <is>
          <t>SUP-0089</t>
        </is>
      </c>
      <c r="B1417" t="inlineStr">
        <is>
          <t>Professional Supplier 089</t>
        </is>
      </c>
      <c r="C1417" t="inlineStr">
        <is>
          <t>Professional Services</t>
        </is>
      </c>
      <c r="D1417" t="n">
        <v>2024</v>
      </c>
      <c r="E1417" t="n">
        <v>2021</v>
      </c>
      <c r="F1417" t="n">
        <v>2035</v>
      </c>
      <c r="G1417" t="n">
        <v>579.8129</v>
      </c>
      <c r="H1417" t="n">
        <v>67.901</v>
      </c>
      <c r="I1417" t="n">
        <v>87.2749</v>
      </c>
      <c r="J1417" t="n">
        <v>408.4152</v>
      </c>
      <c r="K1417" t="inlineStr"/>
      <c r="L1417" t="n">
        <v>30853113.55</v>
      </c>
      <c r="M1417" t="n">
        <v>579.8129</v>
      </c>
      <c r="N1417" t="inlineStr">
        <is>
          <t>Supplier Reported Emissions</t>
        </is>
      </c>
      <c r="O1417" t="b">
        <v>0</v>
      </c>
      <c r="P1417" t="inlineStr">
        <is>
          <t>High</t>
        </is>
      </c>
      <c r="Q1417" t="inlineStr">
        <is>
          <t>Gross_Spend</t>
        </is>
      </c>
      <c r="R1417" t="inlineStr">
        <is>
          <t>Valid</t>
        </is>
      </c>
      <c r="S1417" t="n">
        <v>2032</v>
      </c>
      <c r="T1417" t="inlineStr">
        <is>
          <t>Supplier Target Pathway</t>
        </is>
      </c>
      <c r="U1417" t="n">
        <v>399.1534</v>
      </c>
      <c r="V1417" t="n">
        <v>244.2021</v>
      </c>
      <c r="W1417" t="n">
        <v>277.4059</v>
      </c>
      <c r="X1417" t="n">
        <v>277.4059</v>
      </c>
      <c r="Y1417" t="n">
        <v>121.7475</v>
      </c>
      <c r="Z1417" t="inlineStr"/>
      <c r="AA1417" t="inlineStr"/>
      <c r="AB1417" t="n">
        <v>33.2039</v>
      </c>
      <c r="AC1417" t="n">
        <v>11.068</v>
      </c>
      <c r="AD1417" t="n">
        <v>157.0731</v>
      </c>
      <c r="AE1417" t="n">
        <v>2529.15</v>
      </c>
      <c r="AF1417" t="n">
        <v>0.99</v>
      </c>
      <c r="AG1417" t="inlineStr">
        <is>
          <t>Medium</t>
        </is>
      </c>
      <c r="AH1417" t="inlineStr">
        <is>
          <t>On Track to Glide Path</t>
        </is>
      </c>
    </row>
    <row r="1418">
      <c r="A1418" t="inlineStr">
        <is>
          <t>SUP-0089</t>
        </is>
      </c>
      <c r="B1418" t="inlineStr">
        <is>
          <t>Professional Supplier 089</t>
        </is>
      </c>
      <c r="C1418" t="inlineStr">
        <is>
          <t>Professional Services</t>
        </is>
      </c>
      <c r="D1418" t="n">
        <v>2024</v>
      </c>
      <c r="E1418" t="n">
        <v>2021</v>
      </c>
      <c r="F1418" t="n">
        <v>2035</v>
      </c>
      <c r="G1418" t="n">
        <v>579.8129</v>
      </c>
      <c r="H1418" t="n">
        <v>67.901</v>
      </c>
      <c r="I1418" t="n">
        <v>87.2749</v>
      </c>
      <c r="J1418" t="n">
        <v>408.4152</v>
      </c>
      <c r="K1418" t="inlineStr"/>
      <c r="L1418" t="n">
        <v>30853113.55</v>
      </c>
      <c r="M1418" t="n">
        <v>579.8129</v>
      </c>
      <c r="N1418" t="inlineStr">
        <is>
          <t>Supplier Reported Emissions</t>
        </is>
      </c>
      <c r="O1418" t="b">
        <v>0</v>
      </c>
      <c r="P1418" t="inlineStr">
        <is>
          <t>High</t>
        </is>
      </c>
      <c r="Q1418" t="inlineStr">
        <is>
          <t>Gross_Spend</t>
        </is>
      </c>
      <c r="R1418" t="inlineStr">
        <is>
          <t>Valid</t>
        </is>
      </c>
      <c r="S1418" t="n">
        <v>2033</v>
      </c>
      <c r="T1418" t="inlineStr">
        <is>
          <t>Supplier Target Pathway</t>
        </is>
      </c>
      <c r="U1418" t="n">
        <v>399.1534</v>
      </c>
      <c r="V1418" t="n">
        <v>244.2021</v>
      </c>
      <c r="W1418" t="n">
        <v>266.338</v>
      </c>
      <c r="X1418" t="n">
        <v>266.338</v>
      </c>
      <c r="Y1418" t="n">
        <v>132.8154</v>
      </c>
      <c r="Z1418" t="inlineStr"/>
      <c r="AA1418" t="inlineStr"/>
      <c r="AB1418" t="n">
        <v>22.1359</v>
      </c>
      <c r="AC1418" t="n">
        <v>11.068</v>
      </c>
      <c r="AD1418" t="n">
        <v>-109.2649</v>
      </c>
      <c r="AE1418" t="n">
        <v>2795.488</v>
      </c>
      <c r="AF1418" t="n">
        <v>0.99</v>
      </c>
      <c r="AG1418" t="inlineStr">
        <is>
          <t>Medium</t>
        </is>
      </c>
      <c r="AH1418" t="inlineStr">
        <is>
          <t>On Track to Glide Path</t>
        </is>
      </c>
    </row>
    <row r="1419">
      <c r="A1419" t="inlineStr">
        <is>
          <t>SUP-0089</t>
        </is>
      </c>
      <c r="B1419" t="inlineStr">
        <is>
          <t>Professional Supplier 089</t>
        </is>
      </c>
      <c r="C1419" t="inlineStr">
        <is>
          <t>Professional Services</t>
        </is>
      </c>
      <c r="D1419" t="n">
        <v>2024</v>
      </c>
      <c r="E1419" t="n">
        <v>2021</v>
      </c>
      <c r="F1419" t="n">
        <v>2035</v>
      </c>
      <c r="G1419" t="n">
        <v>579.8129</v>
      </c>
      <c r="H1419" t="n">
        <v>67.901</v>
      </c>
      <c r="I1419" t="n">
        <v>87.2749</v>
      </c>
      <c r="J1419" t="n">
        <v>408.4152</v>
      </c>
      <c r="K1419" t="inlineStr"/>
      <c r="L1419" t="n">
        <v>30853113.55</v>
      </c>
      <c r="M1419" t="n">
        <v>579.8129</v>
      </c>
      <c r="N1419" t="inlineStr">
        <is>
          <t>Supplier Reported Emissions</t>
        </is>
      </c>
      <c r="O1419" t="b">
        <v>0</v>
      </c>
      <c r="P1419" t="inlineStr">
        <is>
          <t>High</t>
        </is>
      </c>
      <c r="Q1419" t="inlineStr">
        <is>
          <t>Gross_Spend</t>
        </is>
      </c>
      <c r="R1419" t="inlineStr">
        <is>
          <t>Valid</t>
        </is>
      </c>
      <c r="S1419" t="n">
        <v>2034</v>
      </c>
      <c r="T1419" t="inlineStr">
        <is>
          <t>Supplier Target Pathway</t>
        </is>
      </c>
      <c r="U1419" t="n">
        <v>399.1534</v>
      </c>
      <c r="V1419" t="n">
        <v>244.2021</v>
      </c>
      <c r="W1419" t="n">
        <v>255.27</v>
      </c>
      <c r="X1419" t="n">
        <v>255.27</v>
      </c>
      <c r="Y1419" t="n">
        <v>143.8834</v>
      </c>
      <c r="Z1419" t="inlineStr"/>
      <c r="AA1419" t="inlineStr"/>
      <c r="AB1419" t="n">
        <v>11.068</v>
      </c>
      <c r="AC1419" t="n">
        <v>11.068</v>
      </c>
      <c r="AD1419" t="n">
        <v>-364.5349</v>
      </c>
      <c r="AE1419" t="n">
        <v>3050.758</v>
      </c>
      <c r="AF1419" t="n">
        <v>0.99</v>
      </c>
      <c r="AG1419" t="inlineStr">
        <is>
          <t>Medium</t>
        </is>
      </c>
      <c r="AH1419" t="inlineStr">
        <is>
          <t>On Track to Glide Path</t>
        </is>
      </c>
    </row>
    <row r="1420">
      <c r="A1420" t="inlineStr">
        <is>
          <t>SUP-0089</t>
        </is>
      </c>
      <c r="B1420" t="inlineStr">
        <is>
          <t>Professional Supplier 089</t>
        </is>
      </c>
      <c r="C1420" t="inlineStr">
        <is>
          <t>Professional Services</t>
        </is>
      </c>
      <c r="D1420" t="n">
        <v>2024</v>
      </c>
      <c r="E1420" t="n">
        <v>2021</v>
      </c>
      <c r="F1420" t="n">
        <v>2035</v>
      </c>
      <c r="G1420" t="n">
        <v>579.8129</v>
      </c>
      <c r="H1420" t="n">
        <v>67.901</v>
      </c>
      <c r="I1420" t="n">
        <v>87.2749</v>
      </c>
      <c r="J1420" t="n">
        <v>408.4152</v>
      </c>
      <c r="K1420" t="inlineStr"/>
      <c r="L1420" t="n">
        <v>30853113.55</v>
      </c>
      <c r="M1420" t="n">
        <v>579.8129</v>
      </c>
      <c r="N1420" t="inlineStr">
        <is>
          <t>Supplier Reported Emissions</t>
        </is>
      </c>
      <c r="O1420" t="b">
        <v>0</v>
      </c>
      <c r="P1420" t="inlineStr">
        <is>
          <t>High</t>
        </is>
      </c>
      <c r="Q1420" t="inlineStr">
        <is>
          <t>Gross_Spend</t>
        </is>
      </c>
      <c r="R1420" t="inlineStr">
        <is>
          <t>Valid</t>
        </is>
      </c>
      <c r="S1420" t="n">
        <v>2035</v>
      </c>
      <c r="T1420" t="inlineStr">
        <is>
          <t>Supplier Target Pathway</t>
        </is>
      </c>
      <c r="U1420" t="n">
        <v>399.1534</v>
      </c>
      <c r="V1420" t="n">
        <v>244.2021</v>
      </c>
      <c r="W1420" t="n">
        <v>244.2021</v>
      </c>
      <c r="X1420" t="n">
        <v>244.2021</v>
      </c>
      <c r="Y1420" t="n">
        <v>154.9513</v>
      </c>
      <c r="Z1420" t="inlineStr"/>
      <c r="AA1420" t="inlineStr"/>
      <c r="AB1420" t="n">
        <v>0</v>
      </c>
      <c r="AC1420" t="n">
        <v>11.068</v>
      </c>
      <c r="AD1420" t="n">
        <v>-608.737</v>
      </c>
      <c r="AE1420" t="n">
        <v>3294.9601</v>
      </c>
      <c r="AF1420" t="n">
        <v>0.99</v>
      </c>
      <c r="AG1420" t="inlineStr">
        <is>
          <t>Low</t>
        </is>
      </c>
      <c r="AH1420" t="inlineStr">
        <is>
          <t>On Track</t>
        </is>
      </c>
    </row>
    <row r="1421">
      <c r="A1421" t="inlineStr">
        <is>
          <t>SUP-0089</t>
        </is>
      </c>
      <c r="B1421" t="inlineStr">
        <is>
          <t>Professional Supplier 089</t>
        </is>
      </c>
      <c r="C1421" t="inlineStr">
        <is>
          <t>Professional Services</t>
        </is>
      </c>
      <c r="D1421" t="n">
        <v>2024</v>
      </c>
      <c r="E1421" t="n">
        <v>2021</v>
      </c>
      <c r="F1421" t="n">
        <v>2035</v>
      </c>
      <c r="G1421" t="n">
        <v>579.8129</v>
      </c>
      <c r="H1421" t="n">
        <v>67.901</v>
      </c>
      <c r="I1421" t="n">
        <v>87.2749</v>
      </c>
      <c r="J1421" t="n">
        <v>408.4152</v>
      </c>
      <c r="K1421" t="inlineStr"/>
      <c r="L1421" t="n">
        <v>30853113.55</v>
      </c>
      <c r="M1421" t="n">
        <v>579.8129</v>
      </c>
      <c r="N1421" t="inlineStr">
        <is>
          <t>Supplier Reported Emissions</t>
        </is>
      </c>
      <c r="O1421" t="b">
        <v>0</v>
      </c>
      <c r="P1421" t="inlineStr">
        <is>
          <t>High</t>
        </is>
      </c>
      <c r="Q1421" t="inlineStr">
        <is>
          <t>Gross_Spend</t>
        </is>
      </c>
      <c r="R1421" t="inlineStr">
        <is>
          <t>Valid</t>
        </is>
      </c>
      <c r="S1421" t="n">
        <v>2036</v>
      </c>
      <c r="T1421" t="inlineStr">
        <is>
          <t>Supplier Target Pathway</t>
        </is>
      </c>
      <c r="U1421" t="n">
        <v>399.1534</v>
      </c>
      <c r="V1421" t="n">
        <v>244.2021</v>
      </c>
      <c r="W1421" t="n">
        <v>244.2021</v>
      </c>
      <c r="X1421" t="n">
        <v>244.2021</v>
      </c>
      <c r="Y1421" t="n">
        <v>154.9513</v>
      </c>
      <c r="Z1421" t="inlineStr"/>
      <c r="AA1421" t="inlineStr"/>
      <c r="AB1421" t="n">
        <v>0</v>
      </c>
      <c r="AC1421" t="n">
        <v>11.068</v>
      </c>
      <c r="AD1421" t="n">
        <v>-852.9391000000001</v>
      </c>
      <c r="AE1421" t="n">
        <v>3539.1622</v>
      </c>
      <c r="AF1421" t="n">
        <v>0.99</v>
      </c>
      <c r="AG1421" t="inlineStr">
        <is>
          <t>Low</t>
        </is>
      </c>
      <c r="AH1421" t="inlineStr">
        <is>
          <t>On Track</t>
        </is>
      </c>
    </row>
    <row r="1422">
      <c r="A1422" t="inlineStr">
        <is>
          <t>SUP-0089</t>
        </is>
      </c>
      <c r="B1422" t="inlineStr">
        <is>
          <t>Professional Supplier 089</t>
        </is>
      </c>
      <c r="C1422" t="inlineStr">
        <is>
          <t>Professional Services</t>
        </is>
      </c>
      <c r="D1422" t="n">
        <v>2024</v>
      </c>
      <c r="E1422" t="n">
        <v>2021</v>
      </c>
      <c r="F1422" t="n">
        <v>2035</v>
      </c>
      <c r="G1422" t="n">
        <v>579.8129</v>
      </c>
      <c r="H1422" t="n">
        <v>67.901</v>
      </c>
      <c r="I1422" t="n">
        <v>87.2749</v>
      </c>
      <c r="J1422" t="n">
        <v>408.4152</v>
      </c>
      <c r="K1422" t="inlineStr"/>
      <c r="L1422" t="n">
        <v>30853113.55</v>
      </c>
      <c r="M1422" t="n">
        <v>579.8129</v>
      </c>
      <c r="N1422" t="inlineStr">
        <is>
          <t>Supplier Reported Emissions</t>
        </is>
      </c>
      <c r="O1422" t="b">
        <v>0</v>
      </c>
      <c r="P1422" t="inlineStr">
        <is>
          <t>High</t>
        </is>
      </c>
      <c r="Q1422" t="inlineStr">
        <is>
          <t>Gross_Spend</t>
        </is>
      </c>
      <c r="R1422" t="inlineStr">
        <is>
          <t>Valid</t>
        </is>
      </c>
      <c r="S1422" t="n">
        <v>2037</v>
      </c>
      <c r="T1422" t="inlineStr">
        <is>
          <t>Supplier Target Pathway</t>
        </is>
      </c>
      <c r="U1422" t="n">
        <v>399.1534</v>
      </c>
      <c r="V1422" t="n">
        <v>244.2021</v>
      </c>
      <c r="W1422" t="n">
        <v>244.2021</v>
      </c>
      <c r="X1422" t="n">
        <v>244.2021</v>
      </c>
      <c r="Y1422" t="n">
        <v>154.9513</v>
      </c>
      <c r="Z1422" t="inlineStr"/>
      <c r="AA1422" t="inlineStr"/>
      <c r="AB1422" t="n">
        <v>0</v>
      </c>
      <c r="AC1422" t="n">
        <v>11.068</v>
      </c>
      <c r="AD1422" t="n">
        <v>-1097.1412</v>
      </c>
      <c r="AE1422" t="n">
        <v>3783.3643</v>
      </c>
      <c r="AF1422" t="n">
        <v>0.99</v>
      </c>
      <c r="AG1422" t="inlineStr">
        <is>
          <t>Low</t>
        </is>
      </c>
      <c r="AH1422" t="inlineStr">
        <is>
          <t>On Track</t>
        </is>
      </c>
    </row>
    <row r="1423">
      <c r="A1423" t="inlineStr">
        <is>
          <t>SUP-0089</t>
        </is>
      </c>
      <c r="B1423" t="inlineStr">
        <is>
          <t>Professional Supplier 089</t>
        </is>
      </c>
      <c r="C1423" t="inlineStr">
        <is>
          <t>Professional Services</t>
        </is>
      </c>
      <c r="D1423" t="n">
        <v>2024</v>
      </c>
      <c r="E1423" t="n">
        <v>2021</v>
      </c>
      <c r="F1423" t="n">
        <v>2035</v>
      </c>
      <c r="G1423" t="n">
        <v>579.8129</v>
      </c>
      <c r="H1423" t="n">
        <v>67.901</v>
      </c>
      <c r="I1423" t="n">
        <v>87.2749</v>
      </c>
      <c r="J1423" t="n">
        <v>408.4152</v>
      </c>
      <c r="K1423" t="inlineStr"/>
      <c r="L1423" t="n">
        <v>30853113.55</v>
      </c>
      <c r="M1423" t="n">
        <v>579.8129</v>
      </c>
      <c r="N1423" t="inlineStr">
        <is>
          <t>Supplier Reported Emissions</t>
        </is>
      </c>
      <c r="O1423" t="b">
        <v>0</v>
      </c>
      <c r="P1423" t="inlineStr">
        <is>
          <t>High</t>
        </is>
      </c>
      <c r="Q1423" t="inlineStr">
        <is>
          <t>Gross_Spend</t>
        </is>
      </c>
      <c r="R1423" t="inlineStr">
        <is>
          <t>Valid</t>
        </is>
      </c>
      <c r="S1423" t="n">
        <v>2038</v>
      </c>
      <c r="T1423" t="inlineStr">
        <is>
          <t>Supplier Target Pathway</t>
        </is>
      </c>
      <c r="U1423" t="n">
        <v>399.1534</v>
      </c>
      <c r="V1423" t="n">
        <v>244.2021</v>
      </c>
      <c r="W1423" t="n">
        <v>244.2021</v>
      </c>
      <c r="X1423" t="n">
        <v>244.2021</v>
      </c>
      <c r="Y1423" t="n">
        <v>154.9513</v>
      </c>
      <c r="Z1423" t="inlineStr"/>
      <c r="AA1423" t="inlineStr"/>
      <c r="AB1423" t="n">
        <v>0</v>
      </c>
      <c r="AC1423" t="n">
        <v>11.068</v>
      </c>
      <c r="AD1423" t="n">
        <v>-1341.3433</v>
      </c>
      <c r="AE1423" t="n">
        <v>4027.5664</v>
      </c>
      <c r="AF1423" t="n">
        <v>0.99</v>
      </c>
      <c r="AG1423" t="inlineStr">
        <is>
          <t>Low</t>
        </is>
      </c>
      <c r="AH1423" t="inlineStr">
        <is>
          <t>On Track</t>
        </is>
      </c>
    </row>
    <row r="1424">
      <c r="A1424" t="inlineStr">
        <is>
          <t>SUP-0089</t>
        </is>
      </c>
      <c r="B1424" t="inlineStr">
        <is>
          <t>Professional Supplier 089</t>
        </is>
      </c>
      <c r="C1424" t="inlineStr">
        <is>
          <t>Professional Services</t>
        </is>
      </c>
      <c r="D1424" t="n">
        <v>2024</v>
      </c>
      <c r="E1424" t="n">
        <v>2021</v>
      </c>
      <c r="F1424" t="n">
        <v>2035</v>
      </c>
      <c r="G1424" t="n">
        <v>579.8129</v>
      </c>
      <c r="H1424" t="n">
        <v>67.901</v>
      </c>
      <c r="I1424" t="n">
        <v>87.2749</v>
      </c>
      <c r="J1424" t="n">
        <v>408.4152</v>
      </c>
      <c r="K1424" t="inlineStr"/>
      <c r="L1424" t="n">
        <v>30853113.55</v>
      </c>
      <c r="M1424" t="n">
        <v>579.8129</v>
      </c>
      <c r="N1424" t="inlineStr">
        <is>
          <t>Supplier Reported Emissions</t>
        </is>
      </c>
      <c r="O1424" t="b">
        <v>0</v>
      </c>
      <c r="P1424" t="inlineStr">
        <is>
          <t>High</t>
        </is>
      </c>
      <c r="Q1424" t="inlineStr">
        <is>
          <t>Gross_Spend</t>
        </is>
      </c>
      <c r="R1424" t="inlineStr">
        <is>
          <t>Valid</t>
        </is>
      </c>
      <c r="S1424" t="n">
        <v>2039</v>
      </c>
      <c r="T1424" t="inlineStr">
        <is>
          <t>Supplier Target Pathway</t>
        </is>
      </c>
      <c r="U1424" t="n">
        <v>399.1534</v>
      </c>
      <c r="V1424" t="n">
        <v>244.2021</v>
      </c>
      <c r="W1424" t="n">
        <v>244.2021</v>
      </c>
      <c r="X1424" t="n">
        <v>244.2021</v>
      </c>
      <c r="Y1424" t="n">
        <v>154.9513</v>
      </c>
      <c r="Z1424" t="inlineStr"/>
      <c r="AA1424" t="inlineStr"/>
      <c r="AB1424" t="n">
        <v>0</v>
      </c>
      <c r="AC1424" t="n">
        <v>11.068</v>
      </c>
      <c r="AD1424" t="n">
        <v>-1585.5454</v>
      </c>
      <c r="AE1424" t="n">
        <v>4271.7685</v>
      </c>
      <c r="AF1424" t="n">
        <v>0.99</v>
      </c>
      <c r="AG1424" t="inlineStr">
        <is>
          <t>Low</t>
        </is>
      </c>
      <c r="AH1424" t="inlineStr">
        <is>
          <t>On Track</t>
        </is>
      </c>
    </row>
    <row r="1425">
      <c r="A1425" t="inlineStr">
        <is>
          <t>SUP-0089</t>
        </is>
      </c>
      <c r="B1425" t="inlineStr">
        <is>
          <t>Professional Supplier 089</t>
        </is>
      </c>
      <c r="C1425" t="inlineStr">
        <is>
          <t>Professional Services</t>
        </is>
      </c>
      <c r="D1425" t="n">
        <v>2024</v>
      </c>
      <c r="E1425" t="n">
        <v>2021</v>
      </c>
      <c r="F1425" t="n">
        <v>2035</v>
      </c>
      <c r="G1425" t="n">
        <v>579.8129</v>
      </c>
      <c r="H1425" t="n">
        <v>67.901</v>
      </c>
      <c r="I1425" t="n">
        <v>87.2749</v>
      </c>
      <c r="J1425" t="n">
        <v>408.4152</v>
      </c>
      <c r="K1425" t="inlineStr"/>
      <c r="L1425" t="n">
        <v>30853113.55</v>
      </c>
      <c r="M1425" t="n">
        <v>579.8129</v>
      </c>
      <c r="N1425" t="inlineStr">
        <is>
          <t>Supplier Reported Emissions</t>
        </is>
      </c>
      <c r="O1425" t="b">
        <v>0</v>
      </c>
      <c r="P1425" t="inlineStr">
        <is>
          <t>High</t>
        </is>
      </c>
      <c r="Q1425" t="inlineStr">
        <is>
          <t>Gross_Spend</t>
        </is>
      </c>
      <c r="R1425" t="inlineStr">
        <is>
          <t>Valid</t>
        </is>
      </c>
      <c r="S1425" t="n">
        <v>2040</v>
      </c>
      <c r="T1425" t="inlineStr">
        <is>
          <t>Supplier Target Pathway</t>
        </is>
      </c>
      <c r="U1425" t="n">
        <v>399.1534</v>
      </c>
      <c r="V1425" t="n">
        <v>244.2021</v>
      </c>
      <c r="W1425" t="n">
        <v>244.2021</v>
      </c>
      <c r="X1425" t="n">
        <v>244.2021</v>
      </c>
      <c r="Y1425" t="n">
        <v>154.9513</v>
      </c>
      <c r="Z1425" t="inlineStr"/>
      <c r="AA1425" t="inlineStr"/>
      <c r="AB1425" t="n">
        <v>0</v>
      </c>
      <c r="AC1425" t="n">
        <v>11.068</v>
      </c>
      <c r="AD1425" t="n">
        <v>-1829.7475</v>
      </c>
      <c r="AE1425" t="n">
        <v>4515.9706</v>
      </c>
      <c r="AF1425" t="n">
        <v>0.99</v>
      </c>
      <c r="AG1425" t="inlineStr">
        <is>
          <t>Low</t>
        </is>
      </c>
      <c r="AH1425" t="inlineStr">
        <is>
          <t>On Track</t>
        </is>
      </c>
    </row>
    <row r="1426">
      <c r="A1426" t="inlineStr">
        <is>
          <t>SUP-0090</t>
        </is>
      </c>
      <c r="B1426" t="inlineStr">
        <is>
          <t>Textiles Supplier 090</t>
        </is>
      </c>
      <c r="C1426" t="inlineStr">
        <is>
          <t>Textiles</t>
        </is>
      </c>
      <c r="D1426" t="n">
        <v>2024</v>
      </c>
      <c r="E1426" t="n">
        <v>2018</v>
      </c>
      <c r="F1426" t="n">
        <v>2040</v>
      </c>
      <c r="G1426" t="inlineStr"/>
      <c r="H1426" t="n">
        <v>1090.9428</v>
      </c>
      <c r="I1426" t="n">
        <v>488.8649</v>
      </c>
      <c r="J1426" t="n">
        <v>4233.7622</v>
      </c>
      <c r="K1426" t="n">
        <v>16851633.72</v>
      </c>
      <c r="L1426" t="n">
        <v>61760802.61</v>
      </c>
      <c r="M1426" t="n">
        <v>5813.5699</v>
      </c>
      <c r="N1426" t="inlineStr">
        <is>
          <t>Scope 1 + Scope 2 + Scope 3</t>
        </is>
      </c>
      <c r="O1426" t="b">
        <v>1</v>
      </c>
      <c r="P1426" t="inlineStr">
        <is>
          <t>High</t>
        </is>
      </c>
      <c r="Q1426" t="inlineStr">
        <is>
          <t>Reported_Emissions</t>
        </is>
      </c>
      <c r="R1426" t="inlineStr">
        <is>
          <t>Valid</t>
        </is>
      </c>
      <c r="S1426" t="n">
        <v>2025</v>
      </c>
      <c r="T1426" t="inlineStr">
        <is>
          <t>Supplier Target Pathway</t>
        </is>
      </c>
      <c r="U1426" t="n">
        <v>4216.2456</v>
      </c>
      <c r="V1426" t="n">
        <v>3027.686</v>
      </c>
      <c r="W1426" t="n">
        <v>3838.0675</v>
      </c>
      <c r="X1426" t="n">
        <v>3838.0675</v>
      </c>
      <c r="Y1426" t="n">
        <v>378.1781</v>
      </c>
      <c r="Z1426" t="n">
        <v>0.00022776</v>
      </c>
      <c r="AA1426" t="n">
        <v>0.089695</v>
      </c>
      <c r="AB1426" t="n">
        <v>810.3816</v>
      </c>
      <c r="AC1426" t="n">
        <v>54.0254</v>
      </c>
      <c r="AD1426" t="n">
        <v>44604.9085</v>
      </c>
      <c r="AE1426" t="n">
        <v>3838.0675</v>
      </c>
      <c r="AF1426" t="n">
        <v>0.986</v>
      </c>
      <c r="AG1426" t="inlineStr">
        <is>
          <t>High</t>
        </is>
      </c>
      <c r="AH1426" t="inlineStr">
        <is>
          <t>On Track to Glide Path</t>
        </is>
      </c>
    </row>
    <row r="1427">
      <c r="A1427" t="inlineStr">
        <is>
          <t>SUP-0090</t>
        </is>
      </c>
      <c r="B1427" t="inlineStr">
        <is>
          <t>Textiles Supplier 090</t>
        </is>
      </c>
      <c r="C1427" t="inlineStr">
        <is>
          <t>Textiles</t>
        </is>
      </c>
      <c r="D1427" t="n">
        <v>2024</v>
      </c>
      <c r="E1427" t="n">
        <v>2018</v>
      </c>
      <c r="F1427" t="n">
        <v>2040</v>
      </c>
      <c r="G1427" t="inlineStr"/>
      <c r="H1427" t="n">
        <v>1090.9428</v>
      </c>
      <c r="I1427" t="n">
        <v>488.8649</v>
      </c>
      <c r="J1427" t="n">
        <v>4233.7622</v>
      </c>
      <c r="K1427" t="n">
        <v>16851633.72</v>
      </c>
      <c r="L1427" t="n">
        <v>61760802.61</v>
      </c>
      <c r="M1427" t="n">
        <v>5813.5699</v>
      </c>
      <c r="N1427" t="inlineStr">
        <is>
          <t>Scope 1 + Scope 2 + Scope 3</t>
        </is>
      </c>
      <c r="O1427" t="b">
        <v>1</v>
      </c>
      <c r="P1427" t="inlineStr">
        <is>
          <t>High</t>
        </is>
      </c>
      <c r="Q1427" t="inlineStr">
        <is>
          <t>Reported_Emissions</t>
        </is>
      </c>
      <c r="R1427" t="inlineStr">
        <is>
          <t>Valid</t>
        </is>
      </c>
      <c r="S1427" t="n">
        <v>2026</v>
      </c>
      <c r="T1427" t="inlineStr">
        <is>
          <t>Supplier Target Pathway</t>
        </is>
      </c>
      <c r="U1427" t="n">
        <v>4216.2456</v>
      </c>
      <c r="V1427" t="n">
        <v>3027.686</v>
      </c>
      <c r="W1427" t="n">
        <v>3784.0421</v>
      </c>
      <c r="X1427" t="n">
        <v>3784.0421</v>
      </c>
      <c r="Y1427" t="n">
        <v>432.2035</v>
      </c>
      <c r="Z1427" t="n">
        <v>0.00022455</v>
      </c>
      <c r="AA1427" t="n">
        <v>0.102509</v>
      </c>
      <c r="AB1427" t="n">
        <v>756.3561</v>
      </c>
      <c r="AC1427" t="n">
        <v>54.0254</v>
      </c>
      <c r="AD1427" t="n">
        <v>40820.8664</v>
      </c>
      <c r="AE1427" t="n">
        <v>7622.1096</v>
      </c>
      <c r="AF1427" t="n">
        <v>0.986</v>
      </c>
      <c r="AG1427" t="inlineStr">
        <is>
          <t>High</t>
        </is>
      </c>
      <c r="AH1427" t="inlineStr">
        <is>
          <t>On Track to Glide Path</t>
        </is>
      </c>
    </row>
    <row r="1428">
      <c r="A1428" t="inlineStr">
        <is>
          <t>SUP-0090</t>
        </is>
      </c>
      <c r="B1428" t="inlineStr">
        <is>
          <t>Textiles Supplier 090</t>
        </is>
      </c>
      <c r="C1428" t="inlineStr">
        <is>
          <t>Textiles</t>
        </is>
      </c>
      <c r="D1428" t="n">
        <v>2024</v>
      </c>
      <c r="E1428" t="n">
        <v>2018</v>
      </c>
      <c r="F1428" t="n">
        <v>2040</v>
      </c>
      <c r="G1428" t="inlineStr"/>
      <c r="H1428" t="n">
        <v>1090.9428</v>
      </c>
      <c r="I1428" t="n">
        <v>488.8649</v>
      </c>
      <c r="J1428" t="n">
        <v>4233.7622</v>
      </c>
      <c r="K1428" t="n">
        <v>16851633.72</v>
      </c>
      <c r="L1428" t="n">
        <v>61760802.61</v>
      </c>
      <c r="M1428" t="n">
        <v>5813.5699</v>
      </c>
      <c r="N1428" t="inlineStr">
        <is>
          <t>Scope 1 + Scope 2 + Scope 3</t>
        </is>
      </c>
      <c r="O1428" t="b">
        <v>1</v>
      </c>
      <c r="P1428" t="inlineStr">
        <is>
          <t>High</t>
        </is>
      </c>
      <c r="Q1428" t="inlineStr">
        <is>
          <t>Reported_Emissions</t>
        </is>
      </c>
      <c r="R1428" t="inlineStr">
        <is>
          <t>Valid</t>
        </is>
      </c>
      <c r="S1428" t="n">
        <v>2027</v>
      </c>
      <c r="T1428" t="inlineStr">
        <is>
          <t>Supplier Target Pathway</t>
        </is>
      </c>
      <c r="U1428" t="n">
        <v>4216.2456</v>
      </c>
      <c r="V1428" t="n">
        <v>3027.686</v>
      </c>
      <c r="W1428" t="n">
        <v>3730.0167</v>
      </c>
      <c r="X1428" t="n">
        <v>3730.0167</v>
      </c>
      <c r="Y1428" t="n">
        <v>486.2289</v>
      </c>
      <c r="Z1428" t="n">
        <v>0.00022134</v>
      </c>
      <c r="AA1428" t="n">
        <v>0.115323</v>
      </c>
      <c r="AB1428" t="n">
        <v>702.3307</v>
      </c>
      <c r="AC1428" t="n">
        <v>54.0254</v>
      </c>
      <c r="AD1428" t="n">
        <v>37090.8497</v>
      </c>
      <c r="AE1428" t="n">
        <v>11352.1263</v>
      </c>
      <c r="AF1428" t="n">
        <v>0.986</v>
      </c>
      <c r="AG1428" t="inlineStr">
        <is>
          <t>High</t>
        </is>
      </c>
      <c r="AH1428" t="inlineStr">
        <is>
          <t>On Track to Glide Path</t>
        </is>
      </c>
    </row>
    <row r="1429">
      <c r="A1429" t="inlineStr">
        <is>
          <t>SUP-0090</t>
        </is>
      </c>
      <c r="B1429" t="inlineStr">
        <is>
          <t>Textiles Supplier 090</t>
        </is>
      </c>
      <c r="C1429" t="inlineStr">
        <is>
          <t>Textiles</t>
        </is>
      </c>
      <c r="D1429" t="n">
        <v>2024</v>
      </c>
      <c r="E1429" t="n">
        <v>2018</v>
      </c>
      <c r="F1429" t="n">
        <v>2040</v>
      </c>
      <c r="G1429" t="inlineStr"/>
      <c r="H1429" t="n">
        <v>1090.9428</v>
      </c>
      <c r="I1429" t="n">
        <v>488.8649</v>
      </c>
      <c r="J1429" t="n">
        <v>4233.7622</v>
      </c>
      <c r="K1429" t="n">
        <v>16851633.72</v>
      </c>
      <c r="L1429" t="n">
        <v>61760802.61</v>
      </c>
      <c r="M1429" t="n">
        <v>5813.5699</v>
      </c>
      <c r="N1429" t="inlineStr">
        <is>
          <t>Scope 1 + Scope 2 + Scope 3</t>
        </is>
      </c>
      <c r="O1429" t="b">
        <v>1</v>
      </c>
      <c r="P1429" t="inlineStr">
        <is>
          <t>High</t>
        </is>
      </c>
      <c r="Q1429" t="inlineStr">
        <is>
          <t>Reported_Emissions</t>
        </is>
      </c>
      <c r="R1429" t="inlineStr">
        <is>
          <t>Valid</t>
        </is>
      </c>
      <c r="S1429" t="n">
        <v>2028</v>
      </c>
      <c r="T1429" t="inlineStr">
        <is>
          <t>Supplier Target Pathway</t>
        </is>
      </c>
      <c r="U1429" t="n">
        <v>4216.2456</v>
      </c>
      <c r="V1429" t="n">
        <v>3027.686</v>
      </c>
      <c r="W1429" t="n">
        <v>3675.9912</v>
      </c>
      <c r="X1429" t="n">
        <v>3675.9912</v>
      </c>
      <c r="Y1429" t="n">
        <v>540.2544</v>
      </c>
      <c r="Z1429" t="n">
        <v>0.00021814</v>
      </c>
      <c r="AA1429" t="n">
        <v>0.128136</v>
      </c>
      <c r="AB1429" t="n">
        <v>648.3053</v>
      </c>
      <c r="AC1429" t="n">
        <v>54.0254</v>
      </c>
      <c r="AD1429" t="n">
        <v>33414.8585</v>
      </c>
      <c r="AE1429" t="n">
        <v>15028.1175</v>
      </c>
      <c r="AF1429" t="n">
        <v>0.986</v>
      </c>
      <c r="AG1429" t="inlineStr">
        <is>
          <t>High</t>
        </is>
      </c>
      <c r="AH1429" t="inlineStr">
        <is>
          <t>On Track to Glide Path</t>
        </is>
      </c>
    </row>
    <row r="1430">
      <c r="A1430" t="inlineStr">
        <is>
          <t>SUP-0090</t>
        </is>
      </c>
      <c r="B1430" t="inlineStr">
        <is>
          <t>Textiles Supplier 090</t>
        </is>
      </c>
      <c r="C1430" t="inlineStr">
        <is>
          <t>Textiles</t>
        </is>
      </c>
      <c r="D1430" t="n">
        <v>2024</v>
      </c>
      <c r="E1430" t="n">
        <v>2018</v>
      </c>
      <c r="F1430" t="n">
        <v>2040</v>
      </c>
      <c r="G1430" t="inlineStr"/>
      <c r="H1430" t="n">
        <v>1090.9428</v>
      </c>
      <c r="I1430" t="n">
        <v>488.8649</v>
      </c>
      <c r="J1430" t="n">
        <v>4233.7622</v>
      </c>
      <c r="K1430" t="n">
        <v>16851633.72</v>
      </c>
      <c r="L1430" t="n">
        <v>61760802.61</v>
      </c>
      <c r="M1430" t="n">
        <v>5813.5699</v>
      </c>
      <c r="N1430" t="inlineStr">
        <is>
          <t>Scope 1 + Scope 2 + Scope 3</t>
        </is>
      </c>
      <c r="O1430" t="b">
        <v>1</v>
      </c>
      <c r="P1430" t="inlineStr">
        <is>
          <t>High</t>
        </is>
      </c>
      <c r="Q1430" t="inlineStr">
        <is>
          <t>Reported_Emissions</t>
        </is>
      </c>
      <c r="R1430" t="inlineStr">
        <is>
          <t>Valid</t>
        </is>
      </c>
      <c r="S1430" t="n">
        <v>2029</v>
      </c>
      <c r="T1430" t="inlineStr">
        <is>
          <t>Supplier Target Pathway</t>
        </is>
      </c>
      <c r="U1430" t="n">
        <v>4216.2456</v>
      </c>
      <c r="V1430" t="n">
        <v>3027.686</v>
      </c>
      <c r="W1430" t="n">
        <v>3621.9658</v>
      </c>
      <c r="X1430" t="n">
        <v>3621.9658</v>
      </c>
      <c r="Y1430" t="n">
        <v>594.2798</v>
      </c>
      <c r="Z1430" t="n">
        <v>0.00021493</v>
      </c>
      <c r="AA1430" t="n">
        <v>0.14095</v>
      </c>
      <c r="AB1430" t="n">
        <v>594.2798</v>
      </c>
      <c r="AC1430" t="n">
        <v>54.0254</v>
      </c>
      <c r="AD1430" t="n">
        <v>29792.8927</v>
      </c>
      <c r="AE1430" t="n">
        <v>18650.0833</v>
      </c>
      <c r="AF1430" t="n">
        <v>0.986</v>
      </c>
      <c r="AG1430" t="inlineStr">
        <is>
          <t>High</t>
        </is>
      </c>
      <c r="AH1430" t="inlineStr">
        <is>
          <t>On Track to Glide Path</t>
        </is>
      </c>
    </row>
    <row r="1431">
      <c r="A1431" t="inlineStr">
        <is>
          <t>SUP-0090</t>
        </is>
      </c>
      <c r="B1431" t="inlineStr">
        <is>
          <t>Textiles Supplier 090</t>
        </is>
      </c>
      <c r="C1431" t="inlineStr">
        <is>
          <t>Textiles</t>
        </is>
      </c>
      <c r="D1431" t="n">
        <v>2024</v>
      </c>
      <c r="E1431" t="n">
        <v>2018</v>
      </c>
      <c r="F1431" t="n">
        <v>2040</v>
      </c>
      <c r="G1431" t="inlineStr"/>
      <c r="H1431" t="n">
        <v>1090.9428</v>
      </c>
      <c r="I1431" t="n">
        <v>488.8649</v>
      </c>
      <c r="J1431" t="n">
        <v>4233.7622</v>
      </c>
      <c r="K1431" t="n">
        <v>16851633.72</v>
      </c>
      <c r="L1431" t="n">
        <v>61760802.61</v>
      </c>
      <c r="M1431" t="n">
        <v>5813.5699</v>
      </c>
      <c r="N1431" t="inlineStr">
        <is>
          <t>Scope 1 + Scope 2 + Scope 3</t>
        </is>
      </c>
      <c r="O1431" t="b">
        <v>1</v>
      </c>
      <c r="P1431" t="inlineStr">
        <is>
          <t>High</t>
        </is>
      </c>
      <c r="Q1431" t="inlineStr">
        <is>
          <t>Reported_Emissions</t>
        </is>
      </c>
      <c r="R1431" t="inlineStr">
        <is>
          <t>Valid</t>
        </is>
      </c>
      <c r="S1431" t="n">
        <v>2030</v>
      </c>
      <c r="T1431" t="inlineStr">
        <is>
          <t>Supplier Target Pathway</t>
        </is>
      </c>
      <c r="U1431" t="n">
        <v>4216.2456</v>
      </c>
      <c r="V1431" t="n">
        <v>3027.686</v>
      </c>
      <c r="W1431" t="n">
        <v>3567.9403</v>
      </c>
      <c r="X1431" t="n">
        <v>3567.9403</v>
      </c>
      <c r="Y1431" t="n">
        <v>648.3053</v>
      </c>
      <c r="Z1431" t="n">
        <v>0.00021173</v>
      </c>
      <c r="AA1431" t="n">
        <v>0.153764</v>
      </c>
      <c r="AB1431" t="n">
        <v>540.2544</v>
      </c>
      <c r="AC1431" t="n">
        <v>54.0254</v>
      </c>
      <c r="AD1431" t="n">
        <v>26224.9524</v>
      </c>
      <c r="AE1431" t="n">
        <v>22218.0236</v>
      </c>
      <c r="AF1431" t="n">
        <v>0.986</v>
      </c>
      <c r="AG1431" t="inlineStr">
        <is>
          <t>High</t>
        </is>
      </c>
      <c r="AH1431" t="inlineStr">
        <is>
          <t>On Track to Glide Path</t>
        </is>
      </c>
    </row>
    <row r="1432">
      <c r="A1432" t="inlineStr">
        <is>
          <t>SUP-0090</t>
        </is>
      </c>
      <c r="B1432" t="inlineStr">
        <is>
          <t>Textiles Supplier 090</t>
        </is>
      </c>
      <c r="C1432" t="inlineStr">
        <is>
          <t>Textiles</t>
        </is>
      </c>
      <c r="D1432" t="n">
        <v>2024</v>
      </c>
      <c r="E1432" t="n">
        <v>2018</v>
      </c>
      <c r="F1432" t="n">
        <v>2040</v>
      </c>
      <c r="G1432" t="inlineStr"/>
      <c r="H1432" t="n">
        <v>1090.9428</v>
      </c>
      <c r="I1432" t="n">
        <v>488.8649</v>
      </c>
      <c r="J1432" t="n">
        <v>4233.7622</v>
      </c>
      <c r="K1432" t="n">
        <v>16851633.72</v>
      </c>
      <c r="L1432" t="n">
        <v>61760802.61</v>
      </c>
      <c r="M1432" t="n">
        <v>5813.5699</v>
      </c>
      <c r="N1432" t="inlineStr">
        <is>
          <t>Scope 1 + Scope 2 + Scope 3</t>
        </is>
      </c>
      <c r="O1432" t="b">
        <v>1</v>
      </c>
      <c r="P1432" t="inlineStr">
        <is>
          <t>High</t>
        </is>
      </c>
      <c r="Q1432" t="inlineStr">
        <is>
          <t>Reported_Emissions</t>
        </is>
      </c>
      <c r="R1432" t="inlineStr">
        <is>
          <t>Valid</t>
        </is>
      </c>
      <c r="S1432" t="n">
        <v>2031</v>
      </c>
      <c r="T1432" t="inlineStr">
        <is>
          <t>Supplier Target Pathway</t>
        </is>
      </c>
      <c r="U1432" t="n">
        <v>4216.2456</v>
      </c>
      <c r="V1432" t="n">
        <v>3027.686</v>
      </c>
      <c r="W1432" t="n">
        <v>3513.9149</v>
      </c>
      <c r="X1432" t="n">
        <v>3513.9149</v>
      </c>
      <c r="Y1432" t="n">
        <v>702.3307</v>
      </c>
      <c r="Z1432" t="n">
        <v>0.00020852</v>
      </c>
      <c r="AA1432" t="n">
        <v>0.166577</v>
      </c>
      <c r="AB1432" t="n">
        <v>486.2289</v>
      </c>
      <c r="AC1432" t="n">
        <v>54.0254</v>
      </c>
      <c r="AD1432" t="n">
        <v>22711.0375</v>
      </c>
      <c r="AE1432" t="n">
        <v>25731.9385</v>
      </c>
      <c r="AF1432" t="n">
        <v>0.986</v>
      </c>
      <c r="AG1432" t="inlineStr">
        <is>
          <t>High</t>
        </is>
      </c>
      <c r="AH1432" t="inlineStr">
        <is>
          <t>On Track to Glide Path</t>
        </is>
      </c>
    </row>
    <row r="1433">
      <c r="A1433" t="inlineStr">
        <is>
          <t>SUP-0090</t>
        </is>
      </c>
      <c r="B1433" t="inlineStr">
        <is>
          <t>Textiles Supplier 090</t>
        </is>
      </c>
      <c r="C1433" t="inlineStr">
        <is>
          <t>Textiles</t>
        </is>
      </c>
      <c r="D1433" t="n">
        <v>2024</v>
      </c>
      <c r="E1433" t="n">
        <v>2018</v>
      </c>
      <c r="F1433" t="n">
        <v>2040</v>
      </c>
      <c r="G1433" t="inlineStr"/>
      <c r="H1433" t="n">
        <v>1090.9428</v>
      </c>
      <c r="I1433" t="n">
        <v>488.8649</v>
      </c>
      <c r="J1433" t="n">
        <v>4233.7622</v>
      </c>
      <c r="K1433" t="n">
        <v>16851633.72</v>
      </c>
      <c r="L1433" t="n">
        <v>61760802.61</v>
      </c>
      <c r="M1433" t="n">
        <v>5813.5699</v>
      </c>
      <c r="N1433" t="inlineStr">
        <is>
          <t>Scope 1 + Scope 2 + Scope 3</t>
        </is>
      </c>
      <c r="O1433" t="b">
        <v>1</v>
      </c>
      <c r="P1433" t="inlineStr">
        <is>
          <t>High</t>
        </is>
      </c>
      <c r="Q1433" t="inlineStr">
        <is>
          <t>Reported_Emissions</t>
        </is>
      </c>
      <c r="R1433" t="inlineStr">
        <is>
          <t>Valid</t>
        </is>
      </c>
      <c r="S1433" t="n">
        <v>2032</v>
      </c>
      <c r="T1433" t="inlineStr">
        <is>
          <t>Supplier Target Pathway</t>
        </is>
      </c>
      <c r="U1433" t="n">
        <v>4216.2456</v>
      </c>
      <c r="V1433" t="n">
        <v>3027.686</v>
      </c>
      <c r="W1433" t="n">
        <v>3459.8895</v>
      </c>
      <c r="X1433" t="n">
        <v>3459.8895</v>
      </c>
      <c r="Y1433" t="n">
        <v>756.3561</v>
      </c>
      <c r="Z1433" t="n">
        <v>0.00020531</v>
      </c>
      <c r="AA1433" t="n">
        <v>0.179391</v>
      </c>
      <c r="AB1433" t="n">
        <v>432.2035</v>
      </c>
      <c r="AC1433" t="n">
        <v>54.0254</v>
      </c>
      <c r="AD1433" t="n">
        <v>19251.148</v>
      </c>
      <c r="AE1433" t="n">
        <v>29191.828</v>
      </c>
      <c r="AF1433" t="n">
        <v>0.986</v>
      </c>
      <c r="AG1433" t="inlineStr">
        <is>
          <t>Medium</t>
        </is>
      </c>
      <c r="AH1433" t="inlineStr">
        <is>
          <t>On Track to Glide Path</t>
        </is>
      </c>
    </row>
    <row r="1434">
      <c r="A1434" t="inlineStr">
        <is>
          <t>SUP-0090</t>
        </is>
      </c>
      <c r="B1434" t="inlineStr">
        <is>
          <t>Textiles Supplier 090</t>
        </is>
      </c>
      <c r="C1434" t="inlineStr">
        <is>
          <t>Textiles</t>
        </is>
      </c>
      <c r="D1434" t="n">
        <v>2024</v>
      </c>
      <c r="E1434" t="n">
        <v>2018</v>
      </c>
      <c r="F1434" t="n">
        <v>2040</v>
      </c>
      <c r="G1434" t="inlineStr"/>
      <c r="H1434" t="n">
        <v>1090.9428</v>
      </c>
      <c r="I1434" t="n">
        <v>488.8649</v>
      </c>
      <c r="J1434" t="n">
        <v>4233.7622</v>
      </c>
      <c r="K1434" t="n">
        <v>16851633.72</v>
      </c>
      <c r="L1434" t="n">
        <v>61760802.61</v>
      </c>
      <c r="M1434" t="n">
        <v>5813.5699</v>
      </c>
      <c r="N1434" t="inlineStr">
        <is>
          <t>Scope 1 + Scope 2 + Scope 3</t>
        </is>
      </c>
      <c r="O1434" t="b">
        <v>1</v>
      </c>
      <c r="P1434" t="inlineStr">
        <is>
          <t>High</t>
        </is>
      </c>
      <c r="Q1434" t="inlineStr">
        <is>
          <t>Reported_Emissions</t>
        </is>
      </c>
      <c r="R1434" t="inlineStr">
        <is>
          <t>Valid</t>
        </is>
      </c>
      <c r="S1434" t="n">
        <v>2033</v>
      </c>
      <c r="T1434" t="inlineStr">
        <is>
          <t>Supplier Target Pathway</t>
        </is>
      </c>
      <c r="U1434" t="n">
        <v>4216.2456</v>
      </c>
      <c r="V1434" t="n">
        <v>3027.686</v>
      </c>
      <c r="W1434" t="n">
        <v>3405.864</v>
      </c>
      <c r="X1434" t="n">
        <v>3405.864</v>
      </c>
      <c r="Y1434" t="n">
        <v>810.3816</v>
      </c>
      <c r="Z1434" t="n">
        <v>0.00020211</v>
      </c>
      <c r="AA1434" t="n">
        <v>0.192205</v>
      </c>
      <c r="AB1434" t="n">
        <v>378.1781</v>
      </c>
      <c r="AC1434" t="n">
        <v>54.0254</v>
      </c>
      <c r="AD1434" t="n">
        <v>15845.284</v>
      </c>
      <c r="AE1434" t="n">
        <v>32597.692</v>
      </c>
      <c r="AF1434" t="n">
        <v>0.986</v>
      </c>
      <c r="AG1434" t="inlineStr">
        <is>
          <t>Medium</t>
        </is>
      </c>
      <c r="AH1434" t="inlineStr">
        <is>
          <t>On Track to Glide Path</t>
        </is>
      </c>
    </row>
    <row r="1435">
      <c r="A1435" t="inlineStr">
        <is>
          <t>SUP-0090</t>
        </is>
      </c>
      <c r="B1435" t="inlineStr">
        <is>
          <t>Textiles Supplier 090</t>
        </is>
      </c>
      <c r="C1435" t="inlineStr">
        <is>
          <t>Textiles</t>
        </is>
      </c>
      <c r="D1435" t="n">
        <v>2024</v>
      </c>
      <c r="E1435" t="n">
        <v>2018</v>
      </c>
      <c r="F1435" t="n">
        <v>2040</v>
      </c>
      <c r="G1435" t="inlineStr"/>
      <c r="H1435" t="n">
        <v>1090.9428</v>
      </c>
      <c r="I1435" t="n">
        <v>488.8649</v>
      </c>
      <c r="J1435" t="n">
        <v>4233.7622</v>
      </c>
      <c r="K1435" t="n">
        <v>16851633.72</v>
      </c>
      <c r="L1435" t="n">
        <v>61760802.61</v>
      </c>
      <c r="M1435" t="n">
        <v>5813.5699</v>
      </c>
      <c r="N1435" t="inlineStr">
        <is>
          <t>Scope 1 + Scope 2 + Scope 3</t>
        </is>
      </c>
      <c r="O1435" t="b">
        <v>1</v>
      </c>
      <c r="P1435" t="inlineStr">
        <is>
          <t>High</t>
        </is>
      </c>
      <c r="Q1435" t="inlineStr">
        <is>
          <t>Reported_Emissions</t>
        </is>
      </c>
      <c r="R1435" t="inlineStr">
        <is>
          <t>Valid</t>
        </is>
      </c>
      <c r="S1435" t="n">
        <v>2034</v>
      </c>
      <c r="T1435" t="inlineStr">
        <is>
          <t>Supplier Target Pathway</t>
        </is>
      </c>
      <c r="U1435" t="n">
        <v>4216.2456</v>
      </c>
      <c r="V1435" t="n">
        <v>3027.686</v>
      </c>
      <c r="W1435" t="n">
        <v>3351.8386</v>
      </c>
      <c r="X1435" t="n">
        <v>3351.8386</v>
      </c>
      <c r="Y1435" t="n">
        <v>864.407</v>
      </c>
      <c r="Z1435" t="n">
        <v>0.0001989</v>
      </c>
      <c r="AA1435" t="n">
        <v>0.205018</v>
      </c>
      <c r="AB1435" t="n">
        <v>324.1526</v>
      </c>
      <c r="AC1435" t="n">
        <v>54.0254</v>
      </c>
      <c r="AD1435" t="n">
        <v>12493.4454</v>
      </c>
      <c r="AE1435" t="n">
        <v>35949.5306</v>
      </c>
      <c r="AF1435" t="n">
        <v>0.986</v>
      </c>
      <c r="AG1435" t="inlineStr">
        <is>
          <t>Medium</t>
        </is>
      </c>
      <c r="AH1435" t="inlineStr">
        <is>
          <t>On Track to Glide Path</t>
        </is>
      </c>
    </row>
    <row r="1436">
      <c r="A1436" t="inlineStr">
        <is>
          <t>SUP-0090</t>
        </is>
      </c>
      <c r="B1436" t="inlineStr">
        <is>
          <t>Textiles Supplier 090</t>
        </is>
      </c>
      <c r="C1436" t="inlineStr">
        <is>
          <t>Textiles</t>
        </is>
      </c>
      <c r="D1436" t="n">
        <v>2024</v>
      </c>
      <c r="E1436" t="n">
        <v>2018</v>
      </c>
      <c r="F1436" t="n">
        <v>2040</v>
      </c>
      <c r="G1436" t="inlineStr"/>
      <c r="H1436" t="n">
        <v>1090.9428</v>
      </c>
      <c r="I1436" t="n">
        <v>488.8649</v>
      </c>
      <c r="J1436" t="n">
        <v>4233.7622</v>
      </c>
      <c r="K1436" t="n">
        <v>16851633.72</v>
      </c>
      <c r="L1436" t="n">
        <v>61760802.61</v>
      </c>
      <c r="M1436" t="n">
        <v>5813.5699</v>
      </c>
      <c r="N1436" t="inlineStr">
        <is>
          <t>Scope 1 + Scope 2 + Scope 3</t>
        </is>
      </c>
      <c r="O1436" t="b">
        <v>1</v>
      </c>
      <c r="P1436" t="inlineStr">
        <is>
          <t>High</t>
        </is>
      </c>
      <c r="Q1436" t="inlineStr">
        <is>
          <t>Reported_Emissions</t>
        </is>
      </c>
      <c r="R1436" t="inlineStr">
        <is>
          <t>Valid</t>
        </is>
      </c>
      <c r="S1436" t="n">
        <v>2035</v>
      </c>
      <c r="T1436" t="inlineStr">
        <is>
          <t>Supplier Target Pathway</t>
        </is>
      </c>
      <c r="U1436" t="n">
        <v>4216.2456</v>
      </c>
      <c r="V1436" t="n">
        <v>3027.686</v>
      </c>
      <c r="W1436" t="n">
        <v>3297.8132</v>
      </c>
      <c r="X1436" t="n">
        <v>3297.8132</v>
      </c>
      <c r="Y1436" t="n">
        <v>918.4324</v>
      </c>
      <c r="Z1436" t="n">
        <v>0.0001957</v>
      </c>
      <c r="AA1436" t="n">
        <v>0.217832</v>
      </c>
      <c r="AB1436" t="n">
        <v>270.1272</v>
      </c>
      <c r="AC1436" t="n">
        <v>54.0254</v>
      </c>
      <c r="AD1436" t="n">
        <v>9195.6322</v>
      </c>
      <c r="AE1436" t="n">
        <v>39247.3438</v>
      </c>
      <c r="AF1436" t="n">
        <v>0.986</v>
      </c>
      <c r="AG1436" t="inlineStr">
        <is>
          <t>Medium</t>
        </is>
      </c>
      <c r="AH1436" t="inlineStr">
        <is>
          <t>On Track to Glide Path</t>
        </is>
      </c>
    </row>
    <row r="1437">
      <c r="A1437" t="inlineStr">
        <is>
          <t>SUP-0090</t>
        </is>
      </c>
      <c r="B1437" t="inlineStr">
        <is>
          <t>Textiles Supplier 090</t>
        </is>
      </c>
      <c r="C1437" t="inlineStr">
        <is>
          <t>Textiles</t>
        </is>
      </c>
      <c r="D1437" t="n">
        <v>2024</v>
      </c>
      <c r="E1437" t="n">
        <v>2018</v>
      </c>
      <c r="F1437" t="n">
        <v>2040</v>
      </c>
      <c r="G1437" t="inlineStr"/>
      <c r="H1437" t="n">
        <v>1090.9428</v>
      </c>
      <c r="I1437" t="n">
        <v>488.8649</v>
      </c>
      <c r="J1437" t="n">
        <v>4233.7622</v>
      </c>
      <c r="K1437" t="n">
        <v>16851633.72</v>
      </c>
      <c r="L1437" t="n">
        <v>61760802.61</v>
      </c>
      <c r="M1437" t="n">
        <v>5813.5699</v>
      </c>
      <c r="N1437" t="inlineStr">
        <is>
          <t>Scope 1 + Scope 2 + Scope 3</t>
        </is>
      </c>
      <c r="O1437" t="b">
        <v>1</v>
      </c>
      <c r="P1437" t="inlineStr">
        <is>
          <t>High</t>
        </is>
      </c>
      <c r="Q1437" t="inlineStr">
        <is>
          <t>Reported_Emissions</t>
        </is>
      </c>
      <c r="R1437" t="inlineStr">
        <is>
          <t>Valid</t>
        </is>
      </c>
      <c r="S1437" t="n">
        <v>2036</v>
      </c>
      <c r="T1437" t="inlineStr">
        <is>
          <t>Supplier Target Pathway</t>
        </is>
      </c>
      <c r="U1437" t="n">
        <v>4216.2456</v>
      </c>
      <c r="V1437" t="n">
        <v>3027.686</v>
      </c>
      <c r="W1437" t="n">
        <v>3243.7877</v>
      </c>
      <c r="X1437" t="n">
        <v>3243.7877</v>
      </c>
      <c r="Y1437" t="n">
        <v>972.4579</v>
      </c>
      <c r="Z1437" t="n">
        <v>0.00019249</v>
      </c>
      <c r="AA1437" t="n">
        <v>0.230645</v>
      </c>
      <c r="AB1437" t="n">
        <v>216.1018</v>
      </c>
      <c r="AC1437" t="n">
        <v>54.0254</v>
      </c>
      <c r="AD1437" t="n">
        <v>5951.8445</v>
      </c>
      <c r="AE1437" t="n">
        <v>42491.1315</v>
      </c>
      <c r="AF1437" t="n">
        <v>0.986</v>
      </c>
      <c r="AG1437" t="inlineStr">
        <is>
          <t>Medium</t>
        </is>
      </c>
      <c r="AH1437" t="inlineStr">
        <is>
          <t>On Track to Glide Path</t>
        </is>
      </c>
    </row>
    <row r="1438">
      <c r="A1438" t="inlineStr">
        <is>
          <t>SUP-0090</t>
        </is>
      </c>
      <c r="B1438" t="inlineStr">
        <is>
          <t>Textiles Supplier 090</t>
        </is>
      </c>
      <c r="C1438" t="inlineStr">
        <is>
          <t>Textiles</t>
        </is>
      </c>
      <c r="D1438" t="n">
        <v>2024</v>
      </c>
      <c r="E1438" t="n">
        <v>2018</v>
      </c>
      <c r="F1438" t="n">
        <v>2040</v>
      </c>
      <c r="G1438" t="inlineStr"/>
      <c r="H1438" t="n">
        <v>1090.9428</v>
      </c>
      <c r="I1438" t="n">
        <v>488.8649</v>
      </c>
      <c r="J1438" t="n">
        <v>4233.7622</v>
      </c>
      <c r="K1438" t="n">
        <v>16851633.72</v>
      </c>
      <c r="L1438" t="n">
        <v>61760802.61</v>
      </c>
      <c r="M1438" t="n">
        <v>5813.5699</v>
      </c>
      <c r="N1438" t="inlineStr">
        <is>
          <t>Scope 1 + Scope 2 + Scope 3</t>
        </is>
      </c>
      <c r="O1438" t="b">
        <v>1</v>
      </c>
      <c r="P1438" t="inlineStr">
        <is>
          <t>High</t>
        </is>
      </c>
      <c r="Q1438" t="inlineStr">
        <is>
          <t>Reported_Emissions</t>
        </is>
      </c>
      <c r="R1438" t="inlineStr">
        <is>
          <t>Valid</t>
        </is>
      </c>
      <c r="S1438" t="n">
        <v>2037</v>
      </c>
      <c r="T1438" t="inlineStr">
        <is>
          <t>Supplier Target Pathway</t>
        </is>
      </c>
      <c r="U1438" t="n">
        <v>4216.2456</v>
      </c>
      <c r="V1438" t="n">
        <v>3027.686</v>
      </c>
      <c r="W1438" t="n">
        <v>3189.7623</v>
      </c>
      <c r="X1438" t="n">
        <v>3189.7623</v>
      </c>
      <c r="Y1438" t="n">
        <v>1026.4833</v>
      </c>
      <c r="Z1438" t="n">
        <v>0.00018929</v>
      </c>
      <c r="AA1438" t="n">
        <v>0.243459</v>
      </c>
      <c r="AB1438" t="n">
        <v>162.0763</v>
      </c>
      <c r="AC1438" t="n">
        <v>54.0254</v>
      </c>
      <c r="AD1438" t="n">
        <v>2762.0822</v>
      </c>
      <c r="AE1438" t="n">
        <v>45680.8938</v>
      </c>
      <c r="AF1438" t="n">
        <v>0.986</v>
      </c>
      <c r="AG1438" t="inlineStr">
        <is>
          <t>Medium</t>
        </is>
      </c>
      <c r="AH1438" t="inlineStr">
        <is>
          <t>On Track to Glide Path</t>
        </is>
      </c>
    </row>
    <row r="1439">
      <c r="A1439" t="inlineStr">
        <is>
          <t>SUP-0090</t>
        </is>
      </c>
      <c r="B1439" t="inlineStr">
        <is>
          <t>Textiles Supplier 090</t>
        </is>
      </c>
      <c r="C1439" t="inlineStr">
        <is>
          <t>Textiles</t>
        </is>
      </c>
      <c r="D1439" t="n">
        <v>2024</v>
      </c>
      <c r="E1439" t="n">
        <v>2018</v>
      </c>
      <c r="F1439" t="n">
        <v>2040</v>
      </c>
      <c r="G1439" t="inlineStr"/>
      <c r="H1439" t="n">
        <v>1090.9428</v>
      </c>
      <c r="I1439" t="n">
        <v>488.8649</v>
      </c>
      <c r="J1439" t="n">
        <v>4233.7622</v>
      </c>
      <c r="K1439" t="n">
        <v>16851633.72</v>
      </c>
      <c r="L1439" t="n">
        <v>61760802.61</v>
      </c>
      <c r="M1439" t="n">
        <v>5813.5699</v>
      </c>
      <c r="N1439" t="inlineStr">
        <is>
          <t>Scope 1 + Scope 2 + Scope 3</t>
        </is>
      </c>
      <c r="O1439" t="b">
        <v>1</v>
      </c>
      <c r="P1439" t="inlineStr">
        <is>
          <t>High</t>
        </is>
      </c>
      <c r="Q1439" t="inlineStr">
        <is>
          <t>Reported_Emissions</t>
        </is>
      </c>
      <c r="R1439" t="inlineStr">
        <is>
          <t>Valid</t>
        </is>
      </c>
      <c r="S1439" t="n">
        <v>2038</v>
      </c>
      <c r="T1439" t="inlineStr">
        <is>
          <t>Supplier Target Pathway</t>
        </is>
      </c>
      <c r="U1439" t="n">
        <v>4216.2456</v>
      </c>
      <c r="V1439" t="n">
        <v>3027.686</v>
      </c>
      <c r="W1439" t="n">
        <v>3135.7368</v>
      </c>
      <c r="X1439" t="n">
        <v>3135.7368</v>
      </c>
      <c r="Y1439" t="n">
        <v>1080.5088</v>
      </c>
      <c r="Z1439" t="n">
        <v>0.00018608</v>
      </c>
      <c r="AA1439" t="n">
        <v>0.256273</v>
      </c>
      <c r="AB1439" t="n">
        <v>108.0509</v>
      </c>
      <c r="AC1439" t="n">
        <v>54.0254</v>
      </c>
      <c r="AD1439" t="n">
        <v>-373.6546</v>
      </c>
      <c r="AE1439" t="n">
        <v>48816.6306</v>
      </c>
      <c r="AF1439" t="n">
        <v>0.986</v>
      </c>
      <c r="AG1439" t="inlineStr">
        <is>
          <t>Medium</t>
        </is>
      </c>
      <c r="AH1439" t="inlineStr">
        <is>
          <t>On Track to Glide Path</t>
        </is>
      </c>
    </row>
    <row r="1440">
      <c r="A1440" t="inlineStr">
        <is>
          <t>SUP-0090</t>
        </is>
      </c>
      <c r="B1440" t="inlineStr">
        <is>
          <t>Textiles Supplier 090</t>
        </is>
      </c>
      <c r="C1440" t="inlineStr">
        <is>
          <t>Textiles</t>
        </is>
      </c>
      <c r="D1440" t="n">
        <v>2024</v>
      </c>
      <c r="E1440" t="n">
        <v>2018</v>
      </c>
      <c r="F1440" t="n">
        <v>2040</v>
      </c>
      <c r="G1440" t="inlineStr"/>
      <c r="H1440" t="n">
        <v>1090.9428</v>
      </c>
      <c r="I1440" t="n">
        <v>488.8649</v>
      </c>
      <c r="J1440" t="n">
        <v>4233.7622</v>
      </c>
      <c r="K1440" t="n">
        <v>16851633.72</v>
      </c>
      <c r="L1440" t="n">
        <v>61760802.61</v>
      </c>
      <c r="M1440" t="n">
        <v>5813.5699</v>
      </c>
      <c r="N1440" t="inlineStr">
        <is>
          <t>Scope 1 + Scope 2 + Scope 3</t>
        </is>
      </c>
      <c r="O1440" t="b">
        <v>1</v>
      </c>
      <c r="P1440" t="inlineStr">
        <is>
          <t>High</t>
        </is>
      </c>
      <c r="Q1440" t="inlineStr">
        <is>
          <t>Reported_Emissions</t>
        </is>
      </c>
      <c r="R1440" t="inlineStr">
        <is>
          <t>Valid</t>
        </is>
      </c>
      <c r="S1440" t="n">
        <v>2039</v>
      </c>
      <c r="T1440" t="inlineStr">
        <is>
          <t>Supplier Target Pathway</t>
        </is>
      </c>
      <c r="U1440" t="n">
        <v>4216.2456</v>
      </c>
      <c r="V1440" t="n">
        <v>3027.686</v>
      </c>
      <c r="W1440" t="n">
        <v>3081.7114</v>
      </c>
      <c r="X1440" t="n">
        <v>3081.7114</v>
      </c>
      <c r="Y1440" t="n">
        <v>1134.5342</v>
      </c>
      <c r="Z1440" t="n">
        <v>0.00018287</v>
      </c>
      <c r="AA1440" t="n">
        <v>0.269086</v>
      </c>
      <c r="AB1440" t="n">
        <v>54.0254</v>
      </c>
      <c r="AC1440" t="n">
        <v>54.0254</v>
      </c>
      <c r="AD1440" t="n">
        <v>-3455.366</v>
      </c>
      <c r="AE1440" t="n">
        <v>51898.342</v>
      </c>
      <c r="AF1440" t="n">
        <v>0.986</v>
      </c>
      <c r="AG1440" t="inlineStr">
        <is>
          <t>Medium</t>
        </is>
      </c>
      <c r="AH1440" t="inlineStr">
        <is>
          <t>On Track to Glide Path</t>
        </is>
      </c>
    </row>
    <row r="1441">
      <c r="A1441" t="inlineStr">
        <is>
          <t>SUP-0090</t>
        </is>
      </c>
      <c r="B1441" t="inlineStr">
        <is>
          <t>Textiles Supplier 090</t>
        </is>
      </c>
      <c r="C1441" t="inlineStr">
        <is>
          <t>Textiles</t>
        </is>
      </c>
      <c r="D1441" t="n">
        <v>2024</v>
      </c>
      <c r="E1441" t="n">
        <v>2018</v>
      </c>
      <c r="F1441" t="n">
        <v>2040</v>
      </c>
      <c r="G1441" t="inlineStr"/>
      <c r="H1441" t="n">
        <v>1090.9428</v>
      </c>
      <c r="I1441" t="n">
        <v>488.8649</v>
      </c>
      <c r="J1441" t="n">
        <v>4233.7622</v>
      </c>
      <c r="K1441" t="n">
        <v>16851633.72</v>
      </c>
      <c r="L1441" t="n">
        <v>61760802.61</v>
      </c>
      <c r="M1441" t="n">
        <v>5813.5699</v>
      </c>
      <c r="N1441" t="inlineStr">
        <is>
          <t>Scope 1 + Scope 2 + Scope 3</t>
        </is>
      </c>
      <c r="O1441" t="b">
        <v>1</v>
      </c>
      <c r="P1441" t="inlineStr">
        <is>
          <t>High</t>
        </is>
      </c>
      <c r="Q1441" t="inlineStr">
        <is>
          <t>Reported_Emissions</t>
        </is>
      </c>
      <c r="R1441" t="inlineStr">
        <is>
          <t>Valid</t>
        </is>
      </c>
      <c r="S1441" t="n">
        <v>2040</v>
      </c>
      <c r="T1441" t="inlineStr">
        <is>
          <t>Supplier Target Pathway</t>
        </is>
      </c>
      <c r="U1441" t="n">
        <v>4216.2456</v>
      </c>
      <c r="V1441" t="n">
        <v>3027.686</v>
      </c>
      <c r="W1441" t="n">
        <v>3027.686</v>
      </c>
      <c r="X1441" t="n">
        <v>3027.686</v>
      </c>
      <c r="Y1441" t="n">
        <v>1188.5596</v>
      </c>
      <c r="Z1441" t="n">
        <v>0.00017967</v>
      </c>
      <c r="AA1441" t="n">
        <v>0.2819</v>
      </c>
      <c r="AB1441" t="n">
        <v>0</v>
      </c>
      <c r="AC1441" t="n">
        <v>54.0254</v>
      </c>
      <c r="AD1441" t="n">
        <v>-6483.052</v>
      </c>
      <c r="AE1441" t="n">
        <v>54926.028</v>
      </c>
      <c r="AF1441" t="n">
        <v>0.986</v>
      </c>
      <c r="AG1441" t="inlineStr">
        <is>
          <t>Low</t>
        </is>
      </c>
      <c r="AH1441" t="inlineStr">
        <is>
          <t>On Track</t>
        </is>
      </c>
    </row>
    <row r="1442">
      <c r="A1442" t="inlineStr">
        <is>
          <t>SUP-0091</t>
        </is>
      </c>
      <c r="B1442" t="inlineStr">
        <is>
          <t>Professional Supplier 091</t>
        </is>
      </c>
      <c r="C1442" t="inlineStr">
        <is>
          <t>Professional Services</t>
        </is>
      </c>
      <c r="D1442" t="n">
        <v>2024</v>
      </c>
      <c r="E1442" t="n">
        <v>2015</v>
      </c>
      <c r="F1442" t="n">
        <v>2040</v>
      </c>
      <c r="G1442" t="n">
        <v>7596.4693</v>
      </c>
      <c r="H1442" t="n">
        <v>1299.2721</v>
      </c>
      <c r="I1442" t="n">
        <v>965.5072</v>
      </c>
      <c r="J1442" t="n">
        <v>5158.2355</v>
      </c>
      <c r="K1442" t="n">
        <v>40971367.96</v>
      </c>
      <c r="L1442" t="n">
        <v>151901369.24</v>
      </c>
      <c r="M1442" t="n">
        <v>7596.4693</v>
      </c>
      <c r="N1442" t="inlineStr">
        <is>
          <t>Supplier Reported Emissions</t>
        </is>
      </c>
      <c r="O1442" t="b">
        <v>0</v>
      </c>
      <c r="P1442" t="inlineStr">
        <is>
          <t>High</t>
        </is>
      </c>
      <c r="Q1442" t="inlineStr">
        <is>
          <t>None</t>
        </is>
      </c>
      <c r="R1442" t="inlineStr">
        <is>
          <t>Valid</t>
        </is>
      </c>
      <c r="S1442" t="n">
        <v>2025</v>
      </c>
      <c r="T1442" t="inlineStr">
        <is>
          <t>Historical Trend Pathway</t>
        </is>
      </c>
      <c r="U1442" t="n">
        <v>3419.8152</v>
      </c>
      <c r="V1442" t="n">
        <v>3248.8244</v>
      </c>
      <c r="W1442" t="n">
        <v>8186.2474</v>
      </c>
      <c r="X1442" t="n">
        <v>3351.4189</v>
      </c>
      <c r="Y1442" t="n">
        <v>-4766.4322</v>
      </c>
      <c r="Z1442" t="n">
        <v>0.0001998</v>
      </c>
      <c r="AA1442" t="n">
        <v>-1.393769</v>
      </c>
      <c r="AB1442" t="n">
        <v>4937.423</v>
      </c>
      <c r="AC1442" t="n">
        <v>6.8396</v>
      </c>
      <c r="AD1442" t="n">
        <v>43794.943</v>
      </c>
      <c r="AE1442" t="n">
        <v>8186.2474</v>
      </c>
      <c r="AF1442" t="n">
        <v>0.8159999999999999</v>
      </c>
      <c r="AG1442" t="inlineStr">
        <is>
          <t>Critical</t>
        </is>
      </c>
      <c r="AH1442" t="inlineStr">
        <is>
          <t>Off Track</t>
        </is>
      </c>
    </row>
    <row r="1443">
      <c r="A1443" t="inlineStr">
        <is>
          <t>SUP-0091</t>
        </is>
      </c>
      <c r="B1443" t="inlineStr">
        <is>
          <t>Professional Supplier 091</t>
        </is>
      </c>
      <c r="C1443" t="inlineStr">
        <is>
          <t>Professional Services</t>
        </is>
      </c>
      <c r="D1443" t="n">
        <v>2024</v>
      </c>
      <c r="E1443" t="n">
        <v>2015</v>
      </c>
      <c r="F1443" t="n">
        <v>2040</v>
      </c>
      <c r="G1443" t="n">
        <v>7596.4693</v>
      </c>
      <c r="H1443" t="n">
        <v>1299.2721</v>
      </c>
      <c r="I1443" t="n">
        <v>965.5072</v>
      </c>
      <c r="J1443" t="n">
        <v>5158.2355</v>
      </c>
      <c r="K1443" t="n">
        <v>40971367.96</v>
      </c>
      <c r="L1443" t="n">
        <v>151901369.24</v>
      </c>
      <c r="M1443" t="n">
        <v>7596.4693</v>
      </c>
      <c r="N1443" t="inlineStr">
        <is>
          <t>Supplier Reported Emissions</t>
        </is>
      </c>
      <c r="O1443" t="b">
        <v>0</v>
      </c>
      <c r="P1443" t="inlineStr">
        <is>
          <t>High</t>
        </is>
      </c>
      <c r="Q1443" t="inlineStr">
        <is>
          <t>None</t>
        </is>
      </c>
      <c r="R1443" t="inlineStr">
        <is>
          <t>Valid</t>
        </is>
      </c>
      <c r="S1443" t="n">
        <v>2026</v>
      </c>
      <c r="T1443" t="inlineStr">
        <is>
          <t>Historical Trend Pathway</t>
        </is>
      </c>
      <c r="U1443" t="n">
        <v>3419.8152</v>
      </c>
      <c r="V1443" t="n">
        <v>3248.8244</v>
      </c>
      <c r="W1443" t="n">
        <v>8821.815000000001</v>
      </c>
      <c r="X1443" t="n">
        <v>3344.5793</v>
      </c>
      <c r="Y1443" t="n">
        <v>-5401.9998</v>
      </c>
      <c r="Z1443" t="n">
        <v>0.00021532</v>
      </c>
      <c r="AA1443" t="n">
        <v>-1.579617</v>
      </c>
      <c r="AB1443" t="n">
        <v>5572.9905</v>
      </c>
      <c r="AC1443" t="n">
        <v>6.8396</v>
      </c>
      <c r="AD1443" t="n">
        <v>34973.128</v>
      </c>
      <c r="AE1443" t="n">
        <v>17008.0624</v>
      </c>
      <c r="AF1443" t="n">
        <v>0.8159999999999999</v>
      </c>
      <c r="AG1443" t="inlineStr">
        <is>
          <t>Critical</t>
        </is>
      </c>
      <c r="AH1443" t="inlineStr">
        <is>
          <t>Off Track</t>
        </is>
      </c>
    </row>
    <row r="1444">
      <c r="A1444" t="inlineStr">
        <is>
          <t>SUP-0091</t>
        </is>
      </c>
      <c r="B1444" t="inlineStr">
        <is>
          <t>Professional Supplier 091</t>
        </is>
      </c>
      <c r="C1444" t="inlineStr">
        <is>
          <t>Professional Services</t>
        </is>
      </c>
      <c r="D1444" t="n">
        <v>2024</v>
      </c>
      <c r="E1444" t="n">
        <v>2015</v>
      </c>
      <c r="F1444" t="n">
        <v>2040</v>
      </c>
      <c r="G1444" t="n">
        <v>7596.4693</v>
      </c>
      <c r="H1444" t="n">
        <v>1299.2721</v>
      </c>
      <c r="I1444" t="n">
        <v>965.5072</v>
      </c>
      <c r="J1444" t="n">
        <v>5158.2355</v>
      </c>
      <c r="K1444" t="n">
        <v>40971367.96</v>
      </c>
      <c r="L1444" t="n">
        <v>151901369.24</v>
      </c>
      <c r="M1444" t="n">
        <v>7596.4693</v>
      </c>
      <c r="N1444" t="inlineStr">
        <is>
          <t>Supplier Reported Emissions</t>
        </is>
      </c>
      <c r="O1444" t="b">
        <v>0</v>
      </c>
      <c r="P1444" t="inlineStr">
        <is>
          <t>High</t>
        </is>
      </c>
      <c r="Q1444" t="inlineStr">
        <is>
          <t>None</t>
        </is>
      </c>
      <c r="R1444" t="inlineStr">
        <is>
          <t>Valid</t>
        </is>
      </c>
      <c r="S1444" t="n">
        <v>2027</v>
      </c>
      <c r="T1444" t="inlineStr">
        <is>
          <t>Historical Trend Pathway</t>
        </is>
      </c>
      <c r="U1444" t="n">
        <v>3419.8152</v>
      </c>
      <c r="V1444" t="n">
        <v>3248.8244</v>
      </c>
      <c r="W1444" t="n">
        <v>9506.727000000001</v>
      </c>
      <c r="X1444" t="n">
        <v>3337.7396</v>
      </c>
      <c r="Y1444" t="n">
        <v>-6086.9118</v>
      </c>
      <c r="Z1444" t="n">
        <v>0.00023203</v>
      </c>
      <c r="AA1444" t="n">
        <v>-1.779895</v>
      </c>
      <c r="AB1444" t="n">
        <v>6257.9026</v>
      </c>
      <c r="AC1444" t="n">
        <v>6.8396</v>
      </c>
      <c r="AD1444" t="n">
        <v>25466.401</v>
      </c>
      <c r="AE1444" t="n">
        <v>26514.7894</v>
      </c>
      <c r="AF1444" t="n">
        <v>0.8159999999999999</v>
      </c>
      <c r="AG1444" t="inlineStr">
        <is>
          <t>Critical</t>
        </is>
      </c>
      <c r="AH1444" t="inlineStr">
        <is>
          <t>Off Track</t>
        </is>
      </c>
    </row>
    <row r="1445">
      <c r="A1445" t="inlineStr">
        <is>
          <t>SUP-0091</t>
        </is>
      </c>
      <c r="B1445" t="inlineStr">
        <is>
          <t>Professional Supplier 091</t>
        </is>
      </c>
      <c r="C1445" t="inlineStr">
        <is>
          <t>Professional Services</t>
        </is>
      </c>
      <c r="D1445" t="n">
        <v>2024</v>
      </c>
      <c r="E1445" t="n">
        <v>2015</v>
      </c>
      <c r="F1445" t="n">
        <v>2040</v>
      </c>
      <c r="G1445" t="n">
        <v>7596.4693</v>
      </c>
      <c r="H1445" t="n">
        <v>1299.2721</v>
      </c>
      <c r="I1445" t="n">
        <v>965.5072</v>
      </c>
      <c r="J1445" t="n">
        <v>5158.2355</v>
      </c>
      <c r="K1445" t="n">
        <v>40971367.96</v>
      </c>
      <c r="L1445" t="n">
        <v>151901369.24</v>
      </c>
      <c r="M1445" t="n">
        <v>7596.4693</v>
      </c>
      <c r="N1445" t="inlineStr">
        <is>
          <t>Supplier Reported Emissions</t>
        </is>
      </c>
      <c r="O1445" t="b">
        <v>0</v>
      </c>
      <c r="P1445" t="inlineStr">
        <is>
          <t>High</t>
        </is>
      </c>
      <c r="Q1445" t="inlineStr">
        <is>
          <t>None</t>
        </is>
      </c>
      <c r="R1445" t="inlineStr">
        <is>
          <t>Valid</t>
        </is>
      </c>
      <c r="S1445" t="n">
        <v>2028</v>
      </c>
      <c r="T1445" t="inlineStr">
        <is>
          <t>Historical Trend Pathway</t>
        </is>
      </c>
      <c r="U1445" t="n">
        <v>3419.8152</v>
      </c>
      <c r="V1445" t="n">
        <v>3248.8244</v>
      </c>
      <c r="W1445" t="n">
        <v>10244.8146</v>
      </c>
      <c r="X1445" t="n">
        <v>3330.9</v>
      </c>
      <c r="Y1445" t="n">
        <v>-6824.9994</v>
      </c>
      <c r="Z1445" t="n">
        <v>0.00025005</v>
      </c>
      <c r="AA1445" t="n">
        <v>-1.995722</v>
      </c>
      <c r="AB1445" t="n">
        <v>6995.9901</v>
      </c>
      <c r="AC1445" t="n">
        <v>6.8396</v>
      </c>
      <c r="AD1445" t="n">
        <v>15221.5864</v>
      </c>
      <c r="AE1445" t="n">
        <v>36759.604</v>
      </c>
      <c r="AF1445" t="n">
        <v>0.8159999999999999</v>
      </c>
      <c r="AG1445" t="inlineStr">
        <is>
          <t>Critical</t>
        </is>
      </c>
      <c r="AH1445" t="inlineStr">
        <is>
          <t>Off Track</t>
        </is>
      </c>
    </row>
    <row r="1446">
      <c r="A1446" t="inlineStr">
        <is>
          <t>SUP-0091</t>
        </is>
      </c>
      <c r="B1446" t="inlineStr">
        <is>
          <t>Professional Supplier 091</t>
        </is>
      </c>
      <c r="C1446" t="inlineStr">
        <is>
          <t>Professional Services</t>
        </is>
      </c>
      <c r="D1446" t="n">
        <v>2024</v>
      </c>
      <c r="E1446" t="n">
        <v>2015</v>
      </c>
      <c r="F1446" t="n">
        <v>2040</v>
      </c>
      <c r="G1446" t="n">
        <v>7596.4693</v>
      </c>
      <c r="H1446" t="n">
        <v>1299.2721</v>
      </c>
      <c r="I1446" t="n">
        <v>965.5072</v>
      </c>
      <c r="J1446" t="n">
        <v>5158.2355</v>
      </c>
      <c r="K1446" t="n">
        <v>40971367.96</v>
      </c>
      <c r="L1446" t="n">
        <v>151901369.24</v>
      </c>
      <c r="M1446" t="n">
        <v>7596.4693</v>
      </c>
      <c r="N1446" t="inlineStr">
        <is>
          <t>Supplier Reported Emissions</t>
        </is>
      </c>
      <c r="O1446" t="b">
        <v>0</v>
      </c>
      <c r="P1446" t="inlineStr">
        <is>
          <t>High</t>
        </is>
      </c>
      <c r="Q1446" t="inlineStr">
        <is>
          <t>None</t>
        </is>
      </c>
      <c r="R1446" t="inlineStr">
        <is>
          <t>Valid</t>
        </is>
      </c>
      <c r="S1446" t="n">
        <v>2029</v>
      </c>
      <c r="T1446" t="inlineStr">
        <is>
          <t>Historical Trend Pathway</t>
        </is>
      </c>
      <c r="U1446" t="n">
        <v>3419.8152</v>
      </c>
      <c r="V1446" t="n">
        <v>3248.8244</v>
      </c>
      <c r="W1446" t="n">
        <v>11040.2061</v>
      </c>
      <c r="X1446" t="n">
        <v>3324.0604</v>
      </c>
      <c r="Y1446" t="n">
        <v>-7620.3909</v>
      </c>
      <c r="Z1446" t="n">
        <v>0.00026946</v>
      </c>
      <c r="AA1446" t="n">
        <v>-2.228305</v>
      </c>
      <c r="AB1446" t="n">
        <v>7791.3816</v>
      </c>
      <c r="AC1446" t="n">
        <v>6.8396</v>
      </c>
      <c r="AD1446" t="n">
        <v>4181.3803</v>
      </c>
      <c r="AE1446" t="n">
        <v>47799.8101</v>
      </c>
      <c r="AF1446" t="n">
        <v>0.8159999999999999</v>
      </c>
      <c r="AG1446" t="inlineStr">
        <is>
          <t>Critical</t>
        </is>
      </c>
      <c r="AH1446" t="inlineStr">
        <is>
          <t>Off Track</t>
        </is>
      </c>
    </row>
    <row r="1447">
      <c r="A1447" t="inlineStr">
        <is>
          <t>SUP-0091</t>
        </is>
      </c>
      <c r="B1447" t="inlineStr">
        <is>
          <t>Professional Supplier 091</t>
        </is>
      </c>
      <c r="C1447" t="inlineStr">
        <is>
          <t>Professional Services</t>
        </is>
      </c>
      <c r="D1447" t="n">
        <v>2024</v>
      </c>
      <c r="E1447" t="n">
        <v>2015</v>
      </c>
      <c r="F1447" t="n">
        <v>2040</v>
      </c>
      <c r="G1447" t="n">
        <v>7596.4693</v>
      </c>
      <c r="H1447" t="n">
        <v>1299.2721</v>
      </c>
      <c r="I1447" t="n">
        <v>965.5072</v>
      </c>
      <c r="J1447" t="n">
        <v>5158.2355</v>
      </c>
      <c r="K1447" t="n">
        <v>40971367.96</v>
      </c>
      <c r="L1447" t="n">
        <v>151901369.24</v>
      </c>
      <c r="M1447" t="n">
        <v>7596.4693</v>
      </c>
      <c r="N1447" t="inlineStr">
        <is>
          <t>Supplier Reported Emissions</t>
        </is>
      </c>
      <c r="O1447" t="b">
        <v>0</v>
      </c>
      <c r="P1447" t="inlineStr">
        <is>
          <t>High</t>
        </is>
      </c>
      <c r="Q1447" t="inlineStr">
        <is>
          <t>None</t>
        </is>
      </c>
      <c r="R1447" t="inlineStr">
        <is>
          <t>Valid</t>
        </is>
      </c>
      <c r="S1447" t="n">
        <v>2030</v>
      </c>
      <c r="T1447" t="inlineStr">
        <is>
          <t>Historical Trend Pathway</t>
        </is>
      </c>
      <c r="U1447" t="n">
        <v>3419.8152</v>
      </c>
      <c r="V1447" t="n">
        <v>3248.8244</v>
      </c>
      <c r="W1447" t="n">
        <v>11897.3506</v>
      </c>
      <c r="X1447" t="n">
        <v>3317.2207</v>
      </c>
      <c r="Y1447" t="n">
        <v>-8477.535400000001</v>
      </c>
      <c r="Z1447" t="n">
        <v>0.00029038</v>
      </c>
      <c r="AA1447" t="n">
        <v>-2.478945</v>
      </c>
      <c r="AB1447" t="n">
        <v>8648.526099999999</v>
      </c>
      <c r="AC1447" t="n">
        <v>6.8396</v>
      </c>
      <c r="AD1447" t="n">
        <v>-7715.9703</v>
      </c>
      <c r="AE1447" t="n">
        <v>59697.1607</v>
      </c>
      <c r="AF1447" t="n">
        <v>0.8159999999999999</v>
      </c>
      <c r="AG1447" t="inlineStr">
        <is>
          <t>Critical</t>
        </is>
      </c>
      <c r="AH1447" t="inlineStr">
        <is>
          <t>Off Track</t>
        </is>
      </c>
    </row>
    <row r="1448">
      <c r="A1448" t="inlineStr">
        <is>
          <t>SUP-0091</t>
        </is>
      </c>
      <c r="B1448" t="inlineStr">
        <is>
          <t>Professional Supplier 091</t>
        </is>
      </c>
      <c r="C1448" t="inlineStr">
        <is>
          <t>Professional Services</t>
        </is>
      </c>
      <c r="D1448" t="n">
        <v>2024</v>
      </c>
      <c r="E1448" t="n">
        <v>2015</v>
      </c>
      <c r="F1448" t="n">
        <v>2040</v>
      </c>
      <c r="G1448" t="n">
        <v>7596.4693</v>
      </c>
      <c r="H1448" t="n">
        <v>1299.2721</v>
      </c>
      <c r="I1448" t="n">
        <v>965.5072</v>
      </c>
      <c r="J1448" t="n">
        <v>5158.2355</v>
      </c>
      <c r="K1448" t="n">
        <v>40971367.96</v>
      </c>
      <c r="L1448" t="n">
        <v>151901369.24</v>
      </c>
      <c r="M1448" t="n">
        <v>7596.4693</v>
      </c>
      <c r="N1448" t="inlineStr">
        <is>
          <t>Supplier Reported Emissions</t>
        </is>
      </c>
      <c r="O1448" t="b">
        <v>0</v>
      </c>
      <c r="P1448" t="inlineStr">
        <is>
          <t>High</t>
        </is>
      </c>
      <c r="Q1448" t="inlineStr">
        <is>
          <t>None</t>
        </is>
      </c>
      <c r="R1448" t="inlineStr">
        <is>
          <t>Valid</t>
        </is>
      </c>
      <c r="S1448" t="n">
        <v>2031</v>
      </c>
      <c r="T1448" t="inlineStr">
        <is>
          <t>Historical Trend Pathway</t>
        </is>
      </c>
      <c r="U1448" t="n">
        <v>3419.8152</v>
      </c>
      <c r="V1448" t="n">
        <v>3248.8244</v>
      </c>
      <c r="W1448" t="n">
        <v>12821.0424</v>
      </c>
      <c r="X1448" t="n">
        <v>3310.3811</v>
      </c>
      <c r="Y1448" t="n">
        <v>-9401.227199999999</v>
      </c>
      <c r="Z1448" t="n">
        <v>0.00031293</v>
      </c>
      <c r="AA1448" t="n">
        <v>-2.749045</v>
      </c>
      <c r="AB1448" t="n">
        <v>9572.218000000001</v>
      </c>
      <c r="AC1448" t="n">
        <v>6.8396</v>
      </c>
      <c r="AD1448" t="n">
        <v>-20537.0127</v>
      </c>
      <c r="AE1448" t="n">
        <v>72518.2031</v>
      </c>
      <c r="AF1448" t="n">
        <v>0.8159999999999999</v>
      </c>
      <c r="AG1448" t="inlineStr">
        <is>
          <t>Critical</t>
        </is>
      </c>
      <c r="AH1448" t="inlineStr">
        <is>
          <t>Off Track</t>
        </is>
      </c>
    </row>
    <row r="1449">
      <c r="A1449" t="inlineStr">
        <is>
          <t>SUP-0091</t>
        </is>
      </c>
      <c r="B1449" t="inlineStr">
        <is>
          <t>Professional Supplier 091</t>
        </is>
      </c>
      <c r="C1449" t="inlineStr">
        <is>
          <t>Professional Services</t>
        </is>
      </c>
      <c r="D1449" t="n">
        <v>2024</v>
      </c>
      <c r="E1449" t="n">
        <v>2015</v>
      </c>
      <c r="F1449" t="n">
        <v>2040</v>
      </c>
      <c r="G1449" t="n">
        <v>7596.4693</v>
      </c>
      <c r="H1449" t="n">
        <v>1299.2721</v>
      </c>
      <c r="I1449" t="n">
        <v>965.5072</v>
      </c>
      <c r="J1449" t="n">
        <v>5158.2355</v>
      </c>
      <c r="K1449" t="n">
        <v>40971367.96</v>
      </c>
      <c r="L1449" t="n">
        <v>151901369.24</v>
      </c>
      <c r="M1449" t="n">
        <v>7596.4693</v>
      </c>
      <c r="N1449" t="inlineStr">
        <is>
          <t>Supplier Reported Emissions</t>
        </is>
      </c>
      <c r="O1449" t="b">
        <v>0</v>
      </c>
      <c r="P1449" t="inlineStr">
        <is>
          <t>High</t>
        </is>
      </c>
      <c r="Q1449" t="inlineStr">
        <is>
          <t>None</t>
        </is>
      </c>
      <c r="R1449" t="inlineStr">
        <is>
          <t>Valid</t>
        </is>
      </c>
      <c r="S1449" t="n">
        <v>2032</v>
      </c>
      <c r="T1449" t="inlineStr">
        <is>
          <t>Historical Trend Pathway</t>
        </is>
      </c>
      <c r="U1449" t="n">
        <v>3419.8152</v>
      </c>
      <c r="V1449" t="n">
        <v>3248.8244</v>
      </c>
      <c r="W1449" t="n">
        <v>13816.4483</v>
      </c>
      <c r="X1449" t="n">
        <v>3303.5415</v>
      </c>
      <c r="Y1449" t="n">
        <v>-10396.6331</v>
      </c>
      <c r="Z1449" t="n">
        <v>0.00033722</v>
      </c>
      <c r="AA1449" t="n">
        <v>-3.040115</v>
      </c>
      <c r="AB1449" t="n">
        <v>10567.6238</v>
      </c>
      <c r="AC1449" t="n">
        <v>6.8396</v>
      </c>
      <c r="AD1449" t="n">
        <v>-34353.461</v>
      </c>
      <c r="AE1449" t="n">
        <v>86334.6514</v>
      </c>
      <c r="AF1449" t="n">
        <v>0.8159999999999999</v>
      </c>
      <c r="AG1449" t="inlineStr">
        <is>
          <t>Critical</t>
        </is>
      </c>
      <c r="AH1449" t="inlineStr">
        <is>
          <t>Off Track</t>
        </is>
      </c>
    </row>
    <row r="1450">
      <c r="A1450" t="inlineStr">
        <is>
          <t>SUP-0091</t>
        </is>
      </c>
      <c r="B1450" t="inlineStr">
        <is>
          <t>Professional Supplier 091</t>
        </is>
      </c>
      <c r="C1450" t="inlineStr">
        <is>
          <t>Professional Services</t>
        </is>
      </c>
      <c r="D1450" t="n">
        <v>2024</v>
      </c>
      <c r="E1450" t="n">
        <v>2015</v>
      </c>
      <c r="F1450" t="n">
        <v>2040</v>
      </c>
      <c r="G1450" t="n">
        <v>7596.4693</v>
      </c>
      <c r="H1450" t="n">
        <v>1299.2721</v>
      </c>
      <c r="I1450" t="n">
        <v>965.5072</v>
      </c>
      <c r="J1450" t="n">
        <v>5158.2355</v>
      </c>
      <c r="K1450" t="n">
        <v>40971367.96</v>
      </c>
      <c r="L1450" t="n">
        <v>151901369.24</v>
      </c>
      <c r="M1450" t="n">
        <v>7596.4693</v>
      </c>
      <c r="N1450" t="inlineStr">
        <is>
          <t>Supplier Reported Emissions</t>
        </is>
      </c>
      <c r="O1450" t="b">
        <v>0</v>
      </c>
      <c r="P1450" t="inlineStr">
        <is>
          <t>High</t>
        </is>
      </c>
      <c r="Q1450" t="inlineStr">
        <is>
          <t>None</t>
        </is>
      </c>
      <c r="R1450" t="inlineStr">
        <is>
          <t>Valid</t>
        </is>
      </c>
      <c r="S1450" t="n">
        <v>2033</v>
      </c>
      <c r="T1450" t="inlineStr">
        <is>
          <t>Historical Trend Pathway</t>
        </is>
      </c>
      <c r="U1450" t="n">
        <v>3419.8152</v>
      </c>
      <c r="V1450" t="n">
        <v>3248.8244</v>
      </c>
      <c r="W1450" t="n">
        <v>14889.1359</v>
      </c>
      <c r="X1450" t="n">
        <v>3296.7019</v>
      </c>
      <c r="Y1450" t="n">
        <v>-11469.3207</v>
      </c>
      <c r="Z1450" t="n">
        <v>0.0003634</v>
      </c>
      <c r="AA1450" t="n">
        <v>-3.353784</v>
      </c>
      <c r="AB1450" t="n">
        <v>11640.3115</v>
      </c>
      <c r="AC1450" t="n">
        <v>6.8396</v>
      </c>
      <c r="AD1450" t="n">
        <v>-49242.5969</v>
      </c>
      <c r="AE1450" t="n">
        <v>101223.7873</v>
      </c>
      <c r="AF1450" t="n">
        <v>0.8159999999999999</v>
      </c>
      <c r="AG1450" t="inlineStr">
        <is>
          <t>Critical</t>
        </is>
      </c>
      <c r="AH1450" t="inlineStr">
        <is>
          <t>Off Track</t>
        </is>
      </c>
    </row>
    <row r="1451">
      <c r="A1451" t="inlineStr">
        <is>
          <t>SUP-0091</t>
        </is>
      </c>
      <c r="B1451" t="inlineStr">
        <is>
          <t>Professional Supplier 091</t>
        </is>
      </c>
      <c r="C1451" t="inlineStr">
        <is>
          <t>Professional Services</t>
        </is>
      </c>
      <c r="D1451" t="n">
        <v>2024</v>
      </c>
      <c r="E1451" t="n">
        <v>2015</v>
      </c>
      <c r="F1451" t="n">
        <v>2040</v>
      </c>
      <c r="G1451" t="n">
        <v>7596.4693</v>
      </c>
      <c r="H1451" t="n">
        <v>1299.2721</v>
      </c>
      <c r="I1451" t="n">
        <v>965.5072</v>
      </c>
      <c r="J1451" t="n">
        <v>5158.2355</v>
      </c>
      <c r="K1451" t="n">
        <v>40971367.96</v>
      </c>
      <c r="L1451" t="n">
        <v>151901369.24</v>
      </c>
      <c r="M1451" t="n">
        <v>7596.4693</v>
      </c>
      <c r="N1451" t="inlineStr">
        <is>
          <t>Supplier Reported Emissions</t>
        </is>
      </c>
      <c r="O1451" t="b">
        <v>0</v>
      </c>
      <c r="P1451" t="inlineStr">
        <is>
          <t>High</t>
        </is>
      </c>
      <c r="Q1451" t="inlineStr">
        <is>
          <t>None</t>
        </is>
      </c>
      <c r="R1451" t="inlineStr">
        <is>
          <t>Valid</t>
        </is>
      </c>
      <c r="S1451" t="n">
        <v>2034</v>
      </c>
      <c r="T1451" t="inlineStr">
        <is>
          <t>Historical Trend Pathway</t>
        </is>
      </c>
      <c r="U1451" t="n">
        <v>3419.8152</v>
      </c>
      <c r="V1451" t="n">
        <v>3248.8244</v>
      </c>
      <c r="W1451" t="n">
        <v>16045.1053</v>
      </c>
      <c r="X1451" t="n">
        <v>3289.8622</v>
      </c>
      <c r="Y1451" t="n">
        <v>-12625.2901</v>
      </c>
      <c r="Z1451" t="n">
        <v>0.00039162</v>
      </c>
      <c r="AA1451" t="n">
        <v>-3.691805</v>
      </c>
      <c r="AB1451" t="n">
        <v>12796.2809</v>
      </c>
      <c r="AC1451" t="n">
        <v>6.8396</v>
      </c>
      <c r="AD1451" t="n">
        <v>-65287.7022</v>
      </c>
      <c r="AE1451" t="n">
        <v>117268.8926</v>
      </c>
      <c r="AF1451" t="n">
        <v>0.8159999999999999</v>
      </c>
      <c r="AG1451" t="inlineStr">
        <is>
          <t>Critical</t>
        </is>
      </c>
      <c r="AH1451" t="inlineStr">
        <is>
          <t>Off Track</t>
        </is>
      </c>
    </row>
    <row r="1452">
      <c r="A1452" t="inlineStr">
        <is>
          <t>SUP-0091</t>
        </is>
      </c>
      <c r="B1452" t="inlineStr">
        <is>
          <t>Professional Supplier 091</t>
        </is>
      </c>
      <c r="C1452" t="inlineStr">
        <is>
          <t>Professional Services</t>
        </is>
      </c>
      <c r="D1452" t="n">
        <v>2024</v>
      </c>
      <c r="E1452" t="n">
        <v>2015</v>
      </c>
      <c r="F1452" t="n">
        <v>2040</v>
      </c>
      <c r="G1452" t="n">
        <v>7596.4693</v>
      </c>
      <c r="H1452" t="n">
        <v>1299.2721</v>
      </c>
      <c r="I1452" t="n">
        <v>965.5072</v>
      </c>
      <c r="J1452" t="n">
        <v>5158.2355</v>
      </c>
      <c r="K1452" t="n">
        <v>40971367.96</v>
      </c>
      <c r="L1452" t="n">
        <v>151901369.24</v>
      </c>
      <c r="M1452" t="n">
        <v>7596.4693</v>
      </c>
      <c r="N1452" t="inlineStr">
        <is>
          <t>Supplier Reported Emissions</t>
        </is>
      </c>
      <c r="O1452" t="b">
        <v>0</v>
      </c>
      <c r="P1452" t="inlineStr">
        <is>
          <t>High</t>
        </is>
      </c>
      <c r="Q1452" t="inlineStr">
        <is>
          <t>None</t>
        </is>
      </c>
      <c r="R1452" t="inlineStr">
        <is>
          <t>Valid</t>
        </is>
      </c>
      <c r="S1452" t="n">
        <v>2035</v>
      </c>
      <c r="T1452" t="inlineStr">
        <is>
          <t>Historical Trend Pathway</t>
        </is>
      </c>
      <c r="U1452" t="n">
        <v>3419.8152</v>
      </c>
      <c r="V1452" t="n">
        <v>3248.8244</v>
      </c>
      <c r="W1452" t="n">
        <v>17290.8224</v>
      </c>
      <c r="X1452" t="n">
        <v>3283.0226</v>
      </c>
      <c r="Y1452" t="n">
        <v>-13871.0072</v>
      </c>
      <c r="Z1452" t="n">
        <v>0.00042202</v>
      </c>
      <c r="AA1452" t="n">
        <v>-4.056069</v>
      </c>
      <c r="AB1452" t="n">
        <v>14041.998</v>
      </c>
      <c r="AC1452" t="n">
        <v>6.8396</v>
      </c>
      <c r="AD1452" t="n">
        <v>-82578.5246</v>
      </c>
      <c r="AE1452" t="n">
        <v>134559.715</v>
      </c>
      <c r="AF1452" t="n">
        <v>0.8159999999999999</v>
      </c>
      <c r="AG1452" t="inlineStr">
        <is>
          <t>Critical</t>
        </is>
      </c>
      <c r="AH1452" t="inlineStr">
        <is>
          <t>Off Track</t>
        </is>
      </c>
    </row>
    <row r="1453">
      <c r="A1453" t="inlineStr">
        <is>
          <t>SUP-0091</t>
        </is>
      </c>
      <c r="B1453" t="inlineStr">
        <is>
          <t>Professional Supplier 091</t>
        </is>
      </c>
      <c r="C1453" t="inlineStr">
        <is>
          <t>Professional Services</t>
        </is>
      </c>
      <c r="D1453" t="n">
        <v>2024</v>
      </c>
      <c r="E1453" t="n">
        <v>2015</v>
      </c>
      <c r="F1453" t="n">
        <v>2040</v>
      </c>
      <c r="G1453" t="n">
        <v>7596.4693</v>
      </c>
      <c r="H1453" t="n">
        <v>1299.2721</v>
      </c>
      <c r="I1453" t="n">
        <v>965.5072</v>
      </c>
      <c r="J1453" t="n">
        <v>5158.2355</v>
      </c>
      <c r="K1453" t="n">
        <v>40971367.96</v>
      </c>
      <c r="L1453" t="n">
        <v>151901369.24</v>
      </c>
      <c r="M1453" t="n">
        <v>7596.4693</v>
      </c>
      <c r="N1453" t="inlineStr">
        <is>
          <t>Supplier Reported Emissions</t>
        </is>
      </c>
      <c r="O1453" t="b">
        <v>0</v>
      </c>
      <c r="P1453" t="inlineStr">
        <is>
          <t>High</t>
        </is>
      </c>
      <c r="Q1453" t="inlineStr">
        <is>
          <t>None</t>
        </is>
      </c>
      <c r="R1453" t="inlineStr">
        <is>
          <t>Valid</t>
        </is>
      </c>
      <c r="S1453" t="n">
        <v>2036</v>
      </c>
      <c r="T1453" t="inlineStr">
        <is>
          <t>Historical Trend Pathway</t>
        </is>
      </c>
      <c r="U1453" t="n">
        <v>3419.8152</v>
      </c>
      <c r="V1453" t="n">
        <v>3248.8244</v>
      </c>
      <c r="W1453" t="n">
        <v>18633.2551</v>
      </c>
      <c r="X1453" t="n">
        <v>3276.183</v>
      </c>
      <c r="Y1453" t="n">
        <v>-15213.4399</v>
      </c>
      <c r="Z1453" t="n">
        <v>0.00045479</v>
      </c>
      <c r="AA1453" t="n">
        <v>-4.448615</v>
      </c>
      <c r="AB1453" t="n">
        <v>15384.4307</v>
      </c>
      <c r="AC1453" t="n">
        <v>6.8396</v>
      </c>
      <c r="AD1453" t="n">
        <v>-101211.7797</v>
      </c>
      <c r="AE1453" t="n">
        <v>153192.9701</v>
      </c>
      <c r="AF1453" t="n">
        <v>0.8159999999999999</v>
      </c>
      <c r="AG1453" t="inlineStr">
        <is>
          <t>Critical</t>
        </is>
      </c>
      <c r="AH1453" t="inlineStr">
        <is>
          <t>Off Track</t>
        </is>
      </c>
    </row>
    <row r="1454">
      <c r="A1454" t="inlineStr">
        <is>
          <t>SUP-0091</t>
        </is>
      </c>
      <c r="B1454" t="inlineStr">
        <is>
          <t>Professional Supplier 091</t>
        </is>
      </c>
      <c r="C1454" t="inlineStr">
        <is>
          <t>Professional Services</t>
        </is>
      </c>
      <c r="D1454" t="n">
        <v>2024</v>
      </c>
      <c r="E1454" t="n">
        <v>2015</v>
      </c>
      <c r="F1454" t="n">
        <v>2040</v>
      </c>
      <c r="G1454" t="n">
        <v>7596.4693</v>
      </c>
      <c r="H1454" t="n">
        <v>1299.2721</v>
      </c>
      <c r="I1454" t="n">
        <v>965.5072</v>
      </c>
      <c r="J1454" t="n">
        <v>5158.2355</v>
      </c>
      <c r="K1454" t="n">
        <v>40971367.96</v>
      </c>
      <c r="L1454" t="n">
        <v>151901369.24</v>
      </c>
      <c r="M1454" t="n">
        <v>7596.4693</v>
      </c>
      <c r="N1454" t="inlineStr">
        <is>
          <t>Supplier Reported Emissions</t>
        </is>
      </c>
      <c r="O1454" t="b">
        <v>0</v>
      </c>
      <c r="P1454" t="inlineStr">
        <is>
          <t>High</t>
        </is>
      </c>
      <c r="Q1454" t="inlineStr">
        <is>
          <t>None</t>
        </is>
      </c>
      <c r="R1454" t="inlineStr">
        <is>
          <t>Valid</t>
        </is>
      </c>
      <c r="S1454" t="n">
        <v>2037</v>
      </c>
      <c r="T1454" t="inlineStr">
        <is>
          <t>Historical Trend Pathway</t>
        </is>
      </c>
      <c r="U1454" t="n">
        <v>3419.8152</v>
      </c>
      <c r="V1454" t="n">
        <v>3248.8244</v>
      </c>
      <c r="W1454" t="n">
        <v>20079.9121</v>
      </c>
      <c r="X1454" t="n">
        <v>3269.3433</v>
      </c>
      <c r="Y1454" t="n">
        <v>-16660.0969</v>
      </c>
      <c r="Z1454" t="n">
        <v>0.0004901</v>
      </c>
      <c r="AA1454" t="n">
        <v>-4.871637</v>
      </c>
      <c r="AB1454" t="n">
        <v>16831.0877</v>
      </c>
      <c r="AC1454" t="n">
        <v>6.8396</v>
      </c>
      <c r="AD1454" t="n">
        <v>-121291.6918</v>
      </c>
      <c r="AE1454" t="n">
        <v>173272.8822</v>
      </c>
      <c r="AF1454" t="n">
        <v>0.8159999999999999</v>
      </c>
      <c r="AG1454" t="inlineStr">
        <is>
          <t>Critical</t>
        </is>
      </c>
      <c r="AH1454" t="inlineStr">
        <is>
          <t>Off Track</t>
        </is>
      </c>
    </row>
    <row r="1455">
      <c r="A1455" t="inlineStr">
        <is>
          <t>SUP-0091</t>
        </is>
      </c>
      <c r="B1455" t="inlineStr">
        <is>
          <t>Professional Supplier 091</t>
        </is>
      </c>
      <c r="C1455" t="inlineStr">
        <is>
          <t>Professional Services</t>
        </is>
      </c>
      <c r="D1455" t="n">
        <v>2024</v>
      </c>
      <c r="E1455" t="n">
        <v>2015</v>
      </c>
      <c r="F1455" t="n">
        <v>2040</v>
      </c>
      <c r="G1455" t="n">
        <v>7596.4693</v>
      </c>
      <c r="H1455" t="n">
        <v>1299.2721</v>
      </c>
      <c r="I1455" t="n">
        <v>965.5072</v>
      </c>
      <c r="J1455" t="n">
        <v>5158.2355</v>
      </c>
      <c r="K1455" t="n">
        <v>40971367.96</v>
      </c>
      <c r="L1455" t="n">
        <v>151901369.24</v>
      </c>
      <c r="M1455" t="n">
        <v>7596.4693</v>
      </c>
      <c r="N1455" t="inlineStr">
        <is>
          <t>Supplier Reported Emissions</t>
        </is>
      </c>
      <c r="O1455" t="b">
        <v>0</v>
      </c>
      <c r="P1455" t="inlineStr">
        <is>
          <t>High</t>
        </is>
      </c>
      <c r="Q1455" t="inlineStr">
        <is>
          <t>None</t>
        </is>
      </c>
      <c r="R1455" t="inlineStr">
        <is>
          <t>Valid</t>
        </is>
      </c>
      <c r="S1455" t="n">
        <v>2038</v>
      </c>
      <c r="T1455" t="inlineStr">
        <is>
          <t>Historical Trend Pathway</t>
        </is>
      </c>
      <c r="U1455" t="n">
        <v>3419.8152</v>
      </c>
      <c r="V1455" t="n">
        <v>3248.8244</v>
      </c>
      <c r="W1455" t="n">
        <v>21638.8854</v>
      </c>
      <c r="X1455" t="n">
        <v>3262.5037</v>
      </c>
      <c r="Y1455" t="n">
        <v>-18219.0702</v>
      </c>
      <c r="Z1455" t="n">
        <v>0.00052815</v>
      </c>
      <c r="AA1455" t="n">
        <v>-5.327501</v>
      </c>
      <c r="AB1455" t="n">
        <v>18390.061</v>
      </c>
      <c r="AC1455" t="n">
        <v>6.8396</v>
      </c>
      <c r="AD1455" t="n">
        <v>-142930.5772</v>
      </c>
      <c r="AE1455" t="n">
        <v>194911.7676</v>
      </c>
      <c r="AF1455" t="n">
        <v>0.8159999999999999</v>
      </c>
      <c r="AG1455" t="inlineStr">
        <is>
          <t>Critical</t>
        </is>
      </c>
      <c r="AH1455" t="inlineStr">
        <is>
          <t>Off Track</t>
        </is>
      </c>
    </row>
    <row r="1456">
      <c r="A1456" t="inlineStr">
        <is>
          <t>SUP-0091</t>
        </is>
      </c>
      <c r="B1456" t="inlineStr">
        <is>
          <t>Professional Supplier 091</t>
        </is>
      </c>
      <c r="C1456" t="inlineStr">
        <is>
          <t>Professional Services</t>
        </is>
      </c>
      <c r="D1456" t="n">
        <v>2024</v>
      </c>
      <c r="E1456" t="n">
        <v>2015</v>
      </c>
      <c r="F1456" t="n">
        <v>2040</v>
      </c>
      <c r="G1456" t="n">
        <v>7596.4693</v>
      </c>
      <c r="H1456" t="n">
        <v>1299.2721</v>
      </c>
      <c r="I1456" t="n">
        <v>965.5072</v>
      </c>
      <c r="J1456" t="n">
        <v>5158.2355</v>
      </c>
      <c r="K1456" t="n">
        <v>40971367.96</v>
      </c>
      <c r="L1456" t="n">
        <v>151901369.24</v>
      </c>
      <c r="M1456" t="n">
        <v>7596.4693</v>
      </c>
      <c r="N1456" t="inlineStr">
        <is>
          <t>Supplier Reported Emissions</t>
        </is>
      </c>
      <c r="O1456" t="b">
        <v>0</v>
      </c>
      <c r="P1456" t="inlineStr">
        <is>
          <t>High</t>
        </is>
      </c>
      <c r="Q1456" t="inlineStr">
        <is>
          <t>None</t>
        </is>
      </c>
      <c r="R1456" t="inlineStr">
        <is>
          <t>Valid</t>
        </is>
      </c>
      <c r="S1456" t="n">
        <v>2039</v>
      </c>
      <c r="T1456" t="inlineStr">
        <is>
          <t>Historical Trend Pathway</t>
        </is>
      </c>
      <c r="U1456" t="n">
        <v>3419.8152</v>
      </c>
      <c r="V1456" t="n">
        <v>3248.8244</v>
      </c>
      <c r="W1456" t="n">
        <v>23318.8949</v>
      </c>
      <c r="X1456" t="n">
        <v>3255.6641</v>
      </c>
      <c r="Y1456" t="n">
        <v>-19899.0797</v>
      </c>
      <c r="Z1456" t="n">
        <v>0.00056915</v>
      </c>
      <c r="AA1456" t="n">
        <v>-5.818759</v>
      </c>
      <c r="AB1456" t="n">
        <v>20070.0705</v>
      </c>
      <c r="AC1456" t="n">
        <v>6.8396</v>
      </c>
      <c r="AD1456" t="n">
        <v>-166249.4721</v>
      </c>
      <c r="AE1456" t="n">
        <v>218230.6625</v>
      </c>
      <c r="AF1456" t="n">
        <v>0.8159999999999999</v>
      </c>
      <c r="AG1456" t="inlineStr">
        <is>
          <t>Critical</t>
        </is>
      </c>
      <c r="AH1456" t="inlineStr">
        <is>
          <t>Off Track</t>
        </is>
      </c>
    </row>
    <row r="1457">
      <c r="A1457" t="inlineStr">
        <is>
          <t>SUP-0091</t>
        </is>
      </c>
      <c r="B1457" t="inlineStr">
        <is>
          <t>Professional Supplier 091</t>
        </is>
      </c>
      <c r="C1457" t="inlineStr">
        <is>
          <t>Professional Services</t>
        </is>
      </c>
      <c r="D1457" t="n">
        <v>2024</v>
      </c>
      <c r="E1457" t="n">
        <v>2015</v>
      </c>
      <c r="F1457" t="n">
        <v>2040</v>
      </c>
      <c r="G1457" t="n">
        <v>7596.4693</v>
      </c>
      <c r="H1457" t="n">
        <v>1299.2721</v>
      </c>
      <c r="I1457" t="n">
        <v>965.5072</v>
      </c>
      <c r="J1457" t="n">
        <v>5158.2355</v>
      </c>
      <c r="K1457" t="n">
        <v>40971367.96</v>
      </c>
      <c r="L1457" t="n">
        <v>151901369.24</v>
      </c>
      <c r="M1457" t="n">
        <v>7596.4693</v>
      </c>
      <c r="N1457" t="inlineStr">
        <is>
          <t>Supplier Reported Emissions</t>
        </is>
      </c>
      <c r="O1457" t="b">
        <v>0</v>
      </c>
      <c r="P1457" t="inlineStr">
        <is>
          <t>High</t>
        </is>
      </c>
      <c r="Q1457" t="inlineStr">
        <is>
          <t>None</t>
        </is>
      </c>
      <c r="R1457" t="inlineStr">
        <is>
          <t>Valid</t>
        </is>
      </c>
      <c r="S1457" t="n">
        <v>2040</v>
      </c>
      <c r="T1457" t="inlineStr">
        <is>
          <t>Historical Trend Pathway</t>
        </is>
      </c>
      <c r="U1457" t="n">
        <v>3419.8152</v>
      </c>
      <c r="V1457" t="n">
        <v>3248.8244</v>
      </c>
      <c r="W1457" t="n">
        <v>25129.3378</v>
      </c>
      <c r="X1457" t="n">
        <v>3248.8244</v>
      </c>
      <c r="Y1457" t="n">
        <v>-21709.5226</v>
      </c>
      <c r="Z1457" t="n">
        <v>0.00061334</v>
      </c>
      <c r="AA1457" t="n">
        <v>-6.348157</v>
      </c>
      <c r="AB1457" t="n">
        <v>21880.5133</v>
      </c>
      <c r="AC1457" t="n">
        <v>6.8396</v>
      </c>
      <c r="AD1457" t="n">
        <v>-191378.8099</v>
      </c>
      <c r="AE1457" t="n">
        <v>243360.0003</v>
      </c>
      <c r="AF1457" t="n">
        <v>0.8159999999999999</v>
      </c>
      <c r="AG1457" t="inlineStr">
        <is>
          <t>Critical</t>
        </is>
      </c>
      <c r="AH1457" t="inlineStr">
        <is>
          <t>Off Track</t>
        </is>
      </c>
    </row>
    <row r="1458">
      <c r="A1458" t="inlineStr">
        <is>
          <t>SUP-0092</t>
        </is>
      </c>
      <c r="B1458" t="inlineStr">
        <is>
          <t>Metals Supplier 092</t>
        </is>
      </c>
      <c r="C1458" t="inlineStr">
        <is>
          <t>Metals</t>
        </is>
      </c>
      <c r="D1458" t="n">
        <v>2024</v>
      </c>
      <c r="E1458" t="n">
        <v>2015</v>
      </c>
      <c r="F1458" t="n">
        <v>2030</v>
      </c>
      <c r="G1458" t="n">
        <v>14843.6709</v>
      </c>
      <c r="H1458" t="inlineStr"/>
      <c r="I1458" t="n">
        <v>2484.2007</v>
      </c>
      <c r="J1458" t="inlineStr"/>
      <c r="K1458" t="n">
        <v>17950763.75</v>
      </c>
      <c r="L1458" t="n">
        <v>35763609.62</v>
      </c>
      <c r="M1458" t="n">
        <v>14843.6709</v>
      </c>
      <c r="N1458" t="inlineStr">
        <is>
          <t>Supplier Reported Emissions</t>
        </is>
      </c>
      <c r="O1458" t="b">
        <v>0</v>
      </c>
      <c r="P1458" t="inlineStr">
        <is>
          <t>High</t>
        </is>
      </c>
      <c r="Q1458" t="inlineStr">
        <is>
          <t>Scope_Emissions</t>
        </is>
      </c>
      <c r="R1458" t="inlineStr">
        <is>
          <t>Valid</t>
        </is>
      </c>
      <c r="S1458" t="n">
        <v>2025</v>
      </c>
      <c r="T1458" t="inlineStr">
        <is>
          <t>Industry Haircut Pathway</t>
        </is>
      </c>
      <c r="U1458" t="n">
        <v>23517.5074</v>
      </c>
      <c r="V1458" t="n">
        <v>14458.5635</v>
      </c>
      <c r="W1458" t="n">
        <v>17478.2115</v>
      </c>
      <c r="X1458" t="n">
        <v>17478.2115</v>
      </c>
      <c r="Y1458" t="n">
        <v>6039.2959</v>
      </c>
      <c r="Z1458" t="n">
        <v>0.00097368</v>
      </c>
      <c r="AA1458" t="n">
        <v>0.2568</v>
      </c>
      <c r="AB1458" t="n">
        <v>3019.648</v>
      </c>
      <c r="AC1458" t="n">
        <v>603.9296000000001</v>
      </c>
      <c r="AD1458" t="n">
        <v>69273.1695</v>
      </c>
      <c r="AE1458" t="n">
        <v>17478.2115</v>
      </c>
      <c r="AF1458" t="n">
        <v>0.929</v>
      </c>
      <c r="AG1458" t="inlineStr">
        <is>
          <t>High</t>
        </is>
      </c>
      <c r="AH1458" t="inlineStr">
        <is>
          <t>On Track to Glide Path</t>
        </is>
      </c>
    </row>
    <row r="1459">
      <c r="A1459" t="inlineStr">
        <is>
          <t>SUP-0092</t>
        </is>
      </c>
      <c r="B1459" t="inlineStr">
        <is>
          <t>Metals Supplier 092</t>
        </is>
      </c>
      <c r="C1459" t="inlineStr">
        <is>
          <t>Metals</t>
        </is>
      </c>
      <c r="D1459" t="n">
        <v>2024</v>
      </c>
      <c r="E1459" t="n">
        <v>2015</v>
      </c>
      <c r="F1459" t="n">
        <v>2030</v>
      </c>
      <c r="G1459" t="n">
        <v>14843.6709</v>
      </c>
      <c r="H1459" t="inlineStr"/>
      <c r="I1459" t="n">
        <v>2484.2007</v>
      </c>
      <c r="J1459" t="inlineStr"/>
      <c r="K1459" t="n">
        <v>17950763.75</v>
      </c>
      <c r="L1459" t="n">
        <v>35763609.62</v>
      </c>
      <c r="M1459" t="n">
        <v>14843.6709</v>
      </c>
      <c r="N1459" t="inlineStr">
        <is>
          <t>Supplier Reported Emissions</t>
        </is>
      </c>
      <c r="O1459" t="b">
        <v>0</v>
      </c>
      <c r="P1459" t="inlineStr">
        <is>
          <t>High</t>
        </is>
      </c>
      <c r="Q1459" t="inlineStr">
        <is>
          <t>Scope_Emissions</t>
        </is>
      </c>
      <c r="R1459" t="inlineStr">
        <is>
          <t>Valid</t>
        </is>
      </c>
      <c r="S1459" t="n">
        <v>2026</v>
      </c>
      <c r="T1459" t="inlineStr">
        <is>
          <t>Industry Haircut Pathway</t>
        </is>
      </c>
      <c r="U1459" t="n">
        <v>23517.5074</v>
      </c>
      <c r="V1459" t="n">
        <v>14458.5635</v>
      </c>
      <c r="W1459" t="n">
        <v>16874.2819</v>
      </c>
      <c r="X1459" t="n">
        <v>16874.2819</v>
      </c>
      <c r="Y1459" t="n">
        <v>6643.2255</v>
      </c>
      <c r="Z1459" t="n">
        <v>0.00094003</v>
      </c>
      <c r="AA1459" t="n">
        <v>0.28248</v>
      </c>
      <c r="AB1459" t="n">
        <v>2415.7184</v>
      </c>
      <c r="AC1459" t="n">
        <v>603.9296000000001</v>
      </c>
      <c r="AD1459" t="n">
        <v>52398.8876</v>
      </c>
      <c r="AE1459" t="n">
        <v>34352.4934</v>
      </c>
      <c r="AF1459" t="n">
        <v>0.929</v>
      </c>
      <c r="AG1459" t="inlineStr">
        <is>
          <t>High</t>
        </is>
      </c>
      <c r="AH1459" t="inlineStr">
        <is>
          <t>On Track to Glide Path</t>
        </is>
      </c>
    </row>
    <row r="1460">
      <c r="A1460" t="inlineStr">
        <is>
          <t>SUP-0092</t>
        </is>
      </c>
      <c r="B1460" t="inlineStr">
        <is>
          <t>Metals Supplier 092</t>
        </is>
      </c>
      <c r="C1460" t="inlineStr">
        <is>
          <t>Metals</t>
        </is>
      </c>
      <c r="D1460" t="n">
        <v>2024</v>
      </c>
      <c r="E1460" t="n">
        <v>2015</v>
      </c>
      <c r="F1460" t="n">
        <v>2030</v>
      </c>
      <c r="G1460" t="n">
        <v>14843.6709</v>
      </c>
      <c r="H1460" t="inlineStr"/>
      <c r="I1460" t="n">
        <v>2484.2007</v>
      </c>
      <c r="J1460" t="inlineStr"/>
      <c r="K1460" t="n">
        <v>17950763.75</v>
      </c>
      <c r="L1460" t="n">
        <v>35763609.62</v>
      </c>
      <c r="M1460" t="n">
        <v>14843.6709</v>
      </c>
      <c r="N1460" t="inlineStr">
        <is>
          <t>Supplier Reported Emissions</t>
        </is>
      </c>
      <c r="O1460" t="b">
        <v>0</v>
      </c>
      <c r="P1460" t="inlineStr">
        <is>
          <t>High</t>
        </is>
      </c>
      <c r="Q1460" t="inlineStr">
        <is>
          <t>Scope_Emissions</t>
        </is>
      </c>
      <c r="R1460" t="inlineStr">
        <is>
          <t>Valid</t>
        </is>
      </c>
      <c r="S1460" t="n">
        <v>2027</v>
      </c>
      <c r="T1460" t="inlineStr">
        <is>
          <t>Industry Haircut Pathway</t>
        </is>
      </c>
      <c r="U1460" t="n">
        <v>23517.5074</v>
      </c>
      <c r="V1460" t="n">
        <v>14458.5635</v>
      </c>
      <c r="W1460" t="n">
        <v>16270.3523</v>
      </c>
      <c r="X1460" t="n">
        <v>16270.3523</v>
      </c>
      <c r="Y1460" t="n">
        <v>7247.1551</v>
      </c>
      <c r="Z1460" t="n">
        <v>0.00090639</v>
      </c>
      <c r="AA1460" t="n">
        <v>0.30816</v>
      </c>
      <c r="AB1460" t="n">
        <v>1811.7888</v>
      </c>
      <c r="AC1460" t="n">
        <v>603.9296000000001</v>
      </c>
      <c r="AD1460" t="n">
        <v>36128.5353</v>
      </c>
      <c r="AE1460" t="n">
        <v>50622.8457</v>
      </c>
      <c r="AF1460" t="n">
        <v>0.929</v>
      </c>
      <c r="AG1460" t="inlineStr">
        <is>
          <t>Medium</t>
        </is>
      </c>
      <c r="AH1460" t="inlineStr">
        <is>
          <t>On Track to Glide Path</t>
        </is>
      </c>
    </row>
    <row r="1461">
      <c r="A1461" t="inlineStr">
        <is>
          <t>SUP-0092</t>
        </is>
      </c>
      <c r="B1461" t="inlineStr">
        <is>
          <t>Metals Supplier 092</t>
        </is>
      </c>
      <c r="C1461" t="inlineStr">
        <is>
          <t>Metals</t>
        </is>
      </c>
      <c r="D1461" t="n">
        <v>2024</v>
      </c>
      <c r="E1461" t="n">
        <v>2015</v>
      </c>
      <c r="F1461" t="n">
        <v>2030</v>
      </c>
      <c r="G1461" t="n">
        <v>14843.6709</v>
      </c>
      <c r="H1461" t="inlineStr"/>
      <c r="I1461" t="n">
        <v>2484.2007</v>
      </c>
      <c r="J1461" t="inlineStr"/>
      <c r="K1461" t="n">
        <v>17950763.75</v>
      </c>
      <c r="L1461" t="n">
        <v>35763609.62</v>
      </c>
      <c r="M1461" t="n">
        <v>14843.6709</v>
      </c>
      <c r="N1461" t="inlineStr">
        <is>
          <t>Supplier Reported Emissions</t>
        </is>
      </c>
      <c r="O1461" t="b">
        <v>0</v>
      </c>
      <c r="P1461" t="inlineStr">
        <is>
          <t>High</t>
        </is>
      </c>
      <c r="Q1461" t="inlineStr">
        <is>
          <t>Scope_Emissions</t>
        </is>
      </c>
      <c r="R1461" t="inlineStr">
        <is>
          <t>Valid</t>
        </is>
      </c>
      <c r="S1461" t="n">
        <v>2028</v>
      </c>
      <c r="T1461" t="inlineStr">
        <is>
          <t>Industry Haircut Pathway</t>
        </is>
      </c>
      <c r="U1461" t="n">
        <v>23517.5074</v>
      </c>
      <c r="V1461" t="n">
        <v>14458.5635</v>
      </c>
      <c r="W1461" t="n">
        <v>15666.4227</v>
      </c>
      <c r="X1461" t="n">
        <v>15666.4227</v>
      </c>
      <c r="Y1461" t="n">
        <v>7851.0847</v>
      </c>
      <c r="Z1461" t="n">
        <v>0.00087274</v>
      </c>
      <c r="AA1461" t="n">
        <v>0.33384</v>
      </c>
      <c r="AB1461" t="n">
        <v>1207.8592</v>
      </c>
      <c r="AC1461" t="n">
        <v>603.9296000000001</v>
      </c>
      <c r="AD1461" t="n">
        <v>20462.1126</v>
      </c>
      <c r="AE1461" t="n">
        <v>66289.2684</v>
      </c>
      <c r="AF1461" t="n">
        <v>0.929</v>
      </c>
      <c r="AG1461" t="inlineStr">
        <is>
          <t>Medium</t>
        </is>
      </c>
      <c r="AH1461" t="inlineStr">
        <is>
          <t>On Track to Glide Path</t>
        </is>
      </c>
    </row>
    <row r="1462">
      <c r="A1462" t="inlineStr">
        <is>
          <t>SUP-0092</t>
        </is>
      </c>
      <c r="B1462" t="inlineStr">
        <is>
          <t>Metals Supplier 092</t>
        </is>
      </c>
      <c r="C1462" t="inlineStr">
        <is>
          <t>Metals</t>
        </is>
      </c>
      <c r="D1462" t="n">
        <v>2024</v>
      </c>
      <c r="E1462" t="n">
        <v>2015</v>
      </c>
      <c r="F1462" t="n">
        <v>2030</v>
      </c>
      <c r="G1462" t="n">
        <v>14843.6709</v>
      </c>
      <c r="H1462" t="inlineStr"/>
      <c r="I1462" t="n">
        <v>2484.2007</v>
      </c>
      <c r="J1462" t="inlineStr"/>
      <c r="K1462" t="n">
        <v>17950763.75</v>
      </c>
      <c r="L1462" t="n">
        <v>35763609.62</v>
      </c>
      <c r="M1462" t="n">
        <v>14843.6709</v>
      </c>
      <c r="N1462" t="inlineStr">
        <is>
          <t>Supplier Reported Emissions</t>
        </is>
      </c>
      <c r="O1462" t="b">
        <v>0</v>
      </c>
      <c r="P1462" t="inlineStr">
        <is>
          <t>High</t>
        </is>
      </c>
      <c r="Q1462" t="inlineStr">
        <is>
          <t>Scope_Emissions</t>
        </is>
      </c>
      <c r="R1462" t="inlineStr">
        <is>
          <t>Valid</t>
        </is>
      </c>
      <c r="S1462" t="n">
        <v>2029</v>
      </c>
      <c r="T1462" t="inlineStr">
        <is>
          <t>Industry Haircut Pathway</t>
        </is>
      </c>
      <c r="U1462" t="n">
        <v>23517.5074</v>
      </c>
      <c r="V1462" t="n">
        <v>14458.5635</v>
      </c>
      <c r="W1462" t="n">
        <v>15062.4931</v>
      </c>
      <c r="X1462" t="n">
        <v>15062.4931</v>
      </c>
      <c r="Y1462" t="n">
        <v>8455.014300000001</v>
      </c>
      <c r="Z1462" t="n">
        <v>0.0008391</v>
      </c>
      <c r="AA1462" t="n">
        <v>0.35952</v>
      </c>
      <c r="AB1462" t="n">
        <v>603.9296000000001</v>
      </c>
      <c r="AC1462" t="n">
        <v>603.9296000000001</v>
      </c>
      <c r="AD1462" t="n">
        <v>5399.6195</v>
      </c>
      <c r="AE1462" t="n">
        <v>81351.76149999999</v>
      </c>
      <c r="AF1462" t="n">
        <v>0.929</v>
      </c>
      <c r="AG1462" t="inlineStr">
        <is>
          <t>Medium</t>
        </is>
      </c>
      <c r="AH1462" t="inlineStr">
        <is>
          <t>On Track to Glide Path</t>
        </is>
      </c>
    </row>
    <row r="1463">
      <c r="A1463" t="inlineStr">
        <is>
          <t>SUP-0092</t>
        </is>
      </c>
      <c r="B1463" t="inlineStr">
        <is>
          <t>Metals Supplier 092</t>
        </is>
      </c>
      <c r="C1463" t="inlineStr">
        <is>
          <t>Metals</t>
        </is>
      </c>
      <c r="D1463" t="n">
        <v>2024</v>
      </c>
      <c r="E1463" t="n">
        <v>2015</v>
      </c>
      <c r="F1463" t="n">
        <v>2030</v>
      </c>
      <c r="G1463" t="n">
        <v>14843.6709</v>
      </c>
      <c r="H1463" t="inlineStr"/>
      <c r="I1463" t="n">
        <v>2484.2007</v>
      </c>
      <c r="J1463" t="inlineStr"/>
      <c r="K1463" t="n">
        <v>17950763.75</v>
      </c>
      <c r="L1463" t="n">
        <v>35763609.62</v>
      </c>
      <c r="M1463" t="n">
        <v>14843.6709</v>
      </c>
      <c r="N1463" t="inlineStr">
        <is>
          <t>Supplier Reported Emissions</t>
        </is>
      </c>
      <c r="O1463" t="b">
        <v>0</v>
      </c>
      <c r="P1463" t="inlineStr">
        <is>
          <t>High</t>
        </is>
      </c>
      <c r="Q1463" t="inlineStr">
        <is>
          <t>Scope_Emissions</t>
        </is>
      </c>
      <c r="R1463" t="inlineStr">
        <is>
          <t>Valid</t>
        </is>
      </c>
      <c r="S1463" t="n">
        <v>2030</v>
      </c>
      <c r="T1463" t="inlineStr">
        <is>
          <t>Industry Haircut Pathway</t>
        </is>
      </c>
      <c r="U1463" t="n">
        <v>23517.5074</v>
      </c>
      <c r="V1463" t="n">
        <v>14458.5635</v>
      </c>
      <c r="W1463" t="n">
        <v>14458.5635</v>
      </c>
      <c r="X1463" t="n">
        <v>14458.5635</v>
      </c>
      <c r="Y1463" t="n">
        <v>9058.9439</v>
      </c>
      <c r="Z1463" t="n">
        <v>0.00080546</v>
      </c>
      <c r="AA1463" t="n">
        <v>0.3852</v>
      </c>
      <c r="AB1463" t="n">
        <v>0</v>
      </c>
      <c r="AC1463" t="n">
        <v>603.9296000000001</v>
      </c>
      <c r="AD1463" t="n">
        <v>-9058.944</v>
      </c>
      <c r="AE1463" t="n">
        <v>95810.325</v>
      </c>
      <c r="AF1463" t="n">
        <v>0.929</v>
      </c>
      <c r="AG1463" t="inlineStr">
        <is>
          <t>Low</t>
        </is>
      </c>
      <c r="AH1463" t="inlineStr">
        <is>
          <t>On Track</t>
        </is>
      </c>
    </row>
    <row r="1464">
      <c r="A1464" t="inlineStr">
        <is>
          <t>SUP-0092</t>
        </is>
      </c>
      <c r="B1464" t="inlineStr">
        <is>
          <t>Metals Supplier 092</t>
        </is>
      </c>
      <c r="C1464" t="inlineStr">
        <is>
          <t>Metals</t>
        </is>
      </c>
      <c r="D1464" t="n">
        <v>2024</v>
      </c>
      <c r="E1464" t="n">
        <v>2015</v>
      </c>
      <c r="F1464" t="n">
        <v>2030</v>
      </c>
      <c r="G1464" t="n">
        <v>14843.6709</v>
      </c>
      <c r="H1464" t="inlineStr"/>
      <c r="I1464" t="n">
        <v>2484.2007</v>
      </c>
      <c r="J1464" t="inlineStr"/>
      <c r="K1464" t="n">
        <v>17950763.75</v>
      </c>
      <c r="L1464" t="n">
        <v>35763609.62</v>
      </c>
      <c r="M1464" t="n">
        <v>14843.6709</v>
      </c>
      <c r="N1464" t="inlineStr">
        <is>
          <t>Supplier Reported Emissions</t>
        </is>
      </c>
      <c r="O1464" t="b">
        <v>0</v>
      </c>
      <c r="P1464" t="inlineStr">
        <is>
          <t>High</t>
        </is>
      </c>
      <c r="Q1464" t="inlineStr">
        <is>
          <t>Scope_Emissions</t>
        </is>
      </c>
      <c r="R1464" t="inlineStr">
        <is>
          <t>Valid</t>
        </is>
      </c>
      <c r="S1464" t="n">
        <v>2031</v>
      </c>
      <c r="T1464" t="inlineStr">
        <is>
          <t>Industry Haircut Pathway</t>
        </is>
      </c>
      <c r="U1464" t="n">
        <v>23517.5074</v>
      </c>
      <c r="V1464" t="n">
        <v>14458.5635</v>
      </c>
      <c r="W1464" t="n">
        <v>14458.5635</v>
      </c>
      <c r="X1464" t="n">
        <v>14458.5635</v>
      </c>
      <c r="Y1464" t="n">
        <v>9058.9439</v>
      </c>
      <c r="Z1464" t="n">
        <v>0.00080546</v>
      </c>
      <c r="AA1464" t="n">
        <v>0.3852</v>
      </c>
      <c r="AB1464" t="n">
        <v>0</v>
      </c>
      <c r="AC1464" t="n">
        <v>603.9296000000001</v>
      </c>
      <c r="AD1464" t="n">
        <v>-23517.5075</v>
      </c>
      <c r="AE1464" t="n">
        <v>110268.8885</v>
      </c>
      <c r="AF1464" t="n">
        <v>0.929</v>
      </c>
      <c r="AG1464" t="inlineStr">
        <is>
          <t>Low</t>
        </is>
      </c>
      <c r="AH1464" t="inlineStr">
        <is>
          <t>On Track</t>
        </is>
      </c>
    </row>
    <row r="1465">
      <c r="A1465" t="inlineStr">
        <is>
          <t>SUP-0092</t>
        </is>
      </c>
      <c r="B1465" t="inlineStr">
        <is>
          <t>Metals Supplier 092</t>
        </is>
      </c>
      <c r="C1465" t="inlineStr">
        <is>
          <t>Metals</t>
        </is>
      </c>
      <c r="D1465" t="n">
        <v>2024</v>
      </c>
      <c r="E1465" t="n">
        <v>2015</v>
      </c>
      <c r="F1465" t="n">
        <v>2030</v>
      </c>
      <c r="G1465" t="n">
        <v>14843.6709</v>
      </c>
      <c r="H1465" t="inlineStr"/>
      <c r="I1465" t="n">
        <v>2484.2007</v>
      </c>
      <c r="J1465" t="inlineStr"/>
      <c r="K1465" t="n">
        <v>17950763.75</v>
      </c>
      <c r="L1465" t="n">
        <v>35763609.62</v>
      </c>
      <c r="M1465" t="n">
        <v>14843.6709</v>
      </c>
      <c r="N1465" t="inlineStr">
        <is>
          <t>Supplier Reported Emissions</t>
        </is>
      </c>
      <c r="O1465" t="b">
        <v>0</v>
      </c>
      <c r="P1465" t="inlineStr">
        <is>
          <t>High</t>
        </is>
      </c>
      <c r="Q1465" t="inlineStr">
        <is>
          <t>Scope_Emissions</t>
        </is>
      </c>
      <c r="R1465" t="inlineStr">
        <is>
          <t>Valid</t>
        </is>
      </c>
      <c r="S1465" t="n">
        <v>2032</v>
      </c>
      <c r="T1465" t="inlineStr">
        <is>
          <t>Industry Haircut Pathway</t>
        </is>
      </c>
      <c r="U1465" t="n">
        <v>23517.5074</v>
      </c>
      <c r="V1465" t="n">
        <v>14458.5635</v>
      </c>
      <c r="W1465" t="n">
        <v>14458.5635</v>
      </c>
      <c r="X1465" t="n">
        <v>14458.5635</v>
      </c>
      <c r="Y1465" t="n">
        <v>9058.9439</v>
      </c>
      <c r="Z1465" t="n">
        <v>0.00080546</v>
      </c>
      <c r="AA1465" t="n">
        <v>0.3852</v>
      </c>
      <c r="AB1465" t="n">
        <v>0</v>
      </c>
      <c r="AC1465" t="n">
        <v>603.9296000000001</v>
      </c>
      <c r="AD1465" t="n">
        <v>-37976.071</v>
      </c>
      <c r="AE1465" t="n">
        <v>124727.452</v>
      </c>
      <c r="AF1465" t="n">
        <v>0.929</v>
      </c>
      <c r="AG1465" t="inlineStr">
        <is>
          <t>Low</t>
        </is>
      </c>
      <c r="AH1465" t="inlineStr">
        <is>
          <t>On Track</t>
        </is>
      </c>
    </row>
    <row r="1466">
      <c r="A1466" t="inlineStr">
        <is>
          <t>SUP-0092</t>
        </is>
      </c>
      <c r="B1466" t="inlineStr">
        <is>
          <t>Metals Supplier 092</t>
        </is>
      </c>
      <c r="C1466" t="inlineStr">
        <is>
          <t>Metals</t>
        </is>
      </c>
      <c r="D1466" t="n">
        <v>2024</v>
      </c>
      <c r="E1466" t="n">
        <v>2015</v>
      </c>
      <c r="F1466" t="n">
        <v>2030</v>
      </c>
      <c r="G1466" t="n">
        <v>14843.6709</v>
      </c>
      <c r="H1466" t="inlineStr"/>
      <c r="I1466" t="n">
        <v>2484.2007</v>
      </c>
      <c r="J1466" t="inlineStr"/>
      <c r="K1466" t="n">
        <v>17950763.75</v>
      </c>
      <c r="L1466" t="n">
        <v>35763609.62</v>
      </c>
      <c r="M1466" t="n">
        <v>14843.6709</v>
      </c>
      <c r="N1466" t="inlineStr">
        <is>
          <t>Supplier Reported Emissions</t>
        </is>
      </c>
      <c r="O1466" t="b">
        <v>0</v>
      </c>
      <c r="P1466" t="inlineStr">
        <is>
          <t>High</t>
        </is>
      </c>
      <c r="Q1466" t="inlineStr">
        <is>
          <t>Scope_Emissions</t>
        </is>
      </c>
      <c r="R1466" t="inlineStr">
        <is>
          <t>Valid</t>
        </is>
      </c>
      <c r="S1466" t="n">
        <v>2033</v>
      </c>
      <c r="T1466" t="inlineStr">
        <is>
          <t>Industry Haircut Pathway</t>
        </is>
      </c>
      <c r="U1466" t="n">
        <v>23517.5074</v>
      </c>
      <c r="V1466" t="n">
        <v>14458.5635</v>
      </c>
      <c r="W1466" t="n">
        <v>14458.5635</v>
      </c>
      <c r="X1466" t="n">
        <v>14458.5635</v>
      </c>
      <c r="Y1466" t="n">
        <v>9058.9439</v>
      </c>
      <c r="Z1466" t="n">
        <v>0.00080546</v>
      </c>
      <c r="AA1466" t="n">
        <v>0.3852</v>
      </c>
      <c r="AB1466" t="n">
        <v>0</v>
      </c>
      <c r="AC1466" t="n">
        <v>603.9296000000001</v>
      </c>
      <c r="AD1466" t="n">
        <v>-52434.6345</v>
      </c>
      <c r="AE1466" t="n">
        <v>139186.0155</v>
      </c>
      <c r="AF1466" t="n">
        <v>0.929</v>
      </c>
      <c r="AG1466" t="inlineStr">
        <is>
          <t>Low</t>
        </is>
      </c>
      <c r="AH1466" t="inlineStr">
        <is>
          <t>On Track</t>
        </is>
      </c>
    </row>
    <row r="1467">
      <c r="A1467" t="inlineStr">
        <is>
          <t>SUP-0092</t>
        </is>
      </c>
      <c r="B1467" t="inlineStr">
        <is>
          <t>Metals Supplier 092</t>
        </is>
      </c>
      <c r="C1467" t="inlineStr">
        <is>
          <t>Metals</t>
        </is>
      </c>
      <c r="D1467" t="n">
        <v>2024</v>
      </c>
      <c r="E1467" t="n">
        <v>2015</v>
      </c>
      <c r="F1467" t="n">
        <v>2030</v>
      </c>
      <c r="G1467" t="n">
        <v>14843.6709</v>
      </c>
      <c r="H1467" t="inlineStr"/>
      <c r="I1467" t="n">
        <v>2484.2007</v>
      </c>
      <c r="J1467" t="inlineStr"/>
      <c r="K1467" t="n">
        <v>17950763.75</v>
      </c>
      <c r="L1467" t="n">
        <v>35763609.62</v>
      </c>
      <c r="M1467" t="n">
        <v>14843.6709</v>
      </c>
      <c r="N1467" t="inlineStr">
        <is>
          <t>Supplier Reported Emissions</t>
        </is>
      </c>
      <c r="O1467" t="b">
        <v>0</v>
      </c>
      <c r="P1467" t="inlineStr">
        <is>
          <t>High</t>
        </is>
      </c>
      <c r="Q1467" t="inlineStr">
        <is>
          <t>Scope_Emissions</t>
        </is>
      </c>
      <c r="R1467" t="inlineStr">
        <is>
          <t>Valid</t>
        </is>
      </c>
      <c r="S1467" t="n">
        <v>2034</v>
      </c>
      <c r="T1467" t="inlineStr">
        <is>
          <t>Industry Haircut Pathway</t>
        </is>
      </c>
      <c r="U1467" t="n">
        <v>23517.5074</v>
      </c>
      <c r="V1467" t="n">
        <v>14458.5635</v>
      </c>
      <c r="W1467" t="n">
        <v>14458.5635</v>
      </c>
      <c r="X1467" t="n">
        <v>14458.5635</v>
      </c>
      <c r="Y1467" t="n">
        <v>9058.9439</v>
      </c>
      <c r="Z1467" t="n">
        <v>0.00080546</v>
      </c>
      <c r="AA1467" t="n">
        <v>0.3852</v>
      </c>
      <c r="AB1467" t="n">
        <v>0</v>
      </c>
      <c r="AC1467" t="n">
        <v>603.9296000000001</v>
      </c>
      <c r="AD1467" t="n">
        <v>-66893.198</v>
      </c>
      <c r="AE1467" t="n">
        <v>153644.579</v>
      </c>
      <c r="AF1467" t="n">
        <v>0.929</v>
      </c>
      <c r="AG1467" t="inlineStr">
        <is>
          <t>Low</t>
        </is>
      </c>
      <c r="AH1467" t="inlineStr">
        <is>
          <t>On Track</t>
        </is>
      </c>
    </row>
    <row r="1468">
      <c r="A1468" t="inlineStr">
        <is>
          <t>SUP-0092</t>
        </is>
      </c>
      <c r="B1468" t="inlineStr">
        <is>
          <t>Metals Supplier 092</t>
        </is>
      </c>
      <c r="C1468" t="inlineStr">
        <is>
          <t>Metals</t>
        </is>
      </c>
      <c r="D1468" t="n">
        <v>2024</v>
      </c>
      <c r="E1468" t="n">
        <v>2015</v>
      </c>
      <c r="F1468" t="n">
        <v>2030</v>
      </c>
      <c r="G1468" t="n">
        <v>14843.6709</v>
      </c>
      <c r="H1468" t="inlineStr"/>
      <c r="I1468" t="n">
        <v>2484.2007</v>
      </c>
      <c r="J1468" t="inlineStr"/>
      <c r="K1468" t="n">
        <v>17950763.75</v>
      </c>
      <c r="L1468" t="n">
        <v>35763609.62</v>
      </c>
      <c r="M1468" t="n">
        <v>14843.6709</v>
      </c>
      <c r="N1468" t="inlineStr">
        <is>
          <t>Supplier Reported Emissions</t>
        </is>
      </c>
      <c r="O1468" t="b">
        <v>0</v>
      </c>
      <c r="P1468" t="inlineStr">
        <is>
          <t>High</t>
        </is>
      </c>
      <c r="Q1468" t="inlineStr">
        <is>
          <t>Scope_Emissions</t>
        </is>
      </c>
      <c r="R1468" t="inlineStr">
        <is>
          <t>Valid</t>
        </is>
      </c>
      <c r="S1468" t="n">
        <v>2035</v>
      </c>
      <c r="T1468" t="inlineStr">
        <is>
          <t>Industry Haircut Pathway</t>
        </is>
      </c>
      <c r="U1468" t="n">
        <v>23517.5074</v>
      </c>
      <c r="V1468" t="n">
        <v>14458.5635</v>
      </c>
      <c r="W1468" t="n">
        <v>14458.5635</v>
      </c>
      <c r="X1468" t="n">
        <v>14458.5635</v>
      </c>
      <c r="Y1468" t="n">
        <v>9058.9439</v>
      </c>
      <c r="Z1468" t="n">
        <v>0.00080546</v>
      </c>
      <c r="AA1468" t="n">
        <v>0.3852</v>
      </c>
      <c r="AB1468" t="n">
        <v>0</v>
      </c>
      <c r="AC1468" t="n">
        <v>603.9296000000001</v>
      </c>
      <c r="AD1468" t="n">
        <v>-81351.76149999999</v>
      </c>
      <c r="AE1468" t="n">
        <v>168103.1425</v>
      </c>
      <c r="AF1468" t="n">
        <v>0.929</v>
      </c>
      <c r="AG1468" t="inlineStr">
        <is>
          <t>Low</t>
        </is>
      </c>
      <c r="AH1468" t="inlineStr">
        <is>
          <t>On Track</t>
        </is>
      </c>
    </row>
    <row r="1469">
      <c r="A1469" t="inlineStr">
        <is>
          <t>SUP-0092</t>
        </is>
      </c>
      <c r="B1469" t="inlineStr">
        <is>
          <t>Metals Supplier 092</t>
        </is>
      </c>
      <c r="C1469" t="inlineStr">
        <is>
          <t>Metals</t>
        </is>
      </c>
      <c r="D1469" t="n">
        <v>2024</v>
      </c>
      <c r="E1469" t="n">
        <v>2015</v>
      </c>
      <c r="F1469" t="n">
        <v>2030</v>
      </c>
      <c r="G1469" t="n">
        <v>14843.6709</v>
      </c>
      <c r="H1469" t="inlineStr"/>
      <c r="I1469" t="n">
        <v>2484.2007</v>
      </c>
      <c r="J1469" t="inlineStr"/>
      <c r="K1469" t="n">
        <v>17950763.75</v>
      </c>
      <c r="L1469" t="n">
        <v>35763609.62</v>
      </c>
      <c r="M1469" t="n">
        <v>14843.6709</v>
      </c>
      <c r="N1469" t="inlineStr">
        <is>
          <t>Supplier Reported Emissions</t>
        </is>
      </c>
      <c r="O1469" t="b">
        <v>0</v>
      </c>
      <c r="P1469" t="inlineStr">
        <is>
          <t>High</t>
        </is>
      </c>
      <c r="Q1469" t="inlineStr">
        <is>
          <t>Scope_Emissions</t>
        </is>
      </c>
      <c r="R1469" t="inlineStr">
        <is>
          <t>Valid</t>
        </is>
      </c>
      <c r="S1469" t="n">
        <v>2036</v>
      </c>
      <c r="T1469" t="inlineStr">
        <is>
          <t>Industry Haircut Pathway</t>
        </is>
      </c>
      <c r="U1469" t="n">
        <v>23517.5074</v>
      </c>
      <c r="V1469" t="n">
        <v>14458.5635</v>
      </c>
      <c r="W1469" t="n">
        <v>14458.5635</v>
      </c>
      <c r="X1469" t="n">
        <v>14458.5635</v>
      </c>
      <c r="Y1469" t="n">
        <v>9058.9439</v>
      </c>
      <c r="Z1469" t="n">
        <v>0.00080546</v>
      </c>
      <c r="AA1469" t="n">
        <v>0.3852</v>
      </c>
      <c r="AB1469" t="n">
        <v>0</v>
      </c>
      <c r="AC1469" t="n">
        <v>603.9296000000001</v>
      </c>
      <c r="AD1469" t="n">
        <v>-95810.325</v>
      </c>
      <c r="AE1469" t="n">
        <v>182561.706</v>
      </c>
      <c r="AF1469" t="n">
        <v>0.929</v>
      </c>
      <c r="AG1469" t="inlineStr">
        <is>
          <t>Low</t>
        </is>
      </c>
      <c r="AH1469" t="inlineStr">
        <is>
          <t>On Track</t>
        </is>
      </c>
    </row>
    <row r="1470">
      <c r="A1470" t="inlineStr">
        <is>
          <t>SUP-0092</t>
        </is>
      </c>
      <c r="B1470" t="inlineStr">
        <is>
          <t>Metals Supplier 092</t>
        </is>
      </c>
      <c r="C1470" t="inlineStr">
        <is>
          <t>Metals</t>
        </is>
      </c>
      <c r="D1470" t="n">
        <v>2024</v>
      </c>
      <c r="E1470" t="n">
        <v>2015</v>
      </c>
      <c r="F1470" t="n">
        <v>2030</v>
      </c>
      <c r="G1470" t="n">
        <v>14843.6709</v>
      </c>
      <c r="H1470" t="inlineStr"/>
      <c r="I1470" t="n">
        <v>2484.2007</v>
      </c>
      <c r="J1470" t="inlineStr"/>
      <c r="K1470" t="n">
        <v>17950763.75</v>
      </c>
      <c r="L1470" t="n">
        <v>35763609.62</v>
      </c>
      <c r="M1470" t="n">
        <v>14843.6709</v>
      </c>
      <c r="N1470" t="inlineStr">
        <is>
          <t>Supplier Reported Emissions</t>
        </is>
      </c>
      <c r="O1470" t="b">
        <v>0</v>
      </c>
      <c r="P1470" t="inlineStr">
        <is>
          <t>High</t>
        </is>
      </c>
      <c r="Q1470" t="inlineStr">
        <is>
          <t>Scope_Emissions</t>
        </is>
      </c>
      <c r="R1470" t="inlineStr">
        <is>
          <t>Valid</t>
        </is>
      </c>
      <c r="S1470" t="n">
        <v>2037</v>
      </c>
      <c r="T1470" t="inlineStr">
        <is>
          <t>Industry Haircut Pathway</t>
        </is>
      </c>
      <c r="U1470" t="n">
        <v>23517.5074</v>
      </c>
      <c r="V1470" t="n">
        <v>14458.5635</v>
      </c>
      <c r="W1470" t="n">
        <v>14458.5635</v>
      </c>
      <c r="X1470" t="n">
        <v>14458.5635</v>
      </c>
      <c r="Y1470" t="n">
        <v>9058.9439</v>
      </c>
      <c r="Z1470" t="n">
        <v>0.00080546</v>
      </c>
      <c r="AA1470" t="n">
        <v>0.3852</v>
      </c>
      <c r="AB1470" t="n">
        <v>0</v>
      </c>
      <c r="AC1470" t="n">
        <v>603.9296000000001</v>
      </c>
      <c r="AD1470" t="n">
        <v>-110268.8885</v>
      </c>
      <c r="AE1470" t="n">
        <v>197020.2695</v>
      </c>
      <c r="AF1470" t="n">
        <v>0.929</v>
      </c>
      <c r="AG1470" t="inlineStr">
        <is>
          <t>Low</t>
        </is>
      </c>
      <c r="AH1470" t="inlineStr">
        <is>
          <t>On Track</t>
        </is>
      </c>
    </row>
    <row r="1471">
      <c r="A1471" t="inlineStr">
        <is>
          <t>SUP-0092</t>
        </is>
      </c>
      <c r="B1471" t="inlineStr">
        <is>
          <t>Metals Supplier 092</t>
        </is>
      </c>
      <c r="C1471" t="inlineStr">
        <is>
          <t>Metals</t>
        </is>
      </c>
      <c r="D1471" t="n">
        <v>2024</v>
      </c>
      <c r="E1471" t="n">
        <v>2015</v>
      </c>
      <c r="F1471" t="n">
        <v>2030</v>
      </c>
      <c r="G1471" t="n">
        <v>14843.6709</v>
      </c>
      <c r="H1471" t="inlineStr"/>
      <c r="I1471" t="n">
        <v>2484.2007</v>
      </c>
      <c r="J1471" t="inlineStr"/>
      <c r="K1471" t="n">
        <v>17950763.75</v>
      </c>
      <c r="L1471" t="n">
        <v>35763609.62</v>
      </c>
      <c r="M1471" t="n">
        <v>14843.6709</v>
      </c>
      <c r="N1471" t="inlineStr">
        <is>
          <t>Supplier Reported Emissions</t>
        </is>
      </c>
      <c r="O1471" t="b">
        <v>0</v>
      </c>
      <c r="P1471" t="inlineStr">
        <is>
          <t>High</t>
        </is>
      </c>
      <c r="Q1471" t="inlineStr">
        <is>
          <t>Scope_Emissions</t>
        </is>
      </c>
      <c r="R1471" t="inlineStr">
        <is>
          <t>Valid</t>
        </is>
      </c>
      <c r="S1471" t="n">
        <v>2038</v>
      </c>
      <c r="T1471" t="inlineStr">
        <is>
          <t>Industry Haircut Pathway</t>
        </is>
      </c>
      <c r="U1471" t="n">
        <v>23517.5074</v>
      </c>
      <c r="V1471" t="n">
        <v>14458.5635</v>
      </c>
      <c r="W1471" t="n">
        <v>14458.5635</v>
      </c>
      <c r="X1471" t="n">
        <v>14458.5635</v>
      </c>
      <c r="Y1471" t="n">
        <v>9058.9439</v>
      </c>
      <c r="Z1471" t="n">
        <v>0.00080546</v>
      </c>
      <c r="AA1471" t="n">
        <v>0.3852</v>
      </c>
      <c r="AB1471" t="n">
        <v>0</v>
      </c>
      <c r="AC1471" t="n">
        <v>603.9296000000001</v>
      </c>
      <c r="AD1471" t="n">
        <v>-124727.452</v>
      </c>
      <c r="AE1471" t="n">
        <v>211478.833</v>
      </c>
      <c r="AF1471" t="n">
        <v>0.929</v>
      </c>
      <c r="AG1471" t="inlineStr">
        <is>
          <t>Low</t>
        </is>
      </c>
      <c r="AH1471" t="inlineStr">
        <is>
          <t>On Track</t>
        </is>
      </c>
    </row>
    <row r="1472">
      <c r="A1472" t="inlineStr">
        <is>
          <t>SUP-0092</t>
        </is>
      </c>
      <c r="B1472" t="inlineStr">
        <is>
          <t>Metals Supplier 092</t>
        </is>
      </c>
      <c r="C1472" t="inlineStr">
        <is>
          <t>Metals</t>
        </is>
      </c>
      <c r="D1472" t="n">
        <v>2024</v>
      </c>
      <c r="E1472" t="n">
        <v>2015</v>
      </c>
      <c r="F1472" t="n">
        <v>2030</v>
      </c>
      <c r="G1472" t="n">
        <v>14843.6709</v>
      </c>
      <c r="H1472" t="inlineStr"/>
      <c r="I1472" t="n">
        <v>2484.2007</v>
      </c>
      <c r="J1472" t="inlineStr"/>
      <c r="K1472" t="n">
        <v>17950763.75</v>
      </c>
      <c r="L1472" t="n">
        <v>35763609.62</v>
      </c>
      <c r="M1472" t="n">
        <v>14843.6709</v>
      </c>
      <c r="N1472" t="inlineStr">
        <is>
          <t>Supplier Reported Emissions</t>
        </is>
      </c>
      <c r="O1472" t="b">
        <v>0</v>
      </c>
      <c r="P1472" t="inlineStr">
        <is>
          <t>High</t>
        </is>
      </c>
      <c r="Q1472" t="inlineStr">
        <is>
          <t>Scope_Emissions</t>
        </is>
      </c>
      <c r="R1472" t="inlineStr">
        <is>
          <t>Valid</t>
        </is>
      </c>
      <c r="S1472" t="n">
        <v>2039</v>
      </c>
      <c r="T1472" t="inlineStr">
        <is>
          <t>Industry Haircut Pathway</t>
        </is>
      </c>
      <c r="U1472" t="n">
        <v>23517.5074</v>
      </c>
      <c r="V1472" t="n">
        <v>14458.5635</v>
      </c>
      <c r="W1472" t="n">
        <v>14458.5635</v>
      </c>
      <c r="X1472" t="n">
        <v>14458.5635</v>
      </c>
      <c r="Y1472" t="n">
        <v>9058.9439</v>
      </c>
      <c r="Z1472" t="n">
        <v>0.00080546</v>
      </c>
      <c r="AA1472" t="n">
        <v>0.3852</v>
      </c>
      <c r="AB1472" t="n">
        <v>0</v>
      </c>
      <c r="AC1472" t="n">
        <v>603.9296000000001</v>
      </c>
      <c r="AD1472" t="n">
        <v>-139186.0155</v>
      </c>
      <c r="AE1472" t="n">
        <v>225937.3965</v>
      </c>
      <c r="AF1472" t="n">
        <v>0.929</v>
      </c>
      <c r="AG1472" t="inlineStr">
        <is>
          <t>Low</t>
        </is>
      </c>
      <c r="AH1472" t="inlineStr">
        <is>
          <t>On Track</t>
        </is>
      </c>
    </row>
    <row r="1473">
      <c r="A1473" t="inlineStr">
        <is>
          <t>SUP-0092</t>
        </is>
      </c>
      <c r="B1473" t="inlineStr">
        <is>
          <t>Metals Supplier 092</t>
        </is>
      </c>
      <c r="C1473" t="inlineStr">
        <is>
          <t>Metals</t>
        </is>
      </c>
      <c r="D1473" t="n">
        <v>2024</v>
      </c>
      <c r="E1473" t="n">
        <v>2015</v>
      </c>
      <c r="F1473" t="n">
        <v>2030</v>
      </c>
      <c r="G1473" t="n">
        <v>14843.6709</v>
      </c>
      <c r="H1473" t="inlineStr"/>
      <c r="I1473" t="n">
        <v>2484.2007</v>
      </c>
      <c r="J1473" t="inlineStr"/>
      <c r="K1473" t="n">
        <v>17950763.75</v>
      </c>
      <c r="L1473" t="n">
        <v>35763609.62</v>
      </c>
      <c r="M1473" t="n">
        <v>14843.6709</v>
      </c>
      <c r="N1473" t="inlineStr">
        <is>
          <t>Supplier Reported Emissions</t>
        </is>
      </c>
      <c r="O1473" t="b">
        <v>0</v>
      </c>
      <c r="P1473" t="inlineStr">
        <is>
          <t>High</t>
        </is>
      </c>
      <c r="Q1473" t="inlineStr">
        <is>
          <t>Scope_Emissions</t>
        </is>
      </c>
      <c r="R1473" t="inlineStr">
        <is>
          <t>Valid</t>
        </is>
      </c>
      <c r="S1473" t="n">
        <v>2040</v>
      </c>
      <c r="T1473" t="inlineStr">
        <is>
          <t>Industry Haircut Pathway</t>
        </is>
      </c>
      <c r="U1473" t="n">
        <v>23517.5074</v>
      </c>
      <c r="V1473" t="n">
        <v>14458.5635</v>
      </c>
      <c r="W1473" t="n">
        <v>14458.5635</v>
      </c>
      <c r="X1473" t="n">
        <v>14458.5635</v>
      </c>
      <c r="Y1473" t="n">
        <v>9058.9439</v>
      </c>
      <c r="Z1473" t="n">
        <v>0.00080546</v>
      </c>
      <c r="AA1473" t="n">
        <v>0.3852</v>
      </c>
      <c r="AB1473" t="n">
        <v>0</v>
      </c>
      <c r="AC1473" t="n">
        <v>603.9296000000001</v>
      </c>
      <c r="AD1473" t="n">
        <v>-153644.579</v>
      </c>
      <c r="AE1473" t="n">
        <v>240395.96</v>
      </c>
      <c r="AF1473" t="n">
        <v>0.929</v>
      </c>
      <c r="AG1473" t="inlineStr">
        <is>
          <t>Low</t>
        </is>
      </c>
      <c r="AH1473" t="inlineStr">
        <is>
          <t>On Track</t>
        </is>
      </c>
    </row>
    <row r="1474">
      <c r="A1474" t="inlineStr">
        <is>
          <t>SUP-0093</t>
        </is>
      </c>
      <c r="B1474" t="inlineStr">
        <is>
          <t>Chemicals Supplier 093</t>
        </is>
      </c>
      <c r="C1474" t="inlineStr">
        <is>
          <t>Chemicals</t>
        </is>
      </c>
      <c r="D1474" t="n">
        <v>2024</v>
      </c>
      <c r="E1474" t="n">
        <v>2015</v>
      </c>
      <c r="F1474" t="n">
        <v>2035</v>
      </c>
      <c r="G1474" t="n">
        <v>37700.998</v>
      </c>
      <c r="H1474" t="n">
        <v>3881.9187</v>
      </c>
      <c r="I1474" t="n">
        <v>3542.427</v>
      </c>
      <c r="J1474" t="n">
        <v>31290.2093</v>
      </c>
      <c r="K1474" t="n">
        <v>32321142.26</v>
      </c>
      <c r="L1474" t="n">
        <v>110130794.79</v>
      </c>
      <c r="M1474" t="n">
        <v>37700.998</v>
      </c>
      <c r="N1474" t="inlineStr">
        <is>
          <t>Supplier Reported Emissions</t>
        </is>
      </c>
      <c r="O1474" t="b">
        <v>0</v>
      </c>
      <c r="P1474" t="inlineStr">
        <is>
          <t>High</t>
        </is>
      </c>
      <c r="Q1474" t="inlineStr">
        <is>
          <t>None</t>
        </is>
      </c>
      <c r="R1474" t="inlineStr">
        <is>
          <t>Valid</t>
        </is>
      </c>
      <c r="S1474" t="n">
        <v>2025</v>
      </c>
      <c r="T1474" t="inlineStr">
        <is>
          <t>Industry Haircut Pathway</t>
        </is>
      </c>
      <c r="U1474" t="n">
        <v>18204.4056</v>
      </c>
      <c r="V1474" t="n">
        <v>8685.321900000001</v>
      </c>
      <c r="W1474" t="n">
        <v>13444.8638</v>
      </c>
      <c r="X1474" t="n">
        <v>13444.8638</v>
      </c>
      <c r="Y1474" t="n">
        <v>4759.5418</v>
      </c>
      <c r="Z1474" t="n">
        <v>0.00041598</v>
      </c>
      <c r="AA1474" t="n">
        <v>0.26145</v>
      </c>
      <c r="AB1474" t="n">
        <v>4759.5418</v>
      </c>
      <c r="AC1474" t="n">
        <v>475.9542</v>
      </c>
      <c r="AD1474" t="n">
        <v>82093.6771</v>
      </c>
      <c r="AE1474" t="n">
        <v>13444.8638</v>
      </c>
      <c r="AF1474" t="n">
        <v>0.9360000000000001</v>
      </c>
      <c r="AG1474" t="inlineStr">
        <is>
          <t>Critical</t>
        </is>
      </c>
      <c r="AH1474" t="inlineStr">
        <is>
          <t>On Track to Glide Path</t>
        </is>
      </c>
    </row>
    <row r="1475">
      <c r="A1475" t="inlineStr">
        <is>
          <t>SUP-0093</t>
        </is>
      </c>
      <c r="B1475" t="inlineStr">
        <is>
          <t>Chemicals Supplier 093</t>
        </is>
      </c>
      <c r="C1475" t="inlineStr">
        <is>
          <t>Chemicals</t>
        </is>
      </c>
      <c r="D1475" t="n">
        <v>2024</v>
      </c>
      <c r="E1475" t="n">
        <v>2015</v>
      </c>
      <c r="F1475" t="n">
        <v>2035</v>
      </c>
      <c r="G1475" t="n">
        <v>37700.998</v>
      </c>
      <c r="H1475" t="n">
        <v>3881.9187</v>
      </c>
      <c r="I1475" t="n">
        <v>3542.427</v>
      </c>
      <c r="J1475" t="n">
        <v>31290.2093</v>
      </c>
      <c r="K1475" t="n">
        <v>32321142.26</v>
      </c>
      <c r="L1475" t="n">
        <v>110130794.79</v>
      </c>
      <c r="M1475" t="n">
        <v>37700.998</v>
      </c>
      <c r="N1475" t="inlineStr">
        <is>
          <t>Supplier Reported Emissions</t>
        </is>
      </c>
      <c r="O1475" t="b">
        <v>0</v>
      </c>
      <c r="P1475" t="inlineStr">
        <is>
          <t>High</t>
        </is>
      </c>
      <c r="Q1475" t="inlineStr">
        <is>
          <t>None</t>
        </is>
      </c>
      <c r="R1475" t="inlineStr">
        <is>
          <t>Valid</t>
        </is>
      </c>
      <c r="S1475" t="n">
        <v>2026</v>
      </c>
      <c r="T1475" t="inlineStr">
        <is>
          <t>Industry Haircut Pathway</t>
        </is>
      </c>
      <c r="U1475" t="n">
        <v>18204.4056</v>
      </c>
      <c r="V1475" t="n">
        <v>8685.321900000001</v>
      </c>
      <c r="W1475" t="n">
        <v>12968.9096</v>
      </c>
      <c r="X1475" t="n">
        <v>12968.9096</v>
      </c>
      <c r="Y1475" t="n">
        <v>5235.496</v>
      </c>
      <c r="Z1475" t="n">
        <v>0.00040125</v>
      </c>
      <c r="AA1475" t="n">
        <v>0.287595</v>
      </c>
      <c r="AB1475" t="n">
        <v>4283.5877</v>
      </c>
      <c r="AC1475" t="n">
        <v>475.9542</v>
      </c>
      <c r="AD1475" t="n">
        <v>69124.7675</v>
      </c>
      <c r="AE1475" t="n">
        <v>26413.7734</v>
      </c>
      <c r="AF1475" t="n">
        <v>0.9360000000000001</v>
      </c>
      <c r="AG1475" t="inlineStr">
        <is>
          <t>Critical</t>
        </is>
      </c>
      <c r="AH1475" t="inlineStr">
        <is>
          <t>On Track to Glide Path</t>
        </is>
      </c>
    </row>
    <row r="1476">
      <c r="A1476" t="inlineStr">
        <is>
          <t>SUP-0093</t>
        </is>
      </c>
      <c r="B1476" t="inlineStr">
        <is>
          <t>Chemicals Supplier 093</t>
        </is>
      </c>
      <c r="C1476" t="inlineStr">
        <is>
          <t>Chemicals</t>
        </is>
      </c>
      <c r="D1476" t="n">
        <v>2024</v>
      </c>
      <c r="E1476" t="n">
        <v>2015</v>
      </c>
      <c r="F1476" t="n">
        <v>2035</v>
      </c>
      <c r="G1476" t="n">
        <v>37700.998</v>
      </c>
      <c r="H1476" t="n">
        <v>3881.9187</v>
      </c>
      <c r="I1476" t="n">
        <v>3542.427</v>
      </c>
      <c r="J1476" t="n">
        <v>31290.2093</v>
      </c>
      <c r="K1476" t="n">
        <v>32321142.26</v>
      </c>
      <c r="L1476" t="n">
        <v>110130794.79</v>
      </c>
      <c r="M1476" t="n">
        <v>37700.998</v>
      </c>
      <c r="N1476" t="inlineStr">
        <is>
          <t>Supplier Reported Emissions</t>
        </is>
      </c>
      <c r="O1476" t="b">
        <v>0</v>
      </c>
      <c r="P1476" t="inlineStr">
        <is>
          <t>High</t>
        </is>
      </c>
      <c r="Q1476" t="inlineStr">
        <is>
          <t>None</t>
        </is>
      </c>
      <c r="R1476" t="inlineStr">
        <is>
          <t>Valid</t>
        </is>
      </c>
      <c r="S1476" t="n">
        <v>2027</v>
      </c>
      <c r="T1476" t="inlineStr">
        <is>
          <t>Industry Haircut Pathway</t>
        </is>
      </c>
      <c r="U1476" t="n">
        <v>18204.4056</v>
      </c>
      <c r="V1476" t="n">
        <v>8685.321900000001</v>
      </c>
      <c r="W1476" t="n">
        <v>12492.9554</v>
      </c>
      <c r="X1476" t="n">
        <v>12492.9554</v>
      </c>
      <c r="Y1476" t="n">
        <v>5711.4502</v>
      </c>
      <c r="Z1476" t="n">
        <v>0.00038653</v>
      </c>
      <c r="AA1476" t="n">
        <v>0.31374</v>
      </c>
      <c r="AB1476" t="n">
        <v>3807.6335</v>
      </c>
      <c r="AC1476" t="n">
        <v>475.9542</v>
      </c>
      <c r="AD1476" t="n">
        <v>56631.8121</v>
      </c>
      <c r="AE1476" t="n">
        <v>38906.7288</v>
      </c>
      <c r="AF1476" t="n">
        <v>0.9360000000000001</v>
      </c>
      <c r="AG1476" t="inlineStr">
        <is>
          <t>Critical</t>
        </is>
      </c>
      <c r="AH1476" t="inlineStr">
        <is>
          <t>On Track to Glide Path</t>
        </is>
      </c>
    </row>
    <row r="1477">
      <c r="A1477" t="inlineStr">
        <is>
          <t>SUP-0093</t>
        </is>
      </c>
      <c r="B1477" t="inlineStr">
        <is>
          <t>Chemicals Supplier 093</t>
        </is>
      </c>
      <c r="C1477" t="inlineStr">
        <is>
          <t>Chemicals</t>
        </is>
      </c>
      <c r="D1477" t="n">
        <v>2024</v>
      </c>
      <c r="E1477" t="n">
        <v>2015</v>
      </c>
      <c r="F1477" t="n">
        <v>2035</v>
      </c>
      <c r="G1477" t="n">
        <v>37700.998</v>
      </c>
      <c r="H1477" t="n">
        <v>3881.9187</v>
      </c>
      <c r="I1477" t="n">
        <v>3542.427</v>
      </c>
      <c r="J1477" t="n">
        <v>31290.2093</v>
      </c>
      <c r="K1477" t="n">
        <v>32321142.26</v>
      </c>
      <c r="L1477" t="n">
        <v>110130794.79</v>
      </c>
      <c r="M1477" t="n">
        <v>37700.998</v>
      </c>
      <c r="N1477" t="inlineStr">
        <is>
          <t>Supplier Reported Emissions</t>
        </is>
      </c>
      <c r="O1477" t="b">
        <v>0</v>
      </c>
      <c r="P1477" t="inlineStr">
        <is>
          <t>High</t>
        </is>
      </c>
      <c r="Q1477" t="inlineStr">
        <is>
          <t>None</t>
        </is>
      </c>
      <c r="R1477" t="inlineStr">
        <is>
          <t>Valid</t>
        </is>
      </c>
      <c r="S1477" t="n">
        <v>2028</v>
      </c>
      <c r="T1477" t="inlineStr">
        <is>
          <t>Industry Haircut Pathway</t>
        </is>
      </c>
      <c r="U1477" t="n">
        <v>18204.4056</v>
      </c>
      <c r="V1477" t="n">
        <v>8685.321900000001</v>
      </c>
      <c r="W1477" t="n">
        <v>12017.0012</v>
      </c>
      <c r="X1477" t="n">
        <v>12017.0012</v>
      </c>
      <c r="Y1477" t="n">
        <v>6187.4044</v>
      </c>
      <c r="Z1477" t="n">
        <v>0.0003718</v>
      </c>
      <c r="AA1477" t="n">
        <v>0.339885</v>
      </c>
      <c r="AB1477" t="n">
        <v>3331.6793</v>
      </c>
      <c r="AC1477" t="n">
        <v>475.9542</v>
      </c>
      <c r="AD1477" t="n">
        <v>44614.8109</v>
      </c>
      <c r="AE1477" t="n">
        <v>50923.73</v>
      </c>
      <c r="AF1477" t="n">
        <v>0.9360000000000001</v>
      </c>
      <c r="AG1477" t="inlineStr">
        <is>
          <t>Critical</t>
        </is>
      </c>
      <c r="AH1477" t="inlineStr">
        <is>
          <t>On Track to Glide Path</t>
        </is>
      </c>
    </row>
    <row r="1478">
      <c r="A1478" t="inlineStr">
        <is>
          <t>SUP-0093</t>
        </is>
      </c>
      <c r="B1478" t="inlineStr">
        <is>
          <t>Chemicals Supplier 093</t>
        </is>
      </c>
      <c r="C1478" t="inlineStr">
        <is>
          <t>Chemicals</t>
        </is>
      </c>
      <c r="D1478" t="n">
        <v>2024</v>
      </c>
      <c r="E1478" t="n">
        <v>2015</v>
      </c>
      <c r="F1478" t="n">
        <v>2035</v>
      </c>
      <c r="G1478" t="n">
        <v>37700.998</v>
      </c>
      <c r="H1478" t="n">
        <v>3881.9187</v>
      </c>
      <c r="I1478" t="n">
        <v>3542.427</v>
      </c>
      <c r="J1478" t="n">
        <v>31290.2093</v>
      </c>
      <c r="K1478" t="n">
        <v>32321142.26</v>
      </c>
      <c r="L1478" t="n">
        <v>110130794.79</v>
      </c>
      <c r="M1478" t="n">
        <v>37700.998</v>
      </c>
      <c r="N1478" t="inlineStr">
        <is>
          <t>Supplier Reported Emissions</t>
        </is>
      </c>
      <c r="O1478" t="b">
        <v>0</v>
      </c>
      <c r="P1478" t="inlineStr">
        <is>
          <t>High</t>
        </is>
      </c>
      <c r="Q1478" t="inlineStr">
        <is>
          <t>None</t>
        </is>
      </c>
      <c r="R1478" t="inlineStr">
        <is>
          <t>Valid</t>
        </is>
      </c>
      <c r="S1478" t="n">
        <v>2029</v>
      </c>
      <c r="T1478" t="inlineStr">
        <is>
          <t>Industry Haircut Pathway</t>
        </is>
      </c>
      <c r="U1478" t="n">
        <v>18204.4056</v>
      </c>
      <c r="V1478" t="n">
        <v>8685.321900000001</v>
      </c>
      <c r="W1478" t="n">
        <v>11541.047</v>
      </c>
      <c r="X1478" t="n">
        <v>11541.047</v>
      </c>
      <c r="Y1478" t="n">
        <v>6663.3586</v>
      </c>
      <c r="Z1478" t="n">
        <v>0.00035707</v>
      </c>
      <c r="AA1478" t="n">
        <v>0.36603</v>
      </c>
      <c r="AB1478" t="n">
        <v>2855.7251</v>
      </c>
      <c r="AC1478" t="n">
        <v>475.9542</v>
      </c>
      <c r="AD1478" t="n">
        <v>33073.7639</v>
      </c>
      <c r="AE1478" t="n">
        <v>62464.777</v>
      </c>
      <c r="AF1478" t="n">
        <v>0.9360000000000001</v>
      </c>
      <c r="AG1478" t="inlineStr">
        <is>
          <t>High</t>
        </is>
      </c>
      <c r="AH1478" t="inlineStr">
        <is>
          <t>On Track to Glide Path</t>
        </is>
      </c>
    </row>
    <row r="1479">
      <c r="A1479" t="inlineStr">
        <is>
          <t>SUP-0093</t>
        </is>
      </c>
      <c r="B1479" t="inlineStr">
        <is>
          <t>Chemicals Supplier 093</t>
        </is>
      </c>
      <c r="C1479" t="inlineStr">
        <is>
          <t>Chemicals</t>
        </is>
      </c>
      <c r="D1479" t="n">
        <v>2024</v>
      </c>
      <c r="E1479" t="n">
        <v>2015</v>
      </c>
      <c r="F1479" t="n">
        <v>2035</v>
      </c>
      <c r="G1479" t="n">
        <v>37700.998</v>
      </c>
      <c r="H1479" t="n">
        <v>3881.9187</v>
      </c>
      <c r="I1479" t="n">
        <v>3542.427</v>
      </c>
      <c r="J1479" t="n">
        <v>31290.2093</v>
      </c>
      <c r="K1479" t="n">
        <v>32321142.26</v>
      </c>
      <c r="L1479" t="n">
        <v>110130794.79</v>
      </c>
      <c r="M1479" t="n">
        <v>37700.998</v>
      </c>
      <c r="N1479" t="inlineStr">
        <is>
          <t>Supplier Reported Emissions</t>
        </is>
      </c>
      <c r="O1479" t="b">
        <v>0</v>
      </c>
      <c r="P1479" t="inlineStr">
        <is>
          <t>High</t>
        </is>
      </c>
      <c r="Q1479" t="inlineStr">
        <is>
          <t>None</t>
        </is>
      </c>
      <c r="R1479" t="inlineStr">
        <is>
          <t>Valid</t>
        </is>
      </c>
      <c r="S1479" t="n">
        <v>2030</v>
      </c>
      <c r="T1479" t="inlineStr">
        <is>
          <t>Industry Haircut Pathway</t>
        </is>
      </c>
      <c r="U1479" t="n">
        <v>18204.4056</v>
      </c>
      <c r="V1479" t="n">
        <v>8685.321900000001</v>
      </c>
      <c r="W1479" t="n">
        <v>11065.0928</v>
      </c>
      <c r="X1479" t="n">
        <v>11065.0928</v>
      </c>
      <c r="Y1479" t="n">
        <v>7139.3128</v>
      </c>
      <c r="Z1479" t="n">
        <v>0.00034235</v>
      </c>
      <c r="AA1479" t="n">
        <v>0.392175</v>
      </c>
      <c r="AB1479" t="n">
        <v>2379.7709</v>
      </c>
      <c r="AC1479" t="n">
        <v>475.9542</v>
      </c>
      <c r="AD1479" t="n">
        <v>22008.6711</v>
      </c>
      <c r="AE1479" t="n">
        <v>73529.8698</v>
      </c>
      <c r="AF1479" t="n">
        <v>0.9360000000000001</v>
      </c>
      <c r="AG1479" t="inlineStr">
        <is>
          <t>High</t>
        </is>
      </c>
      <c r="AH1479" t="inlineStr">
        <is>
          <t>On Track to Glide Path</t>
        </is>
      </c>
    </row>
    <row r="1480">
      <c r="A1480" t="inlineStr">
        <is>
          <t>SUP-0093</t>
        </is>
      </c>
      <c r="B1480" t="inlineStr">
        <is>
          <t>Chemicals Supplier 093</t>
        </is>
      </c>
      <c r="C1480" t="inlineStr">
        <is>
          <t>Chemicals</t>
        </is>
      </c>
      <c r="D1480" t="n">
        <v>2024</v>
      </c>
      <c r="E1480" t="n">
        <v>2015</v>
      </c>
      <c r="F1480" t="n">
        <v>2035</v>
      </c>
      <c r="G1480" t="n">
        <v>37700.998</v>
      </c>
      <c r="H1480" t="n">
        <v>3881.9187</v>
      </c>
      <c r="I1480" t="n">
        <v>3542.427</v>
      </c>
      <c r="J1480" t="n">
        <v>31290.2093</v>
      </c>
      <c r="K1480" t="n">
        <v>32321142.26</v>
      </c>
      <c r="L1480" t="n">
        <v>110130794.79</v>
      </c>
      <c r="M1480" t="n">
        <v>37700.998</v>
      </c>
      <c r="N1480" t="inlineStr">
        <is>
          <t>Supplier Reported Emissions</t>
        </is>
      </c>
      <c r="O1480" t="b">
        <v>0</v>
      </c>
      <c r="P1480" t="inlineStr">
        <is>
          <t>High</t>
        </is>
      </c>
      <c r="Q1480" t="inlineStr">
        <is>
          <t>None</t>
        </is>
      </c>
      <c r="R1480" t="inlineStr">
        <is>
          <t>Valid</t>
        </is>
      </c>
      <c r="S1480" t="n">
        <v>2031</v>
      </c>
      <c r="T1480" t="inlineStr">
        <is>
          <t>Industry Haircut Pathway</t>
        </is>
      </c>
      <c r="U1480" t="n">
        <v>18204.4056</v>
      </c>
      <c r="V1480" t="n">
        <v>8685.321900000001</v>
      </c>
      <c r="W1480" t="n">
        <v>10589.1386</v>
      </c>
      <c r="X1480" t="n">
        <v>10589.1386</v>
      </c>
      <c r="Y1480" t="n">
        <v>7615.267</v>
      </c>
      <c r="Z1480" t="n">
        <v>0.00032762</v>
      </c>
      <c r="AA1480" t="n">
        <v>0.41832</v>
      </c>
      <c r="AB1480" t="n">
        <v>1903.8167</v>
      </c>
      <c r="AC1480" t="n">
        <v>475.9542</v>
      </c>
      <c r="AD1480" t="n">
        <v>11419.5325</v>
      </c>
      <c r="AE1480" t="n">
        <v>84119.00840000001</v>
      </c>
      <c r="AF1480" t="n">
        <v>0.9360000000000001</v>
      </c>
      <c r="AG1480" t="inlineStr">
        <is>
          <t>High</t>
        </is>
      </c>
      <c r="AH1480" t="inlineStr">
        <is>
          <t>On Track to Glide Path</t>
        </is>
      </c>
    </row>
    <row r="1481">
      <c r="A1481" t="inlineStr">
        <is>
          <t>SUP-0093</t>
        </is>
      </c>
      <c r="B1481" t="inlineStr">
        <is>
          <t>Chemicals Supplier 093</t>
        </is>
      </c>
      <c r="C1481" t="inlineStr">
        <is>
          <t>Chemicals</t>
        </is>
      </c>
      <c r="D1481" t="n">
        <v>2024</v>
      </c>
      <c r="E1481" t="n">
        <v>2015</v>
      </c>
      <c r="F1481" t="n">
        <v>2035</v>
      </c>
      <c r="G1481" t="n">
        <v>37700.998</v>
      </c>
      <c r="H1481" t="n">
        <v>3881.9187</v>
      </c>
      <c r="I1481" t="n">
        <v>3542.427</v>
      </c>
      <c r="J1481" t="n">
        <v>31290.2093</v>
      </c>
      <c r="K1481" t="n">
        <v>32321142.26</v>
      </c>
      <c r="L1481" t="n">
        <v>110130794.79</v>
      </c>
      <c r="M1481" t="n">
        <v>37700.998</v>
      </c>
      <c r="N1481" t="inlineStr">
        <is>
          <t>Supplier Reported Emissions</t>
        </is>
      </c>
      <c r="O1481" t="b">
        <v>0</v>
      </c>
      <c r="P1481" t="inlineStr">
        <is>
          <t>High</t>
        </is>
      </c>
      <c r="Q1481" t="inlineStr">
        <is>
          <t>None</t>
        </is>
      </c>
      <c r="R1481" t="inlineStr">
        <is>
          <t>Valid</t>
        </is>
      </c>
      <c r="S1481" t="n">
        <v>2032</v>
      </c>
      <c r="T1481" t="inlineStr">
        <is>
          <t>Industry Haircut Pathway</t>
        </is>
      </c>
      <c r="U1481" t="n">
        <v>18204.4056</v>
      </c>
      <c r="V1481" t="n">
        <v>8685.321900000001</v>
      </c>
      <c r="W1481" t="n">
        <v>10113.1845</v>
      </c>
      <c r="X1481" t="n">
        <v>10113.1845</v>
      </c>
      <c r="Y1481" t="n">
        <v>8091.2211</v>
      </c>
      <c r="Z1481" t="n">
        <v>0.0003129</v>
      </c>
      <c r="AA1481" t="n">
        <v>0.444465</v>
      </c>
      <c r="AB1481" t="n">
        <v>1427.8626</v>
      </c>
      <c r="AC1481" t="n">
        <v>475.9542</v>
      </c>
      <c r="AD1481" t="n">
        <v>1306.348</v>
      </c>
      <c r="AE1481" t="n">
        <v>94232.19289999999</v>
      </c>
      <c r="AF1481" t="n">
        <v>0.9360000000000001</v>
      </c>
      <c r="AG1481" t="inlineStr">
        <is>
          <t>High</t>
        </is>
      </c>
      <c r="AH1481" t="inlineStr">
        <is>
          <t>On Track to Glide Path</t>
        </is>
      </c>
    </row>
    <row r="1482">
      <c r="A1482" t="inlineStr">
        <is>
          <t>SUP-0093</t>
        </is>
      </c>
      <c r="B1482" t="inlineStr">
        <is>
          <t>Chemicals Supplier 093</t>
        </is>
      </c>
      <c r="C1482" t="inlineStr">
        <is>
          <t>Chemicals</t>
        </is>
      </c>
      <c r="D1482" t="n">
        <v>2024</v>
      </c>
      <c r="E1482" t="n">
        <v>2015</v>
      </c>
      <c r="F1482" t="n">
        <v>2035</v>
      </c>
      <c r="G1482" t="n">
        <v>37700.998</v>
      </c>
      <c r="H1482" t="n">
        <v>3881.9187</v>
      </c>
      <c r="I1482" t="n">
        <v>3542.427</v>
      </c>
      <c r="J1482" t="n">
        <v>31290.2093</v>
      </c>
      <c r="K1482" t="n">
        <v>32321142.26</v>
      </c>
      <c r="L1482" t="n">
        <v>110130794.79</v>
      </c>
      <c r="M1482" t="n">
        <v>37700.998</v>
      </c>
      <c r="N1482" t="inlineStr">
        <is>
          <t>Supplier Reported Emissions</t>
        </is>
      </c>
      <c r="O1482" t="b">
        <v>0</v>
      </c>
      <c r="P1482" t="inlineStr">
        <is>
          <t>High</t>
        </is>
      </c>
      <c r="Q1482" t="inlineStr">
        <is>
          <t>None</t>
        </is>
      </c>
      <c r="R1482" t="inlineStr">
        <is>
          <t>Valid</t>
        </is>
      </c>
      <c r="S1482" t="n">
        <v>2033</v>
      </c>
      <c r="T1482" t="inlineStr">
        <is>
          <t>Industry Haircut Pathway</t>
        </is>
      </c>
      <c r="U1482" t="n">
        <v>18204.4056</v>
      </c>
      <c r="V1482" t="n">
        <v>8685.321900000001</v>
      </c>
      <c r="W1482" t="n">
        <v>9637.230299999999</v>
      </c>
      <c r="X1482" t="n">
        <v>9637.230299999999</v>
      </c>
      <c r="Y1482" t="n">
        <v>8567.175300000001</v>
      </c>
      <c r="Z1482" t="n">
        <v>0.00029817</v>
      </c>
      <c r="AA1482" t="n">
        <v>0.47061</v>
      </c>
      <c r="AB1482" t="n">
        <v>951.9084</v>
      </c>
      <c r="AC1482" t="n">
        <v>475.9542</v>
      </c>
      <c r="AD1482" t="n">
        <v>-8330.882299999999</v>
      </c>
      <c r="AE1482" t="n">
        <v>103869.4232</v>
      </c>
      <c r="AF1482" t="n">
        <v>0.9360000000000001</v>
      </c>
      <c r="AG1482" t="inlineStr">
        <is>
          <t>Medium</t>
        </is>
      </c>
      <c r="AH1482" t="inlineStr">
        <is>
          <t>On Track to Glide Path</t>
        </is>
      </c>
    </row>
    <row r="1483">
      <c r="A1483" t="inlineStr">
        <is>
          <t>SUP-0093</t>
        </is>
      </c>
      <c r="B1483" t="inlineStr">
        <is>
          <t>Chemicals Supplier 093</t>
        </is>
      </c>
      <c r="C1483" t="inlineStr">
        <is>
          <t>Chemicals</t>
        </is>
      </c>
      <c r="D1483" t="n">
        <v>2024</v>
      </c>
      <c r="E1483" t="n">
        <v>2015</v>
      </c>
      <c r="F1483" t="n">
        <v>2035</v>
      </c>
      <c r="G1483" t="n">
        <v>37700.998</v>
      </c>
      <c r="H1483" t="n">
        <v>3881.9187</v>
      </c>
      <c r="I1483" t="n">
        <v>3542.427</v>
      </c>
      <c r="J1483" t="n">
        <v>31290.2093</v>
      </c>
      <c r="K1483" t="n">
        <v>32321142.26</v>
      </c>
      <c r="L1483" t="n">
        <v>110130794.79</v>
      </c>
      <c r="M1483" t="n">
        <v>37700.998</v>
      </c>
      <c r="N1483" t="inlineStr">
        <is>
          <t>Supplier Reported Emissions</t>
        </is>
      </c>
      <c r="O1483" t="b">
        <v>0</v>
      </c>
      <c r="P1483" t="inlineStr">
        <is>
          <t>High</t>
        </is>
      </c>
      <c r="Q1483" t="inlineStr">
        <is>
          <t>None</t>
        </is>
      </c>
      <c r="R1483" t="inlineStr">
        <is>
          <t>Valid</t>
        </is>
      </c>
      <c r="S1483" t="n">
        <v>2034</v>
      </c>
      <c r="T1483" t="inlineStr">
        <is>
          <t>Industry Haircut Pathway</t>
        </is>
      </c>
      <c r="U1483" t="n">
        <v>18204.4056</v>
      </c>
      <c r="V1483" t="n">
        <v>8685.321900000001</v>
      </c>
      <c r="W1483" t="n">
        <v>9161.276099999999</v>
      </c>
      <c r="X1483" t="n">
        <v>9161.276099999999</v>
      </c>
      <c r="Y1483" t="n">
        <v>9043.129499999999</v>
      </c>
      <c r="Z1483" t="n">
        <v>0.00028345</v>
      </c>
      <c r="AA1483" t="n">
        <v>0.496755</v>
      </c>
      <c r="AB1483" t="n">
        <v>475.9542</v>
      </c>
      <c r="AC1483" t="n">
        <v>475.9542</v>
      </c>
      <c r="AD1483" t="n">
        <v>-17492.1584</v>
      </c>
      <c r="AE1483" t="n">
        <v>113030.6993</v>
      </c>
      <c r="AF1483" t="n">
        <v>0.9360000000000001</v>
      </c>
      <c r="AG1483" t="inlineStr">
        <is>
          <t>Medium</t>
        </is>
      </c>
      <c r="AH1483" t="inlineStr">
        <is>
          <t>On Track to Glide Path</t>
        </is>
      </c>
    </row>
    <row r="1484">
      <c r="A1484" t="inlineStr">
        <is>
          <t>SUP-0093</t>
        </is>
      </c>
      <c r="B1484" t="inlineStr">
        <is>
          <t>Chemicals Supplier 093</t>
        </is>
      </c>
      <c r="C1484" t="inlineStr">
        <is>
          <t>Chemicals</t>
        </is>
      </c>
      <c r="D1484" t="n">
        <v>2024</v>
      </c>
      <c r="E1484" t="n">
        <v>2015</v>
      </c>
      <c r="F1484" t="n">
        <v>2035</v>
      </c>
      <c r="G1484" t="n">
        <v>37700.998</v>
      </c>
      <c r="H1484" t="n">
        <v>3881.9187</v>
      </c>
      <c r="I1484" t="n">
        <v>3542.427</v>
      </c>
      <c r="J1484" t="n">
        <v>31290.2093</v>
      </c>
      <c r="K1484" t="n">
        <v>32321142.26</v>
      </c>
      <c r="L1484" t="n">
        <v>110130794.79</v>
      </c>
      <c r="M1484" t="n">
        <v>37700.998</v>
      </c>
      <c r="N1484" t="inlineStr">
        <is>
          <t>Supplier Reported Emissions</t>
        </is>
      </c>
      <c r="O1484" t="b">
        <v>0</v>
      </c>
      <c r="P1484" t="inlineStr">
        <is>
          <t>High</t>
        </is>
      </c>
      <c r="Q1484" t="inlineStr">
        <is>
          <t>None</t>
        </is>
      </c>
      <c r="R1484" t="inlineStr">
        <is>
          <t>Valid</t>
        </is>
      </c>
      <c r="S1484" t="n">
        <v>2035</v>
      </c>
      <c r="T1484" t="inlineStr">
        <is>
          <t>Industry Haircut Pathway</t>
        </is>
      </c>
      <c r="U1484" t="n">
        <v>18204.4056</v>
      </c>
      <c r="V1484" t="n">
        <v>8685.321900000001</v>
      </c>
      <c r="W1484" t="n">
        <v>8685.321900000001</v>
      </c>
      <c r="X1484" t="n">
        <v>8685.321900000001</v>
      </c>
      <c r="Y1484" t="n">
        <v>9519.083699999999</v>
      </c>
      <c r="Z1484" t="n">
        <v>0.00026872</v>
      </c>
      <c r="AA1484" t="n">
        <v>0.5229</v>
      </c>
      <c r="AB1484" t="n">
        <v>0</v>
      </c>
      <c r="AC1484" t="n">
        <v>475.9542</v>
      </c>
      <c r="AD1484" t="n">
        <v>-26177.4803</v>
      </c>
      <c r="AE1484" t="n">
        <v>121716.0212</v>
      </c>
      <c r="AF1484" t="n">
        <v>0.9360000000000001</v>
      </c>
      <c r="AG1484" t="inlineStr">
        <is>
          <t>Low</t>
        </is>
      </c>
      <c r="AH1484" t="inlineStr">
        <is>
          <t>On Track</t>
        </is>
      </c>
    </row>
    <row r="1485">
      <c r="A1485" t="inlineStr">
        <is>
          <t>SUP-0093</t>
        </is>
      </c>
      <c r="B1485" t="inlineStr">
        <is>
          <t>Chemicals Supplier 093</t>
        </is>
      </c>
      <c r="C1485" t="inlineStr">
        <is>
          <t>Chemicals</t>
        </is>
      </c>
      <c r="D1485" t="n">
        <v>2024</v>
      </c>
      <c r="E1485" t="n">
        <v>2015</v>
      </c>
      <c r="F1485" t="n">
        <v>2035</v>
      </c>
      <c r="G1485" t="n">
        <v>37700.998</v>
      </c>
      <c r="H1485" t="n">
        <v>3881.9187</v>
      </c>
      <c r="I1485" t="n">
        <v>3542.427</v>
      </c>
      <c r="J1485" t="n">
        <v>31290.2093</v>
      </c>
      <c r="K1485" t="n">
        <v>32321142.26</v>
      </c>
      <c r="L1485" t="n">
        <v>110130794.79</v>
      </c>
      <c r="M1485" t="n">
        <v>37700.998</v>
      </c>
      <c r="N1485" t="inlineStr">
        <is>
          <t>Supplier Reported Emissions</t>
        </is>
      </c>
      <c r="O1485" t="b">
        <v>0</v>
      </c>
      <c r="P1485" t="inlineStr">
        <is>
          <t>High</t>
        </is>
      </c>
      <c r="Q1485" t="inlineStr">
        <is>
          <t>None</t>
        </is>
      </c>
      <c r="R1485" t="inlineStr">
        <is>
          <t>Valid</t>
        </is>
      </c>
      <c r="S1485" t="n">
        <v>2036</v>
      </c>
      <c r="T1485" t="inlineStr">
        <is>
          <t>Industry Haircut Pathway</t>
        </is>
      </c>
      <c r="U1485" t="n">
        <v>18204.4056</v>
      </c>
      <c r="V1485" t="n">
        <v>8685.321900000001</v>
      </c>
      <c r="W1485" t="n">
        <v>8685.321900000001</v>
      </c>
      <c r="X1485" t="n">
        <v>8685.321900000001</v>
      </c>
      <c r="Y1485" t="n">
        <v>9519.083699999999</v>
      </c>
      <c r="Z1485" t="n">
        <v>0.00026872</v>
      </c>
      <c r="AA1485" t="n">
        <v>0.5229</v>
      </c>
      <c r="AB1485" t="n">
        <v>0</v>
      </c>
      <c r="AC1485" t="n">
        <v>475.9542</v>
      </c>
      <c r="AD1485" t="n">
        <v>-34862.8022</v>
      </c>
      <c r="AE1485" t="n">
        <v>130401.3431</v>
      </c>
      <c r="AF1485" t="n">
        <v>0.9360000000000001</v>
      </c>
      <c r="AG1485" t="inlineStr">
        <is>
          <t>Low</t>
        </is>
      </c>
      <c r="AH1485" t="inlineStr">
        <is>
          <t>On Track</t>
        </is>
      </c>
    </row>
    <row r="1486">
      <c r="A1486" t="inlineStr">
        <is>
          <t>SUP-0093</t>
        </is>
      </c>
      <c r="B1486" t="inlineStr">
        <is>
          <t>Chemicals Supplier 093</t>
        </is>
      </c>
      <c r="C1486" t="inlineStr">
        <is>
          <t>Chemicals</t>
        </is>
      </c>
      <c r="D1486" t="n">
        <v>2024</v>
      </c>
      <c r="E1486" t="n">
        <v>2015</v>
      </c>
      <c r="F1486" t="n">
        <v>2035</v>
      </c>
      <c r="G1486" t="n">
        <v>37700.998</v>
      </c>
      <c r="H1486" t="n">
        <v>3881.9187</v>
      </c>
      <c r="I1486" t="n">
        <v>3542.427</v>
      </c>
      <c r="J1486" t="n">
        <v>31290.2093</v>
      </c>
      <c r="K1486" t="n">
        <v>32321142.26</v>
      </c>
      <c r="L1486" t="n">
        <v>110130794.79</v>
      </c>
      <c r="M1486" t="n">
        <v>37700.998</v>
      </c>
      <c r="N1486" t="inlineStr">
        <is>
          <t>Supplier Reported Emissions</t>
        </is>
      </c>
      <c r="O1486" t="b">
        <v>0</v>
      </c>
      <c r="P1486" t="inlineStr">
        <is>
          <t>High</t>
        </is>
      </c>
      <c r="Q1486" t="inlineStr">
        <is>
          <t>None</t>
        </is>
      </c>
      <c r="R1486" t="inlineStr">
        <is>
          <t>Valid</t>
        </is>
      </c>
      <c r="S1486" t="n">
        <v>2037</v>
      </c>
      <c r="T1486" t="inlineStr">
        <is>
          <t>Industry Haircut Pathway</t>
        </is>
      </c>
      <c r="U1486" t="n">
        <v>18204.4056</v>
      </c>
      <c r="V1486" t="n">
        <v>8685.321900000001</v>
      </c>
      <c r="W1486" t="n">
        <v>8685.321900000001</v>
      </c>
      <c r="X1486" t="n">
        <v>8685.321900000001</v>
      </c>
      <c r="Y1486" t="n">
        <v>9519.083699999999</v>
      </c>
      <c r="Z1486" t="n">
        <v>0.00026872</v>
      </c>
      <c r="AA1486" t="n">
        <v>0.5229</v>
      </c>
      <c r="AB1486" t="n">
        <v>0</v>
      </c>
      <c r="AC1486" t="n">
        <v>475.9542</v>
      </c>
      <c r="AD1486" t="n">
        <v>-43548.1241</v>
      </c>
      <c r="AE1486" t="n">
        <v>139086.665</v>
      </c>
      <c r="AF1486" t="n">
        <v>0.9360000000000001</v>
      </c>
      <c r="AG1486" t="inlineStr">
        <is>
          <t>Low</t>
        </is>
      </c>
      <c r="AH1486" t="inlineStr">
        <is>
          <t>On Track</t>
        </is>
      </c>
    </row>
    <row r="1487">
      <c r="A1487" t="inlineStr">
        <is>
          <t>SUP-0093</t>
        </is>
      </c>
      <c r="B1487" t="inlineStr">
        <is>
          <t>Chemicals Supplier 093</t>
        </is>
      </c>
      <c r="C1487" t="inlineStr">
        <is>
          <t>Chemicals</t>
        </is>
      </c>
      <c r="D1487" t="n">
        <v>2024</v>
      </c>
      <c r="E1487" t="n">
        <v>2015</v>
      </c>
      <c r="F1487" t="n">
        <v>2035</v>
      </c>
      <c r="G1487" t="n">
        <v>37700.998</v>
      </c>
      <c r="H1487" t="n">
        <v>3881.9187</v>
      </c>
      <c r="I1487" t="n">
        <v>3542.427</v>
      </c>
      <c r="J1487" t="n">
        <v>31290.2093</v>
      </c>
      <c r="K1487" t="n">
        <v>32321142.26</v>
      </c>
      <c r="L1487" t="n">
        <v>110130794.79</v>
      </c>
      <c r="M1487" t="n">
        <v>37700.998</v>
      </c>
      <c r="N1487" t="inlineStr">
        <is>
          <t>Supplier Reported Emissions</t>
        </is>
      </c>
      <c r="O1487" t="b">
        <v>0</v>
      </c>
      <c r="P1487" t="inlineStr">
        <is>
          <t>High</t>
        </is>
      </c>
      <c r="Q1487" t="inlineStr">
        <is>
          <t>None</t>
        </is>
      </c>
      <c r="R1487" t="inlineStr">
        <is>
          <t>Valid</t>
        </is>
      </c>
      <c r="S1487" t="n">
        <v>2038</v>
      </c>
      <c r="T1487" t="inlineStr">
        <is>
          <t>Industry Haircut Pathway</t>
        </is>
      </c>
      <c r="U1487" t="n">
        <v>18204.4056</v>
      </c>
      <c r="V1487" t="n">
        <v>8685.321900000001</v>
      </c>
      <c r="W1487" t="n">
        <v>8685.321900000001</v>
      </c>
      <c r="X1487" t="n">
        <v>8685.321900000001</v>
      </c>
      <c r="Y1487" t="n">
        <v>9519.083699999999</v>
      </c>
      <c r="Z1487" t="n">
        <v>0.00026872</v>
      </c>
      <c r="AA1487" t="n">
        <v>0.5229</v>
      </c>
      <c r="AB1487" t="n">
        <v>0</v>
      </c>
      <c r="AC1487" t="n">
        <v>475.9542</v>
      </c>
      <c r="AD1487" t="n">
        <v>-52233.446</v>
      </c>
      <c r="AE1487" t="n">
        <v>147771.9869</v>
      </c>
      <c r="AF1487" t="n">
        <v>0.9360000000000001</v>
      </c>
      <c r="AG1487" t="inlineStr">
        <is>
          <t>Low</t>
        </is>
      </c>
      <c r="AH1487" t="inlineStr">
        <is>
          <t>On Track</t>
        </is>
      </c>
    </row>
    <row r="1488">
      <c r="A1488" t="inlineStr">
        <is>
          <t>SUP-0093</t>
        </is>
      </c>
      <c r="B1488" t="inlineStr">
        <is>
          <t>Chemicals Supplier 093</t>
        </is>
      </c>
      <c r="C1488" t="inlineStr">
        <is>
          <t>Chemicals</t>
        </is>
      </c>
      <c r="D1488" t="n">
        <v>2024</v>
      </c>
      <c r="E1488" t="n">
        <v>2015</v>
      </c>
      <c r="F1488" t="n">
        <v>2035</v>
      </c>
      <c r="G1488" t="n">
        <v>37700.998</v>
      </c>
      <c r="H1488" t="n">
        <v>3881.9187</v>
      </c>
      <c r="I1488" t="n">
        <v>3542.427</v>
      </c>
      <c r="J1488" t="n">
        <v>31290.2093</v>
      </c>
      <c r="K1488" t="n">
        <v>32321142.26</v>
      </c>
      <c r="L1488" t="n">
        <v>110130794.79</v>
      </c>
      <c r="M1488" t="n">
        <v>37700.998</v>
      </c>
      <c r="N1488" t="inlineStr">
        <is>
          <t>Supplier Reported Emissions</t>
        </is>
      </c>
      <c r="O1488" t="b">
        <v>0</v>
      </c>
      <c r="P1488" t="inlineStr">
        <is>
          <t>High</t>
        </is>
      </c>
      <c r="Q1488" t="inlineStr">
        <is>
          <t>None</t>
        </is>
      </c>
      <c r="R1488" t="inlineStr">
        <is>
          <t>Valid</t>
        </is>
      </c>
      <c r="S1488" t="n">
        <v>2039</v>
      </c>
      <c r="T1488" t="inlineStr">
        <is>
          <t>Industry Haircut Pathway</t>
        </is>
      </c>
      <c r="U1488" t="n">
        <v>18204.4056</v>
      </c>
      <c r="V1488" t="n">
        <v>8685.321900000001</v>
      </c>
      <c r="W1488" t="n">
        <v>8685.321900000001</v>
      </c>
      <c r="X1488" t="n">
        <v>8685.321900000001</v>
      </c>
      <c r="Y1488" t="n">
        <v>9519.083699999999</v>
      </c>
      <c r="Z1488" t="n">
        <v>0.00026872</v>
      </c>
      <c r="AA1488" t="n">
        <v>0.5229</v>
      </c>
      <c r="AB1488" t="n">
        <v>0</v>
      </c>
      <c r="AC1488" t="n">
        <v>475.9542</v>
      </c>
      <c r="AD1488" t="n">
        <v>-60918.7679</v>
      </c>
      <c r="AE1488" t="n">
        <v>156457.3088</v>
      </c>
      <c r="AF1488" t="n">
        <v>0.9360000000000001</v>
      </c>
      <c r="AG1488" t="inlineStr">
        <is>
          <t>Low</t>
        </is>
      </c>
      <c r="AH1488" t="inlineStr">
        <is>
          <t>On Track</t>
        </is>
      </c>
    </row>
    <row r="1489">
      <c r="A1489" t="inlineStr">
        <is>
          <t>SUP-0093</t>
        </is>
      </c>
      <c r="B1489" t="inlineStr">
        <is>
          <t>Chemicals Supplier 093</t>
        </is>
      </c>
      <c r="C1489" t="inlineStr">
        <is>
          <t>Chemicals</t>
        </is>
      </c>
      <c r="D1489" t="n">
        <v>2024</v>
      </c>
      <c r="E1489" t="n">
        <v>2015</v>
      </c>
      <c r="F1489" t="n">
        <v>2035</v>
      </c>
      <c r="G1489" t="n">
        <v>37700.998</v>
      </c>
      <c r="H1489" t="n">
        <v>3881.9187</v>
      </c>
      <c r="I1489" t="n">
        <v>3542.427</v>
      </c>
      <c r="J1489" t="n">
        <v>31290.2093</v>
      </c>
      <c r="K1489" t="n">
        <v>32321142.26</v>
      </c>
      <c r="L1489" t="n">
        <v>110130794.79</v>
      </c>
      <c r="M1489" t="n">
        <v>37700.998</v>
      </c>
      <c r="N1489" t="inlineStr">
        <is>
          <t>Supplier Reported Emissions</t>
        </is>
      </c>
      <c r="O1489" t="b">
        <v>0</v>
      </c>
      <c r="P1489" t="inlineStr">
        <is>
          <t>High</t>
        </is>
      </c>
      <c r="Q1489" t="inlineStr">
        <is>
          <t>None</t>
        </is>
      </c>
      <c r="R1489" t="inlineStr">
        <is>
          <t>Valid</t>
        </is>
      </c>
      <c r="S1489" t="n">
        <v>2040</v>
      </c>
      <c r="T1489" t="inlineStr">
        <is>
          <t>Industry Haircut Pathway</t>
        </is>
      </c>
      <c r="U1489" t="n">
        <v>18204.4056</v>
      </c>
      <c r="V1489" t="n">
        <v>8685.321900000001</v>
      </c>
      <c r="W1489" t="n">
        <v>8685.321900000001</v>
      </c>
      <c r="X1489" t="n">
        <v>8685.321900000001</v>
      </c>
      <c r="Y1489" t="n">
        <v>9519.083699999999</v>
      </c>
      <c r="Z1489" t="n">
        <v>0.00026872</v>
      </c>
      <c r="AA1489" t="n">
        <v>0.5229</v>
      </c>
      <c r="AB1489" t="n">
        <v>0</v>
      </c>
      <c r="AC1489" t="n">
        <v>475.9542</v>
      </c>
      <c r="AD1489" t="n">
        <v>-69604.0898</v>
      </c>
      <c r="AE1489" t="n">
        <v>165142.6307</v>
      </c>
      <c r="AF1489" t="n">
        <v>0.9360000000000001</v>
      </c>
      <c r="AG1489" t="inlineStr">
        <is>
          <t>Low</t>
        </is>
      </c>
      <c r="AH1489" t="inlineStr">
        <is>
          <t>On Track</t>
        </is>
      </c>
    </row>
    <row r="1490">
      <c r="A1490" t="inlineStr">
        <is>
          <t>SUP-0094</t>
        </is>
      </c>
      <c r="B1490" t="inlineStr">
        <is>
          <t>Metals Supplier 094</t>
        </is>
      </c>
      <c r="C1490" t="inlineStr">
        <is>
          <t>Metals</t>
        </is>
      </c>
      <c r="D1490" t="n">
        <v>2024</v>
      </c>
      <c r="E1490" t="n">
        <v>2018</v>
      </c>
      <c r="F1490" t="n">
        <v>2040</v>
      </c>
      <c r="G1490" t="n">
        <v>3526.873</v>
      </c>
      <c r="H1490" t="n">
        <v>334.3378</v>
      </c>
      <c r="I1490" t="n">
        <v>746.4705</v>
      </c>
      <c r="J1490" t="inlineStr"/>
      <c r="K1490" t="n">
        <v>5180906.03</v>
      </c>
      <c r="L1490" t="n">
        <v>36358089.83</v>
      </c>
      <c r="M1490" t="n">
        <v>3526.873</v>
      </c>
      <c r="N1490" t="inlineStr">
        <is>
          <t>Supplier Reported Emissions</t>
        </is>
      </c>
      <c r="O1490" t="b">
        <v>0</v>
      </c>
      <c r="P1490" t="inlineStr">
        <is>
          <t>High</t>
        </is>
      </c>
      <c r="Q1490" t="inlineStr">
        <is>
          <t>Scope_Emissions</t>
        </is>
      </c>
      <c r="R1490" t="inlineStr">
        <is>
          <t>Valid</t>
        </is>
      </c>
      <c r="S1490" t="n">
        <v>2025</v>
      </c>
      <c r="T1490" t="inlineStr">
        <is>
          <t>Supplier Target Pathway</t>
        </is>
      </c>
      <c r="U1490" t="n">
        <v>4230.3408</v>
      </c>
      <c r="V1490" t="n">
        <v>2713.7636</v>
      </c>
      <c r="W1490" t="n">
        <v>3747.7935</v>
      </c>
      <c r="X1490" t="n">
        <v>3747.7935</v>
      </c>
      <c r="Y1490" t="n">
        <v>482.5473</v>
      </c>
      <c r="Z1490" t="n">
        <v>0.00072339</v>
      </c>
      <c r="AA1490" t="n">
        <v>0.114068</v>
      </c>
      <c r="AB1490" t="n">
        <v>1034.0299</v>
      </c>
      <c r="AC1490" t="n">
        <v>68.9353</v>
      </c>
      <c r="AD1490" t="n">
        <v>39672.4241</v>
      </c>
      <c r="AE1490" t="n">
        <v>3747.7935</v>
      </c>
      <c r="AF1490" t="n">
        <v>0.99</v>
      </c>
      <c r="AG1490" t="inlineStr">
        <is>
          <t>Critical</t>
        </is>
      </c>
      <c r="AH1490" t="inlineStr">
        <is>
          <t>On Track to Glide Path</t>
        </is>
      </c>
    </row>
    <row r="1491">
      <c r="A1491" t="inlineStr">
        <is>
          <t>SUP-0094</t>
        </is>
      </c>
      <c r="B1491" t="inlineStr">
        <is>
          <t>Metals Supplier 094</t>
        </is>
      </c>
      <c r="C1491" t="inlineStr">
        <is>
          <t>Metals</t>
        </is>
      </c>
      <c r="D1491" t="n">
        <v>2024</v>
      </c>
      <c r="E1491" t="n">
        <v>2018</v>
      </c>
      <c r="F1491" t="n">
        <v>2040</v>
      </c>
      <c r="G1491" t="n">
        <v>3526.873</v>
      </c>
      <c r="H1491" t="n">
        <v>334.3378</v>
      </c>
      <c r="I1491" t="n">
        <v>746.4705</v>
      </c>
      <c r="J1491" t="inlineStr"/>
      <c r="K1491" t="n">
        <v>5180906.03</v>
      </c>
      <c r="L1491" t="n">
        <v>36358089.83</v>
      </c>
      <c r="M1491" t="n">
        <v>3526.873</v>
      </c>
      <c r="N1491" t="inlineStr">
        <is>
          <t>Supplier Reported Emissions</t>
        </is>
      </c>
      <c r="O1491" t="b">
        <v>0</v>
      </c>
      <c r="P1491" t="inlineStr">
        <is>
          <t>High</t>
        </is>
      </c>
      <c r="Q1491" t="inlineStr">
        <is>
          <t>Scope_Emissions</t>
        </is>
      </c>
      <c r="R1491" t="inlineStr">
        <is>
          <t>Valid</t>
        </is>
      </c>
      <c r="S1491" t="n">
        <v>2026</v>
      </c>
      <c r="T1491" t="inlineStr">
        <is>
          <t>Supplier Target Pathway</t>
        </is>
      </c>
      <c r="U1491" t="n">
        <v>4230.3408</v>
      </c>
      <c r="V1491" t="n">
        <v>2713.7636</v>
      </c>
      <c r="W1491" t="n">
        <v>3678.8582</v>
      </c>
      <c r="X1491" t="n">
        <v>3678.8582</v>
      </c>
      <c r="Y1491" t="n">
        <v>551.4826</v>
      </c>
      <c r="Z1491" t="n">
        <v>0.00071008</v>
      </c>
      <c r="AA1491" t="n">
        <v>0.130364</v>
      </c>
      <c r="AB1491" t="n">
        <v>965.0946</v>
      </c>
      <c r="AC1491" t="n">
        <v>68.9353</v>
      </c>
      <c r="AD1491" t="n">
        <v>35993.5659</v>
      </c>
      <c r="AE1491" t="n">
        <v>7426.6517</v>
      </c>
      <c r="AF1491" t="n">
        <v>0.99</v>
      </c>
      <c r="AG1491" t="inlineStr">
        <is>
          <t>Critical</t>
        </is>
      </c>
      <c r="AH1491" t="inlineStr">
        <is>
          <t>On Track to Glide Path</t>
        </is>
      </c>
    </row>
    <row r="1492">
      <c r="A1492" t="inlineStr">
        <is>
          <t>SUP-0094</t>
        </is>
      </c>
      <c r="B1492" t="inlineStr">
        <is>
          <t>Metals Supplier 094</t>
        </is>
      </c>
      <c r="C1492" t="inlineStr">
        <is>
          <t>Metals</t>
        </is>
      </c>
      <c r="D1492" t="n">
        <v>2024</v>
      </c>
      <c r="E1492" t="n">
        <v>2018</v>
      </c>
      <c r="F1492" t="n">
        <v>2040</v>
      </c>
      <c r="G1492" t="n">
        <v>3526.873</v>
      </c>
      <c r="H1492" t="n">
        <v>334.3378</v>
      </c>
      <c r="I1492" t="n">
        <v>746.4705</v>
      </c>
      <c r="J1492" t="inlineStr"/>
      <c r="K1492" t="n">
        <v>5180906.03</v>
      </c>
      <c r="L1492" t="n">
        <v>36358089.83</v>
      </c>
      <c r="M1492" t="n">
        <v>3526.873</v>
      </c>
      <c r="N1492" t="inlineStr">
        <is>
          <t>Supplier Reported Emissions</t>
        </is>
      </c>
      <c r="O1492" t="b">
        <v>0</v>
      </c>
      <c r="P1492" t="inlineStr">
        <is>
          <t>High</t>
        </is>
      </c>
      <c r="Q1492" t="inlineStr">
        <is>
          <t>Scope_Emissions</t>
        </is>
      </c>
      <c r="R1492" t="inlineStr">
        <is>
          <t>Valid</t>
        </is>
      </c>
      <c r="S1492" t="n">
        <v>2027</v>
      </c>
      <c r="T1492" t="inlineStr">
        <is>
          <t>Supplier Target Pathway</t>
        </is>
      </c>
      <c r="U1492" t="n">
        <v>4230.3408</v>
      </c>
      <c r="V1492" t="n">
        <v>2713.7636</v>
      </c>
      <c r="W1492" t="n">
        <v>3609.9229</v>
      </c>
      <c r="X1492" t="n">
        <v>3609.9229</v>
      </c>
      <c r="Y1492" t="n">
        <v>620.4179</v>
      </c>
      <c r="Z1492" t="n">
        <v>0.00069677</v>
      </c>
      <c r="AA1492" t="n">
        <v>0.146659</v>
      </c>
      <c r="AB1492" t="n">
        <v>896.1592000000001</v>
      </c>
      <c r="AC1492" t="n">
        <v>68.9353</v>
      </c>
      <c r="AD1492" t="n">
        <v>32383.643</v>
      </c>
      <c r="AE1492" t="n">
        <v>11036.5746</v>
      </c>
      <c r="AF1492" t="n">
        <v>0.99</v>
      </c>
      <c r="AG1492" t="inlineStr">
        <is>
          <t>High</t>
        </is>
      </c>
      <c r="AH1492" t="inlineStr">
        <is>
          <t>On Track to Glide Path</t>
        </is>
      </c>
    </row>
    <row r="1493">
      <c r="A1493" t="inlineStr">
        <is>
          <t>SUP-0094</t>
        </is>
      </c>
      <c r="B1493" t="inlineStr">
        <is>
          <t>Metals Supplier 094</t>
        </is>
      </c>
      <c r="C1493" t="inlineStr">
        <is>
          <t>Metals</t>
        </is>
      </c>
      <c r="D1493" t="n">
        <v>2024</v>
      </c>
      <c r="E1493" t="n">
        <v>2018</v>
      </c>
      <c r="F1493" t="n">
        <v>2040</v>
      </c>
      <c r="G1493" t="n">
        <v>3526.873</v>
      </c>
      <c r="H1493" t="n">
        <v>334.3378</v>
      </c>
      <c r="I1493" t="n">
        <v>746.4705</v>
      </c>
      <c r="J1493" t="inlineStr"/>
      <c r="K1493" t="n">
        <v>5180906.03</v>
      </c>
      <c r="L1493" t="n">
        <v>36358089.83</v>
      </c>
      <c r="M1493" t="n">
        <v>3526.873</v>
      </c>
      <c r="N1493" t="inlineStr">
        <is>
          <t>Supplier Reported Emissions</t>
        </is>
      </c>
      <c r="O1493" t="b">
        <v>0</v>
      </c>
      <c r="P1493" t="inlineStr">
        <is>
          <t>High</t>
        </is>
      </c>
      <c r="Q1493" t="inlineStr">
        <is>
          <t>Scope_Emissions</t>
        </is>
      </c>
      <c r="R1493" t="inlineStr">
        <is>
          <t>Valid</t>
        </is>
      </c>
      <c r="S1493" t="n">
        <v>2028</v>
      </c>
      <c r="T1493" t="inlineStr">
        <is>
          <t>Supplier Target Pathway</t>
        </is>
      </c>
      <c r="U1493" t="n">
        <v>4230.3408</v>
      </c>
      <c r="V1493" t="n">
        <v>2713.7636</v>
      </c>
      <c r="W1493" t="n">
        <v>3540.9875</v>
      </c>
      <c r="X1493" t="n">
        <v>3540.9875</v>
      </c>
      <c r="Y1493" t="n">
        <v>689.3533</v>
      </c>
      <c r="Z1493" t="n">
        <v>0.00068347</v>
      </c>
      <c r="AA1493" t="n">
        <v>0.162955</v>
      </c>
      <c r="AB1493" t="n">
        <v>827.2239</v>
      </c>
      <c r="AC1493" t="n">
        <v>68.9353</v>
      </c>
      <c r="AD1493" t="n">
        <v>28842.6555</v>
      </c>
      <c r="AE1493" t="n">
        <v>14577.5621</v>
      </c>
      <c r="AF1493" t="n">
        <v>0.99</v>
      </c>
      <c r="AG1493" t="inlineStr">
        <is>
          <t>High</t>
        </is>
      </c>
      <c r="AH1493" t="inlineStr">
        <is>
          <t>On Track to Glide Path</t>
        </is>
      </c>
    </row>
    <row r="1494">
      <c r="A1494" t="inlineStr">
        <is>
          <t>SUP-0094</t>
        </is>
      </c>
      <c r="B1494" t="inlineStr">
        <is>
          <t>Metals Supplier 094</t>
        </is>
      </c>
      <c r="C1494" t="inlineStr">
        <is>
          <t>Metals</t>
        </is>
      </c>
      <c r="D1494" t="n">
        <v>2024</v>
      </c>
      <c r="E1494" t="n">
        <v>2018</v>
      </c>
      <c r="F1494" t="n">
        <v>2040</v>
      </c>
      <c r="G1494" t="n">
        <v>3526.873</v>
      </c>
      <c r="H1494" t="n">
        <v>334.3378</v>
      </c>
      <c r="I1494" t="n">
        <v>746.4705</v>
      </c>
      <c r="J1494" t="inlineStr"/>
      <c r="K1494" t="n">
        <v>5180906.03</v>
      </c>
      <c r="L1494" t="n">
        <v>36358089.83</v>
      </c>
      <c r="M1494" t="n">
        <v>3526.873</v>
      </c>
      <c r="N1494" t="inlineStr">
        <is>
          <t>Supplier Reported Emissions</t>
        </is>
      </c>
      <c r="O1494" t="b">
        <v>0</v>
      </c>
      <c r="P1494" t="inlineStr">
        <is>
          <t>High</t>
        </is>
      </c>
      <c r="Q1494" t="inlineStr">
        <is>
          <t>Scope_Emissions</t>
        </is>
      </c>
      <c r="R1494" t="inlineStr">
        <is>
          <t>Valid</t>
        </is>
      </c>
      <c r="S1494" t="n">
        <v>2029</v>
      </c>
      <c r="T1494" t="inlineStr">
        <is>
          <t>Supplier Target Pathway</t>
        </is>
      </c>
      <c r="U1494" t="n">
        <v>4230.3408</v>
      </c>
      <c r="V1494" t="n">
        <v>2713.7636</v>
      </c>
      <c r="W1494" t="n">
        <v>3472.0522</v>
      </c>
      <c r="X1494" t="n">
        <v>3472.0522</v>
      </c>
      <c r="Y1494" t="n">
        <v>758.2886</v>
      </c>
      <c r="Z1494" t="n">
        <v>0.00067016</v>
      </c>
      <c r="AA1494" t="n">
        <v>0.17925</v>
      </c>
      <c r="AB1494" t="n">
        <v>758.2886</v>
      </c>
      <c r="AC1494" t="n">
        <v>68.9353</v>
      </c>
      <c r="AD1494" t="n">
        <v>25370.6033</v>
      </c>
      <c r="AE1494" t="n">
        <v>18049.6143</v>
      </c>
      <c r="AF1494" t="n">
        <v>0.99</v>
      </c>
      <c r="AG1494" t="inlineStr">
        <is>
          <t>High</t>
        </is>
      </c>
      <c r="AH1494" t="inlineStr">
        <is>
          <t>On Track to Glide Path</t>
        </is>
      </c>
    </row>
    <row r="1495">
      <c r="A1495" t="inlineStr">
        <is>
          <t>SUP-0094</t>
        </is>
      </c>
      <c r="B1495" t="inlineStr">
        <is>
          <t>Metals Supplier 094</t>
        </is>
      </c>
      <c r="C1495" t="inlineStr">
        <is>
          <t>Metals</t>
        </is>
      </c>
      <c r="D1495" t="n">
        <v>2024</v>
      </c>
      <c r="E1495" t="n">
        <v>2018</v>
      </c>
      <c r="F1495" t="n">
        <v>2040</v>
      </c>
      <c r="G1495" t="n">
        <v>3526.873</v>
      </c>
      <c r="H1495" t="n">
        <v>334.3378</v>
      </c>
      <c r="I1495" t="n">
        <v>746.4705</v>
      </c>
      <c r="J1495" t="inlineStr"/>
      <c r="K1495" t="n">
        <v>5180906.03</v>
      </c>
      <c r="L1495" t="n">
        <v>36358089.83</v>
      </c>
      <c r="M1495" t="n">
        <v>3526.873</v>
      </c>
      <c r="N1495" t="inlineStr">
        <is>
          <t>Supplier Reported Emissions</t>
        </is>
      </c>
      <c r="O1495" t="b">
        <v>0</v>
      </c>
      <c r="P1495" t="inlineStr">
        <is>
          <t>High</t>
        </is>
      </c>
      <c r="Q1495" t="inlineStr">
        <is>
          <t>Scope_Emissions</t>
        </is>
      </c>
      <c r="R1495" t="inlineStr">
        <is>
          <t>Valid</t>
        </is>
      </c>
      <c r="S1495" t="n">
        <v>2030</v>
      </c>
      <c r="T1495" t="inlineStr">
        <is>
          <t>Supplier Target Pathway</t>
        </is>
      </c>
      <c r="U1495" t="n">
        <v>4230.3408</v>
      </c>
      <c r="V1495" t="n">
        <v>2713.7636</v>
      </c>
      <c r="W1495" t="n">
        <v>3403.1169</v>
      </c>
      <c r="X1495" t="n">
        <v>3403.1169</v>
      </c>
      <c r="Y1495" t="n">
        <v>827.2239</v>
      </c>
      <c r="Z1495" t="n">
        <v>0.00065686</v>
      </c>
      <c r="AA1495" t="n">
        <v>0.195545</v>
      </c>
      <c r="AB1495" t="n">
        <v>689.3533</v>
      </c>
      <c r="AC1495" t="n">
        <v>68.9353</v>
      </c>
      <c r="AD1495" t="n">
        <v>21967.4864</v>
      </c>
      <c r="AE1495" t="n">
        <v>21452.7312</v>
      </c>
      <c r="AF1495" t="n">
        <v>0.99</v>
      </c>
      <c r="AG1495" t="inlineStr">
        <is>
          <t>High</t>
        </is>
      </c>
      <c r="AH1495" t="inlineStr">
        <is>
          <t>On Track to Glide Path</t>
        </is>
      </c>
    </row>
    <row r="1496">
      <c r="A1496" t="inlineStr">
        <is>
          <t>SUP-0094</t>
        </is>
      </c>
      <c r="B1496" t="inlineStr">
        <is>
          <t>Metals Supplier 094</t>
        </is>
      </c>
      <c r="C1496" t="inlineStr">
        <is>
          <t>Metals</t>
        </is>
      </c>
      <c r="D1496" t="n">
        <v>2024</v>
      </c>
      <c r="E1496" t="n">
        <v>2018</v>
      </c>
      <c r="F1496" t="n">
        <v>2040</v>
      </c>
      <c r="G1496" t="n">
        <v>3526.873</v>
      </c>
      <c r="H1496" t="n">
        <v>334.3378</v>
      </c>
      <c r="I1496" t="n">
        <v>746.4705</v>
      </c>
      <c r="J1496" t="inlineStr"/>
      <c r="K1496" t="n">
        <v>5180906.03</v>
      </c>
      <c r="L1496" t="n">
        <v>36358089.83</v>
      </c>
      <c r="M1496" t="n">
        <v>3526.873</v>
      </c>
      <c r="N1496" t="inlineStr">
        <is>
          <t>Supplier Reported Emissions</t>
        </is>
      </c>
      <c r="O1496" t="b">
        <v>0</v>
      </c>
      <c r="P1496" t="inlineStr">
        <is>
          <t>High</t>
        </is>
      </c>
      <c r="Q1496" t="inlineStr">
        <is>
          <t>Scope_Emissions</t>
        </is>
      </c>
      <c r="R1496" t="inlineStr">
        <is>
          <t>Valid</t>
        </is>
      </c>
      <c r="S1496" t="n">
        <v>2031</v>
      </c>
      <c r="T1496" t="inlineStr">
        <is>
          <t>Supplier Target Pathway</t>
        </is>
      </c>
      <c r="U1496" t="n">
        <v>4230.3408</v>
      </c>
      <c r="V1496" t="n">
        <v>2713.7636</v>
      </c>
      <c r="W1496" t="n">
        <v>3334.1816</v>
      </c>
      <c r="X1496" t="n">
        <v>3334.1816</v>
      </c>
      <c r="Y1496" t="n">
        <v>896.1592000000001</v>
      </c>
      <c r="Z1496" t="n">
        <v>0.00064355</v>
      </c>
      <c r="AA1496" t="n">
        <v>0.211841</v>
      </c>
      <c r="AB1496" t="n">
        <v>620.4179</v>
      </c>
      <c r="AC1496" t="n">
        <v>68.9353</v>
      </c>
      <c r="AD1496" t="n">
        <v>18633.3048</v>
      </c>
      <c r="AE1496" t="n">
        <v>24786.9128</v>
      </c>
      <c r="AF1496" t="n">
        <v>0.99</v>
      </c>
      <c r="AG1496" t="inlineStr">
        <is>
          <t>High</t>
        </is>
      </c>
      <c r="AH1496" t="inlineStr">
        <is>
          <t>On Track to Glide Path</t>
        </is>
      </c>
    </row>
    <row r="1497">
      <c r="A1497" t="inlineStr">
        <is>
          <t>SUP-0094</t>
        </is>
      </c>
      <c r="B1497" t="inlineStr">
        <is>
          <t>Metals Supplier 094</t>
        </is>
      </c>
      <c r="C1497" t="inlineStr">
        <is>
          <t>Metals</t>
        </is>
      </c>
      <c r="D1497" t="n">
        <v>2024</v>
      </c>
      <c r="E1497" t="n">
        <v>2018</v>
      </c>
      <c r="F1497" t="n">
        <v>2040</v>
      </c>
      <c r="G1497" t="n">
        <v>3526.873</v>
      </c>
      <c r="H1497" t="n">
        <v>334.3378</v>
      </c>
      <c r="I1497" t="n">
        <v>746.4705</v>
      </c>
      <c r="J1497" t="inlineStr"/>
      <c r="K1497" t="n">
        <v>5180906.03</v>
      </c>
      <c r="L1497" t="n">
        <v>36358089.83</v>
      </c>
      <c r="M1497" t="n">
        <v>3526.873</v>
      </c>
      <c r="N1497" t="inlineStr">
        <is>
          <t>Supplier Reported Emissions</t>
        </is>
      </c>
      <c r="O1497" t="b">
        <v>0</v>
      </c>
      <c r="P1497" t="inlineStr">
        <is>
          <t>High</t>
        </is>
      </c>
      <c r="Q1497" t="inlineStr">
        <is>
          <t>Scope_Emissions</t>
        </is>
      </c>
      <c r="R1497" t="inlineStr">
        <is>
          <t>Valid</t>
        </is>
      </c>
      <c r="S1497" t="n">
        <v>2032</v>
      </c>
      <c r="T1497" t="inlineStr">
        <is>
          <t>Supplier Target Pathway</t>
        </is>
      </c>
      <c r="U1497" t="n">
        <v>4230.3408</v>
      </c>
      <c r="V1497" t="n">
        <v>2713.7636</v>
      </c>
      <c r="W1497" t="n">
        <v>3265.2462</v>
      </c>
      <c r="X1497" t="n">
        <v>3265.2462</v>
      </c>
      <c r="Y1497" t="n">
        <v>965.0946</v>
      </c>
      <c r="Z1497" t="n">
        <v>0.00063025</v>
      </c>
      <c r="AA1497" t="n">
        <v>0.228136</v>
      </c>
      <c r="AB1497" t="n">
        <v>551.4826</v>
      </c>
      <c r="AC1497" t="n">
        <v>68.9353</v>
      </c>
      <c r="AD1497" t="n">
        <v>15368.0586</v>
      </c>
      <c r="AE1497" t="n">
        <v>28052.159</v>
      </c>
      <c r="AF1497" t="n">
        <v>0.99</v>
      </c>
      <c r="AG1497" t="inlineStr">
        <is>
          <t>High</t>
        </is>
      </c>
      <c r="AH1497" t="inlineStr">
        <is>
          <t>On Track to Glide Path</t>
        </is>
      </c>
    </row>
    <row r="1498">
      <c r="A1498" t="inlineStr">
        <is>
          <t>SUP-0094</t>
        </is>
      </c>
      <c r="B1498" t="inlineStr">
        <is>
          <t>Metals Supplier 094</t>
        </is>
      </c>
      <c r="C1498" t="inlineStr">
        <is>
          <t>Metals</t>
        </is>
      </c>
      <c r="D1498" t="n">
        <v>2024</v>
      </c>
      <c r="E1498" t="n">
        <v>2018</v>
      </c>
      <c r="F1498" t="n">
        <v>2040</v>
      </c>
      <c r="G1498" t="n">
        <v>3526.873</v>
      </c>
      <c r="H1498" t="n">
        <v>334.3378</v>
      </c>
      <c r="I1498" t="n">
        <v>746.4705</v>
      </c>
      <c r="J1498" t="inlineStr"/>
      <c r="K1498" t="n">
        <v>5180906.03</v>
      </c>
      <c r="L1498" t="n">
        <v>36358089.83</v>
      </c>
      <c r="M1498" t="n">
        <v>3526.873</v>
      </c>
      <c r="N1498" t="inlineStr">
        <is>
          <t>Supplier Reported Emissions</t>
        </is>
      </c>
      <c r="O1498" t="b">
        <v>0</v>
      </c>
      <c r="P1498" t="inlineStr">
        <is>
          <t>High</t>
        </is>
      </c>
      <c r="Q1498" t="inlineStr">
        <is>
          <t>Scope_Emissions</t>
        </is>
      </c>
      <c r="R1498" t="inlineStr">
        <is>
          <t>Valid</t>
        </is>
      </c>
      <c r="S1498" t="n">
        <v>2033</v>
      </c>
      <c r="T1498" t="inlineStr">
        <is>
          <t>Supplier Target Pathway</t>
        </is>
      </c>
      <c r="U1498" t="n">
        <v>4230.3408</v>
      </c>
      <c r="V1498" t="n">
        <v>2713.7636</v>
      </c>
      <c r="W1498" t="n">
        <v>3196.3109</v>
      </c>
      <c r="X1498" t="n">
        <v>3196.3109</v>
      </c>
      <c r="Y1498" t="n">
        <v>1034.0299</v>
      </c>
      <c r="Z1498" t="n">
        <v>0.00061694</v>
      </c>
      <c r="AA1498" t="n">
        <v>0.244432</v>
      </c>
      <c r="AB1498" t="n">
        <v>482.5473</v>
      </c>
      <c r="AC1498" t="n">
        <v>68.9353</v>
      </c>
      <c r="AD1498" t="n">
        <v>12171.7477</v>
      </c>
      <c r="AE1498" t="n">
        <v>31248.4699</v>
      </c>
      <c r="AF1498" t="n">
        <v>0.99</v>
      </c>
      <c r="AG1498" t="inlineStr">
        <is>
          <t>High</t>
        </is>
      </c>
      <c r="AH1498" t="inlineStr">
        <is>
          <t>On Track to Glide Path</t>
        </is>
      </c>
    </row>
    <row r="1499">
      <c r="A1499" t="inlineStr">
        <is>
          <t>SUP-0094</t>
        </is>
      </c>
      <c r="B1499" t="inlineStr">
        <is>
          <t>Metals Supplier 094</t>
        </is>
      </c>
      <c r="C1499" t="inlineStr">
        <is>
          <t>Metals</t>
        </is>
      </c>
      <c r="D1499" t="n">
        <v>2024</v>
      </c>
      <c r="E1499" t="n">
        <v>2018</v>
      </c>
      <c r="F1499" t="n">
        <v>2040</v>
      </c>
      <c r="G1499" t="n">
        <v>3526.873</v>
      </c>
      <c r="H1499" t="n">
        <v>334.3378</v>
      </c>
      <c r="I1499" t="n">
        <v>746.4705</v>
      </c>
      <c r="J1499" t="inlineStr"/>
      <c r="K1499" t="n">
        <v>5180906.03</v>
      </c>
      <c r="L1499" t="n">
        <v>36358089.83</v>
      </c>
      <c r="M1499" t="n">
        <v>3526.873</v>
      </c>
      <c r="N1499" t="inlineStr">
        <is>
          <t>Supplier Reported Emissions</t>
        </is>
      </c>
      <c r="O1499" t="b">
        <v>0</v>
      </c>
      <c r="P1499" t="inlineStr">
        <is>
          <t>High</t>
        </is>
      </c>
      <c r="Q1499" t="inlineStr">
        <is>
          <t>Scope_Emissions</t>
        </is>
      </c>
      <c r="R1499" t="inlineStr">
        <is>
          <t>Valid</t>
        </is>
      </c>
      <c r="S1499" t="n">
        <v>2034</v>
      </c>
      <c r="T1499" t="inlineStr">
        <is>
          <t>Supplier Target Pathway</t>
        </is>
      </c>
      <c r="U1499" t="n">
        <v>4230.3408</v>
      </c>
      <c r="V1499" t="n">
        <v>2713.7636</v>
      </c>
      <c r="W1499" t="n">
        <v>3127.3756</v>
      </c>
      <c r="X1499" t="n">
        <v>3127.3756</v>
      </c>
      <c r="Y1499" t="n">
        <v>1102.9652</v>
      </c>
      <c r="Z1499" t="n">
        <v>0.00060363</v>
      </c>
      <c r="AA1499" t="n">
        <v>0.260727</v>
      </c>
      <c r="AB1499" t="n">
        <v>413.612</v>
      </c>
      <c r="AC1499" t="n">
        <v>68.9353</v>
      </c>
      <c r="AD1499" t="n">
        <v>9044.372100000001</v>
      </c>
      <c r="AE1499" t="n">
        <v>34375.8455</v>
      </c>
      <c r="AF1499" t="n">
        <v>0.99</v>
      </c>
      <c r="AG1499" t="inlineStr">
        <is>
          <t>High</t>
        </is>
      </c>
      <c r="AH1499" t="inlineStr">
        <is>
          <t>On Track to Glide Path</t>
        </is>
      </c>
    </row>
    <row r="1500">
      <c r="A1500" t="inlineStr">
        <is>
          <t>SUP-0094</t>
        </is>
      </c>
      <c r="B1500" t="inlineStr">
        <is>
          <t>Metals Supplier 094</t>
        </is>
      </c>
      <c r="C1500" t="inlineStr">
        <is>
          <t>Metals</t>
        </is>
      </c>
      <c r="D1500" t="n">
        <v>2024</v>
      </c>
      <c r="E1500" t="n">
        <v>2018</v>
      </c>
      <c r="F1500" t="n">
        <v>2040</v>
      </c>
      <c r="G1500" t="n">
        <v>3526.873</v>
      </c>
      <c r="H1500" t="n">
        <v>334.3378</v>
      </c>
      <c r="I1500" t="n">
        <v>746.4705</v>
      </c>
      <c r="J1500" t="inlineStr"/>
      <c r="K1500" t="n">
        <v>5180906.03</v>
      </c>
      <c r="L1500" t="n">
        <v>36358089.83</v>
      </c>
      <c r="M1500" t="n">
        <v>3526.873</v>
      </c>
      <c r="N1500" t="inlineStr">
        <is>
          <t>Supplier Reported Emissions</t>
        </is>
      </c>
      <c r="O1500" t="b">
        <v>0</v>
      </c>
      <c r="P1500" t="inlineStr">
        <is>
          <t>High</t>
        </is>
      </c>
      <c r="Q1500" t="inlineStr">
        <is>
          <t>Scope_Emissions</t>
        </is>
      </c>
      <c r="R1500" t="inlineStr">
        <is>
          <t>Valid</t>
        </is>
      </c>
      <c r="S1500" t="n">
        <v>2035</v>
      </c>
      <c r="T1500" t="inlineStr">
        <is>
          <t>Supplier Target Pathway</t>
        </is>
      </c>
      <c r="U1500" t="n">
        <v>4230.3408</v>
      </c>
      <c r="V1500" t="n">
        <v>2713.7636</v>
      </c>
      <c r="W1500" t="n">
        <v>3058.4403</v>
      </c>
      <c r="X1500" t="n">
        <v>3058.4403</v>
      </c>
      <c r="Y1500" t="n">
        <v>1171.9005</v>
      </c>
      <c r="Z1500" t="n">
        <v>0.00059033</v>
      </c>
      <c r="AA1500" t="n">
        <v>0.277023</v>
      </c>
      <c r="AB1500" t="n">
        <v>344.6766</v>
      </c>
      <c r="AC1500" t="n">
        <v>68.9353</v>
      </c>
      <c r="AD1500" t="n">
        <v>5985.9318</v>
      </c>
      <c r="AE1500" t="n">
        <v>37434.2858</v>
      </c>
      <c r="AF1500" t="n">
        <v>0.99</v>
      </c>
      <c r="AG1500" t="inlineStr">
        <is>
          <t>Medium</t>
        </is>
      </c>
      <c r="AH1500" t="inlineStr">
        <is>
          <t>On Track to Glide Path</t>
        </is>
      </c>
    </row>
    <row r="1501">
      <c r="A1501" t="inlineStr">
        <is>
          <t>SUP-0094</t>
        </is>
      </c>
      <c r="B1501" t="inlineStr">
        <is>
          <t>Metals Supplier 094</t>
        </is>
      </c>
      <c r="C1501" t="inlineStr">
        <is>
          <t>Metals</t>
        </is>
      </c>
      <c r="D1501" t="n">
        <v>2024</v>
      </c>
      <c r="E1501" t="n">
        <v>2018</v>
      </c>
      <c r="F1501" t="n">
        <v>2040</v>
      </c>
      <c r="G1501" t="n">
        <v>3526.873</v>
      </c>
      <c r="H1501" t="n">
        <v>334.3378</v>
      </c>
      <c r="I1501" t="n">
        <v>746.4705</v>
      </c>
      <c r="J1501" t="inlineStr"/>
      <c r="K1501" t="n">
        <v>5180906.03</v>
      </c>
      <c r="L1501" t="n">
        <v>36358089.83</v>
      </c>
      <c r="M1501" t="n">
        <v>3526.873</v>
      </c>
      <c r="N1501" t="inlineStr">
        <is>
          <t>Supplier Reported Emissions</t>
        </is>
      </c>
      <c r="O1501" t="b">
        <v>0</v>
      </c>
      <c r="P1501" t="inlineStr">
        <is>
          <t>High</t>
        </is>
      </c>
      <c r="Q1501" t="inlineStr">
        <is>
          <t>Scope_Emissions</t>
        </is>
      </c>
      <c r="R1501" t="inlineStr">
        <is>
          <t>Valid</t>
        </is>
      </c>
      <c r="S1501" t="n">
        <v>2036</v>
      </c>
      <c r="T1501" t="inlineStr">
        <is>
          <t>Supplier Target Pathway</t>
        </is>
      </c>
      <c r="U1501" t="n">
        <v>4230.3408</v>
      </c>
      <c r="V1501" t="n">
        <v>2713.7636</v>
      </c>
      <c r="W1501" t="n">
        <v>2989.5049</v>
      </c>
      <c r="X1501" t="n">
        <v>2989.5049</v>
      </c>
      <c r="Y1501" t="n">
        <v>1240.8359</v>
      </c>
      <c r="Z1501" t="n">
        <v>0.00057702</v>
      </c>
      <c r="AA1501" t="n">
        <v>0.293318</v>
      </c>
      <c r="AB1501" t="n">
        <v>275.7413</v>
      </c>
      <c r="AC1501" t="n">
        <v>68.9353</v>
      </c>
      <c r="AD1501" t="n">
        <v>2996.4269</v>
      </c>
      <c r="AE1501" t="n">
        <v>40423.7907</v>
      </c>
      <c r="AF1501" t="n">
        <v>0.99</v>
      </c>
      <c r="AG1501" t="inlineStr">
        <is>
          <t>Medium</t>
        </is>
      </c>
      <c r="AH1501" t="inlineStr">
        <is>
          <t>On Track to Glide Path</t>
        </is>
      </c>
    </row>
    <row r="1502">
      <c r="A1502" t="inlineStr">
        <is>
          <t>SUP-0094</t>
        </is>
      </c>
      <c r="B1502" t="inlineStr">
        <is>
          <t>Metals Supplier 094</t>
        </is>
      </c>
      <c r="C1502" t="inlineStr">
        <is>
          <t>Metals</t>
        </is>
      </c>
      <c r="D1502" t="n">
        <v>2024</v>
      </c>
      <c r="E1502" t="n">
        <v>2018</v>
      </c>
      <c r="F1502" t="n">
        <v>2040</v>
      </c>
      <c r="G1502" t="n">
        <v>3526.873</v>
      </c>
      <c r="H1502" t="n">
        <v>334.3378</v>
      </c>
      <c r="I1502" t="n">
        <v>746.4705</v>
      </c>
      <c r="J1502" t="inlineStr"/>
      <c r="K1502" t="n">
        <v>5180906.03</v>
      </c>
      <c r="L1502" t="n">
        <v>36358089.83</v>
      </c>
      <c r="M1502" t="n">
        <v>3526.873</v>
      </c>
      <c r="N1502" t="inlineStr">
        <is>
          <t>Supplier Reported Emissions</t>
        </is>
      </c>
      <c r="O1502" t="b">
        <v>0</v>
      </c>
      <c r="P1502" t="inlineStr">
        <is>
          <t>High</t>
        </is>
      </c>
      <c r="Q1502" t="inlineStr">
        <is>
          <t>Scope_Emissions</t>
        </is>
      </c>
      <c r="R1502" t="inlineStr">
        <is>
          <t>Valid</t>
        </is>
      </c>
      <c r="S1502" t="n">
        <v>2037</v>
      </c>
      <c r="T1502" t="inlineStr">
        <is>
          <t>Supplier Target Pathway</t>
        </is>
      </c>
      <c r="U1502" t="n">
        <v>4230.3408</v>
      </c>
      <c r="V1502" t="n">
        <v>2713.7636</v>
      </c>
      <c r="W1502" t="n">
        <v>2920.5696</v>
      </c>
      <c r="X1502" t="n">
        <v>2920.5696</v>
      </c>
      <c r="Y1502" t="n">
        <v>1309.7712</v>
      </c>
      <c r="Z1502" t="n">
        <v>0.00056372</v>
      </c>
      <c r="AA1502" t="n">
        <v>0.309614</v>
      </c>
      <c r="AB1502" t="n">
        <v>206.806</v>
      </c>
      <c r="AC1502" t="n">
        <v>68.9353</v>
      </c>
      <c r="AD1502" t="n">
        <v>75.8573</v>
      </c>
      <c r="AE1502" t="n">
        <v>43344.3603</v>
      </c>
      <c r="AF1502" t="n">
        <v>0.99</v>
      </c>
      <c r="AG1502" t="inlineStr">
        <is>
          <t>Medium</t>
        </is>
      </c>
      <c r="AH1502" t="inlineStr">
        <is>
          <t>On Track to Glide Path</t>
        </is>
      </c>
    </row>
    <row r="1503">
      <c r="A1503" t="inlineStr">
        <is>
          <t>SUP-0094</t>
        </is>
      </c>
      <c r="B1503" t="inlineStr">
        <is>
          <t>Metals Supplier 094</t>
        </is>
      </c>
      <c r="C1503" t="inlineStr">
        <is>
          <t>Metals</t>
        </is>
      </c>
      <c r="D1503" t="n">
        <v>2024</v>
      </c>
      <c r="E1503" t="n">
        <v>2018</v>
      </c>
      <c r="F1503" t="n">
        <v>2040</v>
      </c>
      <c r="G1503" t="n">
        <v>3526.873</v>
      </c>
      <c r="H1503" t="n">
        <v>334.3378</v>
      </c>
      <c r="I1503" t="n">
        <v>746.4705</v>
      </c>
      <c r="J1503" t="inlineStr"/>
      <c r="K1503" t="n">
        <v>5180906.03</v>
      </c>
      <c r="L1503" t="n">
        <v>36358089.83</v>
      </c>
      <c r="M1503" t="n">
        <v>3526.873</v>
      </c>
      <c r="N1503" t="inlineStr">
        <is>
          <t>Supplier Reported Emissions</t>
        </is>
      </c>
      <c r="O1503" t="b">
        <v>0</v>
      </c>
      <c r="P1503" t="inlineStr">
        <is>
          <t>High</t>
        </is>
      </c>
      <c r="Q1503" t="inlineStr">
        <is>
          <t>Scope_Emissions</t>
        </is>
      </c>
      <c r="R1503" t="inlineStr">
        <is>
          <t>Valid</t>
        </is>
      </c>
      <c r="S1503" t="n">
        <v>2038</v>
      </c>
      <c r="T1503" t="inlineStr">
        <is>
          <t>Supplier Target Pathway</t>
        </is>
      </c>
      <c r="U1503" t="n">
        <v>4230.3408</v>
      </c>
      <c r="V1503" t="n">
        <v>2713.7636</v>
      </c>
      <c r="W1503" t="n">
        <v>2851.6343</v>
      </c>
      <c r="X1503" t="n">
        <v>2851.6343</v>
      </c>
      <c r="Y1503" t="n">
        <v>1378.7065</v>
      </c>
      <c r="Z1503" t="n">
        <v>0.00055041</v>
      </c>
      <c r="AA1503" t="n">
        <v>0.325909</v>
      </c>
      <c r="AB1503" t="n">
        <v>137.8707</v>
      </c>
      <c r="AC1503" t="n">
        <v>68.9353</v>
      </c>
      <c r="AD1503" t="n">
        <v>-2775.777</v>
      </c>
      <c r="AE1503" t="n">
        <v>46195.9946</v>
      </c>
      <c r="AF1503" t="n">
        <v>0.99</v>
      </c>
      <c r="AG1503" t="inlineStr">
        <is>
          <t>Medium</t>
        </is>
      </c>
      <c r="AH1503" t="inlineStr">
        <is>
          <t>On Track to Glide Path</t>
        </is>
      </c>
    </row>
    <row r="1504">
      <c r="A1504" t="inlineStr">
        <is>
          <t>SUP-0094</t>
        </is>
      </c>
      <c r="B1504" t="inlineStr">
        <is>
          <t>Metals Supplier 094</t>
        </is>
      </c>
      <c r="C1504" t="inlineStr">
        <is>
          <t>Metals</t>
        </is>
      </c>
      <c r="D1504" t="n">
        <v>2024</v>
      </c>
      <c r="E1504" t="n">
        <v>2018</v>
      </c>
      <c r="F1504" t="n">
        <v>2040</v>
      </c>
      <c r="G1504" t="n">
        <v>3526.873</v>
      </c>
      <c r="H1504" t="n">
        <v>334.3378</v>
      </c>
      <c r="I1504" t="n">
        <v>746.4705</v>
      </c>
      <c r="J1504" t="inlineStr"/>
      <c r="K1504" t="n">
        <v>5180906.03</v>
      </c>
      <c r="L1504" t="n">
        <v>36358089.83</v>
      </c>
      <c r="M1504" t="n">
        <v>3526.873</v>
      </c>
      <c r="N1504" t="inlineStr">
        <is>
          <t>Supplier Reported Emissions</t>
        </is>
      </c>
      <c r="O1504" t="b">
        <v>0</v>
      </c>
      <c r="P1504" t="inlineStr">
        <is>
          <t>High</t>
        </is>
      </c>
      <c r="Q1504" t="inlineStr">
        <is>
          <t>Scope_Emissions</t>
        </is>
      </c>
      <c r="R1504" t="inlineStr">
        <is>
          <t>Valid</t>
        </is>
      </c>
      <c r="S1504" t="n">
        <v>2039</v>
      </c>
      <c r="T1504" t="inlineStr">
        <is>
          <t>Supplier Target Pathway</t>
        </is>
      </c>
      <c r="U1504" t="n">
        <v>4230.3408</v>
      </c>
      <c r="V1504" t="n">
        <v>2713.7636</v>
      </c>
      <c r="W1504" t="n">
        <v>2782.6989</v>
      </c>
      <c r="X1504" t="n">
        <v>2782.6989</v>
      </c>
      <c r="Y1504" t="n">
        <v>1447.6419</v>
      </c>
      <c r="Z1504" t="n">
        <v>0.00053711</v>
      </c>
      <c r="AA1504" t="n">
        <v>0.342205</v>
      </c>
      <c r="AB1504" t="n">
        <v>68.9353</v>
      </c>
      <c r="AC1504" t="n">
        <v>68.9353</v>
      </c>
      <c r="AD1504" t="n">
        <v>-5558.4759</v>
      </c>
      <c r="AE1504" t="n">
        <v>48978.6935</v>
      </c>
      <c r="AF1504" t="n">
        <v>0.99</v>
      </c>
      <c r="AG1504" t="inlineStr">
        <is>
          <t>Medium</t>
        </is>
      </c>
      <c r="AH1504" t="inlineStr">
        <is>
          <t>On Track to Glide Path</t>
        </is>
      </c>
    </row>
    <row r="1505">
      <c r="A1505" t="inlineStr">
        <is>
          <t>SUP-0094</t>
        </is>
      </c>
      <c r="B1505" t="inlineStr">
        <is>
          <t>Metals Supplier 094</t>
        </is>
      </c>
      <c r="C1505" t="inlineStr">
        <is>
          <t>Metals</t>
        </is>
      </c>
      <c r="D1505" t="n">
        <v>2024</v>
      </c>
      <c r="E1505" t="n">
        <v>2018</v>
      </c>
      <c r="F1505" t="n">
        <v>2040</v>
      </c>
      <c r="G1505" t="n">
        <v>3526.873</v>
      </c>
      <c r="H1505" t="n">
        <v>334.3378</v>
      </c>
      <c r="I1505" t="n">
        <v>746.4705</v>
      </c>
      <c r="J1505" t="inlineStr"/>
      <c r="K1505" t="n">
        <v>5180906.03</v>
      </c>
      <c r="L1505" t="n">
        <v>36358089.83</v>
      </c>
      <c r="M1505" t="n">
        <v>3526.873</v>
      </c>
      <c r="N1505" t="inlineStr">
        <is>
          <t>Supplier Reported Emissions</t>
        </is>
      </c>
      <c r="O1505" t="b">
        <v>0</v>
      </c>
      <c r="P1505" t="inlineStr">
        <is>
          <t>High</t>
        </is>
      </c>
      <c r="Q1505" t="inlineStr">
        <is>
          <t>Scope_Emissions</t>
        </is>
      </c>
      <c r="R1505" t="inlineStr">
        <is>
          <t>Valid</t>
        </is>
      </c>
      <c r="S1505" t="n">
        <v>2040</v>
      </c>
      <c r="T1505" t="inlineStr">
        <is>
          <t>Supplier Target Pathway</t>
        </is>
      </c>
      <c r="U1505" t="n">
        <v>4230.3408</v>
      </c>
      <c r="V1505" t="n">
        <v>2713.7636</v>
      </c>
      <c r="W1505" t="n">
        <v>2713.7636</v>
      </c>
      <c r="X1505" t="n">
        <v>2713.7636</v>
      </c>
      <c r="Y1505" t="n">
        <v>1516.5772</v>
      </c>
      <c r="Z1505" t="n">
        <v>0.0005238</v>
      </c>
      <c r="AA1505" t="n">
        <v>0.3585</v>
      </c>
      <c r="AB1505" t="n">
        <v>0</v>
      </c>
      <c r="AC1505" t="n">
        <v>68.9353</v>
      </c>
      <c r="AD1505" t="n">
        <v>-8272.2395</v>
      </c>
      <c r="AE1505" t="n">
        <v>51692.4571</v>
      </c>
      <c r="AF1505" t="n">
        <v>0.99</v>
      </c>
      <c r="AG1505" t="inlineStr">
        <is>
          <t>Low</t>
        </is>
      </c>
      <c r="AH1505" t="inlineStr">
        <is>
          <t>On Track</t>
        </is>
      </c>
    </row>
    <row r="1506">
      <c r="A1506" t="inlineStr">
        <is>
          <t>SUP-0095</t>
        </is>
      </c>
      <c r="B1506" t="inlineStr">
        <is>
          <t>Agriculture Supplier 095</t>
        </is>
      </c>
      <c r="C1506" t="inlineStr">
        <is>
          <t>Agriculture</t>
        </is>
      </c>
      <c r="D1506" t="n">
        <v>2024</v>
      </c>
      <c r="E1506" t="n">
        <v>2018</v>
      </c>
      <c r="F1506" t="n">
        <v>2040</v>
      </c>
      <c r="G1506" t="n">
        <v>6732.3688</v>
      </c>
      <c r="H1506" t="n">
        <v>1847.7828</v>
      </c>
      <c r="I1506" t="n">
        <v>1079.75</v>
      </c>
      <c r="J1506" t="n">
        <v>4534.0926</v>
      </c>
      <c r="K1506" t="inlineStr"/>
      <c r="L1506" t="n">
        <v>49121994.19</v>
      </c>
      <c r="M1506" t="n">
        <v>6732.3688</v>
      </c>
      <c r="N1506" t="inlineStr">
        <is>
          <t>Supplier Reported Emissions</t>
        </is>
      </c>
      <c r="O1506" t="b">
        <v>0</v>
      </c>
      <c r="P1506" t="inlineStr">
        <is>
          <t>High</t>
        </is>
      </c>
      <c r="Q1506" t="inlineStr">
        <is>
          <t>Gross_Spend</t>
        </is>
      </c>
      <c r="R1506" t="inlineStr">
        <is>
          <t>Valid</t>
        </is>
      </c>
      <c r="S1506" t="n">
        <v>2025</v>
      </c>
      <c r="T1506" t="inlineStr">
        <is>
          <t>Supplier Target Pathway</t>
        </is>
      </c>
      <c r="U1506" t="n">
        <v>6539.1665</v>
      </c>
      <c r="V1506" t="n">
        <v>3290.5086</v>
      </c>
      <c r="W1506" t="n">
        <v>5505.5026</v>
      </c>
      <c r="X1506" t="n">
        <v>5505.5026</v>
      </c>
      <c r="Y1506" t="n">
        <v>1033.6639</v>
      </c>
      <c r="Z1506" t="inlineStr"/>
      <c r="AA1506" t="inlineStr"/>
      <c r="AB1506" t="n">
        <v>2214.994</v>
      </c>
      <c r="AC1506" t="n">
        <v>147.6663</v>
      </c>
      <c r="AD1506" t="n">
        <v>47142.635</v>
      </c>
      <c r="AE1506" t="n">
        <v>5505.5026</v>
      </c>
      <c r="AF1506" t="n">
        <v>0.99</v>
      </c>
      <c r="AG1506" t="inlineStr">
        <is>
          <t>Critical</t>
        </is>
      </c>
      <c r="AH1506" t="inlineStr">
        <is>
          <t>On Track to Glide Path</t>
        </is>
      </c>
    </row>
    <row r="1507">
      <c r="A1507" t="inlineStr">
        <is>
          <t>SUP-0095</t>
        </is>
      </c>
      <c r="B1507" t="inlineStr">
        <is>
          <t>Agriculture Supplier 095</t>
        </is>
      </c>
      <c r="C1507" t="inlineStr">
        <is>
          <t>Agriculture</t>
        </is>
      </c>
      <c r="D1507" t="n">
        <v>2024</v>
      </c>
      <c r="E1507" t="n">
        <v>2018</v>
      </c>
      <c r="F1507" t="n">
        <v>2040</v>
      </c>
      <c r="G1507" t="n">
        <v>6732.3688</v>
      </c>
      <c r="H1507" t="n">
        <v>1847.7828</v>
      </c>
      <c r="I1507" t="n">
        <v>1079.75</v>
      </c>
      <c r="J1507" t="n">
        <v>4534.0926</v>
      </c>
      <c r="K1507" t="inlineStr"/>
      <c r="L1507" t="n">
        <v>49121994.19</v>
      </c>
      <c r="M1507" t="n">
        <v>6732.3688</v>
      </c>
      <c r="N1507" t="inlineStr">
        <is>
          <t>Supplier Reported Emissions</t>
        </is>
      </c>
      <c r="O1507" t="b">
        <v>0</v>
      </c>
      <c r="P1507" t="inlineStr">
        <is>
          <t>High</t>
        </is>
      </c>
      <c r="Q1507" t="inlineStr">
        <is>
          <t>Gross_Spend</t>
        </is>
      </c>
      <c r="R1507" t="inlineStr">
        <is>
          <t>Valid</t>
        </is>
      </c>
      <c r="S1507" t="n">
        <v>2026</v>
      </c>
      <c r="T1507" t="inlineStr">
        <is>
          <t>Supplier Target Pathway</t>
        </is>
      </c>
      <c r="U1507" t="n">
        <v>6539.1665</v>
      </c>
      <c r="V1507" t="n">
        <v>3290.5086</v>
      </c>
      <c r="W1507" t="n">
        <v>5357.8363</v>
      </c>
      <c r="X1507" t="n">
        <v>5357.8363</v>
      </c>
      <c r="Y1507" t="n">
        <v>1181.3302</v>
      </c>
      <c r="Z1507" t="inlineStr"/>
      <c r="AA1507" t="inlineStr"/>
      <c r="AB1507" t="n">
        <v>2067.3278</v>
      </c>
      <c r="AC1507" t="n">
        <v>147.6663</v>
      </c>
      <c r="AD1507" t="n">
        <v>41784.7987</v>
      </c>
      <c r="AE1507" t="n">
        <v>10863.3389</v>
      </c>
      <c r="AF1507" t="n">
        <v>0.99</v>
      </c>
      <c r="AG1507" t="inlineStr">
        <is>
          <t>Critical</t>
        </is>
      </c>
      <c r="AH1507" t="inlineStr">
        <is>
          <t>On Track to Glide Path</t>
        </is>
      </c>
    </row>
    <row r="1508">
      <c r="A1508" t="inlineStr">
        <is>
          <t>SUP-0095</t>
        </is>
      </c>
      <c r="B1508" t="inlineStr">
        <is>
          <t>Agriculture Supplier 095</t>
        </is>
      </c>
      <c r="C1508" t="inlineStr">
        <is>
          <t>Agriculture</t>
        </is>
      </c>
      <c r="D1508" t="n">
        <v>2024</v>
      </c>
      <c r="E1508" t="n">
        <v>2018</v>
      </c>
      <c r="F1508" t="n">
        <v>2040</v>
      </c>
      <c r="G1508" t="n">
        <v>6732.3688</v>
      </c>
      <c r="H1508" t="n">
        <v>1847.7828</v>
      </c>
      <c r="I1508" t="n">
        <v>1079.75</v>
      </c>
      <c r="J1508" t="n">
        <v>4534.0926</v>
      </c>
      <c r="K1508" t="inlineStr"/>
      <c r="L1508" t="n">
        <v>49121994.19</v>
      </c>
      <c r="M1508" t="n">
        <v>6732.3688</v>
      </c>
      <c r="N1508" t="inlineStr">
        <is>
          <t>Supplier Reported Emissions</t>
        </is>
      </c>
      <c r="O1508" t="b">
        <v>0</v>
      </c>
      <c r="P1508" t="inlineStr">
        <is>
          <t>High</t>
        </is>
      </c>
      <c r="Q1508" t="inlineStr">
        <is>
          <t>Gross_Spend</t>
        </is>
      </c>
      <c r="R1508" t="inlineStr">
        <is>
          <t>Valid</t>
        </is>
      </c>
      <c r="S1508" t="n">
        <v>2027</v>
      </c>
      <c r="T1508" t="inlineStr">
        <is>
          <t>Supplier Target Pathway</t>
        </is>
      </c>
      <c r="U1508" t="n">
        <v>6539.1665</v>
      </c>
      <c r="V1508" t="n">
        <v>3290.5086</v>
      </c>
      <c r="W1508" t="n">
        <v>5210.1701</v>
      </c>
      <c r="X1508" t="n">
        <v>5210.1701</v>
      </c>
      <c r="Y1508" t="n">
        <v>1328.9964</v>
      </c>
      <c r="Z1508" t="inlineStr"/>
      <c r="AA1508" t="inlineStr"/>
      <c r="AB1508" t="n">
        <v>1919.6615</v>
      </c>
      <c r="AC1508" t="n">
        <v>147.6663</v>
      </c>
      <c r="AD1508" t="n">
        <v>36574.6286</v>
      </c>
      <c r="AE1508" t="n">
        <v>16073.509</v>
      </c>
      <c r="AF1508" t="n">
        <v>0.99</v>
      </c>
      <c r="AG1508" t="inlineStr">
        <is>
          <t>Critical</t>
        </is>
      </c>
      <c r="AH1508" t="inlineStr">
        <is>
          <t>On Track to Glide Path</t>
        </is>
      </c>
    </row>
    <row r="1509">
      <c r="A1509" t="inlineStr">
        <is>
          <t>SUP-0095</t>
        </is>
      </c>
      <c r="B1509" t="inlineStr">
        <is>
          <t>Agriculture Supplier 095</t>
        </is>
      </c>
      <c r="C1509" t="inlineStr">
        <is>
          <t>Agriculture</t>
        </is>
      </c>
      <c r="D1509" t="n">
        <v>2024</v>
      </c>
      <c r="E1509" t="n">
        <v>2018</v>
      </c>
      <c r="F1509" t="n">
        <v>2040</v>
      </c>
      <c r="G1509" t="n">
        <v>6732.3688</v>
      </c>
      <c r="H1509" t="n">
        <v>1847.7828</v>
      </c>
      <c r="I1509" t="n">
        <v>1079.75</v>
      </c>
      <c r="J1509" t="n">
        <v>4534.0926</v>
      </c>
      <c r="K1509" t="inlineStr"/>
      <c r="L1509" t="n">
        <v>49121994.19</v>
      </c>
      <c r="M1509" t="n">
        <v>6732.3688</v>
      </c>
      <c r="N1509" t="inlineStr">
        <is>
          <t>Supplier Reported Emissions</t>
        </is>
      </c>
      <c r="O1509" t="b">
        <v>0</v>
      </c>
      <c r="P1509" t="inlineStr">
        <is>
          <t>High</t>
        </is>
      </c>
      <c r="Q1509" t="inlineStr">
        <is>
          <t>Gross_Spend</t>
        </is>
      </c>
      <c r="R1509" t="inlineStr">
        <is>
          <t>Valid</t>
        </is>
      </c>
      <c r="S1509" t="n">
        <v>2028</v>
      </c>
      <c r="T1509" t="inlineStr">
        <is>
          <t>Supplier Target Pathway</t>
        </is>
      </c>
      <c r="U1509" t="n">
        <v>6539.1665</v>
      </c>
      <c r="V1509" t="n">
        <v>3290.5086</v>
      </c>
      <c r="W1509" t="n">
        <v>5062.5038</v>
      </c>
      <c r="X1509" t="n">
        <v>5062.5038</v>
      </c>
      <c r="Y1509" t="n">
        <v>1476.6627</v>
      </c>
      <c r="Z1509" t="inlineStr"/>
      <c r="AA1509" t="inlineStr"/>
      <c r="AB1509" t="n">
        <v>1771.9952</v>
      </c>
      <c r="AC1509" t="n">
        <v>147.6663</v>
      </c>
      <c r="AD1509" t="n">
        <v>31512.1248</v>
      </c>
      <c r="AE1509" t="n">
        <v>21136.0128</v>
      </c>
      <c r="AF1509" t="n">
        <v>0.99</v>
      </c>
      <c r="AG1509" t="inlineStr">
        <is>
          <t>Critical</t>
        </is>
      </c>
      <c r="AH1509" t="inlineStr">
        <is>
          <t>On Track to Glide Path</t>
        </is>
      </c>
    </row>
    <row r="1510">
      <c r="A1510" t="inlineStr">
        <is>
          <t>SUP-0095</t>
        </is>
      </c>
      <c r="B1510" t="inlineStr">
        <is>
          <t>Agriculture Supplier 095</t>
        </is>
      </c>
      <c r="C1510" t="inlineStr">
        <is>
          <t>Agriculture</t>
        </is>
      </c>
      <c r="D1510" t="n">
        <v>2024</v>
      </c>
      <c r="E1510" t="n">
        <v>2018</v>
      </c>
      <c r="F1510" t="n">
        <v>2040</v>
      </c>
      <c r="G1510" t="n">
        <v>6732.3688</v>
      </c>
      <c r="H1510" t="n">
        <v>1847.7828</v>
      </c>
      <c r="I1510" t="n">
        <v>1079.75</v>
      </c>
      <c r="J1510" t="n">
        <v>4534.0926</v>
      </c>
      <c r="K1510" t="inlineStr"/>
      <c r="L1510" t="n">
        <v>49121994.19</v>
      </c>
      <c r="M1510" t="n">
        <v>6732.3688</v>
      </c>
      <c r="N1510" t="inlineStr">
        <is>
          <t>Supplier Reported Emissions</t>
        </is>
      </c>
      <c r="O1510" t="b">
        <v>0</v>
      </c>
      <c r="P1510" t="inlineStr">
        <is>
          <t>High</t>
        </is>
      </c>
      <c r="Q1510" t="inlineStr">
        <is>
          <t>Gross_Spend</t>
        </is>
      </c>
      <c r="R1510" t="inlineStr">
        <is>
          <t>Valid</t>
        </is>
      </c>
      <c r="S1510" t="n">
        <v>2029</v>
      </c>
      <c r="T1510" t="inlineStr">
        <is>
          <t>Supplier Target Pathway</t>
        </is>
      </c>
      <c r="U1510" t="n">
        <v>6539.1665</v>
      </c>
      <c r="V1510" t="n">
        <v>3290.5086</v>
      </c>
      <c r="W1510" t="n">
        <v>4914.8375</v>
      </c>
      <c r="X1510" t="n">
        <v>4914.8375</v>
      </c>
      <c r="Y1510" t="n">
        <v>1624.329</v>
      </c>
      <c r="Z1510" t="inlineStr"/>
      <c r="AA1510" t="inlineStr"/>
      <c r="AB1510" t="n">
        <v>1624.329</v>
      </c>
      <c r="AC1510" t="n">
        <v>147.6663</v>
      </c>
      <c r="AD1510" t="n">
        <v>26597.2873</v>
      </c>
      <c r="AE1510" t="n">
        <v>26050.8503</v>
      </c>
      <c r="AF1510" t="n">
        <v>0.99</v>
      </c>
      <c r="AG1510" t="inlineStr">
        <is>
          <t>Critical</t>
        </is>
      </c>
      <c r="AH1510" t="inlineStr">
        <is>
          <t>On Track to Glide Path</t>
        </is>
      </c>
    </row>
    <row r="1511">
      <c r="A1511" t="inlineStr">
        <is>
          <t>SUP-0095</t>
        </is>
      </c>
      <c r="B1511" t="inlineStr">
        <is>
          <t>Agriculture Supplier 095</t>
        </is>
      </c>
      <c r="C1511" t="inlineStr">
        <is>
          <t>Agriculture</t>
        </is>
      </c>
      <c r="D1511" t="n">
        <v>2024</v>
      </c>
      <c r="E1511" t="n">
        <v>2018</v>
      </c>
      <c r="F1511" t="n">
        <v>2040</v>
      </c>
      <c r="G1511" t="n">
        <v>6732.3688</v>
      </c>
      <c r="H1511" t="n">
        <v>1847.7828</v>
      </c>
      <c r="I1511" t="n">
        <v>1079.75</v>
      </c>
      <c r="J1511" t="n">
        <v>4534.0926</v>
      </c>
      <c r="K1511" t="inlineStr"/>
      <c r="L1511" t="n">
        <v>49121994.19</v>
      </c>
      <c r="M1511" t="n">
        <v>6732.3688</v>
      </c>
      <c r="N1511" t="inlineStr">
        <is>
          <t>Supplier Reported Emissions</t>
        </is>
      </c>
      <c r="O1511" t="b">
        <v>0</v>
      </c>
      <c r="P1511" t="inlineStr">
        <is>
          <t>High</t>
        </is>
      </c>
      <c r="Q1511" t="inlineStr">
        <is>
          <t>Gross_Spend</t>
        </is>
      </c>
      <c r="R1511" t="inlineStr">
        <is>
          <t>Valid</t>
        </is>
      </c>
      <c r="S1511" t="n">
        <v>2030</v>
      </c>
      <c r="T1511" t="inlineStr">
        <is>
          <t>Supplier Target Pathway</t>
        </is>
      </c>
      <c r="U1511" t="n">
        <v>6539.1665</v>
      </c>
      <c r="V1511" t="n">
        <v>3290.5086</v>
      </c>
      <c r="W1511" t="n">
        <v>4767.1713</v>
      </c>
      <c r="X1511" t="n">
        <v>4767.1713</v>
      </c>
      <c r="Y1511" t="n">
        <v>1771.9952</v>
      </c>
      <c r="Z1511" t="inlineStr"/>
      <c r="AA1511" t="inlineStr"/>
      <c r="AB1511" t="n">
        <v>1476.6627</v>
      </c>
      <c r="AC1511" t="n">
        <v>147.6663</v>
      </c>
      <c r="AD1511" t="n">
        <v>21830.116</v>
      </c>
      <c r="AE1511" t="n">
        <v>30818.0216</v>
      </c>
      <c r="AF1511" t="n">
        <v>0.99</v>
      </c>
      <c r="AG1511" t="inlineStr">
        <is>
          <t>Critical</t>
        </is>
      </c>
      <c r="AH1511" t="inlineStr">
        <is>
          <t>On Track to Glide Path</t>
        </is>
      </c>
    </row>
    <row r="1512">
      <c r="A1512" t="inlineStr">
        <is>
          <t>SUP-0095</t>
        </is>
      </c>
      <c r="B1512" t="inlineStr">
        <is>
          <t>Agriculture Supplier 095</t>
        </is>
      </c>
      <c r="C1512" t="inlineStr">
        <is>
          <t>Agriculture</t>
        </is>
      </c>
      <c r="D1512" t="n">
        <v>2024</v>
      </c>
      <c r="E1512" t="n">
        <v>2018</v>
      </c>
      <c r="F1512" t="n">
        <v>2040</v>
      </c>
      <c r="G1512" t="n">
        <v>6732.3688</v>
      </c>
      <c r="H1512" t="n">
        <v>1847.7828</v>
      </c>
      <c r="I1512" t="n">
        <v>1079.75</v>
      </c>
      <c r="J1512" t="n">
        <v>4534.0926</v>
      </c>
      <c r="K1512" t="inlineStr"/>
      <c r="L1512" t="n">
        <v>49121994.19</v>
      </c>
      <c r="M1512" t="n">
        <v>6732.3688</v>
      </c>
      <c r="N1512" t="inlineStr">
        <is>
          <t>Supplier Reported Emissions</t>
        </is>
      </c>
      <c r="O1512" t="b">
        <v>0</v>
      </c>
      <c r="P1512" t="inlineStr">
        <is>
          <t>High</t>
        </is>
      </c>
      <c r="Q1512" t="inlineStr">
        <is>
          <t>Gross_Spend</t>
        </is>
      </c>
      <c r="R1512" t="inlineStr">
        <is>
          <t>Valid</t>
        </is>
      </c>
      <c r="S1512" t="n">
        <v>2031</v>
      </c>
      <c r="T1512" t="inlineStr">
        <is>
          <t>Supplier Target Pathway</t>
        </is>
      </c>
      <c r="U1512" t="n">
        <v>6539.1665</v>
      </c>
      <c r="V1512" t="n">
        <v>3290.5086</v>
      </c>
      <c r="W1512" t="n">
        <v>4619.505</v>
      </c>
      <c r="X1512" t="n">
        <v>4619.505</v>
      </c>
      <c r="Y1512" t="n">
        <v>1919.6615</v>
      </c>
      <c r="Z1512" t="inlineStr"/>
      <c r="AA1512" t="inlineStr"/>
      <c r="AB1512" t="n">
        <v>1328.9964</v>
      </c>
      <c r="AC1512" t="n">
        <v>147.6663</v>
      </c>
      <c r="AD1512" t="n">
        <v>17210.611</v>
      </c>
      <c r="AE1512" t="n">
        <v>35437.5266</v>
      </c>
      <c r="AF1512" t="n">
        <v>0.99</v>
      </c>
      <c r="AG1512" t="inlineStr">
        <is>
          <t>Critical</t>
        </is>
      </c>
      <c r="AH1512" t="inlineStr">
        <is>
          <t>On Track to Glide Path</t>
        </is>
      </c>
    </row>
    <row r="1513">
      <c r="A1513" t="inlineStr">
        <is>
          <t>SUP-0095</t>
        </is>
      </c>
      <c r="B1513" t="inlineStr">
        <is>
          <t>Agriculture Supplier 095</t>
        </is>
      </c>
      <c r="C1513" t="inlineStr">
        <is>
          <t>Agriculture</t>
        </is>
      </c>
      <c r="D1513" t="n">
        <v>2024</v>
      </c>
      <c r="E1513" t="n">
        <v>2018</v>
      </c>
      <c r="F1513" t="n">
        <v>2040</v>
      </c>
      <c r="G1513" t="n">
        <v>6732.3688</v>
      </c>
      <c r="H1513" t="n">
        <v>1847.7828</v>
      </c>
      <c r="I1513" t="n">
        <v>1079.75</v>
      </c>
      <c r="J1513" t="n">
        <v>4534.0926</v>
      </c>
      <c r="K1513" t="inlineStr"/>
      <c r="L1513" t="n">
        <v>49121994.19</v>
      </c>
      <c r="M1513" t="n">
        <v>6732.3688</v>
      </c>
      <c r="N1513" t="inlineStr">
        <is>
          <t>Supplier Reported Emissions</t>
        </is>
      </c>
      <c r="O1513" t="b">
        <v>0</v>
      </c>
      <c r="P1513" t="inlineStr">
        <is>
          <t>High</t>
        </is>
      </c>
      <c r="Q1513" t="inlineStr">
        <is>
          <t>Gross_Spend</t>
        </is>
      </c>
      <c r="R1513" t="inlineStr">
        <is>
          <t>Valid</t>
        </is>
      </c>
      <c r="S1513" t="n">
        <v>2032</v>
      </c>
      <c r="T1513" t="inlineStr">
        <is>
          <t>Supplier Target Pathway</t>
        </is>
      </c>
      <c r="U1513" t="n">
        <v>6539.1665</v>
      </c>
      <c r="V1513" t="n">
        <v>3290.5086</v>
      </c>
      <c r="W1513" t="n">
        <v>4471.8387</v>
      </c>
      <c r="X1513" t="n">
        <v>4471.8387</v>
      </c>
      <c r="Y1513" t="n">
        <v>2067.3278</v>
      </c>
      <c r="Z1513" t="inlineStr"/>
      <c r="AA1513" t="inlineStr"/>
      <c r="AB1513" t="n">
        <v>1181.3302</v>
      </c>
      <c r="AC1513" t="n">
        <v>147.6663</v>
      </c>
      <c r="AD1513" t="n">
        <v>12738.7723</v>
      </c>
      <c r="AE1513" t="n">
        <v>39909.3653</v>
      </c>
      <c r="AF1513" t="n">
        <v>0.99</v>
      </c>
      <c r="AG1513" t="inlineStr">
        <is>
          <t>Critical</t>
        </is>
      </c>
      <c r="AH1513" t="inlineStr">
        <is>
          <t>On Track to Glide Path</t>
        </is>
      </c>
    </row>
    <row r="1514">
      <c r="A1514" t="inlineStr">
        <is>
          <t>SUP-0095</t>
        </is>
      </c>
      <c r="B1514" t="inlineStr">
        <is>
          <t>Agriculture Supplier 095</t>
        </is>
      </c>
      <c r="C1514" t="inlineStr">
        <is>
          <t>Agriculture</t>
        </is>
      </c>
      <c r="D1514" t="n">
        <v>2024</v>
      </c>
      <c r="E1514" t="n">
        <v>2018</v>
      </c>
      <c r="F1514" t="n">
        <v>2040</v>
      </c>
      <c r="G1514" t="n">
        <v>6732.3688</v>
      </c>
      <c r="H1514" t="n">
        <v>1847.7828</v>
      </c>
      <c r="I1514" t="n">
        <v>1079.75</v>
      </c>
      <c r="J1514" t="n">
        <v>4534.0926</v>
      </c>
      <c r="K1514" t="inlineStr"/>
      <c r="L1514" t="n">
        <v>49121994.19</v>
      </c>
      <c r="M1514" t="n">
        <v>6732.3688</v>
      </c>
      <c r="N1514" t="inlineStr">
        <is>
          <t>Supplier Reported Emissions</t>
        </is>
      </c>
      <c r="O1514" t="b">
        <v>0</v>
      </c>
      <c r="P1514" t="inlineStr">
        <is>
          <t>High</t>
        </is>
      </c>
      <c r="Q1514" t="inlineStr">
        <is>
          <t>Gross_Spend</t>
        </is>
      </c>
      <c r="R1514" t="inlineStr">
        <is>
          <t>Valid</t>
        </is>
      </c>
      <c r="S1514" t="n">
        <v>2033</v>
      </c>
      <c r="T1514" t="inlineStr">
        <is>
          <t>Supplier Target Pathway</t>
        </is>
      </c>
      <c r="U1514" t="n">
        <v>6539.1665</v>
      </c>
      <c r="V1514" t="n">
        <v>3290.5086</v>
      </c>
      <c r="W1514" t="n">
        <v>4324.1725</v>
      </c>
      <c r="X1514" t="n">
        <v>4324.1725</v>
      </c>
      <c r="Y1514" t="n">
        <v>2214.994</v>
      </c>
      <c r="Z1514" t="inlineStr"/>
      <c r="AA1514" t="inlineStr"/>
      <c r="AB1514" t="n">
        <v>1033.6639</v>
      </c>
      <c r="AC1514" t="n">
        <v>147.6663</v>
      </c>
      <c r="AD1514" t="n">
        <v>8414.5998</v>
      </c>
      <c r="AE1514" t="n">
        <v>44233.5378</v>
      </c>
      <c r="AF1514" t="n">
        <v>0.99</v>
      </c>
      <c r="AG1514" t="inlineStr">
        <is>
          <t>High</t>
        </is>
      </c>
      <c r="AH1514" t="inlineStr">
        <is>
          <t>On Track to Glide Path</t>
        </is>
      </c>
    </row>
    <row r="1515">
      <c r="A1515" t="inlineStr">
        <is>
          <t>SUP-0095</t>
        </is>
      </c>
      <c r="B1515" t="inlineStr">
        <is>
          <t>Agriculture Supplier 095</t>
        </is>
      </c>
      <c r="C1515" t="inlineStr">
        <is>
          <t>Agriculture</t>
        </is>
      </c>
      <c r="D1515" t="n">
        <v>2024</v>
      </c>
      <c r="E1515" t="n">
        <v>2018</v>
      </c>
      <c r="F1515" t="n">
        <v>2040</v>
      </c>
      <c r="G1515" t="n">
        <v>6732.3688</v>
      </c>
      <c r="H1515" t="n">
        <v>1847.7828</v>
      </c>
      <c r="I1515" t="n">
        <v>1079.75</v>
      </c>
      <c r="J1515" t="n">
        <v>4534.0926</v>
      </c>
      <c r="K1515" t="inlineStr"/>
      <c r="L1515" t="n">
        <v>49121994.19</v>
      </c>
      <c r="M1515" t="n">
        <v>6732.3688</v>
      </c>
      <c r="N1515" t="inlineStr">
        <is>
          <t>Supplier Reported Emissions</t>
        </is>
      </c>
      <c r="O1515" t="b">
        <v>0</v>
      </c>
      <c r="P1515" t="inlineStr">
        <is>
          <t>High</t>
        </is>
      </c>
      <c r="Q1515" t="inlineStr">
        <is>
          <t>Gross_Spend</t>
        </is>
      </c>
      <c r="R1515" t="inlineStr">
        <is>
          <t>Valid</t>
        </is>
      </c>
      <c r="S1515" t="n">
        <v>2034</v>
      </c>
      <c r="T1515" t="inlineStr">
        <is>
          <t>Supplier Target Pathway</t>
        </is>
      </c>
      <c r="U1515" t="n">
        <v>6539.1665</v>
      </c>
      <c r="V1515" t="n">
        <v>3290.5086</v>
      </c>
      <c r="W1515" t="n">
        <v>4176.5062</v>
      </c>
      <c r="X1515" t="n">
        <v>4176.5062</v>
      </c>
      <c r="Y1515" t="n">
        <v>2362.6603</v>
      </c>
      <c r="Z1515" t="inlineStr"/>
      <c r="AA1515" t="inlineStr"/>
      <c r="AB1515" t="n">
        <v>885.9976</v>
      </c>
      <c r="AC1515" t="n">
        <v>147.6663</v>
      </c>
      <c r="AD1515" t="n">
        <v>4238.0936</v>
      </c>
      <c r="AE1515" t="n">
        <v>48410.044</v>
      </c>
      <c r="AF1515" t="n">
        <v>0.99</v>
      </c>
      <c r="AG1515" t="inlineStr">
        <is>
          <t>High</t>
        </is>
      </c>
      <c r="AH1515" t="inlineStr">
        <is>
          <t>On Track to Glide Path</t>
        </is>
      </c>
    </row>
    <row r="1516">
      <c r="A1516" t="inlineStr">
        <is>
          <t>SUP-0095</t>
        </is>
      </c>
      <c r="B1516" t="inlineStr">
        <is>
          <t>Agriculture Supplier 095</t>
        </is>
      </c>
      <c r="C1516" t="inlineStr">
        <is>
          <t>Agriculture</t>
        </is>
      </c>
      <c r="D1516" t="n">
        <v>2024</v>
      </c>
      <c r="E1516" t="n">
        <v>2018</v>
      </c>
      <c r="F1516" t="n">
        <v>2040</v>
      </c>
      <c r="G1516" t="n">
        <v>6732.3688</v>
      </c>
      <c r="H1516" t="n">
        <v>1847.7828</v>
      </c>
      <c r="I1516" t="n">
        <v>1079.75</v>
      </c>
      <c r="J1516" t="n">
        <v>4534.0926</v>
      </c>
      <c r="K1516" t="inlineStr"/>
      <c r="L1516" t="n">
        <v>49121994.19</v>
      </c>
      <c r="M1516" t="n">
        <v>6732.3688</v>
      </c>
      <c r="N1516" t="inlineStr">
        <is>
          <t>Supplier Reported Emissions</t>
        </is>
      </c>
      <c r="O1516" t="b">
        <v>0</v>
      </c>
      <c r="P1516" t="inlineStr">
        <is>
          <t>High</t>
        </is>
      </c>
      <c r="Q1516" t="inlineStr">
        <is>
          <t>Gross_Spend</t>
        </is>
      </c>
      <c r="R1516" t="inlineStr">
        <is>
          <t>Valid</t>
        </is>
      </c>
      <c r="S1516" t="n">
        <v>2035</v>
      </c>
      <c r="T1516" t="inlineStr">
        <is>
          <t>Supplier Target Pathway</t>
        </is>
      </c>
      <c r="U1516" t="n">
        <v>6539.1665</v>
      </c>
      <c r="V1516" t="n">
        <v>3290.5086</v>
      </c>
      <c r="W1516" t="n">
        <v>4028.8399</v>
      </c>
      <c r="X1516" t="n">
        <v>4028.8399</v>
      </c>
      <c r="Y1516" t="n">
        <v>2510.3266</v>
      </c>
      <c r="Z1516" t="inlineStr"/>
      <c r="AA1516" t="inlineStr"/>
      <c r="AB1516" t="n">
        <v>738.3313000000001</v>
      </c>
      <c r="AC1516" t="n">
        <v>147.6663</v>
      </c>
      <c r="AD1516" t="n">
        <v>209.2537</v>
      </c>
      <c r="AE1516" t="n">
        <v>52438.8839</v>
      </c>
      <c r="AF1516" t="n">
        <v>0.99</v>
      </c>
      <c r="AG1516" t="inlineStr">
        <is>
          <t>High</t>
        </is>
      </c>
      <c r="AH1516" t="inlineStr">
        <is>
          <t>On Track to Glide Path</t>
        </is>
      </c>
    </row>
    <row r="1517">
      <c r="A1517" t="inlineStr">
        <is>
          <t>SUP-0095</t>
        </is>
      </c>
      <c r="B1517" t="inlineStr">
        <is>
          <t>Agriculture Supplier 095</t>
        </is>
      </c>
      <c r="C1517" t="inlineStr">
        <is>
          <t>Agriculture</t>
        </is>
      </c>
      <c r="D1517" t="n">
        <v>2024</v>
      </c>
      <c r="E1517" t="n">
        <v>2018</v>
      </c>
      <c r="F1517" t="n">
        <v>2040</v>
      </c>
      <c r="G1517" t="n">
        <v>6732.3688</v>
      </c>
      <c r="H1517" t="n">
        <v>1847.7828</v>
      </c>
      <c r="I1517" t="n">
        <v>1079.75</v>
      </c>
      <c r="J1517" t="n">
        <v>4534.0926</v>
      </c>
      <c r="K1517" t="inlineStr"/>
      <c r="L1517" t="n">
        <v>49121994.19</v>
      </c>
      <c r="M1517" t="n">
        <v>6732.3688</v>
      </c>
      <c r="N1517" t="inlineStr">
        <is>
          <t>Supplier Reported Emissions</t>
        </is>
      </c>
      <c r="O1517" t="b">
        <v>0</v>
      </c>
      <c r="P1517" t="inlineStr">
        <is>
          <t>High</t>
        </is>
      </c>
      <c r="Q1517" t="inlineStr">
        <is>
          <t>Gross_Spend</t>
        </is>
      </c>
      <c r="R1517" t="inlineStr">
        <is>
          <t>Valid</t>
        </is>
      </c>
      <c r="S1517" t="n">
        <v>2036</v>
      </c>
      <c r="T1517" t="inlineStr">
        <is>
          <t>Supplier Target Pathway</t>
        </is>
      </c>
      <c r="U1517" t="n">
        <v>6539.1665</v>
      </c>
      <c r="V1517" t="n">
        <v>3290.5086</v>
      </c>
      <c r="W1517" t="n">
        <v>3881.1737</v>
      </c>
      <c r="X1517" t="n">
        <v>3881.1737</v>
      </c>
      <c r="Y1517" t="n">
        <v>2657.9928</v>
      </c>
      <c r="Z1517" t="inlineStr"/>
      <c r="AA1517" t="inlineStr"/>
      <c r="AB1517" t="n">
        <v>590.6651000000001</v>
      </c>
      <c r="AC1517" t="n">
        <v>147.6663</v>
      </c>
      <c r="AD1517" t="n">
        <v>-3671.92</v>
      </c>
      <c r="AE1517" t="n">
        <v>56320.0576</v>
      </c>
      <c r="AF1517" t="n">
        <v>0.99</v>
      </c>
      <c r="AG1517" t="inlineStr">
        <is>
          <t>High</t>
        </is>
      </c>
      <c r="AH1517" t="inlineStr">
        <is>
          <t>On Track to Glide Path</t>
        </is>
      </c>
    </row>
    <row r="1518">
      <c r="A1518" t="inlineStr">
        <is>
          <t>SUP-0095</t>
        </is>
      </c>
      <c r="B1518" t="inlineStr">
        <is>
          <t>Agriculture Supplier 095</t>
        </is>
      </c>
      <c r="C1518" t="inlineStr">
        <is>
          <t>Agriculture</t>
        </is>
      </c>
      <c r="D1518" t="n">
        <v>2024</v>
      </c>
      <c r="E1518" t="n">
        <v>2018</v>
      </c>
      <c r="F1518" t="n">
        <v>2040</v>
      </c>
      <c r="G1518" t="n">
        <v>6732.3688</v>
      </c>
      <c r="H1518" t="n">
        <v>1847.7828</v>
      </c>
      <c r="I1518" t="n">
        <v>1079.75</v>
      </c>
      <c r="J1518" t="n">
        <v>4534.0926</v>
      </c>
      <c r="K1518" t="inlineStr"/>
      <c r="L1518" t="n">
        <v>49121994.19</v>
      </c>
      <c r="M1518" t="n">
        <v>6732.3688</v>
      </c>
      <c r="N1518" t="inlineStr">
        <is>
          <t>Supplier Reported Emissions</t>
        </is>
      </c>
      <c r="O1518" t="b">
        <v>0</v>
      </c>
      <c r="P1518" t="inlineStr">
        <is>
          <t>High</t>
        </is>
      </c>
      <c r="Q1518" t="inlineStr">
        <is>
          <t>Gross_Spend</t>
        </is>
      </c>
      <c r="R1518" t="inlineStr">
        <is>
          <t>Valid</t>
        </is>
      </c>
      <c r="S1518" t="n">
        <v>2037</v>
      </c>
      <c r="T1518" t="inlineStr">
        <is>
          <t>Supplier Target Pathway</t>
        </is>
      </c>
      <c r="U1518" t="n">
        <v>6539.1665</v>
      </c>
      <c r="V1518" t="n">
        <v>3290.5086</v>
      </c>
      <c r="W1518" t="n">
        <v>3733.5074</v>
      </c>
      <c r="X1518" t="n">
        <v>3733.5074</v>
      </c>
      <c r="Y1518" t="n">
        <v>2805.6591</v>
      </c>
      <c r="Z1518" t="inlineStr"/>
      <c r="AA1518" t="inlineStr"/>
      <c r="AB1518" t="n">
        <v>442.9988</v>
      </c>
      <c r="AC1518" t="n">
        <v>147.6663</v>
      </c>
      <c r="AD1518" t="n">
        <v>-7405.4274</v>
      </c>
      <c r="AE1518" t="n">
        <v>60053.565</v>
      </c>
      <c r="AF1518" t="n">
        <v>0.99</v>
      </c>
      <c r="AG1518" t="inlineStr">
        <is>
          <t>Medium</t>
        </is>
      </c>
      <c r="AH1518" t="inlineStr">
        <is>
          <t>On Track to Glide Path</t>
        </is>
      </c>
    </row>
    <row r="1519">
      <c r="A1519" t="inlineStr">
        <is>
          <t>SUP-0095</t>
        </is>
      </c>
      <c r="B1519" t="inlineStr">
        <is>
          <t>Agriculture Supplier 095</t>
        </is>
      </c>
      <c r="C1519" t="inlineStr">
        <is>
          <t>Agriculture</t>
        </is>
      </c>
      <c r="D1519" t="n">
        <v>2024</v>
      </c>
      <c r="E1519" t="n">
        <v>2018</v>
      </c>
      <c r="F1519" t="n">
        <v>2040</v>
      </c>
      <c r="G1519" t="n">
        <v>6732.3688</v>
      </c>
      <c r="H1519" t="n">
        <v>1847.7828</v>
      </c>
      <c r="I1519" t="n">
        <v>1079.75</v>
      </c>
      <c r="J1519" t="n">
        <v>4534.0926</v>
      </c>
      <c r="K1519" t="inlineStr"/>
      <c r="L1519" t="n">
        <v>49121994.19</v>
      </c>
      <c r="M1519" t="n">
        <v>6732.3688</v>
      </c>
      <c r="N1519" t="inlineStr">
        <is>
          <t>Supplier Reported Emissions</t>
        </is>
      </c>
      <c r="O1519" t="b">
        <v>0</v>
      </c>
      <c r="P1519" t="inlineStr">
        <is>
          <t>High</t>
        </is>
      </c>
      <c r="Q1519" t="inlineStr">
        <is>
          <t>Gross_Spend</t>
        </is>
      </c>
      <c r="R1519" t="inlineStr">
        <is>
          <t>Valid</t>
        </is>
      </c>
      <c r="S1519" t="n">
        <v>2038</v>
      </c>
      <c r="T1519" t="inlineStr">
        <is>
          <t>Supplier Target Pathway</t>
        </is>
      </c>
      <c r="U1519" t="n">
        <v>6539.1665</v>
      </c>
      <c r="V1519" t="n">
        <v>3290.5086</v>
      </c>
      <c r="W1519" t="n">
        <v>3585.8411</v>
      </c>
      <c r="X1519" t="n">
        <v>3585.8411</v>
      </c>
      <c r="Y1519" t="n">
        <v>2953.3254</v>
      </c>
      <c r="Z1519" t="inlineStr"/>
      <c r="AA1519" t="inlineStr"/>
      <c r="AB1519" t="n">
        <v>295.3325</v>
      </c>
      <c r="AC1519" t="n">
        <v>147.6663</v>
      </c>
      <c r="AD1519" t="n">
        <v>-10991.2685</v>
      </c>
      <c r="AE1519" t="n">
        <v>63639.4061</v>
      </c>
      <c r="AF1519" t="n">
        <v>0.99</v>
      </c>
      <c r="AG1519" t="inlineStr">
        <is>
          <t>Medium</t>
        </is>
      </c>
      <c r="AH1519" t="inlineStr">
        <is>
          <t>On Track to Glide Path</t>
        </is>
      </c>
    </row>
    <row r="1520">
      <c r="A1520" t="inlineStr">
        <is>
          <t>SUP-0095</t>
        </is>
      </c>
      <c r="B1520" t="inlineStr">
        <is>
          <t>Agriculture Supplier 095</t>
        </is>
      </c>
      <c r="C1520" t="inlineStr">
        <is>
          <t>Agriculture</t>
        </is>
      </c>
      <c r="D1520" t="n">
        <v>2024</v>
      </c>
      <c r="E1520" t="n">
        <v>2018</v>
      </c>
      <c r="F1520" t="n">
        <v>2040</v>
      </c>
      <c r="G1520" t="n">
        <v>6732.3688</v>
      </c>
      <c r="H1520" t="n">
        <v>1847.7828</v>
      </c>
      <c r="I1520" t="n">
        <v>1079.75</v>
      </c>
      <c r="J1520" t="n">
        <v>4534.0926</v>
      </c>
      <c r="K1520" t="inlineStr"/>
      <c r="L1520" t="n">
        <v>49121994.19</v>
      </c>
      <c r="M1520" t="n">
        <v>6732.3688</v>
      </c>
      <c r="N1520" t="inlineStr">
        <is>
          <t>Supplier Reported Emissions</t>
        </is>
      </c>
      <c r="O1520" t="b">
        <v>0</v>
      </c>
      <c r="P1520" t="inlineStr">
        <is>
          <t>High</t>
        </is>
      </c>
      <c r="Q1520" t="inlineStr">
        <is>
          <t>Gross_Spend</t>
        </is>
      </c>
      <c r="R1520" t="inlineStr">
        <is>
          <t>Valid</t>
        </is>
      </c>
      <c r="S1520" t="n">
        <v>2039</v>
      </c>
      <c r="T1520" t="inlineStr">
        <is>
          <t>Supplier Target Pathway</t>
        </is>
      </c>
      <c r="U1520" t="n">
        <v>6539.1665</v>
      </c>
      <c r="V1520" t="n">
        <v>3290.5086</v>
      </c>
      <c r="W1520" t="n">
        <v>3438.1749</v>
      </c>
      <c r="X1520" t="n">
        <v>3438.1749</v>
      </c>
      <c r="Y1520" t="n">
        <v>3100.9916</v>
      </c>
      <c r="Z1520" t="inlineStr"/>
      <c r="AA1520" t="inlineStr"/>
      <c r="AB1520" t="n">
        <v>147.6663</v>
      </c>
      <c r="AC1520" t="n">
        <v>147.6663</v>
      </c>
      <c r="AD1520" t="n">
        <v>-14429.4434</v>
      </c>
      <c r="AE1520" t="n">
        <v>67077.58100000001</v>
      </c>
      <c r="AF1520" t="n">
        <v>0.99</v>
      </c>
      <c r="AG1520" t="inlineStr">
        <is>
          <t>Medium</t>
        </is>
      </c>
      <c r="AH1520" t="inlineStr">
        <is>
          <t>On Track to Glide Path</t>
        </is>
      </c>
    </row>
    <row r="1521">
      <c r="A1521" t="inlineStr">
        <is>
          <t>SUP-0095</t>
        </is>
      </c>
      <c r="B1521" t="inlineStr">
        <is>
          <t>Agriculture Supplier 095</t>
        </is>
      </c>
      <c r="C1521" t="inlineStr">
        <is>
          <t>Agriculture</t>
        </is>
      </c>
      <c r="D1521" t="n">
        <v>2024</v>
      </c>
      <c r="E1521" t="n">
        <v>2018</v>
      </c>
      <c r="F1521" t="n">
        <v>2040</v>
      </c>
      <c r="G1521" t="n">
        <v>6732.3688</v>
      </c>
      <c r="H1521" t="n">
        <v>1847.7828</v>
      </c>
      <c r="I1521" t="n">
        <v>1079.75</v>
      </c>
      <c r="J1521" t="n">
        <v>4534.0926</v>
      </c>
      <c r="K1521" t="inlineStr"/>
      <c r="L1521" t="n">
        <v>49121994.19</v>
      </c>
      <c r="M1521" t="n">
        <v>6732.3688</v>
      </c>
      <c r="N1521" t="inlineStr">
        <is>
          <t>Supplier Reported Emissions</t>
        </is>
      </c>
      <c r="O1521" t="b">
        <v>0</v>
      </c>
      <c r="P1521" t="inlineStr">
        <is>
          <t>High</t>
        </is>
      </c>
      <c r="Q1521" t="inlineStr">
        <is>
          <t>Gross_Spend</t>
        </is>
      </c>
      <c r="R1521" t="inlineStr">
        <is>
          <t>Valid</t>
        </is>
      </c>
      <c r="S1521" t="n">
        <v>2040</v>
      </c>
      <c r="T1521" t="inlineStr">
        <is>
          <t>Supplier Target Pathway</t>
        </is>
      </c>
      <c r="U1521" t="n">
        <v>6539.1665</v>
      </c>
      <c r="V1521" t="n">
        <v>3290.5086</v>
      </c>
      <c r="W1521" t="n">
        <v>3290.5086</v>
      </c>
      <c r="X1521" t="n">
        <v>3290.5086</v>
      </c>
      <c r="Y1521" t="n">
        <v>3248.6579</v>
      </c>
      <c r="Z1521" t="inlineStr"/>
      <c r="AA1521" t="inlineStr"/>
      <c r="AB1521" t="n">
        <v>0</v>
      </c>
      <c r="AC1521" t="n">
        <v>147.6663</v>
      </c>
      <c r="AD1521" t="n">
        <v>-17719.952</v>
      </c>
      <c r="AE1521" t="n">
        <v>70368.08960000001</v>
      </c>
      <c r="AF1521" t="n">
        <v>0.99</v>
      </c>
      <c r="AG1521" t="inlineStr">
        <is>
          <t>Low</t>
        </is>
      </c>
      <c r="AH1521" t="inlineStr">
        <is>
          <t>On Track</t>
        </is>
      </c>
    </row>
    <row r="1522">
      <c r="A1522" t="inlineStr">
        <is>
          <t>SUP-0096</t>
        </is>
      </c>
      <c r="B1522" t="inlineStr">
        <is>
          <t>Agriculture Supplier 096</t>
        </is>
      </c>
      <c r="C1522" t="inlineStr">
        <is>
          <t>Agriculture</t>
        </is>
      </c>
      <c r="D1522" t="n">
        <v>2024</v>
      </c>
      <c r="E1522" t="n">
        <v>2021</v>
      </c>
      <c r="F1522" t="n">
        <v>2040</v>
      </c>
      <c r="G1522" t="n">
        <v>12075.9287</v>
      </c>
      <c r="H1522" t="n">
        <v>2825.7717</v>
      </c>
      <c r="I1522" t="inlineStr"/>
      <c r="J1522" t="n">
        <v>8136.1406</v>
      </c>
      <c r="K1522" t="n">
        <v>26282460.39</v>
      </c>
      <c r="L1522" t="n">
        <v>77949166.12</v>
      </c>
      <c r="M1522" t="n">
        <v>12075.9287</v>
      </c>
      <c r="N1522" t="inlineStr">
        <is>
          <t>Supplier Reported Emissions</t>
        </is>
      </c>
      <c r="O1522" t="b">
        <v>0</v>
      </c>
      <c r="P1522" t="inlineStr">
        <is>
          <t>High</t>
        </is>
      </c>
      <c r="Q1522" t="inlineStr">
        <is>
          <t>Scope_Emissions</t>
        </is>
      </c>
      <c r="R1522" t="inlineStr">
        <is>
          <t>Valid</t>
        </is>
      </c>
      <c r="S1522" t="n">
        <v>2025</v>
      </c>
      <c r="T1522" t="inlineStr">
        <is>
          <t>Supplier Target Pathway</t>
        </is>
      </c>
      <c r="U1522" t="n">
        <v>13705.6022</v>
      </c>
      <c r="V1522" t="n">
        <v>5221.8344</v>
      </c>
      <c r="W1522" t="n">
        <v>11919.5458</v>
      </c>
      <c r="X1522" t="n">
        <v>11919.5458</v>
      </c>
      <c r="Y1522" t="n">
        <v>1786.0564</v>
      </c>
      <c r="Z1522" t="n">
        <v>0.00045352</v>
      </c>
      <c r="AA1522" t="n">
        <v>0.130316</v>
      </c>
      <c r="AB1522" t="n">
        <v>6697.7114</v>
      </c>
      <c r="AC1522" t="n">
        <v>446.5141</v>
      </c>
      <c r="AD1522" t="n">
        <v>71629.8046</v>
      </c>
      <c r="AE1522" t="n">
        <v>11919.5458</v>
      </c>
      <c r="AF1522" t="n">
        <v>0.99</v>
      </c>
      <c r="AG1522" t="inlineStr">
        <is>
          <t>Critical</t>
        </is>
      </c>
      <c r="AH1522" t="inlineStr">
        <is>
          <t>On Track to Glide Path</t>
        </is>
      </c>
    </row>
    <row r="1523">
      <c r="A1523" t="inlineStr">
        <is>
          <t>SUP-0096</t>
        </is>
      </c>
      <c r="B1523" t="inlineStr">
        <is>
          <t>Agriculture Supplier 096</t>
        </is>
      </c>
      <c r="C1523" t="inlineStr">
        <is>
          <t>Agriculture</t>
        </is>
      </c>
      <c r="D1523" t="n">
        <v>2024</v>
      </c>
      <c r="E1523" t="n">
        <v>2021</v>
      </c>
      <c r="F1523" t="n">
        <v>2040</v>
      </c>
      <c r="G1523" t="n">
        <v>12075.9287</v>
      </c>
      <c r="H1523" t="n">
        <v>2825.7717</v>
      </c>
      <c r="I1523" t="inlineStr"/>
      <c r="J1523" t="n">
        <v>8136.1406</v>
      </c>
      <c r="K1523" t="n">
        <v>26282460.39</v>
      </c>
      <c r="L1523" t="n">
        <v>77949166.12</v>
      </c>
      <c r="M1523" t="n">
        <v>12075.9287</v>
      </c>
      <c r="N1523" t="inlineStr">
        <is>
          <t>Supplier Reported Emissions</t>
        </is>
      </c>
      <c r="O1523" t="b">
        <v>0</v>
      </c>
      <c r="P1523" t="inlineStr">
        <is>
          <t>High</t>
        </is>
      </c>
      <c r="Q1523" t="inlineStr">
        <is>
          <t>Scope_Emissions</t>
        </is>
      </c>
      <c r="R1523" t="inlineStr">
        <is>
          <t>Valid</t>
        </is>
      </c>
      <c r="S1523" t="n">
        <v>2026</v>
      </c>
      <c r="T1523" t="inlineStr">
        <is>
          <t>Supplier Target Pathway</t>
        </is>
      </c>
      <c r="U1523" t="n">
        <v>13705.6022</v>
      </c>
      <c r="V1523" t="n">
        <v>5221.8344</v>
      </c>
      <c r="W1523" t="n">
        <v>11473.0317</v>
      </c>
      <c r="X1523" t="n">
        <v>11473.0317</v>
      </c>
      <c r="Y1523" t="n">
        <v>2232.5705</v>
      </c>
      <c r="Z1523" t="n">
        <v>0.00043653</v>
      </c>
      <c r="AA1523" t="n">
        <v>0.162895</v>
      </c>
      <c r="AB1523" t="n">
        <v>6251.1973</v>
      </c>
      <c r="AC1523" t="n">
        <v>446.5141</v>
      </c>
      <c r="AD1523" t="n">
        <v>60156.7729</v>
      </c>
      <c r="AE1523" t="n">
        <v>23392.5775</v>
      </c>
      <c r="AF1523" t="n">
        <v>0.99</v>
      </c>
      <c r="AG1523" t="inlineStr">
        <is>
          <t>Critical</t>
        </is>
      </c>
      <c r="AH1523" t="inlineStr">
        <is>
          <t>On Track to Glide Path</t>
        </is>
      </c>
    </row>
    <row r="1524">
      <c r="A1524" t="inlineStr">
        <is>
          <t>SUP-0096</t>
        </is>
      </c>
      <c r="B1524" t="inlineStr">
        <is>
          <t>Agriculture Supplier 096</t>
        </is>
      </c>
      <c r="C1524" t="inlineStr">
        <is>
          <t>Agriculture</t>
        </is>
      </c>
      <c r="D1524" t="n">
        <v>2024</v>
      </c>
      <c r="E1524" t="n">
        <v>2021</v>
      </c>
      <c r="F1524" t="n">
        <v>2040</v>
      </c>
      <c r="G1524" t="n">
        <v>12075.9287</v>
      </c>
      <c r="H1524" t="n">
        <v>2825.7717</v>
      </c>
      <c r="I1524" t="inlineStr"/>
      <c r="J1524" t="n">
        <v>8136.1406</v>
      </c>
      <c r="K1524" t="n">
        <v>26282460.39</v>
      </c>
      <c r="L1524" t="n">
        <v>77949166.12</v>
      </c>
      <c r="M1524" t="n">
        <v>12075.9287</v>
      </c>
      <c r="N1524" t="inlineStr">
        <is>
          <t>Supplier Reported Emissions</t>
        </is>
      </c>
      <c r="O1524" t="b">
        <v>0</v>
      </c>
      <c r="P1524" t="inlineStr">
        <is>
          <t>High</t>
        </is>
      </c>
      <c r="Q1524" t="inlineStr">
        <is>
          <t>Scope_Emissions</t>
        </is>
      </c>
      <c r="R1524" t="inlineStr">
        <is>
          <t>Valid</t>
        </is>
      </c>
      <c r="S1524" t="n">
        <v>2027</v>
      </c>
      <c r="T1524" t="inlineStr">
        <is>
          <t>Supplier Target Pathway</t>
        </is>
      </c>
      <c r="U1524" t="n">
        <v>13705.6022</v>
      </c>
      <c r="V1524" t="n">
        <v>5221.8344</v>
      </c>
      <c r="W1524" t="n">
        <v>11026.5176</v>
      </c>
      <c r="X1524" t="n">
        <v>11026.5176</v>
      </c>
      <c r="Y1524" t="n">
        <v>2679.0846</v>
      </c>
      <c r="Z1524" t="n">
        <v>0.00041954</v>
      </c>
      <c r="AA1524" t="n">
        <v>0.195474</v>
      </c>
      <c r="AB1524" t="n">
        <v>5804.6832</v>
      </c>
      <c r="AC1524" t="n">
        <v>446.5141</v>
      </c>
      <c r="AD1524" t="n">
        <v>49130.2553</v>
      </c>
      <c r="AE1524" t="n">
        <v>34419.0951</v>
      </c>
      <c r="AF1524" t="n">
        <v>0.99</v>
      </c>
      <c r="AG1524" t="inlineStr">
        <is>
          <t>Critical</t>
        </is>
      </c>
      <c r="AH1524" t="inlineStr">
        <is>
          <t>On Track to Glide Path</t>
        </is>
      </c>
    </row>
    <row r="1525">
      <c r="A1525" t="inlineStr">
        <is>
          <t>SUP-0096</t>
        </is>
      </c>
      <c r="B1525" t="inlineStr">
        <is>
          <t>Agriculture Supplier 096</t>
        </is>
      </c>
      <c r="C1525" t="inlineStr">
        <is>
          <t>Agriculture</t>
        </is>
      </c>
      <c r="D1525" t="n">
        <v>2024</v>
      </c>
      <c r="E1525" t="n">
        <v>2021</v>
      </c>
      <c r="F1525" t="n">
        <v>2040</v>
      </c>
      <c r="G1525" t="n">
        <v>12075.9287</v>
      </c>
      <c r="H1525" t="n">
        <v>2825.7717</v>
      </c>
      <c r="I1525" t="inlineStr"/>
      <c r="J1525" t="n">
        <v>8136.1406</v>
      </c>
      <c r="K1525" t="n">
        <v>26282460.39</v>
      </c>
      <c r="L1525" t="n">
        <v>77949166.12</v>
      </c>
      <c r="M1525" t="n">
        <v>12075.9287</v>
      </c>
      <c r="N1525" t="inlineStr">
        <is>
          <t>Supplier Reported Emissions</t>
        </is>
      </c>
      <c r="O1525" t="b">
        <v>0</v>
      </c>
      <c r="P1525" t="inlineStr">
        <is>
          <t>High</t>
        </is>
      </c>
      <c r="Q1525" t="inlineStr">
        <is>
          <t>Scope_Emissions</t>
        </is>
      </c>
      <c r="R1525" t="inlineStr">
        <is>
          <t>Valid</t>
        </is>
      </c>
      <c r="S1525" t="n">
        <v>2028</v>
      </c>
      <c r="T1525" t="inlineStr">
        <is>
          <t>Supplier Target Pathway</t>
        </is>
      </c>
      <c r="U1525" t="n">
        <v>13705.6022</v>
      </c>
      <c r="V1525" t="n">
        <v>5221.8344</v>
      </c>
      <c r="W1525" t="n">
        <v>10580.0036</v>
      </c>
      <c r="X1525" t="n">
        <v>10580.0036</v>
      </c>
      <c r="Y1525" t="n">
        <v>3125.5986</v>
      </c>
      <c r="Z1525" t="n">
        <v>0.00040255</v>
      </c>
      <c r="AA1525" t="n">
        <v>0.228053</v>
      </c>
      <c r="AB1525" t="n">
        <v>5358.1691</v>
      </c>
      <c r="AC1525" t="n">
        <v>446.5141</v>
      </c>
      <c r="AD1525" t="n">
        <v>38550.2517</v>
      </c>
      <c r="AE1525" t="n">
        <v>44999.0987</v>
      </c>
      <c r="AF1525" t="n">
        <v>0.99</v>
      </c>
      <c r="AG1525" t="inlineStr">
        <is>
          <t>Critical</t>
        </is>
      </c>
      <c r="AH1525" t="inlineStr">
        <is>
          <t>On Track to Glide Path</t>
        </is>
      </c>
    </row>
    <row r="1526">
      <c r="A1526" t="inlineStr">
        <is>
          <t>SUP-0096</t>
        </is>
      </c>
      <c r="B1526" t="inlineStr">
        <is>
          <t>Agriculture Supplier 096</t>
        </is>
      </c>
      <c r="C1526" t="inlineStr">
        <is>
          <t>Agriculture</t>
        </is>
      </c>
      <c r="D1526" t="n">
        <v>2024</v>
      </c>
      <c r="E1526" t="n">
        <v>2021</v>
      </c>
      <c r="F1526" t="n">
        <v>2040</v>
      </c>
      <c r="G1526" t="n">
        <v>12075.9287</v>
      </c>
      <c r="H1526" t="n">
        <v>2825.7717</v>
      </c>
      <c r="I1526" t="inlineStr"/>
      <c r="J1526" t="n">
        <v>8136.1406</v>
      </c>
      <c r="K1526" t="n">
        <v>26282460.39</v>
      </c>
      <c r="L1526" t="n">
        <v>77949166.12</v>
      </c>
      <c r="M1526" t="n">
        <v>12075.9287</v>
      </c>
      <c r="N1526" t="inlineStr">
        <is>
          <t>Supplier Reported Emissions</t>
        </is>
      </c>
      <c r="O1526" t="b">
        <v>0</v>
      </c>
      <c r="P1526" t="inlineStr">
        <is>
          <t>High</t>
        </is>
      </c>
      <c r="Q1526" t="inlineStr">
        <is>
          <t>Scope_Emissions</t>
        </is>
      </c>
      <c r="R1526" t="inlineStr">
        <is>
          <t>Valid</t>
        </is>
      </c>
      <c r="S1526" t="n">
        <v>2029</v>
      </c>
      <c r="T1526" t="inlineStr">
        <is>
          <t>Supplier Target Pathway</t>
        </is>
      </c>
      <c r="U1526" t="n">
        <v>13705.6022</v>
      </c>
      <c r="V1526" t="n">
        <v>5221.8344</v>
      </c>
      <c r="W1526" t="n">
        <v>10133.4895</v>
      </c>
      <c r="X1526" t="n">
        <v>10133.4895</v>
      </c>
      <c r="Y1526" t="n">
        <v>3572.1127</v>
      </c>
      <c r="Z1526" t="n">
        <v>0.00038556</v>
      </c>
      <c r="AA1526" t="n">
        <v>0.260632</v>
      </c>
      <c r="AB1526" t="n">
        <v>4911.655</v>
      </c>
      <c r="AC1526" t="n">
        <v>446.5141</v>
      </c>
      <c r="AD1526" t="n">
        <v>28416.7622</v>
      </c>
      <c r="AE1526" t="n">
        <v>55132.5882</v>
      </c>
      <c r="AF1526" t="n">
        <v>0.99</v>
      </c>
      <c r="AG1526" t="inlineStr">
        <is>
          <t>Critical</t>
        </is>
      </c>
      <c r="AH1526" t="inlineStr">
        <is>
          <t>On Track to Glide Path</t>
        </is>
      </c>
    </row>
    <row r="1527">
      <c r="A1527" t="inlineStr">
        <is>
          <t>SUP-0096</t>
        </is>
      </c>
      <c r="B1527" t="inlineStr">
        <is>
          <t>Agriculture Supplier 096</t>
        </is>
      </c>
      <c r="C1527" t="inlineStr">
        <is>
          <t>Agriculture</t>
        </is>
      </c>
      <c r="D1527" t="n">
        <v>2024</v>
      </c>
      <c r="E1527" t="n">
        <v>2021</v>
      </c>
      <c r="F1527" t="n">
        <v>2040</v>
      </c>
      <c r="G1527" t="n">
        <v>12075.9287</v>
      </c>
      <c r="H1527" t="n">
        <v>2825.7717</v>
      </c>
      <c r="I1527" t="inlineStr"/>
      <c r="J1527" t="n">
        <v>8136.1406</v>
      </c>
      <c r="K1527" t="n">
        <v>26282460.39</v>
      </c>
      <c r="L1527" t="n">
        <v>77949166.12</v>
      </c>
      <c r="M1527" t="n">
        <v>12075.9287</v>
      </c>
      <c r="N1527" t="inlineStr">
        <is>
          <t>Supplier Reported Emissions</t>
        </is>
      </c>
      <c r="O1527" t="b">
        <v>0</v>
      </c>
      <c r="P1527" t="inlineStr">
        <is>
          <t>High</t>
        </is>
      </c>
      <c r="Q1527" t="inlineStr">
        <is>
          <t>Scope_Emissions</t>
        </is>
      </c>
      <c r="R1527" t="inlineStr">
        <is>
          <t>Valid</t>
        </is>
      </c>
      <c r="S1527" t="n">
        <v>2030</v>
      </c>
      <c r="T1527" t="inlineStr">
        <is>
          <t>Supplier Target Pathway</t>
        </is>
      </c>
      <c r="U1527" t="n">
        <v>13705.6022</v>
      </c>
      <c r="V1527" t="n">
        <v>5221.8344</v>
      </c>
      <c r="W1527" t="n">
        <v>9686.975399999999</v>
      </c>
      <c r="X1527" t="n">
        <v>9686.975399999999</v>
      </c>
      <c r="Y1527" t="n">
        <v>4018.6268</v>
      </c>
      <c r="Z1527" t="n">
        <v>0.00036857</v>
      </c>
      <c r="AA1527" t="n">
        <v>0.293211</v>
      </c>
      <c r="AB1527" t="n">
        <v>4465.1409</v>
      </c>
      <c r="AC1527" t="n">
        <v>446.5141</v>
      </c>
      <c r="AD1527" t="n">
        <v>18729.7868</v>
      </c>
      <c r="AE1527" t="n">
        <v>64819.5636</v>
      </c>
      <c r="AF1527" t="n">
        <v>0.99</v>
      </c>
      <c r="AG1527" t="inlineStr">
        <is>
          <t>Critical</t>
        </is>
      </c>
      <c r="AH1527" t="inlineStr">
        <is>
          <t>On Track to Glide Path</t>
        </is>
      </c>
    </row>
    <row r="1528">
      <c r="A1528" t="inlineStr">
        <is>
          <t>SUP-0096</t>
        </is>
      </c>
      <c r="B1528" t="inlineStr">
        <is>
          <t>Agriculture Supplier 096</t>
        </is>
      </c>
      <c r="C1528" t="inlineStr">
        <is>
          <t>Agriculture</t>
        </is>
      </c>
      <c r="D1528" t="n">
        <v>2024</v>
      </c>
      <c r="E1528" t="n">
        <v>2021</v>
      </c>
      <c r="F1528" t="n">
        <v>2040</v>
      </c>
      <c r="G1528" t="n">
        <v>12075.9287</v>
      </c>
      <c r="H1528" t="n">
        <v>2825.7717</v>
      </c>
      <c r="I1528" t="inlineStr"/>
      <c r="J1528" t="n">
        <v>8136.1406</v>
      </c>
      <c r="K1528" t="n">
        <v>26282460.39</v>
      </c>
      <c r="L1528" t="n">
        <v>77949166.12</v>
      </c>
      <c r="M1528" t="n">
        <v>12075.9287</v>
      </c>
      <c r="N1528" t="inlineStr">
        <is>
          <t>Supplier Reported Emissions</t>
        </is>
      </c>
      <c r="O1528" t="b">
        <v>0</v>
      </c>
      <c r="P1528" t="inlineStr">
        <is>
          <t>High</t>
        </is>
      </c>
      <c r="Q1528" t="inlineStr">
        <is>
          <t>Scope_Emissions</t>
        </is>
      </c>
      <c r="R1528" t="inlineStr">
        <is>
          <t>Valid</t>
        </is>
      </c>
      <c r="S1528" t="n">
        <v>2031</v>
      </c>
      <c r="T1528" t="inlineStr">
        <is>
          <t>Supplier Target Pathway</t>
        </is>
      </c>
      <c r="U1528" t="n">
        <v>13705.6022</v>
      </c>
      <c r="V1528" t="n">
        <v>5221.8344</v>
      </c>
      <c r="W1528" t="n">
        <v>9240.461300000001</v>
      </c>
      <c r="X1528" t="n">
        <v>9240.461300000001</v>
      </c>
      <c r="Y1528" t="n">
        <v>4465.1409</v>
      </c>
      <c r="Z1528" t="n">
        <v>0.00035158</v>
      </c>
      <c r="AA1528" t="n">
        <v>0.325789</v>
      </c>
      <c r="AB1528" t="n">
        <v>4018.6268</v>
      </c>
      <c r="AC1528" t="n">
        <v>446.5141</v>
      </c>
      <c r="AD1528" t="n">
        <v>9489.325500000001</v>
      </c>
      <c r="AE1528" t="n">
        <v>74060.0249</v>
      </c>
      <c r="AF1528" t="n">
        <v>0.99</v>
      </c>
      <c r="AG1528" t="inlineStr">
        <is>
          <t>Critical</t>
        </is>
      </c>
      <c r="AH1528" t="inlineStr">
        <is>
          <t>On Track to Glide Path</t>
        </is>
      </c>
    </row>
    <row r="1529">
      <c r="A1529" t="inlineStr">
        <is>
          <t>SUP-0096</t>
        </is>
      </c>
      <c r="B1529" t="inlineStr">
        <is>
          <t>Agriculture Supplier 096</t>
        </is>
      </c>
      <c r="C1529" t="inlineStr">
        <is>
          <t>Agriculture</t>
        </is>
      </c>
      <c r="D1529" t="n">
        <v>2024</v>
      </c>
      <c r="E1529" t="n">
        <v>2021</v>
      </c>
      <c r="F1529" t="n">
        <v>2040</v>
      </c>
      <c r="G1529" t="n">
        <v>12075.9287</v>
      </c>
      <c r="H1529" t="n">
        <v>2825.7717</v>
      </c>
      <c r="I1529" t="inlineStr"/>
      <c r="J1529" t="n">
        <v>8136.1406</v>
      </c>
      <c r="K1529" t="n">
        <v>26282460.39</v>
      </c>
      <c r="L1529" t="n">
        <v>77949166.12</v>
      </c>
      <c r="M1529" t="n">
        <v>12075.9287</v>
      </c>
      <c r="N1529" t="inlineStr">
        <is>
          <t>Supplier Reported Emissions</t>
        </is>
      </c>
      <c r="O1529" t="b">
        <v>0</v>
      </c>
      <c r="P1529" t="inlineStr">
        <is>
          <t>High</t>
        </is>
      </c>
      <c r="Q1529" t="inlineStr">
        <is>
          <t>Scope_Emissions</t>
        </is>
      </c>
      <c r="R1529" t="inlineStr">
        <is>
          <t>Valid</t>
        </is>
      </c>
      <c r="S1529" t="n">
        <v>2032</v>
      </c>
      <c r="T1529" t="inlineStr">
        <is>
          <t>Supplier Target Pathway</t>
        </is>
      </c>
      <c r="U1529" t="n">
        <v>13705.6022</v>
      </c>
      <c r="V1529" t="n">
        <v>5221.8344</v>
      </c>
      <c r="W1529" t="n">
        <v>8793.947200000001</v>
      </c>
      <c r="X1529" t="n">
        <v>8793.947200000001</v>
      </c>
      <c r="Y1529" t="n">
        <v>4911.655</v>
      </c>
      <c r="Z1529" t="n">
        <v>0.00033459</v>
      </c>
      <c r="AA1529" t="n">
        <v>0.358368</v>
      </c>
      <c r="AB1529" t="n">
        <v>3572.1127</v>
      </c>
      <c r="AC1529" t="n">
        <v>446.5141</v>
      </c>
      <c r="AD1529" t="n">
        <v>695.3783</v>
      </c>
      <c r="AE1529" t="n">
        <v>82853.9721</v>
      </c>
      <c r="AF1529" t="n">
        <v>0.99</v>
      </c>
      <c r="AG1529" t="inlineStr">
        <is>
          <t>Critical</t>
        </is>
      </c>
      <c r="AH1529" t="inlineStr">
        <is>
          <t>On Track to Glide Path</t>
        </is>
      </c>
    </row>
    <row r="1530">
      <c r="A1530" t="inlineStr">
        <is>
          <t>SUP-0096</t>
        </is>
      </c>
      <c r="B1530" t="inlineStr">
        <is>
          <t>Agriculture Supplier 096</t>
        </is>
      </c>
      <c r="C1530" t="inlineStr">
        <is>
          <t>Agriculture</t>
        </is>
      </c>
      <c r="D1530" t="n">
        <v>2024</v>
      </c>
      <c r="E1530" t="n">
        <v>2021</v>
      </c>
      <c r="F1530" t="n">
        <v>2040</v>
      </c>
      <c r="G1530" t="n">
        <v>12075.9287</v>
      </c>
      <c r="H1530" t="n">
        <v>2825.7717</v>
      </c>
      <c r="I1530" t="inlineStr"/>
      <c r="J1530" t="n">
        <v>8136.1406</v>
      </c>
      <c r="K1530" t="n">
        <v>26282460.39</v>
      </c>
      <c r="L1530" t="n">
        <v>77949166.12</v>
      </c>
      <c r="M1530" t="n">
        <v>12075.9287</v>
      </c>
      <c r="N1530" t="inlineStr">
        <is>
          <t>Supplier Reported Emissions</t>
        </is>
      </c>
      <c r="O1530" t="b">
        <v>0</v>
      </c>
      <c r="P1530" t="inlineStr">
        <is>
          <t>High</t>
        </is>
      </c>
      <c r="Q1530" t="inlineStr">
        <is>
          <t>Scope_Emissions</t>
        </is>
      </c>
      <c r="R1530" t="inlineStr">
        <is>
          <t>Valid</t>
        </is>
      </c>
      <c r="S1530" t="n">
        <v>2033</v>
      </c>
      <c r="T1530" t="inlineStr">
        <is>
          <t>Supplier Target Pathway</t>
        </is>
      </c>
      <c r="U1530" t="n">
        <v>13705.6022</v>
      </c>
      <c r="V1530" t="n">
        <v>5221.8344</v>
      </c>
      <c r="W1530" t="n">
        <v>8347.4331</v>
      </c>
      <c r="X1530" t="n">
        <v>8347.4331</v>
      </c>
      <c r="Y1530" t="n">
        <v>5358.1691</v>
      </c>
      <c r="Z1530" t="n">
        <v>0.0003176</v>
      </c>
      <c r="AA1530" t="n">
        <v>0.390947</v>
      </c>
      <c r="AB1530" t="n">
        <v>3125.5986</v>
      </c>
      <c r="AC1530" t="n">
        <v>446.5141</v>
      </c>
      <c r="AD1530" t="n">
        <v>-7652.0548</v>
      </c>
      <c r="AE1530" t="n">
        <v>91201.40519999999</v>
      </c>
      <c r="AF1530" t="n">
        <v>0.99</v>
      </c>
      <c r="AG1530" t="inlineStr">
        <is>
          <t>Critical</t>
        </is>
      </c>
      <c r="AH1530" t="inlineStr">
        <is>
          <t>On Track to Glide Path</t>
        </is>
      </c>
    </row>
    <row r="1531">
      <c r="A1531" t="inlineStr">
        <is>
          <t>SUP-0096</t>
        </is>
      </c>
      <c r="B1531" t="inlineStr">
        <is>
          <t>Agriculture Supplier 096</t>
        </is>
      </c>
      <c r="C1531" t="inlineStr">
        <is>
          <t>Agriculture</t>
        </is>
      </c>
      <c r="D1531" t="n">
        <v>2024</v>
      </c>
      <c r="E1531" t="n">
        <v>2021</v>
      </c>
      <c r="F1531" t="n">
        <v>2040</v>
      </c>
      <c r="G1531" t="n">
        <v>12075.9287</v>
      </c>
      <c r="H1531" t="n">
        <v>2825.7717</v>
      </c>
      <c r="I1531" t="inlineStr"/>
      <c r="J1531" t="n">
        <v>8136.1406</v>
      </c>
      <c r="K1531" t="n">
        <v>26282460.39</v>
      </c>
      <c r="L1531" t="n">
        <v>77949166.12</v>
      </c>
      <c r="M1531" t="n">
        <v>12075.9287</v>
      </c>
      <c r="N1531" t="inlineStr">
        <is>
          <t>Supplier Reported Emissions</t>
        </is>
      </c>
      <c r="O1531" t="b">
        <v>0</v>
      </c>
      <c r="P1531" t="inlineStr">
        <is>
          <t>High</t>
        </is>
      </c>
      <c r="Q1531" t="inlineStr">
        <is>
          <t>Scope_Emissions</t>
        </is>
      </c>
      <c r="R1531" t="inlineStr">
        <is>
          <t>Valid</t>
        </is>
      </c>
      <c r="S1531" t="n">
        <v>2034</v>
      </c>
      <c r="T1531" t="inlineStr">
        <is>
          <t>Supplier Target Pathway</t>
        </is>
      </c>
      <c r="U1531" t="n">
        <v>13705.6022</v>
      </c>
      <c r="V1531" t="n">
        <v>5221.8344</v>
      </c>
      <c r="W1531" t="n">
        <v>7900.919</v>
      </c>
      <c r="X1531" t="n">
        <v>7900.919</v>
      </c>
      <c r="Y1531" t="n">
        <v>5804.6832</v>
      </c>
      <c r="Z1531" t="n">
        <v>0.00030062</v>
      </c>
      <c r="AA1531" t="n">
        <v>0.423526</v>
      </c>
      <c r="AB1531" t="n">
        <v>2679.0846</v>
      </c>
      <c r="AC1531" t="n">
        <v>446.5141</v>
      </c>
      <c r="AD1531" t="n">
        <v>-15552.9738</v>
      </c>
      <c r="AE1531" t="n">
        <v>99102.3242</v>
      </c>
      <c r="AF1531" t="n">
        <v>0.99</v>
      </c>
      <c r="AG1531" t="inlineStr">
        <is>
          <t>Critical</t>
        </is>
      </c>
      <c r="AH1531" t="inlineStr">
        <is>
          <t>On Track to Glide Path</t>
        </is>
      </c>
    </row>
    <row r="1532">
      <c r="A1532" t="inlineStr">
        <is>
          <t>SUP-0096</t>
        </is>
      </c>
      <c r="B1532" t="inlineStr">
        <is>
          <t>Agriculture Supplier 096</t>
        </is>
      </c>
      <c r="C1532" t="inlineStr">
        <is>
          <t>Agriculture</t>
        </is>
      </c>
      <c r="D1532" t="n">
        <v>2024</v>
      </c>
      <c r="E1532" t="n">
        <v>2021</v>
      </c>
      <c r="F1532" t="n">
        <v>2040</v>
      </c>
      <c r="G1532" t="n">
        <v>12075.9287</v>
      </c>
      <c r="H1532" t="n">
        <v>2825.7717</v>
      </c>
      <c r="I1532" t="inlineStr"/>
      <c r="J1532" t="n">
        <v>8136.1406</v>
      </c>
      <c r="K1532" t="n">
        <v>26282460.39</v>
      </c>
      <c r="L1532" t="n">
        <v>77949166.12</v>
      </c>
      <c r="M1532" t="n">
        <v>12075.9287</v>
      </c>
      <c r="N1532" t="inlineStr">
        <is>
          <t>Supplier Reported Emissions</t>
        </is>
      </c>
      <c r="O1532" t="b">
        <v>0</v>
      </c>
      <c r="P1532" t="inlineStr">
        <is>
          <t>High</t>
        </is>
      </c>
      <c r="Q1532" t="inlineStr">
        <is>
          <t>Scope_Emissions</t>
        </is>
      </c>
      <c r="R1532" t="inlineStr">
        <is>
          <t>Valid</t>
        </is>
      </c>
      <c r="S1532" t="n">
        <v>2035</v>
      </c>
      <c r="T1532" t="inlineStr">
        <is>
          <t>Supplier Target Pathway</t>
        </is>
      </c>
      <c r="U1532" t="n">
        <v>13705.6022</v>
      </c>
      <c r="V1532" t="n">
        <v>5221.8344</v>
      </c>
      <c r="W1532" t="n">
        <v>7454.4049</v>
      </c>
      <c r="X1532" t="n">
        <v>7454.4049</v>
      </c>
      <c r="Y1532" t="n">
        <v>6251.1973</v>
      </c>
      <c r="Z1532" t="n">
        <v>0.00028363</v>
      </c>
      <c r="AA1532" t="n">
        <v>0.456105</v>
      </c>
      <c r="AB1532" t="n">
        <v>2232.5705</v>
      </c>
      <c r="AC1532" t="n">
        <v>446.5141</v>
      </c>
      <c r="AD1532" t="n">
        <v>-23007.3787</v>
      </c>
      <c r="AE1532" t="n">
        <v>106556.7291</v>
      </c>
      <c r="AF1532" t="n">
        <v>0.99</v>
      </c>
      <c r="AG1532" t="inlineStr">
        <is>
          <t>Critical</t>
        </is>
      </c>
      <c r="AH1532" t="inlineStr">
        <is>
          <t>On Track to Glide Path</t>
        </is>
      </c>
    </row>
    <row r="1533">
      <c r="A1533" t="inlineStr">
        <is>
          <t>SUP-0096</t>
        </is>
      </c>
      <c r="B1533" t="inlineStr">
        <is>
          <t>Agriculture Supplier 096</t>
        </is>
      </c>
      <c r="C1533" t="inlineStr">
        <is>
          <t>Agriculture</t>
        </is>
      </c>
      <c r="D1533" t="n">
        <v>2024</v>
      </c>
      <c r="E1533" t="n">
        <v>2021</v>
      </c>
      <c r="F1533" t="n">
        <v>2040</v>
      </c>
      <c r="G1533" t="n">
        <v>12075.9287</v>
      </c>
      <c r="H1533" t="n">
        <v>2825.7717</v>
      </c>
      <c r="I1533" t="inlineStr"/>
      <c r="J1533" t="n">
        <v>8136.1406</v>
      </c>
      <c r="K1533" t="n">
        <v>26282460.39</v>
      </c>
      <c r="L1533" t="n">
        <v>77949166.12</v>
      </c>
      <c r="M1533" t="n">
        <v>12075.9287</v>
      </c>
      <c r="N1533" t="inlineStr">
        <is>
          <t>Supplier Reported Emissions</t>
        </is>
      </c>
      <c r="O1533" t="b">
        <v>0</v>
      </c>
      <c r="P1533" t="inlineStr">
        <is>
          <t>High</t>
        </is>
      </c>
      <c r="Q1533" t="inlineStr">
        <is>
          <t>Scope_Emissions</t>
        </is>
      </c>
      <c r="R1533" t="inlineStr">
        <is>
          <t>Valid</t>
        </is>
      </c>
      <c r="S1533" t="n">
        <v>2036</v>
      </c>
      <c r="T1533" t="inlineStr">
        <is>
          <t>Supplier Target Pathway</t>
        </is>
      </c>
      <c r="U1533" t="n">
        <v>13705.6022</v>
      </c>
      <c r="V1533" t="n">
        <v>5221.8344</v>
      </c>
      <c r="W1533" t="n">
        <v>7007.8908</v>
      </c>
      <c r="X1533" t="n">
        <v>7007.8908</v>
      </c>
      <c r="Y1533" t="n">
        <v>6697.7114</v>
      </c>
      <c r="Z1533" t="n">
        <v>0.00026664</v>
      </c>
      <c r="AA1533" t="n">
        <v>0.488684</v>
      </c>
      <c r="AB1533" t="n">
        <v>1786.0564</v>
      </c>
      <c r="AC1533" t="n">
        <v>446.5141</v>
      </c>
      <c r="AD1533" t="n">
        <v>-30015.2695</v>
      </c>
      <c r="AE1533" t="n">
        <v>113564.6199</v>
      </c>
      <c r="AF1533" t="n">
        <v>0.99</v>
      </c>
      <c r="AG1533" t="inlineStr">
        <is>
          <t>High</t>
        </is>
      </c>
      <c r="AH1533" t="inlineStr">
        <is>
          <t>On Track to Glide Path</t>
        </is>
      </c>
    </row>
    <row r="1534">
      <c r="A1534" t="inlineStr">
        <is>
          <t>SUP-0096</t>
        </is>
      </c>
      <c r="B1534" t="inlineStr">
        <is>
          <t>Agriculture Supplier 096</t>
        </is>
      </c>
      <c r="C1534" t="inlineStr">
        <is>
          <t>Agriculture</t>
        </is>
      </c>
      <c r="D1534" t="n">
        <v>2024</v>
      </c>
      <c r="E1534" t="n">
        <v>2021</v>
      </c>
      <c r="F1534" t="n">
        <v>2040</v>
      </c>
      <c r="G1534" t="n">
        <v>12075.9287</v>
      </c>
      <c r="H1534" t="n">
        <v>2825.7717</v>
      </c>
      <c r="I1534" t="inlineStr"/>
      <c r="J1534" t="n">
        <v>8136.1406</v>
      </c>
      <c r="K1534" t="n">
        <v>26282460.39</v>
      </c>
      <c r="L1534" t="n">
        <v>77949166.12</v>
      </c>
      <c r="M1534" t="n">
        <v>12075.9287</v>
      </c>
      <c r="N1534" t="inlineStr">
        <is>
          <t>Supplier Reported Emissions</t>
        </is>
      </c>
      <c r="O1534" t="b">
        <v>0</v>
      </c>
      <c r="P1534" t="inlineStr">
        <is>
          <t>High</t>
        </is>
      </c>
      <c r="Q1534" t="inlineStr">
        <is>
          <t>Scope_Emissions</t>
        </is>
      </c>
      <c r="R1534" t="inlineStr">
        <is>
          <t>Valid</t>
        </is>
      </c>
      <c r="S1534" t="n">
        <v>2037</v>
      </c>
      <c r="T1534" t="inlineStr">
        <is>
          <t>Supplier Target Pathway</t>
        </is>
      </c>
      <c r="U1534" t="n">
        <v>13705.6022</v>
      </c>
      <c r="V1534" t="n">
        <v>5221.8344</v>
      </c>
      <c r="W1534" t="n">
        <v>6561.3767</v>
      </c>
      <c r="X1534" t="n">
        <v>6561.3767</v>
      </c>
      <c r="Y1534" t="n">
        <v>7144.2255</v>
      </c>
      <c r="Z1534" t="n">
        <v>0.00024965</v>
      </c>
      <c r="AA1534" t="n">
        <v>0.521263</v>
      </c>
      <c r="AB1534" t="n">
        <v>1339.5423</v>
      </c>
      <c r="AC1534" t="n">
        <v>446.5141</v>
      </c>
      <c r="AD1534" t="n">
        <v>-36576.6462</v>
      </c>
      <c r="AE1534" t="n">
        <v>120125.9966</v>
      </c>
      <c r="AF1534" t="n">
        <v>0.99</v>
      </c>
      <c r="AG1534" t="inlineStr">
        <is>
          <t>High</t>
        </is>
      </c>
      <c r="AH1534" t="inlineStr">
        <is>
          <t>On Track to Glide Path</t>
        </is>
      </c>
    </row>
    <row r="1535">
      <c r="A1535" t="inlineStr">
        <is>
          <t>SUP-0096</t>
        </is>
      </c>
      <c r="B1535" t="inlineStr">
        <is>
          <t>Agriculture Supplier 096</t>
        </is>
      </c>
      <c r="C1535" t="inlineStr">
        <is>
          <t>Agriculture</t>
        </is>
      </c>
      <c r="D1535" t="n">
        <v>2024</v>
      </c>
      <c r="E1535" t="n">
        <v>2021</v>
      </c>
      <c r="F1535" t="n">
        <v>2040</v>
      </c>
      <c r="G1535" t="n">
        <v>12075.9287</v>
      </c>
      <c r="H1535" t="n">
        <v>2825.7717</v>
      </c>
      <c r="I1535" t="inlineStr"/>
      <c r="J1535" t="n">
        <v>8136.1406</v>
      </c>
      <c r="K1535" t="n">
        <v>26282460.39</v>
      </c>
      <c r="L1535" t="n">
        <v>77949166.12</v>
      </c>
      <c r="M1535" t="n">
        <v>12075.9287</v>
      </c>
      <c r="N1535" t="inlineStr">
        <is>
          <t>Supplier Reported Emissions</t>
        </is>
      </c>
      <c r="O1535" t="b">
        <v>0</v>
      </c>
      <c r="P1535" t="inlineStr">
        <is>
          <t>High</t>
        </is>
      </c>
      <c r="Q1535" t="inlineStr">
        <is>
          <t>Scope_Emissions</t>
        </is>
      </c>
      <c r="R1535" t="inlineStr">
        <is>
          <t>Valid</t>
        </is>
      </c>
      <c r="S1535" t="n">
        <v>2038</v>
      </c>
      <c r="T1535" t="inlineStr">
        <is>
          <t>Supplier Target Pathway</t>
        </is>
      </c>
      <c r="U1535" t="n">
        <v>13705.6022</v>
      </c>
      <c r="V1535" t="n">
        <v>5221.8344</v>
      </c>
      <c r="W1535" t="n">
        <v>6114.8626</v>
      </c>
      <c r="X1535" t="n">
        <v>6114.8626</v>
      </c>
      <c r="Y1535" t="n">
        <v>7590.7396</v>
      </c>
      <c r="Z1535" t="n">
        <v>0.00023266</v>
      </c>
      <c r="AA1535" t="n">
        <v>0.5538419999999999</v>
      </c>
      <c r="AB1535" t="n">
        <v>893.0282</v>
      </c>
      <c r="AC1535" t="n">
        <v>446.5141</v>
      </c>
      <c r="AD1535" t="n">
        <v>-42691.5088</v>
      </c>
      <c r="AE1535" t="n">
        <v>126240.8592</v>
      </c>
      <c r="AF1535" t="n">
        <v>0.99</v>
      </c>
      <c r="AG1535" t="inlineStr">
        <is>
          <t>High</t>
        </is>
      </c>
      <c r="AH1535" t="inlineStr">
        <is>
          <t>On Track to Glide Path</t>
        </is>
      </c>
    </row>
    <row r="1536">
      <c r="A1536" t="inlineStr">
        <is>
          <t>SUP-0096</t>
        </is>
      </c>
      <c r="B1536" t="inlineStr">
        <is>
          <t>Agriculture Supplier 096</t>
        </is>
      </c>
      <c r="C1536" t="inlineStr">
        <is>
          <t>Agriculture</t>
        </is>
      </c>
      <c r="D1536" t="n">
        <v>2024</v>
      </c>
      <c r="E1536" t="n">
        <v>2021</v>
      </c>
      <c r="F1536" t="n">
        <v>2040</v>
      </c>
      <c r="G1536" t="n">
        <v>12075.9287</v>
      </c>
      <c r="H1536" t="n">
        <v>2825.7717</v>
      </c>
      <c r="I1536" t="inlineStr"/>
      <c r="J1536" t="n">
        <v>8136.1406</v>
      </c>
      <c r="K1536" t="n">
        <v>26282460.39</v>
      </c>
      <c r="L1536" t="n">
        <v>77949166.12</v>
      </c>
      <c r="M1536" t="n">
        <v>12075.9287</v>
      </c>
      <c r="N1536" t="inlineStr">
        <is>
          <t>Supplier Reported Emissions</t>
        </is>
      </c>
      <c r="O1536" t="b">
        <v>0</v>
      </c>
      <c r="P1536" t="inlineStr">
        <is>
          <t>High</t>
        </is>
      </c>
      <c r="Q1536" t="inlineStr">
        <is>
          <t>Scope_Emissions</t>
        </is>
      </c>
      <c r="R1536" t="inlineStr">
        <is>
          <t>Valid</t>
        </is>
      </c>
      <c r="S1536" t="n">
        <v>2039</v>
      </c>
      <c r="T1536" t="inlineStr">
        <is>
          <t>Supplier Target Pathway</t>
        </is>
      </c>
      <c r="U1536" t="n">
        <v>13705.6022</v>
      </c>
      <c r="V1536" t="n">
        <v>5221.8344</v>
      </c>
      <c r="W1536" t="n">
        <v>5668.3485</v>
      </c>
      <c r="X1536" t="n">
        <v>5668.3485</v>
      </c>
      <c r="Y1536" t="n">
        <v>8037.2537</v>
      </c>
      <c r="Z1536" t="n">
        <v>0.00021567</v>
      </c>
      <c r="AA1536" t="n">
        <v>0.586421</v>
      </c>
      <c r="AB1536" t="n">
        <v>446.5141</v>
      </c>
      <c r="AC1536" t="n">
        <v>446.5141</v>
      </c>
      <c r="AD1536" t="n">
        <v>-48359.8573</v>
      </c>
      <c r="AE1536" t="n">
        <v>131909.2077</v>
      </c>
      <c r="AF1536" t="n">
        <v>0.99</v>
      </c>
      <c r="AG1536" t="inlineStr">
        <is>
          <t>Medium</t>
        </is>
      </c>
      <c r="AH1536" t="inlineStr">
        <is>
          <t>On Track to Glide Path</t>
        </is>
      </c>
    </row>
    <row r="1537">
      <c r="A1537" t="inlineStr">
        <is>
          <t>SUP-0096</t>
        </is>
      </c>
      <c r="B1537" t="inlineStr">
        <is>
          <t>Agriculture Supplier 096</t>
        </is>
      </c>
      <c r="C1537" t="inlineStr">
        <is>
          <t>Agriculture</t>
        </is>
      </c>
      <c r="D1537" t="n">
        <v>2024</v>
      </c>
      <c r="E1537" t="n">
        <v>2021</v>
      </c>
      <c r="F1537" t="n">
        <v>2040</v>
      </c>
      <c r="G1537" t="n">
        <v>12075.9287</v>
      </c>
      <c r="H1537" t="n">
        <v>2825.7717</v>
      </c>
      <c r="I1537" t="inlineStr"/>
      <c r="J1537" t="n">
        <v>8136.1406</v>
      </c>
      <c r="K1537" t="n">
        <v>26282460.39</v>
      </c>
      <c r="L1537" t="n">
        <v>77949166.12</v>
      </c>
      <c r="M1537" t="n">
        <v>12075.9287</v>
      </c>
      <c r="N1537" t="inlineStr">
        <is>
          <t>Supplier Reported Emissions</t>
        </is>
      </c>
      <c r="O1537" t="b">
        <v>0</v>
      </c>
      <c r="P1537" t="inlineStr">
        <is>
          <t>High</t>
        </is>
      </c>
      <c r="Q1537" t="inlineStr">
        <is>
          <t>Scope_Emissions</t>
        </is>
      </c>
      <c r="R1537" t="inlineStr">
        <is>
          <t>Valid</t>
        </is>
      </c>
      <c r="S1537" t="n">
        <v>2040</v>
      </c>
      <c r="T1537" t="inlineStr">
        <is>
          <t>Supplier Target Pathway</t>
        </is>
      </c>
      <c r="U1537" t="n">
        <v>13705.6022</v>
      </c>
      <c r="V1537" t="n">
        <v>5221.8344</v>
      </c>
      <c r="W1537" t="n">
        <v>5221.8344</v>
      </c>
      <c r="X1537" t="n">
        <v>5221.8344</v>
      </c>
      <c r="Y1537" t="n">
        <v>8483.7678</v>
      </c>
      <c r="Z1537" t="n">
        <v>0.00019868</v>
      </c>
      <c r="AA1537" t="n">
        <v>0.619</v>
      </c>
      <c r="AB1537" t="n">
        <v>0</v>
      </c>
      <c r="AC1537" t="n">
        <v>446.5141</v>
      </c>
      <c r="AD1537" t="n">
        <v>-53581.6917</v>
      </c>
      <c r="AE1537" t="n">
        <v>137131.0421</v>
      </c>
      <c r="AF1537" t="n">
        <v>0.99</v>
      </c>
      <c r="AG1537" t="inlineStr">
        <is>
          <t>Low</t>
        </is>
      </c>
      <c r="AH1537" t="inlineStr">
        <is>
          <t>On Track</t>
        </is>
      </c>
    </row>
    <row r="1538">
      <c r="A1538" t="inlineStr">
        <is>
          <t>SUP-0097</t>
        </is>
      </c>
      <c r="B1538" t="inlineStr">
        <is>
          <t>Metals Supplier 097</t>
        </is>
      </c>
      <c r="C1538" t="inlineStr">
        <is>
          <t>Metals</t>
        </is>
      </c>
      <c r="D1538" t="n">
        <v>2024</v>
      </c>
      <c r="E1538" t="n">
        <v>2018</v>
      </c>
      <c r="F1538" t="n">
        <v>2030</v>
      </c>
      <c r="G1538" t="inlineStr"/>
      <c r="H1538" t="n">
        <v>5509.4482</v>
      </c>
      <c r="I1538" t="n">
        <v>4069.722</v>
      </c>
      <c r="J1538" t="n">
        <v>10757.1777</v>
      </c>
      <c r="K1538" t="n">
        <v>32953405.51</v>
      </c>
      <c r="L1538" t="n">
        <v>145705756.05</v>
      </c>
      <c r="M1538" t="n">
        <v>20336.3479</v>
      </c>
      <c r="N1538" t="inlineStr">
        <is>
          <t>Scope 1 + Scope 2 + Scope 3</t>
        </is>
      </c>
      <c r="O1538" t="b">
        <v>1</v>
      </c>
      <c r="P1538" t="inlineStr">
        <is>
          <t>High</t>
        </is>
      </c>
      <c r="Q1538" t="inlineStr">
        <is>
          <t>Reported_Emissions</t>
        </is>
      </c>
      <c r="R1538" t="inlineStr">
        <is>
          <t>Valid</t>
        </is>
      </c>
      <c r="S1538" t="n">
        <v>2025</v>
      </c>
      <c r="T1538" t="inlineStr">
        <is>
          <t>Supplier Target Pathway</t>
        </is>
      </c>
      <c r="U1538" t="n">
        <v>16874.6723</v>
      </c>
      <c r="V1538" t="n">
        <v>8386.712100000001</v>
      </c>
      <c r="W1538" t="n">
        <v>11923.3622</v>
      </c>
      <c r="X1538" t="n">
        <v>11923.3622</v>
      </c>
      <c r="Y1538" t="n">
        <v>4951.3101</v>
      </c>
      <c r="Z1538" t="n">
        <v>0.00036182</v>
      </c>
      <c r="AA1538" t="n">
        <v>0.293417</v>
      </c>
      <c r="AB1538" t="n">
        <v>3536.6501</v>
      </c>
      <c r="AC1538" t="n">
        <v>707.33</v>
      </c>
      <c r="AD1538" t="n">
        <v>38396.9104</v>
      </c>
      <c r="AE1538" t="n">
        <v>11923.3622</v>
      </c>
      <c r="AF1538" t="n">
        <v>0.99</v>
      </c>
      <c r="AG1538" t="inlineStr">
        <is>
          <t>Critical</t>
        </is>
      </c>
      <c r="AH1538" t="inlineStr">
        <is>
          <t>On Track to Glide Path</t>
        </is>
      </c>
    </row>
    <row r="1539">
      <c r="A1539" t="inlineStr">
        <is>
          <t>SUP-0097</t>
        </is>
      </c>
      <c r="B1539" t="inlineStr">
        <is>
          <t>Metals Supplier 097</t>
        </is>
      </c>
      <c r="C1539" t="inlineStr">
        <is>
          <t>Metals</t>
        </is>
      </c>
      <c r="D1539" t="n">
        <v>2024</v>
      </c>
      <c r="E1539" t="n">
        <v>2018</v>
      </c>
      <c r="F1539" t="n">
        <v>2030</v>
      </c>
      <c r="G1539" t="inlineStr"/>
      <c r="H1539" t="n">
        <v>5509.4482</v>
      </c>
      <c r="I1539" t="n">
        <v>4069.722</v>
      </c>
      <c r="J1539" t="n">
        <v>10757.1777</v>
      </c>
      <c r="K1539" t="n">
        <v>32953405.51</v>
      </c>
      <c r="L1539" t="n">
        <v>145705756.05</v>
      </c>
      <c r="M1539" t="n">
        <v>20336.3479</v>
      </c>
      <c r="N1539" t="inlineStr">
        <is>
          <t>Scope 1 + Scope 2 + Scope 3</t>
        </is>
      </c>
      <c r="O1539" t="b">
        <v>1</v>
      </c>
      <c r="P1539" t="inlineStr">
        <is>
          <t>High</t>
        </is>
      </c>
      <c r="Q1539" t="inlineStr">
        <is>
          <t>Reported_Emissions</t>
        </is>
      </c>
      <c r="R1539" t="inlineStr">
        <is>
          <t>Valid</t>
        </is>
      </c>
      <c r="S1539" t="n">
        <v>2026</v>
      </c>
      <c r="T1539" t="inlineStr">
        <is>
          <t>Supplier Target Pathway</t>
        </is>
      </c>
      <c r="U1539" t="n">
        <v>16874.6723</v>
      </c>
      <c r="V1539" t="n">
        <v>8386.712100000001</v>
      </c>
      <c r="W1539" t="n">
        <v>11216.0322</v>
      </c>
      <c r="X1539" t="n">
        <v>11216.0322</v>
      </c>
      <c r="Y1539" t="n">
        <v>5658.6401</v>
      </c>
      <c r="Z1539" t="n">
        <v>0.00034036</v>
      </c>
      <c r="AA1539" t="n">
        <v>0.335333</v>
      </c>
      <c r="AB1539" t="n">
        <v>2829.3201</v>
      </c>
      <c r="AC1539" t="n">
        <v>707.33</v>
      </c>
      <c r="AD1539" t="n">
        <v>27180.8782</v>
      </c>
      <c r="AE1539" t="n">
        <v>23139.3944</v>
      </c>
      <c r="AF1539" t="n">
        <v>0.99</v>
      </c>
      <c r="AG1539" t="inlineStr">
        <is>
          <t>High</t>
        </is>
      </c>
      <c r="AH1539" t="inlineStr">
        <is>
          <t>On Track to Glide Path</t>
        </is>
      </c>
    </row>
    <row r="1540">
      <c r="A1540" t="inlineStr">
        <is>
          <t>SUP-0097</t>
        </is>
      </c>
      <c r="B1540" t="inlineStr">
        <is>
          <t>Metals Supplier 097</t>
        </is>
      </c>
      <c r="C1540" t="inlineStr">
        <is>
          <t>Metals</t>
        </is>
      </c>
      <c r="D1540" t="n">
        <v>2024</v>
      </c>
      <c r="E1540" t="n">
        <v>2018</v>
      </c>
      <c r="F1540" t="n">
        <v>2030</v>
      </c>
      <c r="G1540" t="inlineStr"/>
      <c r="H1540" t="n">
        <v>5509.4482</v>
      </c>
      <c r="I1540" t="n">
        <v>4069.722</v>
      </c>
      <c r="J1540" t="n">
        <v>10757.1777</v>
      </c>
      <c r="K1540" t="n">
        <v>32953405.51</v>
      </c>
      <c r="L1540" t="n">
        <v>145705756.05</v>
      </c>
      <c r="M1540" t="n">
        <v>20336.3479</v>
      </c>
      <c r="N1540" t="inlineStr">
        <is>
          <t>Scope 1 + Scope 2 + Scope 3</t>
        </is>
      </c>
      <c r="O1540" t="b">
        <v>1</v>
      </c>
      <c r="P1540" t="inlineStr">
        <is>
          <t>High</t>
        </is>
      </c>
      <c r="Q1540" t="inlineStr">
        <is>
          <t>Reported_Emissions</t>
        </is>
      </c>
      <c r="R1540" t="inlineStr">
        <is>
          <t>Valid</t>
        </is>
      </c>
      <c r="S1540" t="n">
        <v>2027</v>
      </c>
      <c r="T1540" t="inlineStr">
        <is>
          <t>Supplier Target Pathway</t>
        </is>
      </c>
      <c r="U1540" t="n">
        <v>16874.6723</v>
      </c>
      <c r="V1540" t="n">
        <v>8386.712100000001</v>
      </c>
      <c r="W1540" t="n">
        <v>10508.7022</v>
      </c>
      <c r="X1540" t="n">
        <v>10508.7022</v>
      </c>
      <c r="Y1540" t="n">
        <v>6365.9701</v>
      </c>
      <c r="Z1540" t="n">
        <v>0.0003189</v>
      </c>
      <c r="AA1540" t="n">
        <v>0.37725</v>
      </c>
      <c r="AB1540" t="n">
        <v>2121.99</v>
      </c>
      <c r="AC1540" t="n">
        <v>707.33</v>
      </c>
      <c r="AD1540" t="n">
        <v>16672.176</v>
      </c>
      <c r="AE1540" t="n">
        <v>33648.0966</v>
      </c>
      <c r="AF1540" t="n">
        <v>0.99</v>
      </c>
      <c r="AG1540" t="inlineStr">
        <is>
          <t>High</t>
        </is>
      </c>
      <c r="AH1540" t="inlineStr">
        <is>
          <t>On Track to Glide Path</t>
        </is>
      </c>
    </row>
    <row r="1541">
      <c r="A1541" t="inlineStr">
        <is>
          <t>SUP-0097</t>
        </is>
      </c>
      <c r="B1541" t="inlineStr">
        <is>
          <t>Metals Supplier 097</t>
        </is>
      </c>
      <c r="C1541" t="inlineStr">
        <is>
          <t>Metals</t>
        </is>
      </c>
      <c r="D1541" t="n">
        <v>2024</v>
      </c>
      <c r="E1541" t="n">
        <v>2018</v>
      </c>
      <c r="F1541" t="n">
        <v>2030</v>
      </c>
      <c r="G1541" t="inlineStr"/>
      <c r="H1541" t="n">
        <v>5509.4482</v>
      </c>
      <c r="I1541" t="n">
        <v>4069.722</v>
      </c>
      <c r="J1541" t="n">
        <v>10757.1777</v>
      </c>
      <c r="K1541" t="n">
        <v>32953405.51</v>
      </c>
      <c r="L1541" t="n">
        <v>145705756.05</v>
      </c>
      <c r="M1541" t="n">
        <v>20336.3479</v>
      </c>
      <c r="N1541" t="inlineStr">
        <is>
          <t>Scope 1 + Scope 2 + Scope 3</t>
        </is>
      </c>
      <c r="O1541" t="b">
        <v>1</v>
      </c>
      <c r="P1541" t="inlineStr">
        <is>
          <t>High</t>
        </is>
      </c>
      <c r="Q1541" t="inlineStr">
        <is>
          <t>Reported_Emissions</t>
        </is>
      </c>
      <c r="R1541" t="inlineStr">
        <is>
          <t>Valid</t>
        </is>
      </c>
      <c r="S1541" t="n">
        <v>2028</v>
      </c>
      <c r="T1541" t="inlineStr">
        <is>
          <t>Supplier Target Pathway</t>
        </is>
      </c>
      <c r="U1541" t="n">
        <v>16874.6723</v>
      </c>
      <c r="V1541" t="n">
        <v>8386.712100000001</v>
      </c>
      <c r="W1541" t="n">
        <v>9801.3722</v>
      </c>
      <c r="X1541" t="n">
        <v>9801.3722</v>
      </c>
      <c r="Y1541" t="n">
        <v>7073.3001</v>
      </c>
      <c r="Z1541" t="n">
        <v>0.00029743</v>
      </c>
      <c r="AA1541" t="n">
        <v>0.419167</v>
      </c>
      <c r="AB1541" t="n">
        <v>1414.66</v>
      </c>
      <c r="AC1541" t="n">
        <v>707.33</v>
      </c>
      <c r="AD1541" t="n">
        <v>6870.8038</v>
      </c>
      <c r="AE1541" t="n">
        <v>43449.4688</v>
      </c>
      <c r="AF1541" t="n">
        <v>0.99</v>
      </c>
      <c r="AG1541" t="inlineStr">
        <is>
          <t>High</t>
        </is>
      </c>
      <c r="AH1541" t="inlineStr">
        <is>
          <t>On Track to Glide Path</t>
        </is>
      </c>
    </row>
    <row r="1542">
      <c r="A1542" t="inlineStr">
        <is>
          <t>SUP-0097</t>
        </is>
      </c>
      <c r="B1542" t="inlineStr">
        <is>
          <t>Metals Supplier 097</t>
        </is>
      </c>
      <c r="C1542" t="inlineStr">
        <is>
          <t>Metals</t>
        </is>
      </c>
      <c r="D1542" t="n">
        <v>2024</v>
      </c>
      <c r="E1542" t="n">
        <v>2018</v>
      </c>
      <c r="F1542" t="n">
        <v>2030</v>
      </c>
      <c r="G1542" t="inlineStr"/>
      <c r="H1542" t="n">
        <v>5509.4482</v>
      </c>
      <c r="I1542" t="n">
        <v>4069.722</v>
      </c>
      <c r="J1542" t="n">
        <v>10757.1777</v>
      </c>
      <c r="K1542" t="n">
        <v>32953405.51</v>
      </c>
      <c r="L1542" t="n">
        <v>145705756.05</v>
      </c>
      <c r="M1542" t="n">
        <v>20336.3479</v>
      </c>
      <c r="N1542" t="inlineStr">
        <is>
          <t>Scope 1 + Scope 2 + Scope 3</t>
        </is>
      </c>
      <c r="O1542" t="b">
        <v>1</v>
      </c>
      <c r="P1542" t="inlineStr">
        <is>
          <t>High</t>
        </is>
      </c>
      <c r="Q1542" t="inlineStr">
        <is>
          <t>Reported_Emissions</t>
        </is>
      </c>
      <c r="R1542" t="inlineStr">
        <is>
          <t>Valid</t>
        </is>
      </c>
      <c r="S1542" t="n">
        <v>2029</v>
      </c>
      <c r="T1542" t="inlineStr">
        <is>
          <t>Supplier Target Pathway</t>
        </is>
      </c>
      <c r="U1542" t="n">
        <v>16874.6723</v>
      </c>
      <c r="V1542" t="n">
        <v>8386.712100000001</v>
      </c>
      <c r="W1542" t="n">
        <v>9094.042100000001</v>
      </c>
      <c r="X1542" t="n">
        <v>9094.042100000001</v>
      </c>
      <c r="Y1542" t="n">
        <v>7780.6302</v>
      </c>
      <c r="Z1542" t="n">
        <v>0.00027597</v>
      </c>
      <c r="AA1542" t="n">
        <v>0.461083</v>
      </c>
      <c r="AB1542" t="n">
        <v>707.33</v>
      </c>
      <c r="AC1542" t="n">
        <v>707.33</v>
      </c>
      <c r="AD1542" t="n">
        <v>-2223.2383</v>
      </c>
      <c r="AE1542" t="n">
        <v>52543.5109</v>
      </c>
      <c r="AF1542" t="n">
        <v>0.99</v>
      </c>
      <c r="AG1542" t="inlineStr">
        <is>
          <t>Medium</t>
        </is>
      </c>
      <c r="AH1542" t="inlineStr">
        <is>
          <t>On Track to Glide Path</t>
        </is>
      </c>
    </row>
    <row r="1543">
      <c r="A1543" t="inlineStr">
        <is>
          <t>SUP-0097</t>
        </is>
      </c>
      <c r="B1543" t="inlineStr">
        <is>
          <t>Metals Supplier 097</t>
        </is>
      </c>
      <c r="C1543" t="inlineStr">
        <is>
          <t>Metals</t>
        </is>
      </c>
      <c r="D1543" t="n">
        <v>2024</v>
      </c>
      <c r="E1543" t="n">
        <v>2018</v>
      </c>
      <c r="F1543" t="n">
        <v>2030</v>
      </c>
      <c r="G1543" t="inlineStr"/>
      <c r="H1543" t="n">
        <v>5509.4482</v>
      </c>
      <c r="I1543" t="n">
        <v>4069.722</v>
      </c>
      <c r="J1543" t="n">
        <v>10757.1777</v>
      </c>
      <c r="K1543" t="n">
        <v>32953405.51</v>
      </c>
      <c r="L1543" t="n">
        <v>145705756.05</v>
      </c>
      <c r="M1543" t="n">
        <v>20336.3479</v>
      </c>
      <c r="N1543" t="inlineStr">
        <is>
          <t>Scope 1 + Scope 2 + Scope 3</t>
        </is>
      </c>
      <c r="O1543" t="b">
        <v>1</v>
      </c>
      <c r="P1543" t="inlineStr">
        <is>
          <t>High</t>
        </is>
      </c>
      <c r="Q1543" t="inlineStr">
        <is>
          <t>Reported_Emissions</t>
        </is>
      </c>
      <c r="R1543" t="inlineStr">
        <is>
          <t>Valid</t>
        </is>
      </c>
      <c r="S1543" t="n">
        <v>2030</v>
      </c>
      <c r="T1543" t="inlineStr">
        <is>
          <t>Supplier Target Pathway</t>
        </is>
      </c>
      <c r="U1543" t="n">
        <v>16874.6723</v>
      </c>
      <c r="V1543" t="n">
        <v>8386.712100000001</v>
      </c>
      <c r="W1543" t="n">
        <v>8386.712100000001</v>
      </c>
      <c r="X1543" t="n">
        <v>8386.712100000001</v>
      </c>
      <c r="Y1543" t="n">
        <v>8487.9602</v>
      </c>
      <c r="Z1543" t="n">
        <v>0.0002545</v>
      </c>
      <c r="AA1543" t="n">
        <v>0.503</v>
      </c>
      <c r="AB1543" t="n">
        <v>0</v>
      </c>
      <c r="AC1543" t="n">
        <v>707.33</v>
      </c>
      <c r="AD1543" t="n">
        <v>-10609.9504</v>
      </c>
      <c r="AE1543" t="n">
        <v>60930.223</v>
      </c>
      <c r="AF1543" t="n">
        <v>0.99</v>
      </c>
      <c r="AG1543" t="inlineStr">
        <is>
          <t>Low</t>
        </is>
      </c>
      <c r="AH1543" t="inlineStr">
        <is>
          <t>On Track</t>
        </is>
      </c>
    </row>
    <row r="1544">
      <c r="A1544" t="inlineStr">
        <is>
          <t>SUP-0097</t>
        </is>
      </c>
      <c r="B1544" t="inlineStr">
        <is>
          <t>Metals Supplier 097</t>
        </is>
      </c>
      <c r="C1544" t="inlineStr">
        <is>
          <t>Metals</t>
        </is>
      </c>
      <c r="D1544" t="n">
        <v>2024</v>
      </c>
      <c r="E1544" t="n">
        <v>2018</v>
      </c>
      <c r="F1544" t="n">
        <v>2030</v>
      </c>
      <c r="G1544" t="inlineStr"/>
      <c r="H1544" t="n">
        <v>5509.4482</v>
      </c>
      <c r="I1544" t="n">
        <v>4069.722</v>
      </c>
      <c r="J1544" t="n">
        <v>10757.1777</v>
      </c>
      <c r="K1544" t="n">
        <v>32953405.51</v>
      </c>
      <c r="L1544" t="n">
        <v>145705756.05</v>
      </c>
      <c r="M1544" t="n">
        <v>20336.3479</v>
      </c>
      <c r="N1544" t="inlineStr">
        <is>
          <t>Scope 1 + Scope 2 + Scope 3</t>
        </is>
      </c>
      <c r="O1544" t="b">
        <v>1</v>
      </c>
      <c r="P1544" t="inlineStr">
        <is>
          <t>High</t>
        </is>
      </c>
      <c r="Q1544" t="inlineStr">
        <is>
          <t>Reported_Emissions</t>
        </is>
      </c>
      <c r="R1544" t="inlineStr">
        <is>
          <t>Valid</t>
        </is>
      </c>
      <c r="S1544" t="n">
        <v>2031</v>
      </c>
      <c r="T1544" t="inlineStr">
        <is>
          <t>Supplier Target Pathway</t>
        </is>
      </c>
      <c r="U1544" t="n">
        <v>16874.6723</v>
      </c>
      <c r="V1544" t="n">
        <v>8386.712100000001</v>
      </c>
      <c r="W1544" t="n">
        <v>8386.712100000001</v>
      </c>
      <c r="X1544" t="n">
        <v>8386.712100000001</v>
      </c>
      <c r="Y1544" t="n">
        <v>8487.9602</v>
      </c>
      <c r="Z1544" t="n">
        <v>0.0002545</v>
      </c>
      <c r="AA1544" t="n">
        <v>0.503</v>
      </c>
      <c r="AB1544" t="n">
        <v>0</v>
      </c>
      <c r="AC1544" t="n">
        <v>707.33</v>
      </c>
      <c r="AD1544" t="n">
        <v>-18996.6625</v>
      </c>
      <c r="AE1544" t="n">
        <v>69316.9351</v>
      </c>
      <c r="AF1544" t="n">
        <v>0.99</v>
      </c>
      <c r="AG1544" t="inlineStr">
        <is>
          <t>Low</t>
        </is>
      </c>
      <c r="AH1544" t="inlineStr">
        <is>
          <t>On Track</t>
        </is>
      </c>
    </row>
    <row r="1545">
      <c r="A1545" t="inlineStr">
        <is>
          <t>SUP-0097</t>
        </is>
      </c>
      <c r="B1545" t="inlineStr">
        <is>
          <t>Metals Supplier 097</t>
        </is>
      </c>
      <c r="C1545" t="inlineStr">
        <is>
          <t>Metals</t>
        </is>
      </c>
      <c r="D1545" t="n">
        <v>2024</v>
      </c>
      <c r="E1545" t="n">
        <v>2018</v>
      </c>
      <c r="F1545" t="n">
        <v>2030</v>
      </c>
      <c r="G1545" t="inlineStr"/>
      <c r="H1545" t="n">
        <v>5509.4482</v>
      </c>
      <c r="I1545" t="n">
        <v>4069.722</v>
      </c>
      <c r="J1545" t="n">
        <v>10757.1777</v>
      </c>
      <c r="K1545" t="n">
        <v>32953405.51</v>
      </c>
      <c r="L1545" t="n">
        <v>145705756.05</v>
      </c>
      <c r="M1545" t="n">
        <v>20336.3479</v>
      </c>
      <c r="N1545" t="inlineStr">
        <is>
          <t>Scope 1 + Scope 2 + Scope 3</t>
        </is>
      </c>
      <c r="O1545" t="b">
        <v>1</v>
      </c>
      <c r="P1545" t="inlineStr">
        <is>
          <t>High</t>
        </is>
      </c>
      <c r="Q1545" t="inlineStr">
        <is>
          <t>Reported_Emissions</t>
        </is>
      </c>
      <c r="R1545" t="inlineStr">
        <is>
          <t>Valid</t>
        </is>
      </c>
      <c r="S1545" t="n">
        <v>2032</v>
      </c>
      <c r="T1545" t="inlineStr">
        <is>
          <t>Supplier Target Pathway</t>
        </is>
      </c>
      <c r="U1545" t="n">
        <v>16874.6723</v>
      </c>
      <c r="V1545" t="n">
        <v>8386.712100000001</v>
      </c>
      <c r="W1545" t="n">
        <v>8386.712100000001</v>
      </c>
      <c r="X1545" t="n">
        <v>8386.712100000001</v>
      </c>
      <c r="Y1545" t="n">
        <v>8487.9602</v>
      </c>
      <c r="Z1545" t="n">
        <v>0.0002545</v>
      </c>
      <c r="AA1545" t="n">
        <v>0.503</v>
      </c>
      <c r="AB1545" t="n">
        <v>0</v>
      </c>
      <c r="AC1545" t="n">
        <v>707.33</v>
      </c>
      <c r="AD1545" t="n">
        <v>-27383.3746</v>
      </c>
      <c r="AE1545" t="n">
        <v>77703.64720000001</v>
      </c>
      <c r="AF1545" t="n">
        <v>0.99</v>
      </c>
      <c r="AG1545" t="inlineStr">
        <is>
          <t>Low</t>
        </is>
      </c>
      <c r="AH1545" t="inlineStr">
        <is>
          <t>On Track</t>
        </is>
      </c>
    </row>
    <row r="1546">
      <c r="A1546" t="inlineStr">
        <is>
          <t>SUP-0097</t>
        </is>
      </c>
      <c r="B1546" t="inlineStr">
        <is>
          <t>Metals Supplier 097</t>
        </is>
      </c>
      <c r="C1546" t="inlineStr">
        <is>
          <t>Metals</t>
        </is>
      </c>
      <c r="D1546" t="n">
        <v>2024</v>
      </c>
      <c r="E1546" t="n">
        <v>2018</v>
      </c>
      <c r="F1546" t="n">
        <v>2030</v>
      </c>
      <c r="G1546" t="inlineStr"/>
      <c r="H1546" t="n">
        <v>5509.4482</v>
      </c>
      <c r="I1546" t="n">
        <v>4069.722</v>
      </c>
      <c r="J1546" t="n">
        <v>10757.1777</v>
      </c>
      <c r="K1546" t="n">
        <v>32953405.51</v>
      </c>
      <c r="L1546" t="n">
        <v>145705756.05</v>
      </c>
      <c r="M1546" t="n">
        <v>20336.3479</v>
      </c>
      <c r="N1546" t="inlineStr">
        <is>
          <t>Scope 1 + Scope 2 + Scope 3</t>
        </is>
      </c>
      <c r="O1546" t="b">
        <v>1</v>
      </c>
      <c r="P1546" t="inlineStr">
        <is>
          <t>High</t>
        </is>
      </c>
      <c r="Q1546" t="inlineStr">
        <is>
          <t>Reported_Emissions</t>
        </is>
      </c>
      <c r="R1546" t="inlineStr">
        <is>
          <t>Valid</t>
        </is>
      </c>
      <c r="S1546" t="n">
        <v>2033</v>
      </c>
      <c r="T1546" t="inlineStr">
        <is>
          <t>Supplier Target Pathway</t>
        </is>
      </c>
      <c r="U1546" t="n">
        <v>16874.6723</v>
      </c>
      <c r="V1546" t="n">
        <v>8386.712100000001</v>
      </c>
      <c r="W1546" t="n">
        <v>8386.712100000001</v>
      </c>
      <c r="X1546" t="n">
        <v>8386.712100000001</v>
      </c>
      <c r="Y1546" t="n">
        <v>8487.9602</v>
      </c>
      <c r="Z1546" t="n">
        <v>0.0002545</v>
      </c>
      <c r="AA1546" t="n">
        <v>0.503</v>
      </c>
      <c r="AB1546" t="n">
        <v>0</v>
      </c>
      <c r="AC1546" t="n">
        <v>707.33</v>
      </c>
      <c r="AD1546" t="n">
        <v>-35770.0867</v>
      </c>
      <c r="AE1546" t="n">
        <v>86090.3593</v>
      </c>
      <c r="AF1546" t="n">
        <v>0.99</v>
      </c>
      <c r="AG1546" t="inlineStr">
        <is>
          <t>Low</t>
        </is>
      </c>
      <c r="AH1546" t="inlineStr">
        <is>
          <t>On Track</t>
        </is>
      </c>
    </row>
    <row r="1547">
      <c r="A1547" t="inlineStr">
        <is>
          <t>SUP-0097</t>
        </is>
      </c>
      <c r="B1547" t="inlineStr">
        <is>
          <t>Metals Supplier 097</t>
        </is>
      </c>
      <c r="C1547" t="inlineStr">
        <is>
          <t>Metals</t>
        </is>
      </c>
      <c r="D1547" t="n">
        <v>2024</v>
      </c>
      <c r="E1547" t="n">
        <v>2018</v>
      </c>
      <c r="F1547" t="n">
        <v>2030</v>
      </c>
      <c r="G1547" t="inlineStr"/>
      <c r="H1547" t="n">
        <v>5509.4482</v>
      </c>
      <c r="I1547" t="n">
        <v>4069.722</v>
      </c>
      <c r="J1547" t="n">
        <v>10757.1777</v>
      </c>
      <c r="K1547" t="n">
        <v>32953405.51</v>
      </c>
      <c r="L1547" t="n">
        <v>145705756.05</v>
      </c>
      <c r="M1547" t="n">
        <v>20336.3479</v>
      </c>
      <c r="N1547" t="inlineStr">
        <is>
          <t>Scope 1 + Scope 2 + Scope 3</t>
        </is>
      </c>
      <c r="O1547" t="b">
        <v>1</v>
      </c>
      <c r="P1547" t="inlineStr">
        <is>
          <t>High</t>
        </is>
      </c>
      <c r="Q1547" t="inlineStr">
        <is>
          <t>Reported_Emissions</t>
        </is>
      </c>
      <c r="R1547" t="inlineStr">
        <is>
          <t>Valid</t>
        </is>
      </c>
      <c r="S1547" t="n">
        <v>2034</v>
      </c>
      <c r="T1547" t="inlineStr">
        <is>
          <t>Supplier Target Pathway</t>
        </is>
      </c>
      <c r="U1547" t="n">
        <v>16874.6723</v>
      </c>
      <c r="V1547" t="n">
        <v>8386.712100000001</v>
      </c>
      <c r="W1547" t="n">
        <v>8386.712100000001</v>
      </c>
      <c r="X1547" t="n">
        <v>8386.712100000001</v>
      </c>
      <c r="Y1547" t="n">
        <v>8487.9602</v>
      </c>
      <c r="Z1547" t="n">
        <v>0.0002545</v>
      </c>
      <c r="AA1547" t="n">
        <v>0.503</v>
      </c>
      <c r="AB1547" t="n">
        <v>0</v>
      </c>
      <c r="AC1547" t="n">
        <v>707.33</v>
      </c>
      <c r="AD1547" t="n">
        <v>-44156.7988</v>
      </c>
      <c r="AE1547" t="n">
        <v>94477.0714</v>
      </c>
      <c r="AF1547" t="n">
        <v>0.99</v>
      </c>
      <c r="AG1547" t="inlineStr">
        <is>
          <t>Low</t>
        </is>
      </c>
      <c r="AH1547" t="inlineStr">
        <is>
          <t>On Track</t>
        </is>
      </c>
    </row>
    <row r="1548">
      <c r="A1548" t="inlineStr">
        <is>
          <t>SUP-0097</t>
        </is>
      </c>
      <c r="B1548" t="inlineStr">
        <is>
          <t>Metals Supplier 097</t>
        </is>
      </c>
      <c r="C1548" t="inlineStr">
        <is>
          <t>Metals</t>
        </is>
      </c>
      <c r="D1548" t="n">
        <v>2024</v>
      </c>
      <c r="E1548" t="n">
        <v>2018</v>
      </c>
      <c r="F1548" t="n">
        <v>2030</v>
      </c>
      <c r="G1548" t="inlineStr"/>
      <c r="H1548" t="n">
        <v>5509.4482</v>
      </c>
      <c r="I1548" t="n">
        <v>4069.722</v>
      </c>
      <c r="J1548" t="n">
        <v>10757.1777</v>
      </c>
      <c r="K1548" t="n">
        <v>32953405.51</v>
      </c>
      <c r="L1548" t="n">
        <v>145705756.05</v>
      </c>
      <c r="M1548" t="n">
        <v>20336.3479</v>
      </c>
      <c r="N1548" t="inlineStr">
        <is>
          <t>Scope 1 + Scope 2 + Scope 3</t>
        </is>
      </c>
      <c r="O1548" t="b">
        <v>1</v>
      </c>
      <c r="P1548" t="inlineStr">
        <is>
          <t>High</t>
        </is>
      </c>
      <c r="Q1548" t="inlineStr">
        <is>
          <t>Reported_Emissions</t>
        </is>
      </c>
      <c r="R1548" t="inlineStr">
        <is>
          <t>Valid</t>
        </is>
      </c>
      <c r="S1548" t="n">
        <v>2035</v>
      </c>
      <c r="T1548" t="inlineStr">
        <is>
          <t>Supplier Target Pathway</t>
        </is>
      </c>
      <c r="U1548" t="n">
        <v>16874.6723</v>
      </c>
      <c r="V1548" t="n">
        <v>8386.712100000001</v>
      </c>
      <c r="W1548" t="n">
        <v>8386.712100000001</v>
      </c>
      <c r="X1548" t="n">
        <v>8386.712100000001</v>
      </c>
      <c r="Y1548" t="n">
        <v>8487.9602</v>
      </c>
      <c r="Z1548" t="n">
        <v>0.0002545</v>
      </c>
      <c r="AA1548" t="n">
        <v>0.503</v>
      </c>
      <c r="AB1548" t="n">
        <v>0</v>
      </c>
      <c r="AC1548" t="n">
        <v>707.33</v>
      </c>
      <c r="AD1548" t="n">
        <v>-52543.5109</v>
      </c>
      <c r="AE1548" t="n">
        <v>102863.7835</v>
      </c>
      <c r="AF1548" t="n">
        <v>0.99</v>
      </c>
      <c r="AG1548" t="inlineStr">
        <is>
          <t>Low</t>
        </is>
      </c>
      <c r="AH1548" t="inlineStr">
        <is>
          <t>On Track</t>
        </is>
      </c>
    </row>
    <row r="1549">
      <c r="A1549" t="inlineStr">
        <is>
          <t>SUP-0097</t>
        </is>
      </c>
      <c r="B1549" t="inlineStr">
        <is>
          <t>Metals Supplier 097</t>
        </is>
      </c>
      <c r="C1549" t="inlineStr">
        <is>
          <t>Metals</t>
        </is>
      </c>
      <c r="D1549" t="n">
        <v>2024</v>
      </c>
      <c r="E1549" t="n">
        <v>2018</v>
      </c>
      <c r="F1549" t="n">
        <v>2030</v>
      </c>
      <c r="G1549" t="inlineStr"/>
      <c r="H1549" t="n">
        <v>5509.4482</v>
      </c>
      <c r="I1549" t="n">
        <v>4069.722</v>
      </c>
      <c r="J1549" t="n">
        <v>10757.1777</v>
      </c>
      <c r="K1549" t="n">
        <v>32953405.51</v>
      </c>
      <c r="L1549" t="n">
        <v>145705756.05</v>
      </c>
      <c r="M1549" t="n">
        <v>20336.3479</v>
      </c>
      <c r="N1549" t="inlineStr">
        <is>
          <t>Scope 1 + Scope 2 + Scope 3</t>
        </is>
      </c>
      <c r="O1549" t="b">
        <v>1</v>
      </c>
      <c r="P1549" t="inlineStr">
        <is>
          <t>High</t>
        </is>
      </c>
      <c r="Q1549" t="inlineStr">
        <is>
          <t>Reported_Emissions</t>
        </is>
      </c>
      <c r="R1549" t="inlineStr">
        <is>
          <t>Valid</t>
        </is>
      </c>
      <c r="S1549" t="n">
        <v>2036</v>
      </c>
      <c r="T1549" t="inlineStr">
        <is>
          <t>Supplier Target Pathway</t>
        </is>
      </c>
      <c r="U1549" t="n">
        <v>16874.6723</v>
      </c>
      <c r="V1549" t="n">
        <v>8386.712100000001</v>
      </c>
      <c r="W1549" t="n">
        <v>8386.712100000001</v>
      </c>
      <c r="X1549" t="n">
        <v>8386.712100000001</v>
      </c>
      <c r="Y1549" t="n">
        <v>8487.9602</v>
      </c>
      <c r="Z1549" t="n">
        <v>0.0002545</v>
      </c>
      <c r="AA1549" t="n">
        <v>0.503</v>
      </c>
      <c r="AB1549" t="n">
        <v>0</v>
      </c>
      <c r="AC1549" t="n">
        <v>707.33</v>
      </c>
      <c r="AD1549" t="n">
        <v>-60930.223</v>
      </c>
      <c r="AE1549" t="n">
        <v>111250.4956</v>
      </c>
      <c r="AF1549" t="n">
        <v>0.99</v>
      </c>
      <c r="AG1549" t="inlineStr">
        <is>
          <t>Low</t>
        </is>
      </c>
      <c r="AH1549" t="inlineStr">
        <is>
          <t>On Track</t>
        </is>
      </c>
    </row>
    <row r="1550">
      <c r="A1550" t="inlineStr">
        <is>
          <t>SUP-0097</t>
        </is>
      </c>
      <c r="B1550" t="inlineStr">
        <is>
          <t>Metals Supplier 097</t>
        </is>
      </c>
      <c r="C1550" t="inlineStr">
        <is>
          <t>Metals</t>
        </is>
      </c>
      <c r="D1550" t="n">
        <v>2024</v>
      </c>
      <c r="E1550" t="n">
        <v>2018</v>
      </c>
      <c r="F1550" t="n">
        <v>2030</v>
      </c>
      <c r="G1550" t="inlineStr"/>
      <c r="H1550" t="n">
        <v>5509.4482</v>
      </c>
      <c r="I1550" t="n">
        <v>4069.722</v>
      </c>
      <c r="J1550" t="n">
        <v>10757.1777</v>
      </c>
      <c r="K1550" t="n">
        <v>32953405.51</v>
      </c>
      <c r="L1550" t="n">
        <v>145705756.05</v>
      </c>
      <c r="M1550" t="n">
        <v>20336.3479</v>
      </c>
      <c r="N1550" t="inlineStr">
        <is>
          <t>Scope 1 + Scope 2 + Scope 3</t>
        </is>
      </c>
      <c r="O1550" t="b">
        <v>1</v>
      </c>
      <c r="P1550" t="inlineStr">
        <is>
          <t>High</t>
        </is>
      </c>
      <c r="Q1550" t="inlineStr">
        <is>
          <t>Reported_Emissions</t>
        </is>
      </c>
      <c r="R1550" t="inlineStr">
        <is>
          <t>Valid</t>
        </is>
      </c>
      <c r="S1550" t="n">
        <v>2037</v>
      </c>
      <c r="T1550" t="inlineStr">
        <is>
          <t>Supplier Target Pathway</t>
        </is>
      </c>
      <c r="U1550" t="n">
        <v>16874.6723</v>
      </c>
      <c r="V1550" t="n">
        <v>8386.712100000001</v>
      </c>
      <c r="W1550" t="n">
        <v>8386.712100000001</v>
      </c>
      <c r="X1550" t="n">
        <v>8386.712100000001</v>
      </c>
      <c r="Y1550" t="n">
        <v>8487.9602</v>
      </c>
      <c r="Z1550" t="n">
        <v>0.0002545</v>
      </c>
      <c r="AA1550" t="n">
        <v>0.503</v>
      </c>
      <c r="AB1550" t="n">
        <v>0</v>
      </c>
      <c r="AC1550" t="n">
        <v>707.33</v>
      </c>
      <c r="AD1550" t="n">
        <v>-69316.9351</v>
      </c>
      <c r="AE1550" t="n">
        <v>119637.2077</v>
      </c>
      <c r="AF1550" t="n">
        <v>0.99</v>
      </c>
      <c r="AG1550" t="inlineStr">
        <is>
          <t>Low</t>
        </is>
      </c>
      <c r="AH1550" t="inlineStr">
        <is>
          <t>On Track</t>
        </is>
      </c>
    </row>
    <row r="1551">
      <c r="A1551" t="inlineStr">
        <is>
          <t>SUP-0097</t>
        </is>
      </c>
      <c r="B1551" t="inlineStr">
        <is>
          <t>Metals Supplier 097</t>
        </is>
      </c>
      <c r="C1551" t="inlineStr">
        <is>
          <t>Metals</t>
        </is>
      </c>
      <c r="D1551" t="n">
        <v>2024</v>
      </c>
      <c r="E1551" t="n">
        <v>2018</v>
      </c>
      <c r="F1551" t="n">
        <v>2030</v>
      </c>
      <c r="G1551" t="inlineStr"/>
      <c r="H1551" t="n">
        <v>5509.4482</v>
      </c>
      <c r="I1551" t="n">
        <v>4069.722</v>
      </c>
      <c r="J1551" t="n">
        <v>10757.1777</v>
      </c>
      <c r="K1551" t="n">
        <v>32953405.51</v>
      </c>
      <c r="L1551" t="n">
        <v>145705756.05</v>
      </c>
      <c r="M1551" t="n">
        <v>20336.3479</v>
      </c>
      <c r="N1551" t="inlineStr">
        <is>
          <t>Scope 1 + Scope 2 + Scope 3</t>
        </is>
      </c>
      <c r="O1551" t="b">
        <v>1</v>
      </c>
      <c r="P1551" t="inlineStr">
        <is>
          <t>High</t>
        </is>
      </c>
      <c r="Q1551" t="inlineStr">
        <is>
          <t>Reported_Emissions</t>
        </is>
      </c>
      <c r="R1551" t="inlineStr">
        <is>
          <t>Valid</t>
        </is>
      </c>
      <c r="S1551" t="n">
        <v>2038</v>
      </c>
      <c r="T1551" t="inlineStr">
        <is>
          <t>Supplier Target Pathway</t>
        </is>
      </c>
      <c r="U1551" t="n">
        <v>16874.6723</v>
      </c>
      <c r="V1551" t="n">
        <v>8386.712100000001</v>
      </c>
      <c r="W1551" t="n">
        <v>8386.712100000001</v>
      </c>
      <c r="X1551" t="n">
        <v>8386.712100000001</v>
      </c>
      <c r="Y1551" t="n">
        <v>8487.9602</v>
      </c>
      <c r="Z1551" t="n">
        <v>0.0002545</v>
      </c>
      <c r="AA1551" t="n">
        <v>0.503</v>
      </c>
      <c r="AB1551" t="n">
        <v>0</v>
      </c>
      <c r="AC1551" t="n">
        <v>707.33</v>
      </c>
      <c r="AD1551" t="n">
        <v>-77703.64720000001</v>
      </c>
      <c r="AE1551" t="n">
        <v>128023.9198</v>
      </c>
      <c r="AF1551" t="n">
        <v>0.99</v>
      </c>
      <c r="AG1551" t="inlineStr">
        <is>
          <t>Low</t>
        </is>
      </c>
      <c r="AH1551" t="inlineStr">
        <is>
          <t>On Track</t>
        </is>
      </c>
    </row>
    <row r="1552">
      <c r="A1552" t="inlineStr">
        <is>
          <t>SUP-0097</t>
        </is>
      </c>
      <c r="B1552" t="inlineStr">
        <is>
          <t>Metals Supplier 097</t>
        </is>
      </c>
      <c r="C1552" t="inlineStr">
        <is>
          <t>Metals</t>
        </is>
      </c>
      <c r="D1552" t="n">
        <v>2024</v>
      </c>
      <c r="E1552" t="n">
        <v>2018</v>
      </c>
      <c r="F1552" t="n">
        <v>2030</v>
      </c>
      <c r="G1552" t="inlineStr"/>
      <c r="H1552" t="n">
        <v>5509.4482</v>
      </c>
      <c r="I1552" t="n">
        <v>4069.722</v>
      </c>
      <c r="J1552" t="n">
        <v>10757.1777</v>
      </c>
      <c r="K1552" t="n">
        <v>32953405.51</v>
      </c>
      <c r="L1552" t="n">
        <v>145705756.05</v>
      </c>
      <c r="M1552" t="n">
        <v>20336.3479</v>
      </c>
      <c r="N1552" t="inlineStr">
        <is>
          <t>Scope 1 + Scope 2 + Scope 3</t>
        </is>
      </c>
      <c r="O1552" t="b">
        <v>1</v>
      </c>
      <c r="P1552" t="inlineStr">
        <is>
          <t>High</t>
        </is>
      </c>
      <c r="Q1552" t="inlineStr">
        <is>
          <t>Reported_Emissions</t>
        </is>
      </c>
      <c r="R1552" t="inlineStr">
        <is>
          <t>Valid</t>
        </is>
      </c>
      <c r="S1552" t="n">
        <v>2039</v>
      </c>
      <c r="T1552" t="inlineStr">
        <is>
          <t>Supplier Target Pathway</t>
        </is>
      </c>
      <c r="U1552" t="n">
        <v>16874.6723</v>
      </c>
      <c r="V1552" t="n">
        <v>8386.712100000001</v>
      </c>
      <c r="W1552" t="n">
        <v>8386.712100000001</v>
      </c>
      <c r="X1552" t="n">
        <v>8386.712100000001</v>
      </c>
      <c r="Y1552" t="n">
        <v>8487.9602</v>
      </c>
      <c r="Z1552" t="n">
        <v>0.0002545</v>
      </c>
      <c r="AA1552" t="n">
        <v>0.503</v>
      </c>
      <c r="AB1552" t="n">
        <v>0</v>
      </c>
      <c r="AC1552" t="n">
        <v>707.33</v>
      </c>
      <c r="AD1552" t="n">
        <v>-86090.3593</v>
      </c>
      <c r="AE1552" t="n">
        <v>136410.6319</v>
      </c>
      <c r="AF1552" t="n">
        <v>0.99</v>
      </c>
      <c r="AG1552" t="inlineStr">
        <is>
          <t>Low</t>
        </is>
      </c>
      <c r="AH1552" t="inlineStr">
        <is>
          <t>On Track</t>
        </is>
      </c>
    </row>
    <row r="1553">
      <c r="A1553" t="inlineStr">
        <is>
          <t>SUP-0097</t>
        </is>
      </c>
      <c r="B1553" t="inlineStr">
        <is>
          <t>Metals Supplier 097</t>
        </is>
      </c>
      <c r="C1553" t="inlineStr">
        <is>
          <t>Metals</t>
        </is>
      </c>
      <c r="D1553" t="n">
        <v>2024</v>
      </c>
      <c r="E1553" t="n">
        <v>2018</v>
      </c>
      <c r="F1553" t="n">
        <v>2030</v>
      </c>
      <c r="G1553" t="inlineStr"/>
      <c r="H1553" t="n">
        <v>5509.4482</v>
      </c>
      <c r="I1553" t="n">
        <v>4069.722</v>
      </c>
      <c r="J1553" t="n">
        <v>10757.1777</v>
      </c>
      <c r="K1553" t="n">
        <v>32953405.51</v>
      </c>
      <c r="L1553" t="n">
        <v>145705756.05</v>
      </c>
      <c r="M1553" t="n">
        <v>20336.3479</v>
      </c>
      <c r="N1553" t="inlineStr">
        <is>
          <t>Scope 1 + Scope 2 + Scope 3</t>
        </is>
      </c>
      <c r="O1553" t="b">
        <v>1</v>
      </c>
      <c r="P1553" t="inlineStr">
        <is>
          <t>High</t>
        </is>
      </c>
      <c r="Q1553" t="inlineStr">
        <is>
          <t>Reported_Emissions</t>
        </is>
      </c>
      <c r="R1553" t="inlineStr">
        <is>
          <t>Valid</t>
        </is>
      </c>
      <c r="S1553" t="n">
        <v>2040</v>
      </c>
      <c r="T1553" t="inlineStr">
        <is>
          <t>Supplier Target Pathway</t>
        </is>
      </c>
      <c r="U1553" t="n">
        <v>16874.6723</v>
      </c>
      <c r="V1553" t="n">
        <v>8386.712100000001</v>
      </c>
      <c r="W1553" t="n">
        <v>8386.712100000001</v>
      </c>
      <c r="X1553" t="n">
        <v>8386.712100000001</v>
      </c>
      <c r="Y1553" t="n">
        <v>8487.9602</v>
      </c>
      <c r="Z1553" t="n">
        <v>0.0002545</v>
      </c>
      <c r="AA1553" t="n">
        <v>0.503</v>
      </c>
      <c r="AB1553" t="n">
        <v>0</v>
      </c>
      <c r="AC1553" t="n">
        <v>707.33</v>
      </c>
      <c r="AD1553" t="n">
        <v>-94477.0714</v>
      </c>
      <c r="AE1553" t="n">
        <v>144797.344</v>
      </c>
      <c r="AF1553" t="n">
        <v>0.99</v>
      </c>
      <c r="AG1553" t="inlineStr">
        <is>
          <t>Low</t>
        </is>
      </c>
      <c r="AH1553" t="inlineStr">
        <is>
          <t>On Track</t>
        </is>
      </c>
    </row>
    <row r="1554">
      <c r="A1554" t="inlineStr">
        <is>
          <t>SUP-0098</t>
        </is>
      </c>
      <c r="B1554" t="inlineStr">
        <is>
          <t>Agriculture Supplier 098</t>
        </is>
      </c>
      <c r="C1554" t="inlineStr">
        <is>
          <t>Agriculture</t>
        </is>
      </c>
      <c r="D1554" t="n">
        <v>2024</v>
      </c>
      <c r="E1554" t="n">
        <v>2018</v>
      </c>
      <c r="F1554" t="n">
        <v>2040</v>
      </c>
      <c r="G1554" t="inlineStr"/>
      <c r="H1554" t="inlineStr"/>
      <c r="I1554" t="n">
        <v>6571.6934</v>
      </c>
      <c r="J1554" t="n">
        <v>28060.4535</v>
      </c>
      <c r="K1554" t="n">
        <v>35509573.74</v>
      </c>
      <c r="L1554" t="n">
        <v>59361089.2</v>
      </c>
      <c r="M1554" t="n">
        <v>32460.3666</v>
      </c>
      <c r="N1554" t="inlineStr">
        <is>
          <t>Spend-Based Estimate</t>
        </is>
      </c>
      <c r="O1554" t="b">
        <v>1</v>
      </c>
      <c r="P1554" t="inlineStr">
        <is>
          <t>Medium</t>
        </is>
      </c>
      <c r="Q1554" t="inlineStr">
        <is>
          <t>Reported_Emissions; Scope_Emissions</t>
        </is>
      </c>
      <c r="R1554" t="inlineStr">
        <is>
          <t>Valid</t>
        </is>
      </c>
      <c r="S1554" t="n">
        <v>2025</v>
      </c>
      <c r="T1554" t="inlineStr">
        <is>
          <t>Supplier Target Pathway</t>
        </is>
      </c>
      <c r="U1554" t="n">
        <v>34657.8376</v>
      </c>
      <c r="V1554" t="n">
        <v>10743.9297</v>
      </c>
      <c r="W1554" t="n">
        <v>27048.8669</v>
      </c>
      <c r="X1554" t="n">
        <v>27048.8669</v>
      </c>
      <c r="Y1554" t="n">
        <v>7608.9707</v>
      </c>
      <c r="Z1554" t="n">
        <v>0.00076173</v>
      </c>
      <c r="AA1554" t="n">
        <v>0.219545</v>
      </c>
      <c r="AB1554" t="n">
        <v>16304.9372</v>
      </c>
      <c r="AC1554" t="n">
        <v>1086.9958</v>
      </c>
      <c r="AD1554" t="n">
        <v>144854.0083</v>
      </c>
      <c r="AE1554" t="n">
        <v>27048.8669</v>
      </c>
      <c r="AF1554" t="n">
        <v>0.99</v>
      </c>
      <c r="AG1554" t="inlineStr">
        <is>
          <t>Critical</t>
        </is>
      </c>
      <c r="AH1554" t="inlineStr">
        <is>
          <t>On Track to Glide Path</t>
        </is>
      </c>
    </row>
    <row r="1555">
      <c r="A1555" t="inlineStr">
        <is>
          <t>SUP-0098</t>
        </is>
      </c>
      <c r="B1555" t="inlineStr">
        <is>
          <t>Agriculture Supplier 098</t>
        </is>
      </c>
      <c r="C1555" t="inlineStr">
        <is>
          <t>Agriculture</t>
        </is>
      </c>
      <c r="D1555" t="n">
        <v>2024</v>
      </c>
      <c r="E1555" t="n">
        <v>2018</v>
      </c>
      <c r="F1555" t="n">
        <v>2040</v>
      </c>
      <c r="G1555" t="inlineStr"/>
      <c r="H1555" t="inlineStr"/>
      <c r="I1555" t="n">
        <v>6571.6934</v>
      </c>
      <c r="J1555" t="n">
        <v>28060.4535</v>
      </c>
      <c r="K1555" t="n">
        <v>35509573.74</v>
      </c>
      <c r="L1555" t="n">
        <v>59361089.2</v>
      </c>
      <c r="M1555" t="n">
        <v>32460.3666</v>
      </c>
      <c r="N1555" t="inlineStr">
        <is>
          <t>Spend-Based Estimate</t>
        </is>
      </c>
      <c r="O1555" t="b">
        <v>1</v>
      </c>
      <c r="P1555" t="inlineStr">
        <is>
          <t>Medium</t>
        </is>
      </c>
      <c r="Q1555" t="inlineStr">
        <is>
          <t>Reported_Emissions; Scope_Emissions</t>
        </is>
      </c>
      <c r="R1555" t="inlineStr">
        <is>
          <t>Valid</t>
        </is>
      </c>
      <c r="S1555" t="n">
        <v>2026</v>
      </c>
      <c r="T1555" t="inlineStr">
        <is>
          <t>Supplier Target Pathway</t>
        </is>
      </c>
      <c r="U1555" t="n">
        <v>34657.8376</v>
      </c>
      <c r="V1555" t="n">
        <v>10743.9297</v>
      </c>
      <c r="W1555" t="n">
        <v>25961.8711</v>
      </c>
      <c r="X1555" t="n">
        <v>25961.8711</v>
      </c>
      <c r="Y1555" t="n">
        <v>8695.9665</v>
      </c>
      <c r="Z1555" t="n">
        <v>0.00073112</v>
      </c>
      <c r="AA1555" t="n">
        <v>0.250909</v>
      </c>
      <c r="AB1555" t="n">
        <v>15217.9414</v>
      </c>
      <c r="AC1555" t="n">
        <v>1086.9958</v>
      </c>
      <c r="AD1555" t="n">
        <v>118892.1372</v>
      </c>
      <c r="AE1555" t="n">
        <v>53010.738</v>
      </c>
      <c r="AF1555" t="n">
        <v>0.99</v>
      </c>
      <c r="AG1555" t="inlineStr">
        <is>
          <t>Critical</t>
        </is>
      </c>
      <c r="AH1555" t="inlineStr">
        <is>
          <t>On Track to Glide Path</t>
        </is>
      </c>
    </row>
    <row r="1556">
      <c r="A1556" t="inlineStr">
        <is>
          <t>SUP-0098</t>
        </is>
      </c>
      <c r="B1556" t="inlineStr">
        <is>
          <t>Agriculture Supplier 098</t>
        </is>
      </c>
      <c r="C1556" t="inlineStr">
        <is>
          <t>Agriculture</t>
        </is>
      </c>
      <c r="D1556" t="n">
        <v>2024</v>
      </c>
      <c r="E1556" t="n">
        <v>2018</v>
      </c>
      <c r="F1556" t="n">
        <v>2040</v>
      </c>
      <c r="G1556" t="inlineStr"/>
      <c r="H1556" t="inlineStr"/>
      <c r="I1556" t="n">
        <v>6571.6934</v>
      </c>
      <c r="J1556" t="n">
        <v>28060.4535</v>
      </c>
      <c r="K1556" t="n">
        <v>35509573.74</v>
      </c>
      <c r="L1556" t="n">
        <v>59361089.2</v>
      </c>
      <c r="M1556" t="n">
        <v>32460.3666</v>
      </c>
      <c r="N1556" t="inlineStr">
        <is>
          <t>Spend-Based Estimate</t>
        </is>
      </c>
      <c r="O1556" t="b">
        <v>1</v>
      </c>
      <c r="P1556" t="inlineStr">
        <is>
          <t>Medium</t>
        </is>
      </c>
      <c r="Q1556" t="inlineStr">
        <is>
          <t>Reported_Emissions; Scope_Emissions</t>
        </is>
      </c>
      <c r="R1556" t="inlineStr">
        <is>
          <t>Valid</t>
        </is>
      </c>
      <c r="S1556" t="n">
        <v>2027</v>
      </c>
      <c r="T1556" t="inlineStr">
        <is>
          <t>Supplier Target Pathway</t>
        </is>
      </c>
      <c r="U1556" t="n">
        <v>34657.8376</v>
      </c>
      <c r="V1556" t="n">
        <v>10743.9297</v>
      </c>
      <c r="W1556" t="n">
        <v>24874.8753</v>
      </c>
      <c r="X1556" t="n">
        <v>24874.8753</v>
      </c>
      <c r="Y1556" t="n">
        <v>9782.962299999999</v>
      </c>
      <c r="Z1556" t="n">
        <v>0.00070051</v>
      </c>
      <c r="AA1556" t="n">
        <v>0.282273</v>
      </c>
      <c r="AB1556" t="n">
        <v>14130.9456</v>
      </c>
      <c r="AC1556" t="n">
        <v>1086.9958</v>
      </c>
      <c r="AD1556" t="n">
        <v>94017.2619</v>
      </c>
      <c r="AE1556" t="n">
        <v>77885.6133</v>
      </c>
      <c r="AF1556" t="n">
        <v>0.99</v>
      </c>
      <c r="AG1556" t="inlineStr">
        <is>
          <t>Critical</t>
        </is>
      </c>
      <c r="AH1556" t="inlineStr">
        <is>
          <t>On Track to Glide Path</t>
        </is>
      </c>
    </row>
    <row r="1557">
      <c r="A1557" t="inlineStr">
        <is>
          <t>SUP-0098</t>
        </is>
      </c>
      <c r="B1557" t="inlineStr">
        <is>
          <t>Agriculture Supplier 098</t>
        </is>
      </c>
      <c r="C1557" t="inlineStr">
        <is>
          <t>Agriculture</t>
        </is>
      </c>
      <c r="D1557" t="n">
        <v>2024</v>
      </c>
      <c r="E1557" t="n">
        <v>2018</v>
      </c>
      <c r="F1557" t="n">
        <v>2040</v>
      </c>
      <c r="G1557" t="inlineStr"/>
      <c r="H1557" t="inlineStr"/>
      <c r="I1557" t="n">
        <v>6571.6934</v>
      </c>
      <c r="J1557" t="n">
        <v>28060.4535</v>
      </c>
      <c r="K1557" t="n">
        <v>35509573.74</v>
      </c>
      <c r="L1557" t="n">
        <v>59361089.2</v>
      </c>
      <c r="M1557" t="n">
        <v>32460.3666</v>
      </c>
      <c r="N1557" t="inlineStr">
        <is>
          <t>Spend-Based Estimate</t>
        </is>
      </c>
      <c r="O1557" t="b">
        <v>1</v>
      </c>
      <c r="P1557" t="inlineStr">
        <is>
          <t>Medium</t>
        </is>
      </c>
      <c r="Q1557" t="inlineStr">
        <is>
          <t>Reported_Emissions; Scope_Emissions</t>
        </is>
      </c>
      <c r="R1557" t="inlineStr">
        <is>
          <t>Valid</t>
        </is>
      </c>
      <c r="S1557" t="n">
        <v>2028</v>
      </c>
      <c r="T1557" t="inlineStr">
        <is>
          <t>Supplier Target Pathway</t>
        </is>
      </c>
      <c r="U1557" t="n">
        <v>34657.8376</v>
      </c>
      <c r="V1557" t="n">
        <v>10743.9297</v>
      </c>
      <c r="W1557" t="n">
        <v>23787.8794</v>
      </c>
      <c r="X1557" t="n">
        <v>23787.8794</v>
      </c>
      <c r="Y1557" t="n">
        <v>10869.9582</v>
      </c>
      <c r="Z1557" t="n">
        <v>0.0006699</v>
      </c>
      <c r="AA1557" t="n">
        <v>0.313636</v>
      </c>
      <c r="AB1557" t="n">
        <v>13043.9498</v>
      </c>
      <c r="AC1557" t="n">
        <v>1086.9958</v>
      </c>
      <c r="AD1557" t="n">
        <v>70229.38250000001</v>
      </c>
      <c r="AE1557" t="n">
        <v>101673.4927</v>
      </c>
      <c r="AF1557" t="n">
        <v>0.99</v>
      </c>
      <c r="AG1557" t="inlineStr">
        <is>
          <t>Critical</t>
        </is>
      </c>
      <c r="AH1557" t="inlineStr">
        <is>
          <t>On Track to Glide Path</t>
        </is>
      </c>
    </row>
    <row r="1558">
      <c r="A1558" t="inlineStr">
        <is>
          <t>SUP-0098</t>
        </is>
      </c>
      <c r="B1558" t="inlineStr">
        <is>
          <t>Agriculture Supplier 098</t>
        </is>
      </c>
      <c r="C1558" t="inlineStr">
        <is>
          <t>Agriculture</t>
        </is>
      </c>
      <c r="D1558" t="n">
        <v>2024</v>
      </c>
      <c r="E1558" t="n">
        <v>2018</v>
      </c>
      <c r="F1558" t="n">
        <v>2040</v>
      </c>
      <c r="G1558" t="inlineStr"/>
      <c r="H1558" t="inlineStr"/>
      <c r="I1558" t="n">
        <v>6571.6934</v>
      </c>
      <c r="J1558" t="n">
        <v>28060.4535</v>
      </c>
      <c r="K1558" t="n">
        <v>35509573.74</v>
      </c>
      <c r="L1558" t="n">
        <v>59361089.2</v>
      </c>
      <c r="M1558" t="n">
        <v>32460.3666</v>
      </c>
      <c r="N1558" t="inlineStr">
        <is>
          <t>Spend-Based Estimate</t>
        </is>
      </c>
      <c r="O1558" t="b">
        <v>1</v>
      </c>
      <c r="P1558" t="inlineStr">
        <is>
          <t>Medium</t>
        </is>
      </c>
      <c r="Q1558" t="inlineStr">
        <is>
          <t>Reported_Emissions; Scope_Emissions</t>
        </is>
      </c>
      <c r="R1558" t="inlineStr">
        <is>
          <t>Valid</t>
        </is>
      </c>
      <c r="S1558" t="n">
        <v>2029</v>
      </c>
      <c r="T1558" t="inlineStr">
        <is>
          <t>Supplier Target Pathway</t>
        </is>
      </c>
      <c r="U1558" t="n">
        <v>34657.8376</v>
      </c>
      <c r="V1558" t="n">
        <v>10743.9297</v>
      </c>
      <c r="W1558" t="n">
        <v>22700.8836</v>
      </c>
      <c r="X1558" t="n">
        <v>22700.8836</v>
      </c>
      <c r="Y1558" t="n">
        <v>11956.954</v>
      </c>
      <c r="Z1558" t="n">
        <v>0.00063929</v>
      </c>
      <c r="AA1558" t="n">
        <v>0.345</v>
      </c>
      <c r="AB1558" t="n">
        <v>11956.954</v>
      </c>
      <c r="AC1558" t="n">
        <v>1086.9958</v>
      </c>
      <c r="AD1558" t="n">
        <v>47528.4989</v>
      </c>
      <c r="AE1558" t="n">
        <v>124374.3763</v>
      </c>
      <c r="AF1558" t="n">
        <v>0.99</v>
      </c>
      <c r="AG1558" t="inlineStr">
        <is>
          <t>Critical</t>
        </is>
      </c>
      <c r="AH1558" t="inlineStr">
        <is>
          <t>On Track to Glide Path</t>
        </is>
      </c>
    </row>
    <row r="1559">
      <c r="A1559" t="inlineStr">
        <is>
          <t>SUP-0098</t>
        </is>
      </c>
      <c r="B1559" t="inlineStr">
        <is>
          <t>Agriculture Supplier 098</t>
        </is>
      </c>
      <c r="C1559" t="inlineStr">
        <is>
          <t>Agriculture</t>
        </is>
      </c>
      <c r="D1559" t="n">
        <v>2024</v>
      </c>
      <c r="E1559" t="n">
        <v>2018</v>
      </c>
      <c r="F1559" t="n">
        <v>2040</v>
      </c>
      <c r="G1559" t="inlineStr"/>
      <c r="H1559" t="inlineStr"/>
      <c r="I1559" t="n">
        <v>6571.6934</v>
      </c>
      <c r="J1559" t="n">
        <v>28060.4535</v>
      </c>
      <c r="K1559" t="n">
        <v>35509573.74</v>
      </c>
      <c r="L1559" t="n">
        <v>59361089.2</v>
      </c>
      <c r="M1559" t="n">
        <v>32460.3666</v>
      </c>
      <c r="N1559" t="inlineStr">
        <is>
          <t>Spend-Based Estimate</t>
        </is>
      </c>
      <c r="O1559" t="b">
        <v>1</v>
      </c>
      <c r="P1559" t="inlineStr">
        <is>
          <t>Medium</t>
        </is>
      </c>
      <c r="Q1559" t="inlineStr">
        <is>
          <t>Reported_Emissions; Scope_Emissions</t>
        </is>
      </c>
      <c r="R1559" t="inlineStr">
        <is>
          <t>Valid</t>
        </is>
      </c>
      <c r="S1559" t="n">
        <v>2030</v>
      </c>
      <c r="T1559" t="inlineStr">
        <is>
          <t>Supplier Target Pathway</t>
        </is>
      </c>
      <c r="U1559" t="n">
        <v>34657.8376</v>
      </c>
      <c r="V1559" t="n">
        <v>10743.9297</v>
      </c>
      <c r="W1559" t="n">
        <v>21613.8878</v>
      </c>
      <c r="X1559" t="n">
        <v>21613.8878</v>
      </c>
      <c r="Y1559" t="n">
        <v>13043.9498</v>
      </c>
      <c r="Z1559" t="n">
        <v>0.00060868</v>
      </c>
      <c r="AA1559" t="n">
        <v>0.376364</v>
      </c>
      <c r="AB1559" t="n">
        <v>10869.9582</v>
      </c>
      <c r="AC1559" t="n">
        <v>1086.9958</v>
      </c>
      <c r="AD1559" t="n">
        <v>25914.6111</v>
      </c>
      <c r="AE1559" t="n">
        <v>145988.2641</v>
      </c>
      <c r="AF1559" t="n">
        <v>0.99</v>
      </c>
      <c r="AG1559" t="inlineStr">
        <is>
          <t>Critical</t>
        </is>
      </c>
      <c r="AH1559" t="inlineStr">
        <is>
          <t>On Track to Glide Path</t>
        </is>
      </c>
    </row>
    <row r="1560">
      <c r="A1560" t="inlineStr">
        <is>
          <t>SUP-0098</t>
        </is>
      </c>
      <c r="B1560" t="inlineStr">
        <is>
          <t>Agriculture Supplier 098</t>
        </is>
      </c>
      <c r="C1560" t="inlineStr">
        <is>
          <t>Agriculture</t>
        </is>
      </c>
      <c r="D1560" t="n">
        <v>2024</v>
      </c>
      <c r="E1560" t="n">
        <v>2018</v>
      </c>
      <c r="F1560" t="n">
        <v>2040</v>
      </c>
      <c r="G1560" t="inlineStr"/>
      <c r="H1560" t="inlineStr"/>
      <c r="I1560" t="n">
        <v>6571.6934</v>
      </c>
      <c r="J1560" t="n">
        <v>28060.4535</v>
      </c>
      <c r="K1560" t="n">
        <v>35509573.74</v>
      </c>
      <c r="L1560" t="n">
        <v>59361089.2</v>
      </c>
      <c r="M1560" t="n">
        <v>32460.3666</v>
      </c>
      <c r="N1560" t="inlineStr">
        <is>
          <t>Spend-Based Estimate</t>
        </is>
      </c>
      <c r="O1560" t="b">
        <v>1</v>
      </c>
      <c r="P1560" t="inlineStr">
        <is>
          <t>Medium</t>
        </is>
      </c>
      <c r="Q1560" t="inlineStr">
        <is>
          <t>Reported_Emissions; Scope_Emissions</t>
        </is>
      </c>
      <c r="R1560" t="inlineStr">
        <is>
          <t>Valid</t>
        </is>
      </c>
      <c r="S1560" t="n">
        <v>2031</v>
      </c>
      <c r="T1560" t="inlineStr">
        <is>
          <t>Supplier Target Pathway</t>
        </is>
      </c>
      <c r="U1560" t="n">
        <v>34657.8376</v>
      </c>
      <c r="V1560" t="n">
        <v>10743.9297</v>
      </c>
      <c r="W1560" t="n">
        <v>20526.892</v>
      </c>
      <c r="X1560" t="n">
        <v>20526.892</v>
      </c>
      <c r="Y1560" t="n">
        <v>14130.9456</v>
      </c>
      <c r="Z1560" t="n">
        <v>0.00057807</v>
      </c>
      <c r="AA1560" t="n">
        <v>0.407727</v>
      </c>
      <c r="AB1560" t="n">
        <v>9782.962299999999</v>
      </c>
      <c r="AC1560" t="n">
        <v>1086.9958</v>
      </c>
      <c r="AD1560" t="n">
        <v>5387.7191</v>
      </c>
      <c r="AE1560" t="n">
        <v>166515.1561</v>
      </c>
      <c r="AF1560" t="n">
        <v>0.99</v>
      </c>
      <c r="AG1560" t="inlineStr">
        <is>
          <t>Critical</t>
        </is>
      </c>
      <c r="AH1560" t="inlineStr">
        <is>
          <t>On Track to Glide Path</t>
        </is>
      </c>
    </row>
    <row r="1561">
      <c r="A1561" t="inlineStr">
        <is>
          <t>SUP-0098</t>
        </is>
      </c>
      <c r="B1561" t="inlineStr">
        <is>
          <t>Agriculture Supplier 098</t>
        </is>
      </c>
      <c r="C1561" t="inlineStr">
        <is>
          <t>Agriculture</t>
        </is>
      </c>
      <c r="D1561" t="n">
        <v>2024</v>
      </c>
      <c r="E1561" t="n">
        <v>2018</v>
      </c>
      <c r="F1561" t="n">
        <v>2040</v>
      </c>
      <c r="G1561" t="inlineStr"/>
      <c r="H1561" t="inlineStr"/>
      <c r="I1561" t="n">
        <v>6571.6934</v>
      </c>
      <c r="J1561" t="n">
        <v>28060.4535</v>
      </c>
      <c r="K1561" t="n">
        <v>35509573.74</v>
      </c>
      <c r="L1561" t="n">
        <v>59361089.2</v>
      </c>
      <c r="M1561" t="n">
        <v>32460.3666</v>
      </c>
      <c r="N1561" t="inlineStr">
        <is>
          <t>Spend-Based Estimate</t>
        </is>
      </c>
      <c r="O1561" t="b">
        <v>1</v>
      </c>
      <c r="P1561" t="inlineStr">
        <is>
          <t>Medium</t>
        </is>
      </c>
      <c r="Q1561" t="inlineStr">
        <is>
          <t>Reported_Emissions; Scope_Emissions</t>
        </is>
      </c>
      <c r="R1561" t="inlineStr">
        <is>
          <t>Valid</t>
        </is>
      </c>
      <c r="S1561" t="n">
        <v>2032</v>
      </c>
      <c r="T1561" t="inlineStr">
        <is>
          <t>Supplier Target Pathway</t>
        </is>
      </c>
      <c r="U1561" t="n">
        <v>34657.8376</v>
      </c>
      <c r="V1561" t="n">
        <v>10743.9297</v>
      </c>
      <c r="W1561" t="n">
        <v>19439.8962</v>
      </c>
      <c r="X1561" t="n">
        <v>19439.8962</v>
      </c>
      <c r="Y1561" t="n">
        <v>15217.9414</v>
      </c>
      <c r="Z1561" t="n">
        <v>0.00054746</v>
      </c>
      <c r="AA1561" t="n">
        <v>0.439091</v>
      </c>
      <c r="AB1561" t="n">
        <v>8695.9665</v>
      </c>
      <c r="AC1561" t="n">
        <v>1086.9958</v>
      </c>
      <c r="AD1561" t="n">
        <v>-14052.1771</v>
      </c>
      <c r="AE1561" t="n">
        <v>185955.0523</v>
      </c>
      <c r="AF1561" t="n">
        <v>0.99</v>
      </c>
      <c r="AG1561" t="inlineStr">
        <is>
          <t>Critical</t>
        </is>
      </c>
      <c r="AH1561" t="inlineStr">
        <is>
          <t>On Track to Glide Path</t>
        </is>
      </c>
    </row>
    <row r="1562">
      <c r="A1562" t="inlineStr">
        <is>
          <t>SUP-0098</t>
        </is>
      </c>
      <c r="B1562" t="inlineStr">
        <is>
          <t>Agriculture Supplier 098</t>
        </is>
      </c>
      <c r="C1562" t="inlineStr">
        <is>
          <t>Agriculture</t>
        </is>
      </c>
      <c r="D1562" t="n">
        <v>2024</v>
      </c>
      <c r="E1562" t="n">
        <v>2018</v>
      </c>
      <c r="F1562" t="n">
        <v>2040</v>
      </c>
      <c r="G1562" t="inlineStr"/>
      <c r="H1562" t="inlineStr"/>
      <c r="I1562" t="n">
        <v>6571.6934</v>
      </c>
      <c r="J1562" t="n">
        <v>28060.4535</v>
      </c>
      <c r="K1562" t="n">
        <v>35509573.74</v>
      </c>
      <c r="L1562" t="n">
        <v>59361089.2</v>
      </c>
      <c r="M1562" t="n">
        <v>32460.3666</v>
      </c>
      <c r="N1562" t="inlineStr">
        <is>
          <t>Spend-Based Estimate</t>
        </is>
      </c>
      <c r="O1562" t="b">
        <v>1</v>
      </c>
      <c r="P1562" t="inlineStr">
        <is>
          <t>Medium</t>
        </is>
      </c>
      <c r="Q1562" t="inlineStr">
        <is>
          <t>Reported_Emissions; Scope_Emissions</t>
        </is>
      </c>
      <c r="R1562" t="inlineStr">
        <is>
          <t>Valid</t>
        </is>
      </c>
      <c r="S1562" t="n">
        <v>2033</v>
      </c>
      <c r="T1562" t="inlineStr">
        <is>
          <t>Supplier Target Pathway</t>
        </is>
      </c>
      <c r="U1562" t="n">
        <v>34657.8376</v>
      </c>
      <c r="V1562" t="n">
        <v>10743.9297</v>
      </c>
      <c r="W1562" t="n">
        <v>18352.9004</v>
      </c>
      <c r="X1562" t="n">
        <v>18352.9004</v>
      </c>
      <c r="Y1562" t="n">
        <v>16304.9372</v>
      </c>
      <c r="Z1562" t="n">
        <v>0.00051684</v>
      </c>
      <c r="AA1562" t="n">
        <v>0.470455</v>
      </c>
      <c r="AB1562" t="n">
        <v>7608.9707</v>
      </c>
      <c r="AC1562" t="n">
        <v>1086.9958</v>
      </c>
      <c r="AD1562" t="n">
        <v>-32405.0775</v>
      </c>
      <c r="AE1562" t="n">
        <v>204307.9527</v>
      </c>
      <c r="AF1562" t="n">
        <v>0.99</v>
      </c>
      <c r="AG1562" t="inlineStr">
        <is>
          <t>Critical</t>
        </is>
      </c>
      <c r="AH1562" t="inlineStr">
        <is>
          <t>On Track to Glide Path</t>
        </is>
      </c>
    </row>
    <row r="1563">
      <c r="A1563" t="inlineStr">
        <is>
          <t>SUP-0098</t>
        </is>
      </c>
      <c r="B1563" t="inlineStr">
        <is>
          <t>Agriculture Supplier 098</t>
        </is>
      </c>
      <c r="C1563" t="inlineStr">
        <is>
          <t>Agriculture</t>
        </is>
      </c>
      <c r="D1563" t="n">
        <v>2024</v>
      </c>
      <c r="E1563" t="n">
        <v>2018</v>
      </c>
      <c r="F1563" t="n">
        <v>2040</v>
      </c>
      <c r="G1563" t="inlineStr"/>
      <c r="H1563" t="inlineStr"/>
      <c r="I1563" t="n">
        <v>6571.6934</v>
      </c>
      <c r="J1563" t="n">
        <v>28060.4535</v>
      </c>
      <c r="K1563" t="n">
        <v>35509573.74</v>
      </c>
      <c r="L1563" t="n">
        <v>59361089.2</v>
      </c>
      <c r="M1563" t="n">
        <v>32460.3666</v>
      </c>
      <c r="N1563" t="inlineStr">
        <is>
          <t>Spend-Based Estimate</t>
        </is>
      </c>
      <c r="O1563" t="b">
        <v>1</v>
      </c>
      <c r="P1563" t="inlineStr">
        <is>
          <t>Medium</t>
        </is>
      </c>
      <c r="Q1563" t="inlineStr">
        <is>
          <t>Reported_Emissions; Scope_Emissions</t>
        </is>
      </c>
      <c r="R1563" t="inlineStr">
        <is>
          <t>Valid</t>
        </is>
      </c>
      <c r="S1563" t="n">
        <v>2034</v>
      </c>
      <c r="T1563" t="inlineStr">
        <is>
          <t>Supplier Target Pathway</t>
        </is>
      </c>
      <c r="U1563" t="n">
        <v>34657.8376</v>
      </c>
      <c r="V1563" t="n">
        <v>10743.9297</v>
      </c>
      <c r="W1563" t="n">
        <v>17265.9045</v>
      </c>
      <c r="X1563" t="n">
        <v>17265.9045</v>
      </c>
      <c r="Y1563" t="n">
        <v>17391.9331</v>
      </c>
      <c r="Z1563" t="n">
        <v>0.00048623</v>
      </c>
      <c r="AA1563" t="n">
        <v>0.501818</v>
      </c>
      <c r="AB1563" t="n">
        <v>6521.9749</v>
      </c>
      <c r="AC1563" t="n">
        <v>1086.9958</v>
      </c>
      <c r="AD1563" t="n">
        <v>-49670.982</v>
      </c>
      <c r="AE1563" t="n">
        <v>221573.8572</v>
      </c>
      <c r="AF1563" t="n">
        <v>0.99</v>
      </c>
      <c r="AG1563" t="inlineStr">
        <is>
          <t>Critical</t>
        </is>
      </c>
      <c r="AH1563" t="inlineStr">
        <is>
          <t>On Track to Glide Path</t>
        </is>
      </c>
    </row>
    <row r="1564">
      <c r="A1564" t="inlineStr">
        <is>
          <t>SUP-0098</t>
        </is>
      </c>
      <c r="B1564" t="inlineStr">
        <is>
          <t>Agriculture Supplier 098</t>
        </is>
      </c>
      <c r="C1564" t="inlineStr">
        <is>
          <t>Agriculture</t>
        </is>
      </c>
      <c r="D1564" t="n">
        <v>2024</v>
      </c>
      <c r="E1564" t="n">
        <v>2018</v>
      </c>
      <c r="F1564" t="n">
        <v>2040</v>
      </c>
      <c r="G1564" t="inlineStr"/>
      <c r="H1564" t="inlineStr"/>
      <c r="I1564" t="n">
        <v>6571.6934</v>
      </c>
      <c r="J1564" t="n">
        <v>28060.4535</v>
      </c>
      <c r="K1564" t="n">
        <v>35509573.74</v>
      </c>
      <c r="L1564" t="n">
        <v>59361089.2</v>
      </c>
      <c r="M1564" t="n">
        <v>32460.3666</v>
      </c>
      <c r="N1564" t="inlineStr">
        <is>
          <t>Spend-Based Estimate</t>
        </is>
      </c>
      <c r="O1564" t="b">
        <v>1</v>
      </c>
      <c r="P1564" t="inlineStr">
        <is>
          <t>Medium</t>
        </is>
      </c>
      <c r="Q1564" t="inlineStr">
        <is>
          <t>Reported_Emissions; Scope_Emissions</t>
        </is>
      </c>
      <c r="R1564" t="inlineStr">
        <is>
          <t>Valid</t>
        </is>
      </c>
      <c r="S1564" t="n">
        <v>2035</v>
      </c>
      <c r="T1564" t="inlineStr">
        <is>
          <t>Supplier Target Pathway</t>
        </is>
      </c>
      <c r="U1564" t="n">
        <v>34657.8376</v>
      </c>
      <c r="V1564" t="n">
        <v>10743.9297</v>
      </c>
      <c r="W1564" t="n">
        <v>16178.9087</v>
      </c>
      <c r="X1564" t="n">
        <v>16178.9087</v>
      </c>
      <c r="Y1564" t="n">
        <v>18478.9289</v>
      </c>
      <c r="Z1564" t="n">
        <v>0.00045562</v>
      </c>
      <c r="AA1564" t="n">
        <v>0.533182</v>
      </c>
      <c r="AB1564" t="n">
        <v>5434.9791</v>
      </c>
      <c r="AC1564" t="n">
        <v>1086.9958</v>
      </c>
      <c r="AD1564" t="n">
        <v>-65849.8907</v>
      </c>
      <c r="AE1564" t="n">
        <v>237752.7659</v>
      </c>
      <c r="AF1564" t="n">
        <v>0.99</v>
      </c>
      <c r="AG1564" t="inlineStr">
        <is>
          <t>Critical</t>
        </is>
      </c>
      <c r="AH1564" t="inlineStr">
        <is>
          <t>On Track to Glide Path</t>
        </is>
      </c>
    </row>
    <row r="1565">
      <c r="A1565" t="inlineStr">
        <is>
          <t>SUP-0098</t>
        </is>
      </c>
      <c r="B1565" t="inlineStr">
        <is>
          <t>Agriculture Supplier 098</t>
        </is>
      </c>
      <c r="C1565" t="inlineStr">
        <is>
          <t>Agriculture</t>
        </is>
      </c>
      <c r="D1565" t="n">
        <v>2024</v>
      </c>
      <c r="E1565" t="n">
        <v>2018</v>
      </c>
      <c r="F1565" t="n">
        <v>2040</v>
      </c>
      <c r="G1565" t="inlineStr"/>
      <c r="H1565" t="inlineStr"/>
      <c r="I1565" t="n">
        <v>6571.6934</v>
      </c>
      <c r="J1565" t="n">
        <v>28060.4535</v>
      </c>
      <c r="K1565" t="n">
        <v>35509573.74</v>
      </c>
      <c r="L1565" t="n">
        <v>59361089.2</v>
      </c>
      <c r="M1565" t="n">
        <v>32460.3666</v>
      </c>
      <c r="N1565" t="inlineStr">
        <is>
          <t>Spend-Based Estimate</t>
        </is>
      </c>
      <c r="O1565" t="b">
        <v>1</v>
      </c>
      <c r="P1565" t="inlineStr">
        <is>
          <t>Medium</t>
        </is>
      </c>
      <c r="Q1565" t="inlineStr">
        <is>
          <t>Reported_Emissions; Scope_Emissions</t>
        </is>
      </c>
      <c r="R1565" t="inlineStr">
        <is>
          <t>Valid</t>
        </is>
      </c>
      <c r="S1565" t="n">
        <v>2036</v>
      </c>
      <c r="T1565" t="inlineStr">
        <is>
          <t>Supplier Target Pathway</t>
        </is>
      </c>
      <c r="U1565" t="n">
        <v>34657.8376</v>
      </c>
      <c r="V1565" t="n">
        <v>10743.9297</v>
      </c>
      <c r="W1565" t="n">
        <v>15091.9129</v>
      </c>
      <c r="X1565" t="n">
        <v>15091.9129</v>
      </c>
      <c r="Y1565" t="n">
        <v>19565.9247</v>
      </c>
      <c r="Z1565" t="n">
        <v>0.00042501</v>
      </c>
      <c r="AA1565" t="n">
        <v>0.564545</v>
      </c>
      <c r="AB1565" t="n">
        <v>4347.9833</v>
      </c>
      <c r="AC1565" t="n">
        <v>1086.9958</v>
      </c>
      <c r="AD1565" t="n">
        <v>-80941.8036</v>
      </c>
      <c r="AE1565" t="n">
        <v>252844.6788</v>
      </c>
      <c r="AF1565" t="n">
        <v>0.99</v>
      </c>
      <c r="AG1565" t="inlineStr">
        <is>
          <t>Critical</t>
        </is>
      </c>
      <c r="AH1565" t="inlineStr">
        <is>
          <t>On Track to Glide Path</t>
        </is>
      </c>
    </row>
    <row r="1566">
      <c r="A1566" t="inlineStr">
        <is>
          <t>SUP-0098</t>
        </is>
      </c>
      <c r="B1566" t="inlineStr">
        <is>
          <t>Agriculture Supplier 098</t>
        </is>
      </c>
      <c r="C1566" t="inlineStr">
        <is>
          <t>Agriculture</t>
        </is>
      </c>
      <c r="D1566" t="n">
        <v>2024</v>
      </c>
      <c r="E1566" t="n">
        <v>2018</v>
      </c>
      <c r="F1566" t="n">
        <v>2040</v>
      </c>
      <c r="G1566" t="inlineStr"/>
      <c r="H1566" t="inlineStr"/>
      <c r="I1566" t="n">
        <v>6571.6934</v>
      </c>
      <c r="J1566" t="n">
        <v>28060.4535</v>
      </c>
      <c r="K1566" t="n">
        <v>35509573.74</v>
      </c>
      <c r="L1566" t="n">
        <v>59361089.2</v>
      </c>
      <c r="M1566" t="n">
        <v>32460.3666</v>
      </c>
      <c r="N1566" t="inlineStr">
        <is>
          <t>Spend-Based Estimate</t>
        </is>
      </c>
      <c r="O1566" t="b">
        <v>1</v>
      </c>
      <c r="P1566" t="inlineStr">
        <is>
          <t>Medium</t>
        </is>
      </c>
      <c r="Q1566" t="inlineStr">
        <is>
          <t>Reported_Emissions; Scope_Emissions</t>
        </is>
      </c>
      <c r="R1566" t="inlineStr">
        <is>
          <t>Valid</t>
        </is>
      </c>
      <c r="S1566" t="n">
        <v>2037</v>
      </c>
      <c r="T1566" t="inlineStr">
        <is>
          <t>Supplier Target Pathway</t>
        </is>
      </c>
      <c r="U1566" t="n">
        <v>34657.8376</v>
      </c>
      <c r="V1566" t="n">
        <v>10743.9297</v>
      </c>
      <c r="W1566" t="n">
        <v>14004.9171</v>
      </c>
      <c r="X1566" t="n">
        <v>14004.9171</v>
      </c>
      <c r="Y1566" t="n">
        <v>20652.9205</v>
      </c>
      <c r="Z1566" t="n">
        <v>0.0003944</v>
      </c>
      <c r="AA1566" t="n">
        <v>0.595909</v>
      </c>
      <c r="AB1566" t="n">
        <v>3260.9874</v>
      </c>
      <c r="AC1566" t="n">
        <v>1086.9958</v>
      </c>
      <c r="AD1566" t="n">
        <v>-94946.72070000001</v>
      </c>
      <c r="AE1566" t="n">
        <v>266849.5959</v>
      </c>
      <c r="AF1566" t="n">
        <v>0.99</v>
      </c>
      <c r="AG1566" t="inlineStr">
        <is>
          <t>High</t>
        </is>
      </c>
      <c r="AH1566" t="inlineStr">
        <is>
          <t>On Track to Glide Path</t>
        </is>
      </c>
    </row>
    <row r="1567">
      <c r="A1567" t="inlineStr">
        <is>
          <t>SUP-0098</t>
        </is>
      </c>
      <c r="B1567" t="inlineStr">
        <is>
          <t>Agriculture Supplier 098</t>
        </is>
      </c>
      <c r="C1567" t="inlineStr">
        <is>
          <t>Agriculture</t>
        </is>
      </c>
      <c r="D1567" t="n">
        <v>2024</v>
      </c>
      <c r="E1567" t="n">
        <v>2018</v>
      </c>
      <c r="F1567" t="n">
        <v>2040</v>
      </c>
      <c r="G1567" t="inlineStr"/>
      <c r="H1567" t="inlineStr"/>
      <c r="I1567" t="n">
        <v>6571.6934</v>
      </c>
      <c r="J1567" t="n">
        <v>28060.4535</v>
      </c>
      <c r="K1567" t="n">
        <v>35509573.74</v>
      </c>
      <c r="L1567" t="n">
        <v>59361089.2</v>
      </c>
      <c r="M1567" t="n">
        <v>32460.3666</v>
      </c>
      <c r="N1567" t="inlineStr">
        <is>
          <t>Spend-Based Estimate</t>
        </is>
      </c>
      <c r="O1567" t="b">
        <v>1</v>
      </c>
      <c r="P1567" t="inlineStr">
        <is>
          <t>Medium</t>
        </is>
      </c>
      <c r="Q1567" t="inlineStr">
        <is>
          <t>Reported_Emissions; Scope_Emissions</t>
        </is>
      </c>
      <c r="R1567" t="inlineStr">
        <is>
          <t>Valid</t>
        </is>
      </c>
      <c r="S1567" t="n">
        <v>2038</v>
      </c>
      <c r="T1567" t="inlineStr">
        <is>
          <t>Supplier Target Pathway</t>
        </is>
      </c>
      <c r="U1567" t="n">
        <v>34657.8376</v>
      </c>
      <c r="V1567" t="n">
        <v>10743.9297</v>
      </c>
      <c r="W1567" t="n">
        <v>12917.9213</v>
      </c>
      <c r="X1567" t="n">
        <v>12917.9213</v>
      </c>
      <c r="Y1567" t="n">
        <v>21739.9163</v>
      </c>
      <c r="Z1567" t="n">
        <v>0.00036379</v>
      </c>
      <c r="AA1567" t="n">
        <v>0.627273</v>
      </c>
      <c r="AB1567" t="n">
        <v>2173.9916</v>
      </c>
      <c r="AC1567" t="n">
        <v>1086.9958</v>
      </c>
      <c r="AD1567" t="n">
        <v>-107864.642</v>
      </c>
      <c r="AE1567" t="n">
        <v>279767.5172</v>
      </c>
      <c r="AF1567" t="n">
        <v>0.99</v>
      </c>
      <c r="AG1567" t="inlineStr">
        <is>
          <t>High</t>
        </is>
      </c>
      <c r="AH1567" t="inlineStr">
        <is>
          <t>On Track to Glide Path</t>
        </is>
      </c>
    </row>
    <row r="1568">
      <c r="A1568" t="inlineStr">
        <is>
          <t>SUP-0098</t>
        </is>
      </c>
      <c r="B1568" t="inlineStr">
        <is>
          <t>Agriculture Supplier 098</t>
        </is>
      </c>
      <c r="C1568" t="inlineStr">
        <is>
          <t>Agriculture</t>
        </is>
      </c>
      <c r="D1568" t="n">
        <v>2024</v>
      </c>
      <c r="E1568" t="n">
        <v>2018</v>
      </c>
      <c r="F1568" t="n">
        <v>2040</v>
      </c>
      <c r="G1568" t="inlineStr"/>
      <c r="H1568" t="inlineStr"/>
      <c r="I1568" t="n">
        <v>6571.6934</v>
      </c>
      <c r="J1568" t="n">
        <v>28060.4535</v>
      </c>
      <c r="K1568" t="n">
        <v>35509573.74</v>
      </c>
      <c r="L1568" t="n">
        <v>59361089.2</v>
      </c>
      <c r="M1568" t="n">
        <v>32460.3666</v>
      </c>
      <c r="N1568" t="inlineStr">
        <is>
          <t>Spend-Based Estimate</t>
        </is>
      </c>
      <c r="O1568" t="b">
        <v>1</v>
      </c>
      <c r="P1568" t="inlineStr">
        <is>
          <t>Medium</t>
        </is>
      </c>
      <c r="Q1568" t="inlineStr">
        <is>
          <t>Reported_Emissions; Scope_Emissions</t>
        </is>
      </c>
      <c r="R1568" t="inlineStr">
        <is>
          <t>Valid</t>
        </is>
      </c>
      <c r="S1568" t="n">
        <v>2039</v>
      </c>
      <c r="T1568" t="inlineStr">
        <is>
          <t>Supplier Target Pathway</t>
        </is>
      </c>
      <c r="U1568" t="n">
        <v>34657.8376</v>
      </c>
      <c r="V1568" t="n">
        <v>10743.9297</v>
      </c>
      <c r="W1568" t="n">
        <v>11830.9255</v>
      </c>
      <c r="X1568" t="n">
        <v>11830.9255</v>
      </c>
      <c r="Y1568" t="n">
        <v>22826.9121</v>
      </c>
      <c r="Z1568" t="n">
        <v>0.00033318</v>
      </c>
      <c r="AA1568" t="n">
        <v>0.658636</v>
      </c>
      <c r="AB1568" t="n">
        <v>1086.9958</v>
      </c>
      <c r="AC1568" t="n">
        <v>1086.9958</v>
      </c>
      <c r="AD1568" t="n">
        <v>-119695.5675</v>
      </c>
      <c r="AE1568" t="n">
        <v>291598.4427</v>
      </c>
      <c r="AF1568" t="n">
        <v>0.99</v>
      </c>
      <c r="AG1568" t="inlineStr">
        <is>
          <t>Medium</t>
        </is>
      </c>
      <c r="AH1568" t="inlineStr">
        <is>
          <t>On Track to Glide Path</t>
        </is>
      </c>
    </row>
    <row r="1569">
      <c r="A1569" t="inlineStr">
        <is>
          <t>SUP-0098</t>
        </is>
      </c>
      <c r="B1569" t="inlineStr">
        <is>
          <t>Agriculture Supplier 098</t>
        </is>
      </c>
      <c r="C1569" t="inlineStr">
        <is>
          <t>Agriculture</t>
        </is>
      </c>
      <c r="D1569" t="n">
        <v>2024</v>
      </c>
      <c r="E1569" t="n">
        <v>2018</v>
      </c>
      <c r="F1569" t="n">
        <v>2040</v>
      </c>
      <c r="G1569" t="inlineStr"/>
      <c r="H1569" t="inlineStr"/>
      <c r="I1569" t="n">
        <v>6571.6934</v>
      </c>
      <c r="J1569" t="n">
        <v>28060.4535</v>
      </c>
      <c r="K1569" t="n">
        <v>35509573.74</v>
      </c>
      <c r="L1569" t="n">
        <v>59361089.2</v>
      </c>
      <c r="M1569" t="n">
        <v>32460.3666</v>
      </c>
      <c r="N1569" t="inlineStr">
        <is>
          <t>Spend-Based Estimate</t>
        </is>
      </c>
      <c r="O1569" t="b">
        <v>1</v>
      </c>
      <c r="P1569" t="inlineStr">
        <is>
          <t>Medium</t>
        </is>
      </c>
      <c r="Q1569" t="inlineStr">
        <is>
          <t>Reported_Emissions; Scope_Emissions</t>
        </is>
      </c>
      <c r="R1569" t="inlineStr">
        <is>
          <t>Valid</t>
        </is>
      </c>
      <c r="S1569" t="n">
        <v>2040</v>
      </c>
      <c r="T1569" t="inlineStr">
        <is>
          <t>Supplier Target Pathway</t>
        </is>
      </c>
      <c r="U1569" t="n">
        <v>34657.8376</v>
      </c>
      <c r="V1569" t="n">
        <v>10743.9297</v>
      </c>
      <c r="W1569" t="n">
        <v>10743.9297</v>
      </c>
      <c r="X1569" t="n">
        <v>10743.9297</v>
      </c>
      <c r="Y1569" t="n">
        <v>23913.9079</v>
      </c>
      <c r="Z1569" t="n">
        <v>0.00030256</v>
      </c>
      <c r="AA1569" t="n">
        <v>0.6899999999999999</v>
      </c>
      <c r="AB1569" t="n">
        <v>0</v>
      </c>
      <c r="AC1569" t="n">
        <v>1086.9958</v>
      </c>
      <c r="AD1569" t="n">
        <v>-130439.4972</v>
      </c>
      <c r="AE1569" t="n">
        <v>302342.3724</v>
      </c>
      <c r="AF1569" t="n">
        <v>0.99</v>
      </c>
      <c r="AG1569" t="inlineStr">
        <is>
          <t>Low</t>
        </is>
      </c>
      <c r="AH1569" t="inlineStr">
        <is>
          <t>On Track</t>
        </is>
      </c>
    </row>
    <row r="1570">
      <c r="A1570" t="inlineStr">
        <is>
          <t>SUP-0099</t>
        </is>
      </c>
      <c r="B1570" t="inlineStr">
        <is>
          <t>Electronics Supplier 099</t>
        </is>
      </c>
      <c r="C1570" t="inlineStr">
        <is>
          <t>Electronics</t>
        </is>
      </c>
      <c r="D1570" t="n">
        <v>2024</v>
      </c>
      <c r="E1570" t="n">
        <v>2015</v>
      </c>
      <c r="F1570" t="n">
        <v>2040</v>
      </c>
      <c r="G1570" t="inlineStr"/>
      <c r="H1570" t="inlineStr"/>
      <c r="I1570" t="n">
        <v>464.4015</v>
      </c>
      <c r="J1570" t="inlineStr"/>
      <c r="K1570" t="n">
        <v>16552919.08</v>
      </c>
      <c r="L1570" t="n">
        <v>106880751</v>
      </c>
      <c r="M1570" t="n">
        <v>14252.891</v>
      </c>
      <c r="N1570" t="inlineStr">
        <is>
          <t>Spend-Based Estimate</t>
        </is>
      </c>
      <c r="O1570" t="b">
        <v>1</v>
      </c>
      <c r="P1570" t="inlineStr">
        <is>
          <t>Medium</t>
        </is>
      </c>
      <c r="Q1570" t="inlineStr">
        <is>
          <t>Reported_Emissions; Scope_Emissions</t>
        </is>
      </c>
      <c r="R1570" t="inlineStr">
        <is>
          <t>Valid</t>
        </is>
      </c>
      <c r="S1570" t="n">
        <v>2025</v>
      </c>
      <c r="T1570" t="inlineStr">
        <is>
          <t>Industry Haircut Pathway</t>
        </is>
      </c>
      <c r="U1570" t="n">
        <v>10913.1623</v>
      </c>
      <c r="V1570" t="n">
        <v>7176.4955</v>
      </c>
      <c r="W1570" t="n">
        <v>9418.4956</v>
      </c>
      <c r="X1570" t="n">
        <v>9418.4956</v>
      </c>
      <c r="Y1570" t="n">
        <v>1494.6667</v>
      </c>
      <c r="Z1570" t="n">
        <v>0.00056899</v>
      </c>
      <c r="AA1570" t="n">
        <v>0.13696</v>
      </c>
      <c r="AB1570" t="n">
        <v>2242.0001</v>
      </c>
      <c r="AC1570" t="n">
        <v>149.4667</v>
      </c>
      <c r="AD1570" t="n">
        <v>105405.4324</v>
      </c>
      <c r="AE1570" t="n">
        <v>9418.4956</v>
      </c>
      <c r="AF1570" t="n">
        <v>0.893</v>
      </c>
      <c r="AG1570" t="inlineStr">
        <is>
          <t>High</t>
        </is>
      </c>
      <c r="AH1570" t="inlineStr">
        <is>
          <t>On Track to Glide Path</t>
        </is>
      </c>
    </row>
    <row r="1571">
      <c r="A1571" t="inlineStr">
        <is>
          <t>SUP-0099</t>
        </is>
      </c>
      <c r="B1571" t="inlineStr">
        <is>
          <t>Electronics Supplier 099</t>
        </is>
      </c>
      <c r="C1571" t="inlineStr">
        <is>
          <t>Electronics</t>
        </is>
      </c>
      <c r="D1571" t="n">
        <v>2024</v>
      </c>
      <c r="E1571" t="n">
        <v>2015</v>
      </c>
      <c r="F1571" t="n">
        <v>2040</v>
      </c>
      <c r="G1571" t="inlineStr"/>
      <c r="H1571" t="inlineStr"/>
      <c r="I1571" t="n">
        <v>464.4015</v>
      </c>
      <c r="J1571" t="inlineStr"/>
      <c r="K1571" t="n">
        <v>16552919.08</v>
      </c>
      <c r="L1571" t="n">
        <v>106880751</v>
      </c>
      <c r="M1571" t="n">
        <v>14252.891</v>
      </c>
      <c r="N1571" t="inlineStr">
        <is>
          <t>Spend-Based Estimate</t>
        </is>
      </c>
      <c r="O1571" t="b">
        <v>1</v>
      </c>
      <c r="P1571" t="inlineStr">
        <is>
          <t>Medium</t>
        </is>
      </c>
      <c r="Q1571" t="inlineStr">
        <is>
          <t>Reported_Emissions; Scope_Emissions</t>
        </is>
      </c>
      <c r="R1571" t="inlineStr">
        <is>
          <t>Valid</t>
        </is>
      </c>
      <c r="S1571" t="n">
        <v>2026</v>
      </c>
      <c r="T1571" t="inlineStr">
        <is>
          <t>Industry Haircut Pathway</t>
        </is>
      </c>
      <c r="U1571" t="n">
        <v>10913.1623</v>
      </c>
      <c r="V1571" t="n">
        <v>7176.4955</v>
      </c>
      <c r="W1571" t="n">
        <v>9269.028899999999</v>
      </c>
      <c r="X1571" t="n">
        <v>9269.028899999999</v>
      </c>
      <c r="Y1571" t="n">
        <v>1644.1334</v>
      </c>
      <c r="Z1571" t="n">
        <v>0.00055996</v>
      </c>
      <c r="AA1571" t="n">
        <v>0.150656</v>
      </c>
      <c r="AB1571" t="n">
        <v>2092.5334</v>
      </c>
      <c r="AC1571" t="n">
        <v>149.4667</v>
      </c>
      <c r="AD1571" t="n">
        <v>96136.4035</v>
      </c>
      <c r="AE1571" t="n">
        <v>18687.5245</v>
      </c>
      <c r="AF1571" t="n">
        <v>0.893</v>
      </c>
      <c r="AG1571" t="inlineStr">
        <is>
          <t>High</t>
        </is>
      </c>
      <c r="AH1571" t="inlineStr">
        <is>
          <t>On Track to Glide Path</t>
        </is>
      </c>
    </row>
    <row r="1572">
      <c r="A1572" t="inlineStr">
        <is>
          <t>SUP-0099</t>
        </is>
      </c>
      <c r="B1572" t="inlineStr">
        <is>
          <t>Electronics Supplier 099</t>
        </is>
      </c>
      <c r="C1572" t="inlineStr">
        <is>
          <t>Electronics</t>
        </is>
      </c>
      <c r="D1572" t="n">
        <v>2024</v>
      </c>
      <c r="E1572" t="n">
        <v>2015</v>
      </c>
      <c r="F1572" t="n">
        <v>2040</v>
      </c>
      <c r="G1572" t="inlineStr"/>
      <c r="H1572" t="inlineStr"/>
      <c r="I1572" t="n">
        <v>464.4015</v>
      </c>
      <c r="J1572" t="inlineStr"/>
      <c r="K1572" t="n">
        <v>16552919.08</v>
      </c>
      <c r="L1572" t="n">
        <v>106880751</v>
      </c>
      <c r="M1572" t="n">
        <v>14252.891</v>
      </c>
      <c r="N1572" t="inlineStr">
        <is>
          <t>Spend-Based Estimate</t>
        </is>
      </c>
      <c r="O1572" t="b">
        <v>1</v>
      </c>
      <c r="P1572" t="inlineStr">
        <is>
          <t>Medium</t>
        </is>
      </c>
      <c r="Q1572" t="inlineStr">
        <is>
          <t>Reported_Emissions; Scope_Emissions</t>
        </is>
      </c>
      <c r="R1572" t="inlineStr">
        <is>
          <t>Valid</t>
        </is>
      </c>
      <c r="S1572" t="n">
        <v>2027</v>
      </c>
      <c r="T1572" t="inlineStr">
        <is>
          <t>Industry Haircut Pathway</t>
        </is>
      </c>
      <c r="U1572" t="n">
        <v>10913.1623</v>
      </c>
      <c r="V1572" t="n">
        <v>7176.4955</v>
      </c>
      <c r="W1572" t="n">
        <v>9119.5622</v>
      </c>
      <c r="X1572" t="n">
        <v>9119.5622</v>
      </c>
      <c r="Y1572" t="n">
        <v>1793.6001</v>
      </c>
      <c r="Z1572" t="n">
        <v>0.00055093</v>
      </c>
      <c r="AA1572" t="n">
        <v>0.164352</v>
      </c>
      <c r="AB1572" t="n">
        <v>1943.0667</v>
      </c>
      <c r="AC1572" t="n">
        <v>149.4667</v>
      </c>
      <c r="AD1572" t="n">
        <v>87016.8413</v>
      </c>
      <c r="AE1572" t="n">
        <v>27807.0867</v>
      </c>
      <c r="AF1572" t="n">
        <v>0.893</v>
      </c>
      <c r="AG1572" t="inlineStr">
        <is>
          <t>High</t>
        </is>
      </c>
      <c r="AH1572" t="inlineStr">
        <is>
          <t>On Track to Glide Path</t>
        </is>
      </c>
    </row>
    <row r="1573">
      <c r="A1573" t="inlineStr">
        <is>
          <t>SUP-0099</t>
        </is>
      </c>
      <c r="B1573" t="inlineStr">
        <is>
          <t>Electronics Supplier 099</t>
        </is>
      </c>
      <c r="C1573" t="inlineStr">
        <is>
          <t>Electronics</t>
        </is>
      </c>
      <c r="D1573" t="n">
        <v>2024</v>
      </c>
      <c r="E1573" t="n">
        <v>2015</v>
      </c>
      <c r="F1573" t="n">
        <v>2040</v>
      </c>
      <c r="G1573" t="inlineStr"/>
      <c r="H1573" t="inlineStr"/>
      <c r="I1573" t="n">
        <v>464.4015</v>
      </c>
      <c r="J1573" t="inlineStr"/>
      <c r="K1573" t="n">
        <v>16552919.08</v>
      </c>
      <c r="L1573" t="n">
        <v>106880751</v>
      </c>
      <c r="M1573" t="n">
        <v>14252.891</v>
      </c>
      <c r="N1573" t="inlineStr">
        <is>
          <t>Spend-Based Estimate</t>
        </is>
      </c>
      <c r="O1573" t="b">
        <v>1</v>
      </c>
      <c r="P1573" t="inlineStr">
        <is>
          <t>Medium</t>
        </is>
      </c>
      <c r="Q1573" t="inlineStr">
        <is>
          <t>Reported_Emissions; Scope_Emissions</t>
        </is>
      </c>
      <c r="R1573" t="inlineStr">
        <is>
          <t>Valid</t>
        </is>
      </c>
      <c r="S1573" t="n">
        <v>2028</v>
      </c>
      <c r="T1573" t="inlineStr">
        <is>
          <t>Industry Haircut Pathway</t>
        </is>
      </c>
      <c r="U1573" t="n">
        <v>10913.1623</v>
      </c>
      <c r="V1573" t="n">
        <v>7176.4955</v>
      </c>
      <c r="W1573" t="n">
        <v>8970.095600000001</v>
      </c>
      <c r="X1573" t="n">
        <v>8970.095600000001</v>
      </c>
      <c r="Y1573" t="n">
        <v>1943.0667</v>
      </c>
      <c r="Z1573" t="n">
        <v>0.0005419</v>
      </c>
      <c r="AA1573" t="n">
        <v>0.178048</v>
      </c>
      <c r="AB1573" t="n">
        <v>1793.6001</v>
      </c>
      <c r="AC1573" t="n">
        <v>149.4667</v>
      </c>
      <c r="AD1573" t="n">
        <v>78046.7457</v>
      </c>
      <c r="AE1573" t="n">
        <v>36777.1823</v>
      </c>
      <c r="AF1573" t="n">
        <v>0.893</v>
      </c>
      <c r="AG1573" t="inlineStr">
        <is>
          <t>High</t>
        </is>
      </c>
      <c r="AH1573" t="inlineStr">
        <is>
          <t>On Track to Glide Path</t>
        </is>
      </c>
    </row>
    <row r="1574">
      <c r="A1574" t="inlineStr">
        <is>
          <t>SUP-0099</t>
        </is>
      </c>
      <c r="B1574" t="inlineStr">
        <is>
          <t>Electronics Supplier 099</t>
        </is>
      </c>
      <c r="C1574" t="inlineStr">
        <is>
          <t>Electronics</t>
        </is>
      </c>
      <c r="D1574" t="n">
        <v>2024</v>
      </c>
      <c r="E1574" t="n">
        <v>2015</v>
      </c>
      <c r="F1574" t="n">
        <v>2040</v>
      </c>
      <c r="G1574" t="inlineStr"/>
      <c r="H1574" t="inlineStr"/>
      <c r="I1574" t="n">
        <v>464.4015</v>
      </c>
      <c r="J1574" t="inlineStr"/>
      <c r="K1574" t="n">
        <v>16552919.08</v>
      </c>
      <c r="L1574" t="n">
        <v>106880751</v>
      </c>
      <c r="M1574" t="n">
        <v>14252.891</v>
      </c>
      <c r="N1574" t="inlineStr">
        <is>
          <t>Spend-Based Estimate</t>
        </is>
      </c>
      <c r="O1574" t="b">
        <v>1</v>
      </c>
      <c r="P1574" t="inlineStr">
        <is>
          <t>Medium</t>
        </is>
      </c>
      <c r="Q1574" t="inlineStr">
        <is>
          <t>Reported_Emissions; Scope_Emissions</t>
        </is>
      </c>
      <c r="R1574" t="inlineStr">
        <is>
          <t>Valid</t>
        </is>
      </c>
      <c r="S1574" t="n">
        <v>2029</v>
      </c>
      <c r="T1574" t="inlineStr">
        <is>
          <t>Industry Haircut Pathway</t>
        </is>
      </c>
      <c r="U1574" t="n">
        <v>10913.1623</v>
      </c>
      <c r="V1574" t="n">
        <v>7176.4955</v>
      </c>
      <c r="W1574" t="n">
        <v>8820.6289</v>
      </c>
      <c r="X1574" t="n">
        <v>8820.6289</v>
      </c>
      <c r="Y1574" t="n">
        <v>2092.5334</v>
      </c>
      <c r="Z1574" t="n">
        <v>0.00053287</v>
      </c>
      <c r="AA1574" t="n">
        <v>0.191744</v>
      </c>
      <c r="AB1574" t="n">
        <v>1644.1334</v>
      </c>
      <c r="AC1574" t="n">
        <v>149.4667</v>
      </c>
      <c r="AD1574" t="n">
        <v>69226.1168</v>
      </c>
      <c r="AE1574" t="n">
        <v>45597.8112</v>
      </c>
      <c r="AF1574" t="n">
        <v>0.893</v>
      </c>
      <c r="AG1574" t="inlineStr">
        <is>
          <t>High</t>
        </is>
      </c>
      <c r="AH1574" t="inlineStr">
        <is>
          <t>On Track to Glide Path</t>
        </is>
      </c>
    </row>
    <row r="1575">
      <c r="A1575" t="inlineStr">
        <is>
          <t>SUP-0099</t>
        </is>
      </c>
      <c r="B1575" t="inlineStr">
        <is>
          <t>Electronics Supplier 099</t>
        </is>
      </c>
      <c r="C1575" t="inlineStr">
        <is>
          <t>Electronics</t>
        </is>
      </c>
      <c r="D1575" t="n">
        <v>2024</v>
      </c>
      <c r="E1575" t="n">
        <v>2015</v>
      </c>
      <c r="F1575" t="n">
        <v>2040</v>
      </c>
      <c r="G1575" t="inlineStr"/>
      <c r="H1575" t="inlineStr"/>
      <c r="I1575" t="n">
        <v>464.4015</v>
      </c>
      <c r="J1575" t="inlineStr"/>
      <c r="K1575" t="n">
        <v>16552919.08</v>
      </c>
      <c r="L1575" t="n">
        <v>106880751</v>
      </c>
      <c r="M1575" t="n">
        <v>14252.891</v>
      </c>
      <c r="N1575" t="inlineStr">
        <is>
          <t>Spend-Based Estimate</t>
        </is>
      </c>
      <c r="O1575" t="b">
        <v>1</v>
      </c>
      <c r="P1575" t="inlineStr">
        <is>
          <t>Medium</t>
        </is>
      </c>
      <c r="Q1575" t="inlineStr">
        <is>
          <t>Reported_Emissions; Scope_Emissions</t>
        </is>
      </c>
      <c r="R1575" t="inlineStr">
        <is>
          <t>Valid</t>
        </is>
      </c>
      <c r="S1575" t="n">
        <v>2030</v>
      </c>
      <c r="T1575" t="inlineStr">
        <is>
          <t>Industry Haircut Pathway</t>
        </is>
      </c>
      <c r="U1575" t="n">
        <v>10913.1623</v>
      </c>
      <c r="V1575" t="n">
        <v>7176.4955</v>
      </c>
      <c r="W1575" t="n">
        <v>8671.162200000001</v>
      </c>
      <c r="X1575" t="n">
        <v>8671.162200000001</v>
      </c>
      <c r="Y1575" t="n">
        <v>2242.0001</v>
      </c>
      <c r="Z1575" t="n">
        <v>0.00052384</v>
      </c>
      <c r="AA1575" t="n">
        <v>0.20544</v>
      </c>
      <c r="AB1575" t="n">
        <v>1494.6667</v>
      </c>
      <c r="AC1575" t="n">
        <v>149.4667</v>
      </c>
      <c r="AD1575" t="n">
        <v>60554.9546</v>
      </c>
      <c r="AE1575" t="n">
        <v>54268.9734</v>
      </c>
      <c r="AF1575" t="n">
        <v>0.893</v>
      </c>
      <c r="AG1575" t="inlineStr">
        <is>
          <t>High</t>
        </is>
      </c>
      <c r="AH1575" t="inlineStr">
        <is>
          <t>On Track to Glide Path</t>
        </is>
      </c>
    </row>
    <row r="1576">
      <c r="A1576" t="inlineStr">
        <is>
          <t>SUP-0099</t>
        </is>
      </c>
      <c r="B1576" t="inlineStr">
        <is>
          <t>Electronics Supplier 099</t>
        </is>
      </c>
      <c r="C1576" t="inlineStr">
        <is>
          <t>Electronics</t>
        </is>
      </c>
      <c r="D1576" t="n">
        <v>2024</v>
      </c>
      <c r="E1576" t="n">
        <v>2015</v>
      </c>
      <c r="F1576" t="n">
        <v>2040</v>
      </c>
      <c r="G1576" t="inlineStr"/>
      <c r="H1576" t="inlineStr"/>
      <c r="I1576" t="n">
        <v>464.4015</v>
      </c>
      <c r="J1576" t="inlineStr"/>
      <c r="K1576" t="n">
        <v>16552919.08</v>
      </c>
      <c r="L1576" t="n">
        <v>106880751</v>
      </c>
      <c r="M1576" t="n">
        <v>14252.891</v>
      </c>
      <c r="N1576" t="inlineStr">
        <is>
          <t>Spend-Based Estimate</t>
        </is>
      </c>
      <c r="O1576" t="b">
        <v>1</v>
      </c>
      <c r="P1576" t="inlineStr">
        <is>
          <t>Medium</t>
        </is>
      </c>
      <c r="Q1576" t="inlineStr">
        <is>
          <t>Reported_Emissions; Scope_Emissions</t>
        </is>
      </c>
      <c r="R1576" t="inlineStr">
        <is>
          <t>Valid</t>
        </is>
      </c>
      <c r="S1576" t="n">
        <v>2031</v>
      </c>
      <c r="T1576" t="inlineStr">
        <is>
          <t>Industry Haircut Pathway</t>
        </is>
      </c>
      <c r="U1576" t="n">
        <v>10913.1623</v>
      </c>
      <c r="V1576" t="n">
        <v>7176.4955</v>
      </c>
      <c r="W1576" t="n">
        <v>8521.695599999999</v>
      </c>
      <c r="X1576" t="n">
        <v>8521.695599999999</v>
      </c>
      <c r="Y1576" t="n">
        <v>2391.4667</v>
      </c>
      <c r="Z1576" t="n">
        <v>0.00051482</v>
      </c>
      <c r="AA1576" t="n">
        <v>0.219136</v>
      </c>
      <c r="AB1576" t="n">
        <v>1345.2</v>
      </c>
      <c r="AC1576" t="n">
        <v>149.4667</v>
      </c>
      <c r="AD1576" t="n">
        <v>52033.259</v>
      </c>
      <c r="AE1576" t="n">
        <v>62790.669</v>
      </c>
      <c r="AF1576" t="n">
        <v>0.893</v>
      </c>
      <c r="AG1576" t="inlineStr">
        <is>
          <t>High</t>
        </is>
      </c>
      <c r="AH1576" t="inlineStr">
        <is>
          <t>On Track to Glide Path</t>
        </is>
      </c>
    </row>
    <row r="1577">
      <c r="A1577" t="inlineStr">
        <is>
          <t>SUP-0099</t>
        </is>
      </c>
      <c r="B1577" t="inlineStr">
        <is>
          <t>Electronics Supplier 099</t>
        </is>
      </c>
      <c r="C1577" t="inlineStr">
        <is>
          <t>Electronics</t>
        </is>
      </c>
      <c r="D1577" t="n">
        <v>2024</v>
      </c>
      <c r="E1577" t="n">
        <v>2015</v>
      </c>
      <c r="F1577" t="n">
        <v>2040</v>
      </c>
      <c r="G1577" t="inlineStr"/>
      <c r="H1577" t="inlineStr"/>
      <c r="I1577" t="n">
        <v>464.4015</v>
      </c>
      <c r="J1577" t="inlineStr"/>
      <c r="K1577" t="n">
        <v>16552919.08</v>
      </c>
      <c r="L1577" t="n">
        <v>106880751</v>
      </c>
      <c r="M1577" t="n">
        <v>14252.891</v>
      </c>
      <c r="N1577" t="inlineStr">
        <is>
          <t>Spend-Based Estimate</t>
        </is>
      </c>
      <c r="O1577" t="b">
        <v>1</v>
      </c>
      <c r="P1577" t="inlineStr">
        <is>
          <t>Medium</t>
        </is>
      </c>
      <c r="Q1577" t="inlineStr">
        <is>
          <t>Reported_Emissions; Scope_Emissions</t>
        </is>
      </c>
      <c r="R1577" t="inlineStr">
        <is>
          <t>Valid</t>
        </is>
      </c>
      <c r="S1577" t="n">
        <v>2032</v>
      </c>
      <c r="T1577" t="inlineStr">
        <is>
          <t>Industry Haircut Pathway</t>
        </is>
      </c>
      <c r="U1577" t="n">
        <v>10913.1623</v>
      </c>
      <c r="V1577" t="n">
        <v>7176.4955</v>
      </c>
      <c r="W1577" t="n">
        <v>8372.2289</v>
      </c>
      <c r="X1577" t="n">
        <v>8372.2289</v>
      </c>
      <c r="Y1577" t="n">
        <v>2540.9334</v>
      </c>
      <c r="Z1577" t="n">
        <v>0.00050579</v>
      </c>
      <c r="AA1577" t="n">
        <v>0.232832</v>
      </c>
      <c r="AB1577" t="n">
        <v>1195.7334</v>
      </c>
      <c r="AC1577" t="n">
        <v>149.4667</v>
      </c>
      <c r="AD1577" t="n">
        <v>43661.0301</v>
      </c>
      <c r="AE1577" t="n">
        <v>71162.8979</v>
      </c>
      <c r="AF1577" t="n">
        <v>0.893</v>
      </c>
      <c r="AG1577" t="inlineStr">
        <is>
          <t>High</t>
        </is>
      </c>
      <c r="AH1577" t="inlineStr">
        <is>
          <t>On Track to Glide Path</t>
        </is>
      </c>
    </row>
    <row r="1578">
      <c r="A1578" t="inlineStr">
        <is>
          <t>SUP-0099</t>
        </is>
      </c>
      <c r="B1578" t="inlineStr">
        <is>
          <t>Electronics Supplier 099</t>
        </is>
      </c>
      <c r="C1578" t="inlineStr">
        <is>
          <t>Electronics</t>
        </is>
      </c>
      <c r="D1578" t="n">
        <v>2024</v>
      </c>
      <c r="E1578" t="n">
        <v>2015</v>
      </c>
      <c r="F1578" t="n">
        <v>2040</v>
      </c>
      <c r="G1578" t="inlineStr"/>
      <c r="H1578" t="inlineStr"/>
      <c r="I1578" t="n">
        <v>464.4015</v>
      </c>
      <c r="J1578" t="inlineStr"/>
      <c r="K1578" t="n">
        <v>16552919.08</v>
      </c>
      <c r="L1578" t="n">
        <v>106880751</v>
      </c>
      <c r="M1578" t="n">
        <v>14252.891</v>
      </c>
      <c r="N1578" t="inlineStr">
        <is>
          <t>Spend-Based Estimate</t>
        </is>
      </c>
      <c r="O1578" t="b">
        <v>1</v>
      </c>
      <c r="P1578" t="inlineStr">
        <is>
          <t>Medium</t>
        </is>
      </c>
      <c r="Q1578" t="inlineStr">
        <is>
          <t>Reported_Emissions; Scope_Emissions</t>
        </is>
      </c>
      <c r="R1578" t="inlineStr">
        <is>
          <t>Valid</t>
        </is>
      </c>
      <c r="S1578" t="n">
        <v>2033</v>
      </c>
      <c r="T1578" t="inlineStr">
        <is>
          <t>Industry Haircut Pathway</t>
        </is>
      </c>
      <c r="U1578" t="n">
        <v>10913.1623</v>
      </c>
      <c r="V1578" t="n">
        <v>7176.4955</v>
      </c>
      <c r="W1578" t="n">
        <v>8222.762199999999</v>
      </c>
      <c r="X1578" t="n">
        <v>8222.762199999999</v>
      </c>
      <c r="Y1578" t="n">
        <v>2690.4001</v>
      </c>
      <c r="Z1578" t="n">
        <v>0.00049676</v>
      </c>
      <c r="AA1578" t="n">
        <v>0.246528</v>
      </c>
      <c r="AB1578" t="n">
        <v>1046.2667</v>
      </c>
      <c r="AC1578" t="n">
        <v>149.4667</v>
      </c>
      <c r="AD1578" t="n">
        <v>35438.2679</v>
      </c>
      <c r="AE1578" t="n">
        <v>79385.66009999999</v>
      </c>
      <c r="AF1578" t="n">
        <v>0.893</v>
      </c>
      <c r="AG1578" t="inlineStr">
        <is>
          <t>Medium</t>
        </is>
      </c>
      <c r="AH1578" t="inlineStr">
        <is>
          <t>On Track to Glide Path</t>
        </is>
      </c>
    </row>
    <row r="1579">
      <c r="A1579" t="inlineStr">
        <is>
          <t>SUP-0099</t>
        </is>
      </c>
      <c r="B1579" t="inlineStr">
        <is>
          <t>Electronics Supplier 099</t>
        </is>
      </c>
      <c r="C1579" t="inlineStr">
        <is>
          <t>Electronics</t>
        </is>
      </c>
      <c r="D1579" t="n">
        <v>2024</v>
      </c>
      <c r="E1579" t="n">
        <v>2015</v>
      </c>
      <c r="F1579" t="n">
        <v>2040</v>
      </c>
      <c r="G1579" t="inlineStr"/>
      <c r="H1579" t="inlineStr"/>
      <c r="I1579" t="n">
        <v>464.4015</v>
      </c>
      <c r="J1579" t="inlineStr"/>
      <c r="K1579" t="n">
        <v>16552919.08</v>
      </c>
      <c r="L1579" t="n">
        <v>106880751</v>
      </c>
      <c r="M1579" t="n">
        <v>14252.891</v>
      </c>
      <c r="N1579" t="inlineStr">
        <is>
          <t>Spend-Based Estimate</t>
        </is>
      </c>
      <c r="O1579" t="b">
        <v>1</v>
      </c>
      <c r="P1579" t="inlineStr">
        <is>
          <t>Medium</t>
        </is>
      </c>
      <c r="Q1579" t="inlineStr">
        <is>
          <t>Reported_Emissions; Scope_Emissions</t>
        </is>
      </c>
      <c r="R1579" t="inlineStr">
        <is>
          <t>Valid</t>
        </is>
      </c>
      <c r="S1579" t="n">
        <v>2034</v>
      </c>
      <c r="T1579" t="inlineStr">
        <is>
          <t>Industry Haircut Pathway</t>
        </is>
      </c>
      <c r="U1579" t="n">
        <v>10913.1623</v>
      </c>
      <c r="V1579" t="n">
        <v>7176.4955</v>
      </c>
      <c r="W1579" t="n">
        <v>8073.2956</v>
      </c>
      <c r="X1579" t="n">
        <v>8073.2956</v>
      </c>
      <c r="Y1579" t="n">
        <v>2839.8667</v>
      </c>
      <c r="Z1579" t="n">
        <v>0.00048773</v>
      </c>
      <c r="AA1579" t="n">
        <v>0.260224</v>
      </c>
      <c r="AB1579" t="n">
        <v>896.8</v>
      </c>
      <c r="AC1579" t="n">
        <v>149.4667</v>
      </c>
      <c r="AD1579" t="n">
        <v>27364.9723</v>
      </c>
      <c r="AE1579" t="n">
        <v>87458.95570000001</v>
      </c>
      <c r="AF1579" t="n">
        <v>0.893</v>
      </c>
      <c r="AG1579" t="inlineStr">
        <is>
          <t>Medium</t>
        </is>
      </c>
      <c r="AH1579" t="inlineStr">
        <is>
          <t>On Track to Glide Path</t>
        </is>
      </c>
    </row>
    <row r="1580">
      <c r="A1580" t="inlineStr">
        <is>
          <t>SUP-0099</t>
        </is>
      </c>
      <c r="B1580" t="inlineStr">
        <is>
          <t>Electronics Supplier 099</t>
        </is>
      </c>
      <c r="C1580" t="inlineStr">
        <is>
          <t>Electronics</t>
        </is>
      </c>
      <c r="D1580" t="n">
        <v>2024</v>
      </c>
      <c r="E1580" t="n">
        <v>2015</v>
      </c>
      <c r="F1580" t="n">
        <v>2040</v>
      </c>
      <c r="G1580" t="inlineStr"/>
      <c r="H1580" t="inlineStr"/>
      <c r="I1580" t="n">
        <v>464.4015</v>
      </c>
      <c r="J1580" t="inlineStr"/>
      <c r="K1580" t="n">
        <v>16552919.08</v>
      </c>
      <c r="L1580" t="n">
        <v>106880751</v>
      </c>
      <c r="M1580" t="n">
        <v>14252.891</v>
      </c>
      <c r="N1580" t="inlineStr">
        <is>
          <t>Spend-Based Estimate</t>
        </is>
      </c>
      <c r="O1580" t="b">
        <v>1</v>
      </c>
      <c r="P1580" t="inlineStr">
        <is>
          <t>Medium</t>
        </is>
      </c>
      <c r="Q1580" t="inlineStr">
        <is>
          <t>Reported_Emissions; Scope_Emissions</t>
        </is>
      </c>
      <c r="R1580" t="inlineStr">
        <is>
          <t>Valid</t>
        </is>
      </c>
      <c r="S1580" t="n">
        <v>2035</v>
      </c>
      <c r="T1580" t="inlineStr">
        <is>
          <t>Industry Haircut Pathway</t>
        </is>
      </c>
      <c r="U1580" t="n">
        <v>10913.1623</v>
      </c>
      <c r="V1580" t="n">
        <v>7176.4955</v>
      </c>
      <c r="W1580" t="n">
        <v>7923.8289</v>
      </c>
      <c r="X1580" t="n">
        <v>7923.8289</v>
      </c>
      <c r="Y1580" t="n">
        <v>2989.3334</v>
      </c>
      <c r="Z1580" t="n">
        <v>0.0004787</v>
      </c>
      <c r="AA1580" t="n">
        <v>0.27392</v>
      </c>
      <c r="AB1580" t="n">
        <v>747.3334</v>
      </c>
      <c r="AC1580" t="n">
        <v>149.4667</v>
      </c>
      <c r="AD1580" t="n">
        <v>19441.1434</v>
      </c>
      <c r="AE1580" t="n">
        <v>95382.7846</v>
      </c>
      <c r="AF1580" t="n">
        <v>0.893</v>
      </c>
      <c r="AG1580" t="inlineStr">
        <is>
          <t>Medium</t>
        </is>
      </c>
      <c r="AH1580" t="inlineStr">
        <is>
          <t>On Track to Glide Path</t>
        </is>
      </c>
    </row>
    <row r="1581">
      <c r="A1581" t="inlineStr">
        <is>
          <t>SUP-0099</t>
        </is>
      </c>
      <c r="B1581" t="inlineStr">
        <is>
          <t>Electronics Supplier 099</t>
        </is>
      </c>
      <c r="C1581" t="inlineStr">
        <is>
          <t>Electronics</t>
        </is>
      </c>
      <c r="D1581" t="n">
        <v>2024</v>
      </c>
      <c r="E1581" t="n">
        <v>2015</v>
      </c>
      <c r="F1581" t="n">
        <v>2040</v>
      </c>
      <c r="G1581" t="inlineStr"/>
      <c r="H1581" t="inlineStr"/>
      <c r="I1581" t="n">
        <v>464.4015</v>
      </c>
      <c r="J1581" t="inlineStr"/>
      <c r="K1581" t="n">
        <v>16552919.08</v>
      </c>
      <c r="L1581" t="n">
        <v>106880751</v>
      </c>
      <c r="M1581" t="n">
        <v>14252.891</v>
      </c>
      <c r="N1581" t="inlineStr">
        <is>
          <t>Spend-Based Estimate</t>
        </is>
      </c>
      <c r="O1581" t="b">
        <v>1</v>
      </c>
      <c r="P1581" t="inlineStr">
        <is>
          <t>Medium</t>
        </is>
      </c>
      <c r="Q1581" t="inlineStr">
        <is>
          <t>Reported_Emissions; Scope_Emissions</t>
        </is>
      </c>
      <c r="R1581" t="inlineStr">
        <is>
          <t>Valid</t>
        </is>
      </c>
      <c r="S1581" t="n">
        <v>2036</v>
      </c>
      <c r="T1581" t="inlineStr">
        <is>
          <t>Industry Haircut Pathway</t>
        </is>
      </c>
      <c r="U1581" t="n">
        <v>10913.1623</v>
      </c>
      <c r="V1581" t="n">
        <v>7176.4955</v>
      </c>
      <c r="W1581" t="n">
        <v>7774.3622</v>
      </c>
      <c r="X1581" t="n">
        <v>7774.3622</v>
      </c>
      <c r="Y1581" t="n">
        <v>3138.8001</v>
      </c>
      <c r="Z1581" t="n">
        <v>0.00046967</v>
      </c>
      <c r="AA1581" t="n">
        <v>0.287616</v>
      </c>
      <c r="AB1581" t="n">
        <v>597.8667</v>
      </c>
      <c r="AC1581" t="n">
        <v>149.4667</v>
      </c>
      <c r="AD1581" t="n">
        <v>11666.7812</v>
      </c>
      <c r="AE1581" t="n">
        <v>103157.1468</v>
      </c>
      <c r="AF1581" t="n">
        <v>0.893</v>
      </c>
      <c r="AG1581" t="inlineStr">
        <is>
          <t>Medium</t>
        </is>
      </c>
      <c r="AH1581" t="inlineStr">
        <is>
          <t>On Track to Glide Path</t>
        </is>
      </c>
    </row>
    <row r="1582">
      <c r="A1582" t="inlineStr">
        <is>
          <t>SUP-0099</t>
        </is>
      </c>
      <c r="B1582" t="inlineStr">
        <is>
          <t>Electronics Supplier 099</t>
        </is>
      </c>
      <c r="C1582" t="inlineStr">
        <is>
          <t>Electronics</t>
        </is>
      </c>
      <c r="D1582" t="n">
        <v>2024</v>
      </c>
      <c r="E1582" t="n">
        <v>2015</v>
      </c>
      <c r="F1582" t="n">
        <v>2040</v>
      </c>
      <c r="G1582" t="inlineStr"/>
      <c r="H1582" t="inlineStr"/>
      <c r="I1582" t="n">
        <v>464.4015</v>
      </c>
      <c r="J1582" t="inlineStr"/>
      <c r="K1582" t="n">
        <v>16552919.08</v>
      </c>
      <c r="L1582" t="n">
        <v>106880751</v>
      </c>
      <c r="M1582" t="n">
        <v>14252.891</v>
      </c>
      <c r="N1582" t="inlineStr">
        <is>
          <t>Spend-Based Estimate</t>
        </is>
      </c>
      <c r="O1582" t="b">
        <v>1</v>
      </c>
      <c r="P1582" t="inlineStr">
        <is>
          <t>Medium</t>
        </is>
      </c>
      <c r="Q1582" t="inlineStr">
        <is>
          <t>Reported_Emissions; Scope_Emissions</t>
        </is>
      </c>
      <c r="R1582" t="inlineStr">
        <is>
          <t>Valid</t>
        </is>
      </c>
      <c r="S1582" t="n">
        <v>2037</v>
      </c>
      <c r="T1582" t="inlineStr">
        <is>
          <t>Industry Haircut Pathway</t>
        </is>
      </c>
      <c r="U1582" t="n">
        <v>10913.1623</v>
      </c>
      <c r="V1582" t="n">
        <v>7176.4955</v>
      </c>
      <c r="W1582" t="n">
        <v>7624.8955</v>
      </c>
      <c r="X1582" t="n">
        <v>7624.8955</v>
      </c>
      <c r="Y1582" t="n">
        <v>3288.2668</v>
      </c>
      <c r="Z1582" t="n">
        <v>0.00046064</v>
      </c>
      <c r="AA1582" t="n">
        <v>0.301312</v>
      </c>
      <c r="AB1582" t="n">
        <v>448.4</v>
      </c>
      <c r="AC1582" t="n">
        <v>149.4667</v>
      </c>
      <c r="AD1582" t="n">
        <v>4041.8857</v>
      </c>
      <c r="AE1582" t="n">
        <v>110782.0423</v>
      </c>
      <c r="AF1582" t="n">
        <v>0.893</v>
      </c>
      <c r="AG1582" t="inlineStr">
        <is>
          <t>Medium</t>
        </is>
      </c>
      <c r="AH1582" t="inlineStr">
        <is>
          <t>On Track to Glide Path</t>
        </is>
      </c>
    </row>
    <row r="1583">
      <c r="A1583" t="inlineStr">
        <is>
          <t>SUP-0099</t>
        </is>
      </c>
      <c r="B1583" t="inlineStr">
        <is>
          <t>Electronics Supplier 099</t>
        </is>
      </c>
      <c r="C1583" t="inlineStr">
        <is>
          <t>Electronics</t>
        </is>
      </c>
      <c r="D1583" t="n">
        <v>2024</v>
      </c>
      <c r="E1583" t="n">
        <v>2015</v>
      </c>
      <c r="F1583" t="n">
        <v>2040</v>
      </c>
      <c r="G1583" t="inlineStr"/>
      <c r="H1583" t="inlineStr"/>
      <c r="I1583" t="n">
        <v>464.4015</v>
      </c>
      <c r="J1583" t="inlineStr"/>
      <c r="K1583" t="n">
        <v>16552919.08</v>
      </c>
      <c r="L1583" t="n">
        <v>106880751</v>
      </c>
      <c r="M1583" t="n">
        <v>14252.891</v>
      </c>
      <c r="N1583" t="inlineStr">
        <is>
          <t>Spend-Based Estimate</t>
        </is>
      </c>
      <c r="O1583" t="b">
        <v>1</v>
      </c>
      <c r="P1583" t="inlineStr">
        <is>
          <t>Medium</t>
        </is>
      </c>
      <c r="Q1583" t="inlineStr">
        <is>
          <t>Reported_Emissions; Scope_Emissions</t>
        </is>
      </c>
      <c r="R1583" t="inlineStr">
        <is>
          <t>Valid</t>
        </is>
      </c>
      <c r="S1583" t="n">
        <v>2038</v>
      </c>
      <c r="T1583" t="inlineStr">
        <is>
          <t>Industry Haircut Pathway</t>
        </is>
      </c>
      <c r="U1583" t="n">
        <v>10913.1623</v>
      </c>
      <c r="V1583" t="n">
        <v>7176.4955</v>
      </c>
      <c r="W1583" t="n">
        <v>7475.4289</v>
      </c>
      <c r="X1583" t="n">
        <v>7475.4289</v>
      </c>
      <c r="Y1583" t="n">
        <v>3437.7334</v>
      </c>
      <c r="Z1583" t="n">
        <v>0.00045161</v>
      </c>
      <c r="AA1583" t="n">
        <v>0.315008</v>
      </c>
      <c r="AB1583" t="n">
        <v>298.9333</v>
      </c>
      <c r="AC1583" t="n">
        <v>149.4667</v>
      </c>
      <c r="AD1583" t="n">
        <v>-3433.5432</v>
      </c>
      <c r="AE1583" t="n">
        <v>118257.4712</v>
      </c>
      <c r="AF1583" t="n">
        <v>0.893</v>
      </c>
      <c r="AG1583" t="inlineStr">
        <is>
          <t>Medium</t>
        </is>
      </c>
      <c r="AH1583" t="inlineStr">
        <is>
          <t>On Track to Glide Path</t>
        </is>
      </c>
    </row>
    <row r="1584">
      <c r="A1584" t="inlineStr">
        <is>
          <t>SUP-0099</t>
        </is>
      </c>
      <c r="B1584" t="inlineStr">
        <is>
          <t>Electronics Supplier 099</t>
        </is>
      </c>
      <c r="C1584" t="inlineStr">
        <is>
          <t>Electronics</t>
        </is>
      </c>
      <c r="D1584" t="n">
        <v>2024</v>
      </c>
      <c r="E1584" t="n">
        <v>2015</v>
      </c>
      <c r="F1584" t="n">
        <v>2040</v>
      </c>
      <c r="G1584" t="inlineStr"/>
      <c r="H1584" t="inlineStr"/>
      <c r="I1584" t="n">
        <v>464.4015</v>
      </c>
      <c r="J1584" t="inlineStr"/>
      <c r="K1584" t="n">
        <v>16552919.08</v>
      </c>
      <c r="L1584" t="n">
        <v>106880751</v>
      </c>
      <c r="M1584" t="n">
        <v>14252.891</v>
      </c>
      <c r="N1584" t="inlineStr">
        <is>
          <t>Spend-Based Estimate</t>
        </is>
      </c>
      <c r="O1584" t="b">
        <v>1</v>
      </c>
      <c r="P1584" t="inlineStr">
        <is>
          <t>Medium</t>
        </is>
      </c>
      <c r="Q1584" t="inlineStr">
        <is>
          <t>Reported_Emissions; Scope_Emissions</t>
        </is>
      </c>
      <c r="R1584" t="inlineStr">
        <is>
          <t>Valid</t>
        </is>
      </c>
      <c r="S1584" t="n">
        <v>2039</v>
      </c>
      <c r="T1584" t="inlineStr">
        <is>
          <t>Industry Haircut Pathway</t>
        </is>
      </c>
      <c r="U1584" t="n">
        <v>10913.1623</v>
      </c>
      <c r="V1584" t="n">
        <v>7176.4955</v>
      </c>
      <c r="W1584" t="n">
        <v>7325.9622</v>
      </c>
      <c r="X1584" t="n">
        <v>7325.9622</v>
      </c>
      <c r="Y1584" t="n">
        <v>3587.2001</v>
      </c>
      <c r="Z1584" t="n">
        <v>0.00044258</v>
      </c>
      <c r="AA1584" t="n">
        <v>0.328704</v>
      </c>
      <c r="AB1584" t="n">
        <v>149.4667</v>
      </c>
      <c r="AC1584" t="n">
        <v>149.4667</v>
      </c>
      <c r="AD1584" t="n">
        <v>-10759.5054</v>
      </c>
      <c r="AE1584" t="n">
        <v>125583.4334</v>
      </c>
      <c r="AF1584" t="n">
        <v>0.893</v>
      </c>
      <c r="AG1584" t="inlineStr">
        <is>
          <t>Medium</t>
        </is>
      </c>
      <c r="AH1584" t="inlineStr">
        <is>
          <t>On Track to Glide Path</t>
        </is>
      </c>
    </row>
    <row r="1585">
      <c r="A1585" t="inlineStr">
        <is>
          <t>SUP-0099</t>
        </is>
      </c>
      <c r="B1585" t="inlineStr">
        <is>
          <t>Electronics Supplier 099</t>
        </is>
      </c>
      <c r="C1585" t="inlineStr">
        <is>
          <t>Electronics</t>
        </is>
      </c>
      <c r="D1585" t="n">
        <v>2024</v>
      </c>
      <c r="E1585" t="n">
        <v>2015</v>
      </c>
      <c r="F1585" t="n">
        <v>2040</v>
      </c>
      <c r="G1585" t="inlineStr"/>
      <c r="H1585" t="inlineStr"/>
      <c r="I1585" t="n">
        <v>464.4015</v>
      </c>
      <c r="J1585" t="inlineStr"/>
      <c r="K1585" t="n">
        <v>16552919.08</v>
      </c>
      <c r="L1585" t="n">
        <v>106880751</v>
      </c>
      <c r="M1585" t="n">
        <v>14252.891</v>
      </c>
      <c r="N1585" t="inlineStr">
        <is>
          <t>Spend-Based Estimate</t>
        </is>
      </c>
      <c r="O1585" t="b">
        <v>1</v>
      </c>
      <c r="P1585" t="inlineStr">
        <is>
          <t>Medium</t>
        </is>
      </c>
      <c r="Q1585" t="inlineStr">
        <is>
          <t>Reported_Emissions; Scope_Emissions</t>
        </is>
      </c>
      <c r="R1585" t="inlineStr">
        <is>
          <t>Valid</t>
        </is>
      </c>
      <c r="S1585" t="n">
        <v>2040</v>
      </c>
      <c r="T1585" t="inlineStr">
        <is>
          <t>Industry Haircut Pathway</t>
        </is>
      </c>
      <c r="U1585" t="n">
        <v>10913.1623</v>
      </c>
      <c r="V1585" t="n">
        <v>7176.4955</v>
      </c>
      <c r="W1585" t="n">
        <v>7176.4955</v>
      </c>
      <c r="X1585" t="n">
        <v>7176.4955</v>
      </c>
      <c r="Y1585" t="n">
        <v>3736.6668</v>
      </c>
      <c r="Z1585" t="n">
        <v>0.00043355</v>
      </c>
      <c r="AA1585" t="n">
        <v>0.3424</v>
      </c>
      <c r="AB1585" t="n">
        <v>0</v>
      </c>
      <c r="AC1585" t="n">
        <v>149.4667</v>
      </c>
      <c r="AD1585" t="n">
        <v>-17936.0009</v>
      </c>
      <c r="AE1585" t="n">
        <v>132759.9289</v>
      </c>
      <c r="AF1585" t="n">
        <v>0.893</v>
      </c>
      <c r="AG1585" t="inlineStr">
        <is>
          <t>Low</t>
        </is>
      </c>
      <c r="AH1585" t="inlineStr">
        <is>
          <t>On Track</t>
        </is>
      </c>
    </row>
    <row r="1586">
      <c r="A1586" t="inlineStr">
        <is>
          <t>SUP-0100</t>
        </is>
      </c>
      <c r="B1586" t="inlineStr">
        <is>
          <t>Textiles Supplier 100</t>
        </is>
      </c>
      <c r="C1586" t="inlineStr">
        <is>
          <t>Textiles</t>
        </is>
      </c>
      <c r="D1586" t="n">
        <v>2024</v>
      </c>
      <c r="E1586" t="n">
        <v>2021</v>
      </c>
      <c r="F1586" t="n">
        <v>2040</v>
      </c>
      <c r="G1586" t="n">
        <v>10082.4327</v>
      </c>
      <c r="H1586" t="n">
        <v>1145.0433</v>
      </c>
      <c r="I1586" t="inlineStr"/>
      <c r="J1586" t="n">
        <v>6668.5072</v>
      </c>
      <c r="K1586" t="n">
        <v>45670132.94</v>
      </c>
      <c r="L1586" t="n">
        <v>258354383.57</v>
      </c>
      <c r="M1586" t="n">
        <v>10082.4327</v>
      </c>
      <c r="N1586" t="inlineStr">
        <is>
          <t>Supplier Reported Emissions</t>
        </is>
      </c>
      <c r="O1586" t="b">
        <v>0</v>
      </c>
      <c r="P1586" t="inlineStr">
        <is>
          <t>High</t>
        </is>
      </c>
      <c r="Q1586" t="inlineStr">
        <is>
          <t>Scope_Emissions</t>
        </is>
      </c>
      <c r="R1586" t="inlineStr">
        <is>
          <t>Valid</t>
        </is>
      </c>
      <c r="S1586" t="n">
        <v>2025</v>
      </c>
      <c r="T1586" t="inlineStr">
        <is>
          <t>Supplier Target Pathway</t>
        </is>
      </c>
      <c r="U1586" t="n">
        <v>9067.2328</v>
      </c>
      <c r="V1586" t="n">
        <v>5088.531</v>
      </c>
      <c r="W1586" t="n">
        <v>8229.6114</v>
      </c>
      <c r="X1586" t="n">
        <v>8229.6114</v>
      </c>
      <c r="Y1586" t="n">
        <v>837.6214</v>
      </c>
      <c r="Z1586" t="n">
        <v>0.0001802</v>
      </c>
      <c r="AA1586" t="n">
        <v>0.092379</v>
      </c>
      <c r="AB1586" t="n">
        <v>3141.0803</v>
      </c>
      <c r="AC1586" t="n">
        <v>209.4054</v>
      </c>
      <c r="AD1586" t="n">
        <v>73186.8846</v>
      </c>
      <c r="AE1586" t="n">
        <v>8229.6114</v>
      </c>
      <c r="AF1586" t="n">
        <v>0.99</v>
      </c>
      <c r="AG1586" t="inlineStr">
        <is>
          <t>Critical</t>
        </is>
      </c>
      <c r="AH1586" t="inlineStr">
        <is>
          <t>On Track to Glide Path</t>
        </is>
      </c>
    </row>
    <row r="1587">
      <c r="A1587" t="inlineStr">
        <is>
          <t>SUP-0100</t>
        </is>
      </c>
      <c r="B1587" t="inlineStr">
        <is>
          <t>Textiles Supplier 100</t>
        </is>
      </c>
      <c r="C1587" t="inlineStr">
        <is>
          <t>Textiles</t>
        </is>
      </c>
      <c r="D1587" t="n">
        <v>2024</v>
      </c>
      <c r="E1587" t="n">
        <v>2021</v>
      </c>
      <c r="F1587" t="n">
        <v>2040</v>
      </c>
      <c r="G1587" t="n">
        <v>10082.4327</v>
      </c>
      <c r="H1587" t="n">
        <v>1145.0433</v>
      </c>
      <c r="I1587" t="inlineStr"/>
      <c r="J1587" t="n">
        <v>6668.5072</v>
      </c>
      <c r="K1587" t="n">
        <v>45670132.94</v>
      </c>
      <c r="L1587" t="n">
        <v>258354383.57</v>
      </c>
      <c r="M1587" t="n">
        <v>10082.4327</v>
      </c>
      <c r="N1587" t="inlineStr">
        <is>
          <t>Supplier Reported Emissions</t>
        </is>
      </c>
      <c r="O1587" t="b">
        <v>0</v>
      </c>
      <c r="P1587" t="inlineStr">
        <is>
          <t>High</t>
        </is>
      </c>
      <c r="Q1587" t="inlineStr">
        <is>
          <t>Scope_Emissions</t>
        </is>
      </c>
      <c r="R1587" t="inlineStr">
        <is>
          <t>Valid</t>
        </is>
      </c>
      <c r="S1587" t="n">
        <v>2026</v>
      </c>
      <c r="T1587" t="inlineStr">
        <is>
          <t>Supplier Target Pathway</t>
        </is>
      </c>
      <c r="U1587" t="n">
        <v>9067.2328</v>
      </c>
      <c r="V1587" t="n">
        <v>5088.531</v>
      </c>
      <c r="W1587" t="n">
        <v>8020.206</v>
      </c>
      <c r="X1587" t="n">
        <v>8020.206</v>
      </c>
      <c r="Y1587" t="n">
        <v>1047.0268</v>
      </c>
      <c r="Z1587" t="n">
        <v>0.00017561</v>
      </c>
      <c r="AA1587" t="n">
        <v>0.115474</v>
      </c>
      <c r="AB1587" t="n">
        <v>2931.675</v>
      </c>
      <c r="AC1587" t="n">
        <v>209.4054</v>
      </c>
      <c r="AD1587" t="n">
        <v>65166.6786</v>
      </c>
      <c r="AE1587" t="n">
        <v>16249.8174</v>
      </c>
      <c r="AF1587" t="n">
        <v>0.99</v>
      </c>
      <c r="AG1587" t="inlineStr">
        <is>
          <t>Critical</t>
        </is>
      </c>
      <c r="AH1587" t="inlineStr">
        <is>
          <t>On Track to Glide Path</t>
        </is>
      </c>
    </row>
    <row r="1588">
      <c r="A1588" t="inlineStr">
        <is>
          <t>SUP-0100</t>
        </is>
      </c>
      <c r="B1588" t="inlineStr">
        <is>
          <t>Textiles Supplier 100</t>
        </is>
      </c>
      <c r="C1588" t="inlineStr">
        <is>
          <t>Textiles</t>
        </is>
      </c>
      <c r="D1588" t="n">
        <v>2024</v>
      </c>
      <c r="E1588" t="n">
        <v>2021</v>
      </c>
      <c r="F1588" t="n">
        <v>2040</v>
      </c>
      <c r="G1588" t="n">
        <v>10082.4327</v>
      </c>
      <c r="H1588" t="n">
        <v>1145.0433</v>
      </c>
      <c r="I1588" t="inlineStr"/>
      <c r="J1588" t="n">
        <v>6668.5072</v>
      </c>
      <c r="K1588" t="n">
        <v>45670132.94</v>
      </c>
      <c r="L1588" t="n">
        <v>258354383.57</v>
      </c>
      <c r="M1588" t="n">
        <v>10082.4327</v>
      </c>
      <c r="N1588" t="inlineStr">
        <is>
          <t>Supplier Reported Emissions</t>
        </is>
      </c>
      <c r="O1588" t="b">
        <v>0</v>
      </c>
      <c r="P1588" t="inlineStr">
        <is>
          <t>High</t>
        </is>
      </c>
      <c r="Q1588" t="inlineStr">
        <is>
          <t>Scope_Emissions</t>
        </is>
      </c>
      <c r="R1588" t="inlineStr">
        <is>
          <t>Valid</t>
        </is>
      </c>
      <c r="S1588" t="n">
        <v>2027</v>
      </c>
      <c r="T1588" t="inlineStr">
        <is>
          <t>Supplier Target Pathway</t>
        </is>
      </c>
      <c r="U1588" t="n">
        <v>9067.2328</v>
      </c>
      <c r="V1588" t="n">
        <v>5088.531</v>
      </c>
      <c r="W1588" t="n">
        <v>7810.8007</v>
      </c>
      <c r="X1588" t="n">
        <v>7810.8007</v>
      </c>
      <c r="Y1588" t="n">
        <v>1256.4321</v>
      </c>
      <c r="Z1588" t="n">
        <v>0.00017103</v>
      </c>
      <c r="AA1588" t="n">
        <v>0.138568</v>
      </c>
      <c r="AB1588" t="n">
        <v>2722.2696</v>
      </c>
      <c r="AC1588" t="n">
        <v>209.4054</v>
      </c>
      <c r="AD1588" t="n">
        <v>57355.8779</v>
      </c>
      <c r="AE1588" t="n">
        <v>24060.6181</v>
      </c>
      <c r="AF1588" t="n">
        <v>0.99</v>
      </c>
      <c r="AG1588" t="inlineStr">
        <is>
          <t>Critical</t>
        </is>
      </c>
      <c r="AH1588" t="inlineStr">
        <is>
          <t>On Track to Glide Path</t>
        </is>
      </c>
    </row>
    <row r="1589">
      <c r="A1589" t="inlineStr">
        <is>
          <t>SUP-0100</t>
        </is>
      </c>
      <c r="B1589" t="inlineStr">
        <is>
          <t>Textiles Supplier 100</t>
        </is>
      </c>
      <c r="C1589" t="inlineStr">
        <is>
          <t>Textiles</t>
        </is>
      </c>
      <c r="D1589" t="n">
        <v>2024</v>
      </c>
      <c r="E1589" t="n">
        <v>2021</v>
      </c>
      <c r="F1589" t="n">
        <v>2040</v>
      </c>
      <c r="G1589" t="n">
        <v>10082.4327</v>
      </c>
      <c r="H1589" t="n">
        <v>1145.0433</v>
      </c>
      <c r="I1589" t="inlineStr"/>
      <c r="J1589" t="n">
        <v>6668.5072</v>
      </c>
      <c r="K1589" t="n">
        <v>45670132.94</v>
      </c>
      <c r="L1589" t="n">
        <v>258354383.57</v>
      </c>
      <c r="M1589" t="n">
        <v>10082.4327</v>
      </c>
      <c r="N1589" t="inlineStr">
        <is>
          <t>Supplier Reported Emissions</t>
        </is>
      </c>
      <c r="O1589" t="b">
        <v>0</v>
      </c>
      <c r="P1589" t="inlineStr">
        <is>
          <t>High</t>
        </is>
      </c>
      <c r="Q1589" t="inlineStr">
        <is>
          <t>Scope_Emissions</t>
        </is>
      </c>
      <c r="R1589" t="inlineStr">
        <is>
          <t>Valid</t>
        </is>
      </c>
      <c r="S1589" t="n">
        <v>2028</v>
      </c>
      <c r="T1589" t="inlineStr">
        <is>
          <t>Supplier Target Pathway</t>
        </is>
      </c>
      <c r="U1589" t="n">
        <v>9067.2328</v>
      </c>
      <c r="V1589" t="n">
        <v>5088.531</v>
      </c>
      <c r="W1589" t="n">
        <v>7601.3953</v>
      </c>
      <c r="X1589" t="n">
        <v>7601.3953</v>
      </c>
      <c r="Y1589" t="n">
        <v>1465.8375</v>
      </c>
      <c r="Z1589" t="n">
        <v>0.00016644</v>
      </c>
      <c r="AA1589" t="n">
        <v>0.161663</v>
      </c>
      <c r="AB1589" t="n">
        <v>2512.8643</v>
      </c>
      <c r="AC1589" t="n">
        <v>209.4054</v>
      </c>
      <c r="AD1589" t="n">
        <v>49754.4826</v>
      </c>
      <c r="AE1589" t="n">
        <v>31662.0134</v>
      </c>
      <c r="AF1589" t="n">
        <v>0.99</v>
      </c>
      <c r="AG1589" t="inlineStr">
        <is>
          <t>Critical</t>
        </is>
      </c>
      <c r="AH1589" t="inlineStr">
        <is>
          <t>On Track to Glide Path</t>
        </is>
      </c>
    </row>
    <row r="1590">
      <c r="A1590" t="inlineStr">
        <is>
          <t>SUP-0100</t>
        </is>
      </c>
      <c r="B1590" t="inlineStr">
        <is>
          <t>Textiles Supplier 100</t>
        </is>
      </c>
      <c r="C1590" t="inlineStr">
        <is>
          <t>Textiles</t>
        </is>
      </c>
      <c r="D1590" t="n">
        <v>2024</v>
      </c>
      <c r="E1590" t="n">
        <v>2021</v>
      </c>
      <c r="F1590" t="n">
        <v>2040</v>
      </c>
      <c r="G1590" t="n">
        <v>10082.4327</v>
      </c>
      <c r="H1590" t="n">
        <v>1145.0433</v>
      </c>
      <c r="I1590" t="inlineStr"/>
      <c r="J1590" t="n">
        <v>6668.5072</v>
      </c>
      <c r="K1590" t="n">
        <v>45670132.94</v>
      </c>
      <c r="L1590" t="n">
        <v>258354383.57</v>
      </c>
      <c r="M1590" t="n">
        <v>10082.4327</v>
      </c>
      <c r="N1590" t="inlineStr">
        <is>
          <t>Supplier Reported Emissions</t>
        </is>
      </c>
      <c r="O1590" t="b">
        <v>0</v>
      </c>
      <c r="P1590" t="inlineStr">
        <is>
          <t>High</t>
        </is>
      </c>
      <c r="Q1590" t="inlineStr">
        <is>
          <t>Scope_Emissions</t>
        </is>
      </c>
      <c r="R1590" t="inlineStr">
        <is>
          <t>Valid</t>
        </is>
      </c>
      <c r="S1590" t="n">
        <v>2029</v>
      </c>
      <c r="T1590" t="inlineStr">
        <is>
          <t>Supplier Target Pathway</t>
        </is>
      </c>
      <c r="U1590" t="n">
        <v>9067.2328</v>
      </c>
      <c r="V1590" t="n">
        <v>5088.531</v>
      </c>
      <c r="W1590" t="n">
        <v>7391.99</v>
      </c>
      <c r="X1590" t="n">
        <v>7391.99</v>
      </c>
      <c r="Y1590" t="n">
        <v>1675.2428</v>
      </c>
      <c r="Z1590" t="n">
        <v>0.00016186</v>
      </c>
      <c r="AA1590" t="n">
        <v>0.184758</v>
      </c>
      <c r="AB1590" t="n">
        <v>2303.4589</v>
      </c>
      <c r="AC1590" t="n">
        <v>209.4054</v>
      </c>
      <c r="AD1590" t="n">
        <v>42362.4926</v>
      </c>
      <c r="AE1590" t="n">
        <v>39054.0034</v>
      </c>
      <c r="AF1590" t="n">
        <v>0.99</v>
      </c>
      <c r="AG1590" t="inlineStr">
        <is>
          <t>Critical</t>
        </is>
      </c>
      <c r="AH1590" t="inlineStr">
        <is>
          <t>On Track to Glide Path</t>
        </is>
      </c>
    </row>
    <row r="1591">
      <c r="A1591" t="inlineStr">
        <is>
          <t>SUP-0100</t>
        </is>
      </c>
      <c r="B1591" t="inlineStr">
        <is>
          <t>Textiles Supplier 100</t>
        </is>
      </c>
      <c r="C1591" t="inlineStr">
        <is>
          <t>Textiles</t>
        </is>
      </c>
      <c r="D1591" t="n">
        <v>2024</v>
      </c>
      <c r="E1591" t="n">
        <v>2021</v>
      </c>
      <c r="F1591" t="n">
        <v>2040</v>
      </c>
      <c r="G1591" t="n">
        <v>10082.4327</v>
      </c>
      <c r="H1591" t="n">
        <v>1145.0433</v>
      </c>
      <c r="I1591" t="inlineStr"/>
      <c r="J1591" t="n">
        <v>6668.5072</v>
      </c>
      <c r="K1591" t="n">
        <v>45670132.94</v>
      </c>
      <c r="L1591" t="n">
        <v>258354383.57</v>
      </c>
      <c r="M1591" t="n">
        <v>10082.4327</v>
      </c>
      <c r="N1591" t="inlineStr">
        <is>
          <t>Supplier Reported Emissions</t>
        </is>
      </c>
      <c r="O1591" t="b">
        <v>0</v>
      </c>
      <c r="P1591" t="inlineStr">
        <is>
          <t>High</t>
        </is>
      </c>
      <c r="Q1591" t="inlineStr">
        <is>
          <t>Scope_Emissions</t>
        </is>
      </c>
      <c r="R1591" t="inlineStr">
        <is>
          <t>Valid</t>
        </is>
      </c>
      <c r="S1591" t="n">
        <v>2030</v>
      </c>
      <c r="T1591" t="inlineStr">
        <is>
          <t>Supplier Target Pathway</t>
        </is>
      </c>
      <c r="U1591" t="n">
        <v>9067.2328</v>
      </c>
      <c r="V1591" t="n">
        <v>5088.531</v>
      </c>
      <c r="W1591" t="n">
        <v>7182.5846</v>
      </c>
      <c r="X1591" t="n">
        <v>7182.5846</v>
      </c>
      <c r="Y1591" t="n">
        <v>1884.6482</v>
      </c>
      <c r="Z1591" t="n">
        <v>0.00015727</v>
      </c>
      <c r="AA1591" t="n">
        <v>0.207853</v>
      </c>
      <c r="AB1591" t="n">
        <v>2094.0536</v>
      </c>
      <c r="AC1591" t="n">
        <v>209.4054</v>
      </c>
      <c r="AD1591" t="n">
        <v>35179.908</v>
      </c>
      <c r="AE1591" t="n">
        <v>46236.588</v>
      </c>
      <c r="AF1591" t="n">
        <v>0.99</v>
      </c>
      <c r="AG1591" t="inlineStr">
        <is>
          <t>Critical</t>
        </is>
      </c>
      <c r="AH1591" t="inlineStr">
        <is>
          <t>On Track to Glide Path</t>
        </is>
      </c>
    </row>
    <row r="1592">
      <c r="A1592" t="inlineStr">
        <is>
          <t>SUP-0100</t>
        </is>
      </c>
      <c r="B1592" t="inlineStr">
        <is>
          <t>Textiles Supplier 100</t>
        </is>
      </c>
      <c r="C1592" t="inlineStr">
        <is>
          <t>Textiles</t>
        </is>
      </c>
      <c r="D1592" t="n">
        <v>2024</v>
      </c>
      <c r="E1592" t="n">
        <v>2021</v>
      </c>
      <c r="F1592" t="n">
        <v>2040</v>
      </c>
      <c r="G1592" t="n">
        <v>10082.4327</v>
      </c>
      <c r="H1592" t="n">
        <v>1145.0433</v>
      </c>
      <c r="I1592" t="inlineStr"/>
      <c r="J1592" t="n">
        <v>6668.5072</v>
      </c>
      <c r="K1592" t="n">
        <v>45670132.94</v>
      </c>
      <c r="L1592" t="n">
        <v>258354383.57</v>
      </c>
      <c r="M1592" t="n">
        <v>10082.4327</v>
      </c>
      <c r="N1592" t="inlineStr">
        <is>
          <t>Supplier Reported Emissions</t>
        </is>
      </c>
      <c r="O1592" t="b">
        <v>0</v>
      </c>
      <c r="P1592" t="inlineStr">
        <is>
          <t>High</t>
        </is>
      </c>
      <c r="Q1592" t="inlineStr">
        <is>
          <t>Scope_Emissions</t>
        </is>
      </c>
      <c r="R1592" t="inlineStr">
        <is>
          <t>Valid</t>
        </is>
      </c>
      <c r="S1592" t="n">
        <v>2031</v>
      </c>
      <c r="T1592" t="inlineStr">
        <is>
          <t>Supplier Target Pathway</t>
        </is>
      </c>
      <c r="U1592" t="n">
        <v>9067.2328</v>
      </c>
      <c r="V1592" t="n">
        <v>5088.531</v>
      </c>
      <c r="W1592" t="n">
        <v>6973.1792</v>
      </c>
      <c r="X1592" t="n">
        <v>6973.1792</v>
      </c>
      <c r="Y1592" t="n">
        <v>2094.0536</v>
      </c>
      <c r="Z1592" t="n">
        <v>0.00015269</v>
      </c>
      <c r="AA1592" t="n">
        <v>0.230947</v>
      </c>
      <c r="AB1592" t="n">
        <v>1884.6482</v>
      </c>
      <c r="AC1592" t="n">
        <v>209.4054</v>
      </c>
      <c r="AD1592" t="n">
        <v>28206.7288</v>
      </c>
      <c r="AE1592" t="n">
        <v>53209.7672</v>
      </c>
      <c r="AF1592" t="n">
        <v>0.99</v>
      </c>
      <c r="AG1592" t="inlineStr">
        <is>
          <t>Critical</t>
        </is>
      </c>
      <c r="AH1592" t="inlineStr">
        <is>
          <t>On Track to Glide Path</t>
        </is>
      </c>
    </row>
    <row r="1593">
      <c r="A1593" t="inlineStr">
        <is>
          <t>SUP-0100</t>
        </is>
      </c>
      <c r="B1593" t="inlineStr">
        <is>
          <t>Textiles Supplier 100</t>
        </is>
      </c>
      <c r="C1593" t="inlineStr">
        <is>
          <t>Textiles</t>
        </is>
      </c>
      <c r="D1593" t="n">
        <v>2024</v>
      </c>
      <c r="E1593" t="n">
        <v>2021</v>
      </c>
      <c r="F1593" t="n">
        <v>2040</v>
      </c>
      <c r="G1593" t="n">
        <v>10082.4327</v>
      </c>
      <c r="H1593" t="n">
        <v>1145.0433</v>
      </c>
      <c r="I1593" t="inlineStr"/>
      <c r="J1593" t="n">
        <v>6668.5072</v>
      </c>
      <c r="K1593" t="n">
        <v>45670132.94</v>
      </c>
      <c r="L1593" t="n">
        <v>258354383.57</v>
      </c>
      <c r="M1593" t="n">
        <v>10082.4327</v>
      </c>
      <c r="N1593" t="inlineStr">
        <is>
          <t>Supplier Reported Emissions</t>
        </is>
      </c>
      <c r="O1593" t="b">
        <v>0</v>
      </c>
      <c r="P1593" t="inlineStr">
        <is>
          <t>High</t>
        </is>
      </c>
      <c r="Q1593" t="inlineStr">
        <is>
          <t>Scope_Emissions</t>
        </is>
      </c>
      <c r="R1593" t="inlineStr">
        <is>
          <t>Valid</t>
        </is>
      </c>
      <c r="S1593" t="n">
        <v>2032</v>
      </c>
      <c r="T1593" t="inlineStr">
        <is>
          <t>Supplier Target Pathway</t>
        </is>
      </c>
      <c r="U1593" t="n">
        <v>9067.2328</v>
      </c>
      <c r="V1593" t="n">
        <v>5088.531</v>
      </c>
      <c r="W1593" t="n">
        <v>6763.7739</v>
      </c>
      <c r="X1593" t="n">
        <v>6763.7739</v>
      </c>
      <c r="Y1593" t="n">
        <v>2303.4589</v>
      </c>
      <c r="Z1593" t="n">
        <v>0.0001481</v>
      </c>
      <c r="AA1593" t="n">
        <v>0.254042</v>
      </c>
      <c r="AB1593" t="n">
        <v>1675.2428</v>
      </c>
      <c r="AC1593" t="n">
        <v>209.4054</v>
      </c>
      <c r="AD1593" t="n">
        <v>21442.9549</v>
      </c>
      <c r="AE1593" t="n">
        <v>59973.5411</v>
      </c>
      <c r="AF1593" t="n">
        <v>0.99</v>
      </c>
      <c r="AG1593" t="inlineStr">
        <is>
          <t>High</t>
        </is>
      </c>
      <c r="AH1593" t="inlineStr">
        <is>
          <t>On Track to Glide Path</t>
        </is>
      </c>
    </row>
    <row r="1594">
      <c r="A1594" t="inlineStr">
        <is>
          <t>SUP-0100</t>
        </is>
      </c>
      <c r="B1594" t="inlineStr">
        <is>
          <t>Textiles Supplier 100</t>
        </is>
      </c>
      <c r="C1594" t="inlineStr">
        <is>
          <t>Textiles</t>
        </is>
      </c>
      <c r="D1594" t="n">
        <v>2024</v>
      </c>
      <c r="E1594" t="n">
        <v>2021</v>
      </c>
      <c r="F1594" t="n">
        <v>2040</v>
      </c>
      <c r="G1594" t="n">
        <v>10082.4327</v>
      </c>
      <c r="H1594" t="n">
        <v>1145.0433</v>
      </c>
      <c r="I1594" t="inlineStr"/>
      <c r="J1594" t="n">
        <v>6668.5072</v>
      </c>
      <c r="K1594" t="n">
        <v>45670132.94</v>
      </c>
      <c r="L1594" t="n">
        <v>258354383.57</v>
      </c>
      <c r="M1594" t="n">
        <v>10082.4327</v>
      </c>
      <c r="N1594" t="inlineStr">
        <is>
          <t>Supplier Reported Emissions</t>
        </is>
      </c>
      <c r="O1594" t="b">
        <v>0</v>
      </c>
      <c r="P1594" t="inlineStr">
        <is>
          <t>High</t>
        </is>
      </c>
      <c r="Q1594" t="inlineStr">
        <is>
          <t>Scope_Emissions</t>
        </is>
      </c>
      <c r="R1594" t="inlineStr">
        <is>
          <t>Valid</t>
        </is>
      </c>
      <c r="S1594" t="n">
        <v>2033</v>
      </c>
      <c r="T1594" t="inlineStr">
        <is>
          <t>Supplier Target Pathway</t>
        </is>
      </c>
      <c r="U1594" t="n">
        <v>9067.2328</v>
      </c>
      <c r="V1594" t="n">
        <v>5088.531</v>
      </c>
      <c r="W1594" t="n">
        <v>6554.3685</v>
      </c>
      <c r="X1594" t="n">
        <v>6554.3685</v>
      </c>
      <c r="Y1594" t="n">
        <v>2512.8643</v>
      </c>
      <c r="Z1594" t="n">
        <v>0.00014352</v>
      </c>
      <c r="AA1594" t="n">
        <v>0.277137</v>
      </c>
      <c r="AB1594" t="n">
        <v>1465.8375</v>
      </c>
      <c r="AC1594" t="n">
        <v>209.4054</v>
      </c>
      <c r="AD1594" t="n">
        <v>14888.5864</v>
      </c>
      <c r="AE1594" t="n">
        <v>66527.9096</v>
      </c>
      <c r="AF1594" t="n">
        <v>0.99</v>
      </c>
      <c r="AG1594" t="inlineStr">
        <is>
          <t>High</t>
        </is>
      </c>
      <c r="AH1594" t="inlineStr">
        <is>
          <t>On Track to Glide Path</t>
        </is>
      </c>
    </row>
    <row r="1595">
      <c r="A1595" t="inlineStr">
        <is>
          <t>SUP-0100</t>
        </is>
      </c>
      <c r="B1595" t="inlineStr">
        <is>
          <t>Textiles Supplier 100</t>
        </is>
      </c>
      <c r="C1595" t="inlineStr">
        <is>
          <t>Textiles</t>
        </is>
      </c>
      <c r="D1595" t="n">
        <v>2024</v>
      </c>
      <c r="E1595" t="n">
        <v>2021</v>
      </c>
      <c r="F1595" t="n">
        <v>2040</v>
      </c>
      <c r="G1595" t="n">
        <v>10082.4327</v>
      </c>
      <c r="H1595" t="n">
        <v>1145.0433</v>
      </c>
      <c r="I1595" t="inlineStr"/>
      <c r="J1595" t="n">
        <v>6668.5072</v>
      </c>
      <c r="K1595" t="n">
        <v>45670132.94</v>
      </c>
      <c r="L1595" t="n">
        <v>258354383.57</v>
      </c>
      <c r="M1595" t="n">
        <v>10082.4327</v>
      </c>
      <c r="N1595" t="inlineStr">
        <is>
          <t>Supplier Reported Emissions</t>
        </is>
      </c>
      <c r="O1595" t="b">
        <v>0</v>
      </c>
      <c r="P1595" t="inlineStr">
        <is>
          <t>High</t>
        </is>
      </c>
      <c r="Q1595" t="inlineStr">
        <is>
          <t>Scope_Emissions</t>
        </is>
      </c>
      <c r="R1595" t="inlineStr">
        <is>
          <t>Valid</t>
        </is>
      </c>
      <c r="S1595" t="n">
        <v>2034</v>
      </c>
      <c r="T1595" t="inlineStr">
        <is>
          <t>Supplier Target Pathway</t>
        </is>
      </c>
      <c r="U1595" t="n">
        <v>9067.2328</v>
      </c>
      <c r="V1595" t="n">
        <v>5088.531</v>
      </c>
      <c r="W1595" t="n">
        <v>6344.9632</v>
      </c>
      <c r="X1595" t="n">
        <v>6344.9632</v>
      </c>
      <c r="Y1595" t="n">
        <v>2722.2696</v>
      </c>
      <c r="Z1595" t="n">
        <v>0.00013893</v>
      </c>
      <c r="AA1595" t="n">
        <v>0.300232</v>
      </c>
      <c r="AB1595" t="n">
        <v>1256.4321</v>
      </c>
      <c r="AC1595" t="n">
        <v>209.4054</v>
      </c>
      <c r="AD1595" t="n">
        <v>8543.6232</v>
      </c>
      <c r="AE1595" t="n">
        <v>72872.8728</v>
      </c>
      <c r="AF1595" t="n">
        <v>0.99</v>
      </c>
      <c r="AG1595" t="inlineStr">
        <is>
          <t>High</t>
        </is>
      </c>
      <c r="AH1595" t="inlineStr">
        <is>
          <t>On Track to Glide Path</t>
        </is>
      </c>
    </row>
    <row r="1596">
      <c r="A1596" t="inlineStr">
        <is>
          <t>SUP-0100</t>
        </is>
      </c>
      <c r="B1596" t="inlineStr">
        <is>
          <t>Textiles Supplier 100</t>
        </is>
      </c>
      <c r="C1596" t="inlineStr">
        <is>
          <t>Textiles</t>
        </is>
      </c>
      <c r="D1596" t="n">
        <v>2024</v>
      </c>
      <c r="E1596" t="n">
        <v>2021</v>
      </c>
      <c r="F1596" t="n">
        <v>2040</v>
      </c>
      <c r="G1596" t="n">
        <v>10082.4327</v>
      </c>
      <c r="H1596" t="n">
        <v>1145.0433</v>
      </c>
      <c r="I1596" t="inlineStr"/>
      <c r="J1596" t="n">
        <v>6668.5072</v>
      </c>
      <c r="K1596" t="n">
        <v>45670132.94</v>
      </c>
      <c r="L1596" t="n">
        <v>258354383.57</v>
      </c>
      <c r="M1596" t="n">
        <v>10082.4327</v>
      </c>
      <c r="N1596" t="inlineStr">
        <is>
          <t>Supplier Reported Emissions</t>
        </is>
      </c>
      <c r="O1596" t="b">
        <v>0</v>
      </c>
      <c r="P1596" t="inlineStr">
        <is>
          <t>High</t>
        </is>
      </c>
      <c r="Q1596" t="inlineStr">
        <is>
          <t>Scope_Emissions</t>
        </is>
      </c>
      <c r="R1596" t="inlineStr">
        <is>
          <t>Valid</t>
        </is>
      </c>
      <c r="S1596" t="n">
        <v>2035</v>
      </c>
      <c r="T1596" t="inlineStr">
        <is>
          <t>Supplier Target Pathway</t>
        </is>
      </c>
      <c r="U1596" t="n">
        <v>9067.2328</v>
      </c>
      <c r="V1596" t="n">
        <v>5088.531</v>
      </c>
      <c r="W1596" t="n">
        <v>6135.5578</v>
      </c>
      <c r="X1596" t="n">
        <v>6135.5578</v>
      </c>
      <c r="Y1596" t="n">
        <v>2931.675</v>
      </c>
      <c r="Z1596" t="n">
        <v>0.00013435</v>
      </c>
      <c r="AA1596" t="n">
        <v>0.323326</v>
      </c>
      <c r="AB1596" t="n">
        <v>1047.0268</v>
      </c>
      <c r="AC1596" t="n">
        <v>209.4054</v>
      </c>
      <c r="AD1596" t="n">
        <v>2408.0654</v>
      </c>
      <c r="AE1596" t="n">
        <v>79008.43060000001</v>
      </c>
      <c r="AF1596" t="n">
        <v>0.99</v>
      </c>
      <c r="AG1596" t="inlineStr">
        <is>
          <t>High</t>
        </is>
      </c>
      <c r="AH1596" t="inlineStr">
        <is>
          <t>On Track to Glide Path</t>
        </is>
      </c>
    </row>
    <row r="1597">
      <c r="A1597" t="inlineStr">
        <is>
          <t>SUP-0100</t>
        </is>
      </c>
      <c r="B1597" t="inlineStr">
        <is>
          <t>Textiles Supplier 100</t>
        </is>
      </c>
      <c r="C1597" t="inlineStr">
        <is>
          <t>Textiles</t>
        </is>
      </c>
      <c r="D1597" t="n">
        <v>2024</v>
      </c>
      <c r="E1597" t="n">
        <v>2021</v>
      </c>
      <c r="F1597" t="n">
        <v>2040</v>
      </c>
      <c r="G1597" t="n">
        <v>10082.4327</v>
      </c>
      <c r="H1597" t="n">
        <v>1145.0433</v>
      </c>
      <c r="I1597" t="inlineStr"/>
      <c r="J1597" t="n">
        <v>6668.5072</v>
      </c>
      <c r="K1597" t="n">
        <v>45670132.94</v>
      </c>
      <c r="L1597" t="n">
        <v>258354383.57</v>
      </c>
      <c r="M1597" t="n">
        <v>10082.4327</v>
      </c>
      <c r="N1597" t="inlineStr">
        <is>
          <t>Supplier Reported Emissions</t>
        </is>
      </c>
      <c r="O1597" t="b">
        <v>0</v>
      </c>
      <c r="P1597" t="inlineStr">
        <is>
          <t>High</t>
        </is>
      </c>
      <c r="Q1597" t="inlineStr">
        <is>
          <t>Scope_Emissions</t>
        </is>
      </c>
      <c r="R1597" t="inlineStr">
        <is>
          <t>Valid</t>
        </is>
      </c>
      <c r="S1597" t="n">
        <v>2036</v>
      </c>
      <c r="T1597" t="inlineStr">
        <is>
          <t>Supplier Target Pathway</t>
        </is>
      </c>
      <c r="U1597" t="n">
        <v>9067.2328</v>
      </c>
      <c r="V1597" t="n">
        <v>5088.531</v>
      </c>
      <c r="W1597" t="n">
        <v>5926.1525</v>
      </c>
      <c r="X1597" t="n">
        <v>5926.1525</v>
      </c>
      <c r="Y1597" t="n">
        <v>3141.0803</v>
      </c>
      <c r="Z1597" t="n">
        <v>0.00012976</v>
      </c>
      <c r="AA1597" t="n">
        <v>0.346421</v>
      </c>
      <c r="AB1597" t="n">
        <v>837.6214</v>
      </c>
      <c r="AC1597" t="n">
        <v>209.4054</v>
      </c>
      <c r="AD1597" t="n">
        <v>-3518.0871</v>
      </c>
      <c r="AE1597" t="n">
        <v>84934.5831</v>
      </c>
      <c r="AF1597" t="n">
        <v>0.99</v>
      </c>
      <c r="AG1597" t="inlineStr">
        <is>
          <t>High</t>
        </is>
      </c>
      <c r="AH1597" t="inlineStr">
        <is>
          <t>On Track to Glide Path</t>
        </is>
      </c>
    </row>
    <row r="1598">
      <c r="A1598" t="inlineStr">
        <is>
          <t>SUP-0100</t>
        </is>
      </c>
      <c r="B1598" t="inlineStr">
        <is>
          <t>Textiles Supplier 100</t>
        </is>
      </c>
      <c r="C1598" t="inlineStr">
        <is>
          <t>Textiles</t>
        </is>
      </c>
      <c r="D1598" t="n">
        <v>2024</v>
      </c>
      <c r="E1598" t="n">
        <v>2021</v>
      </c>
      <c r="F1598" t="n">
        <v>2040</v>
      </c>
      <c r="G1598" t="n">
        <v>10082.4327</v>
      </c>
      <c r="H1598" t="n">
        <v>1145.0433</v>
      </c>
      <c r="I1598" t="inlineStr"/>
      <c r="J1598" t="n">
        <v>6668.5072</v>
      </c>
      <c r="K1598" t="n">
        <v>45670132.94</v>
      </c>
      <c r="L1598" t="n">
        <v>258354383.57</v>
      </c>
      <c r="M1598" t="n">
        <v>10082.4327</v>
      </c>
      <c r="N1598" t="inlineStr">
        <is>
          <t>Supplier Reported Emissions</t>
        </is>
      </c>
      <c r="O1598" t="b">
        <v>0</v>
      </c>
      <c r="P1598" t="inlineStr">
        <is>
          <t>High</t>
        </is>
      </c>
      <c r="Q1598" t="inlineStr">
        <is>
          <t>Scope_Emissions</t>
        </is>
      </c>
      <c r="R1598" t="inlineStr">
        <is>
          <t>Valid</t>
        </is>
      </c>
      <c r="S1598" t="n">
        <v>2037</v>
      </c>
      <c r="T1598" t="inlineStr">
        <is>
          <t>Supplier Target Pathway</t>
        </is>
      </c>
      <c r="U1598" t="n">
        <v>9067.2328</v>
      </c>
      <c r="V1598" t="n">
        <v>5088.531</v>
      </c>
      <c r="W1598" t="n">
        <v>5716.7471</v>
      </c>
      <c r="X1598" t="n">
        <v>5716.7471</v>
      </c>
      <c r="Y1598" t="n">
        <v>3350.4857</v>
      </c>
      <c r="Z1598" t="n">
        <v>0.00012517</v>
      </c>
      <c r="AA1598" t="n">
        <v>0.369516</v>
      </c>
      <c r="AB1598" t="n">
        <v>628.2161</v>
      </c>
      <c r="AC1598" t="n">
        <v>209.4054</v>
      </c>
      <c r="AD1598" t="n">
        <v>-9234.834199999999</v>
      </c>
      <c r="AE1598" t="n">
        <v>90651.3302</v>
      </c>
      <c r="AF1598" t="n">
        <v>0.99</v>
      </c>
      <c r="AG1598" t="inlineStr">
        <is>
          <t>Medium</t>
        </is>
      </c>
      <c r="AH1598" t="inlineStr">
        <is>
          <t>On Track to Glide Path</t>
        </is>
      </c>
    </row>
    <row r="1599">
      <c r="A1599" t="inlineStr">
        <is>
          <t>SUP-0100</t>
        </is>
      </c>
      <c r="B1599" t="inlineStr">
        <is>
          <t>Textiles Supplier 100</t>
        </is>
      </c>
      <c r="C1599" t="inlineStr">
        <is>
          <t>Textiles</t>
        </is>
      </c>
      <c r="D1599" t="n">
        <v>2024</v>
      </c>
      <c r="E1599" t="n">
        <v>2021</v>
      </c>
      <c r="F1599" t="n">
        <v>2040</v>
      </c>
      <c r="G1599" t="n">
        <v>10082.4327</v>
      </c>
      <c r="H1599" t="n">
        <v>1145.0433</v>
      </c>
      <c r="I1599" t="inlineStr"/>
      <c r="J1599" t="n">
        <v>6668.5072</v>
      </c>
      <c r="K1599" t="n">
        <v>45670132.94</v>
      </c>
      <c r="L1599" t="n">
        <v>258354383.57</v>
      </c>
      <c r="M1599" t="n">
        <v>10082.4327</v>
      </c>
      <c r="N1599" t="inlineStr">
        <is>
          <t>Supplier Reported Emissions</t>
        </is>
      </c>
      <c r="O1599" t="b">
        <v>0</v>
      </c>
      <c r="P1599" t="inlineStr">
        <is>
          <t>High</t>
        </is>
      </c>
      <c r="Q1599" t="inlineStr">
        <is>
          <t>Scope_Emissions</t>
        </is>
      </c>
      <c r="R1599" t="inlineStr">
        <is>
          <t>Valid</t>
        </is>
      </c>
      <c r="S1599" t="n">
        <v>2038</v>
      </c>
      <c r="T1599" t="inlineStr">
        <is>
          <t>Supplier Target Pathway</t>
        </is>
      </c>
      <c r="U1599" t="n">
        <v>9067.2328</v>
      </c>
      <c r="V1599" t="n">
        <v>5088.531</v>
      </c>
      <c r="W1599" t="n">
        <v>5507.3418</v>
      </c>
      <c r="X1599" t="n">
        <v>5507.3418</v>
      </c>
      <c r="Y1599" t="n">
        <v>3559.891</v>
      </c>
      <c r="Z1599" t="n">
        <v>0.00012059</v>
      </c>
      <c r="AA1599" t="n">
        <v>0.392611</v>
      </c>
      <c r="AB1599" t="n">
        <v>418.8107</v>
      </c>
      <c r="AC1599" t="n">
        <v>209.4054</v>
      </c>
      <c r="AD1599" t="n">
        <v>-14742.176</v>
      </c>
      <c r="AE1599" t="n">
        <v>96158.67200000001</v>
      </c>
      <c r="AF1599" t="n">
        <v>0.99</v>
      </c>
      <c r="AG1599" t="inlineStr">
        <is>
          <t>Medium</t>
        </is>
      </c>
      <c r="AH1599" t="inlineStr">
        <is>
          <t>On Track to Glide Path</t>
        </is>
      </c>
    </row>
    <row r="1600">
      <c r="A1600" t="inlineStr">
        <is>
          <t>SUP-0100</t>
        </is>
      </c>
      <c r="B1600" t="inlineStr">
        <is>
          <t>Textiles Supplier 100</t>
        </is>
      </c>
      <c r="C1600" t="inlineStr">
        <is>
          <t>Textiles</t>
        </is>
      </c>
      <c r="D1600" t="n">
        <v>2024</v>
      </c>
      <c r="E1600" t="n">
        <v>2021</v>
      </c>
      <c r="F1600" t="n">
        <v>2040</v>
      </c>
      <c r="G1600" t="n">
        <v>10082.4327</v>
      </c>
      <c r="H1600" t="n">
        <v>1145.0433</v>
      </c>
      <c r="I1600" t="inlineStr"/>
      <c r="J1600" t="n">
        <v>6668.5072</v>
      </c>
      <c r="K1600" t="n">
        <v>45670132.94</v>
      </c>
      <c r="L1600" t="n">
        <v>258354383.57</v>
      </c>
      <c r="M1600" t="n">
        <v>10082.4327</v>
      </c>
      <c r="N1600" t="inlineStr">
        <is>
          <t>Supplier Reported Emissions</t>
        </is>
      </c>
      <c r="O1600" t="b">
        <v>0</v>
      </c>
      <c r="P1600" t="inlineStr">
        <is>
          <t>High</t>
        </is>
      </c>
      <c r="Q1600" t="inlineStr">
        <is>
          <t>Scope_Emissions</t>
        </is>
      </c>
      <c r="R1600" t="inlineStr">
        <is>
          <t>Valid</t>
        </is>
      </c>
      <c r="S1600" t="n">
        <v>2039</v>
      </c>
      <c r="T1600" t="inlineStr">
        <is>
          <t>Supplier Target Pathway</t>
        </is>
      </c>
      <c r="U1600" t="n">
        <v>9067.2328</v>
      </c>
      <c r="V1600" t="n">
        <v>5088.531</v>
      </c>
      <c r="W1600" t="n">
        <v>5297.9364</v>
      </c>
      <c r="X1600" t="n">
        <v>5297.9364</v>
      </c>
      <c r="Y1600" t="n">
        <v>3769.2964</v>
      </c>
      <c r="Z1600" t="n">
        <v>0.000116</v>
      </c>
      <c r="AA1600" t="n">
        <v>0.415705</v>
      </c>
      <c r="AB1600" t="n">
        <v>209.4054</v>
      </c>
      <c r="AC1600" t="n">
        <v>209.4054</v>
      </c>
      <c r="AD1600" t="n">
        <v>-20040.1124</v>
      </c>
      <c r="AE1600" t="n">
        <v>101456.6084</v>
      </c>
      <c r="AF1600" t="n">
        <v>0.99</v>
      </c>
      <c r="AG1600" t="inlineStr">
        <is>
          <t>Medium</t>
        </is>
      </c>
      <c r="AH1600" t="inlineStr">
        <is>
          <t>On Track to Glide Path</t>
        </is>
      </c>
    </row>
    <row r="1601">
      <c r="A1601" t="inlineStr">
        <is>
          <t>SUP-0100</t>
        </is>
      </c>
      <c r="B1601" t="inlineStr">
        <is>
          <t>Textiles Supplier 100</t>
        </is>
      </c>
      <c r="C1601" t="inlineStr">
        <is>
          <t>Textiles</t>
        </is>
      </c>
      <c r="D1601" t="n">
        <v>2024</v>
      </c>
      <c r="E1601" t="n">
        <v>2021</v>
      </c>
      <c r="F1601" t="n">
        <v>2040</v>
      </c>
      <c r="G1601" t="n">
        <v>10082.4327</v>
      </c>
      <c r="H1601" t="n">
        <v>1145.0433</v>
      </c>
      <c r="I1601" t="inlineStr"/>
      <c r="J1601" t="n">
        <v>6668.5072</v>
      </c>
      <c r="K1601" t="n">
        <v>45670132.94</v>
      </c>
      <c r="L1601" t="n">
        <v>258354383.57</v>
      </c>
      <c r="M1601" t="n">
        <v>10082.4327</v>
      </c>
      <c r="N1601" t="inlineStr">
        <is>
          <t>Supplier Reported Emissions</t>
        </is>
      </c>
      <c r="O1601" t="b">
        <v>0</v>
      </c>
      <c r="P1601" t="inlineStr">
        <is>
          <t>High</t>
        </is>
      </c>
      <c r="Q1601" t="inlineStr">
        <is>
          <t>Scope_Emissions</t>
        </is>
      </c>
      <c r="R1601" t="inlineStr">
        <is>
          <t>Valid</t>
        </is>
      </c>
      <c r="S1601" t="n">
        <v>2040</v>
      </c>
      <c r="T1601" t="inlineStr">
        <is>
          <t>Supplier Target Pathway</t>
        </is>
      </c>
      <c r="U1601" t="n">
        <v>9067.2328</v>
      </c>
      <c r="V1601" t="n">
        <v>5088.531</v>
      </c>
      <c r="W1601" t="n">
        <v>5088.531</v>
      </c>
      <c r="X1601" t="n">
        <v>5088.531</v>
      </c>
      <c r="Y1601" t="n">
        <v>3978.7018</v>
      </c>
      <c r="Z1601" t="n">
        <v>0.00011142</v>
      </c>
      <c r="AA1601" t="n">
        <v>0.4388</v>
      </c>
      <c r="AB1601" t="n">
        <v>0</v>
      </c>
      <c r="AC1601" t="n">
        <v>209.4054</v>
      </c>
      <c r="AD1601" t="n">
        <v>-25128.6434</v>
      </c>
      <c r="AE1601" t="n">
        <v>106545.1394</v>
      </c>
      <c r="AF1601" t="n">
        <v>0.99</v>
      </c>
      <c r="AG1601" t="inlineStr">
        <is>
          <t>Low</t>
        </is>
      </c>
      <c r="AH1601" t="inlineStr">
        <is>
          <t>On Track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Attribute_Name</t>
        </is>
      </c>
      <c r="B1" t="inlineStr">
        <is>
          <t>Description</t>
        </is>
      </c>
      <c r="C1" t="inlineStr">
        <is>
          <t>Data_Type</t>
        </is>
      </c>
      <c r="D1" t="inlineStr">
        <is>
          <t>Source_System</t>
        </is>
      </c>
      <c r="E1" t="inlineStr">
        <is>
          <t>Mandatory_or_Optional</t>
        </is>
      </c>
      <c r="F1" t="inlineStr">
        <is>
          <t>Business_Purpose</t>
        </is>
      </c>
      <c r="G1" t="inlineStr">
        <is>
          <t>Model_Impact</t>
        </is>
      </c>
      <c r="H1" t="inlineStr">
        <is>
          <t>Example_Value</t>
        </is>
      </c>
    </row>
    <row r="2">
      <c r="A2" t="inlineStr">
        <is>
          <t>Supplier_ID</t>
        </is>
      </c>
      <c r="B2" t="inlineStr">
        <is>
          <t>Unique supplier key</t>
        </is>
      </c>
      <c r="C2" t="inlineStr">
        <is>
          <t>String</t>
        </is>
      </c>
      <c r="D2" t="inlineStr">
        <is>
          <t>ERP / Supplier master</t>
        </is>
      </c>
      <c r="E2" t="inlineStr">
        <is>
          <t>Mandatory</t>
        </is>
      </c>
      <c r="F2" t="inlineStr">
        <is>
          <t>Joins datasets</t>
        </is>
      </c>
      <c r="G2" t="inlineStr">
        <is>
          <t>Primary grouping key</t>
        </is>
      </c>
      <c r="H2" t="inlineStr">
        <is>
          <t>SUP-0001</t>
        </is>
      </c>
    </row>
    <row r="3">
      <c r="A3" t="inlineStr">
        <is>
          <t>Supplier_Name</t>
        </is>
      </c>
      <c r="B3" t="inlineStr">
        <is>
          <t>Legal or reporting supplier name</t>
        </is>
      </c>
      <c r="C3" t="inlineStr">
        <is>
          <t>String</t>
        </is>
      </c>
      <c r="D3" t="inlineStr">
        <is>
          <t>ERP / Supplier master</t>
        </is>
      </c>
      <c r="E3" t="inlineStr">
        <is>
          <t>Mandatory</t>
        </is>
      </c>
      <c r="F3" t="inlineStr">
        <is>
          <t>Supplier reporting</t>
        </is>
      </c>
      <c r="G3" t="inlineStr">
        <is>
          <t>Dashboard label</t>
        </is>
      </c>
      <c r="H3" t="inlineStr">
        <is>
          <t>Electronics Supplier 001</t>
        </is>
      </c>
    </row>
    <row r="4">
      <c r="A4" t="inlineStr">
        <is>
          <t>Supplier_Industry</t>
        </is>
      </c>
      <c r="B4" t="inlineStr">
        <is>
          <t>Supplier industry category</t>
        </is>
      </c>
      <c r="C4" t="inlineStr">
        <is>
          <t>String</t>
        </is>
      </c>
      <c r="D4" t="inlineStr">
        <is>
          <t>Supplier master / Taxonomy</t>
        </is>
      </c>
      <c r="E4" t="inlineStr">
        <is>
          <t>Mandatory</t>
        </is>
      </c>
      <c r="F4" t="inlineStr">
        <is>
          <t>Benchmarking and fallback targets</t>
        </is>
      </c>
      <c r="G4" t="inlineStr">
        <is>
          <t>Enables industry haircut pathway</t>
        </is>
      </c>
      <c r="H4" t="inlineStr">
        <is>
          <t>Electronics</t>
        </is>
      </c>
    </row>
    <row r="5">
      <c r="A5" t="inlineStr">
        <is>
          <t>Supplier_Year</t>
        </is>
      </c>
      <c r="B5" t="inlineStr">
        <is>
          <t>Historical reporting year</t>
        </is>
      </c>
      <c r="C5" t="inlineStr">
        <is>
          <t>Integer</t>
        </is>
      </c>
      <c r="D5" t="inlineStr">
        <is>
          <t>ERP / ESG data lake</t>
        </is>
      </c>
      <c r="E5" t="inlineStr">
        <is>
          <t>Mandatory</t>
        </is>
      </c>
      <c r="F5" t="inlineStr">
        <is>
          <t>Time series analysis</t>
        </is>
      </c>
      <c r="G5" t="inlineStr">
        <is>
          <t>Trend and baseline selection</t>
        </is>
      </c>
      <c r="H5" t="inlineStr">
        <is>
          <t>2024</t>
        </is>
      </c>
    </row>
    <row r="6">
      <c r="A6" t="inlineStr">
        <is>
          <t>Gross_Spend</t>
        </is>
      </c>
      <c r="B6" t="inlineStr">
        <is>
          <t>Annual procurement spend</t>
        </is>
      </c>
      <c r="C6" t="inlineStr">
        <is>
          <t>Decimal</t>
        </is>
      </c>
      <c r="D6" t="inlineStr">
        <is>
          <t>ERP / Procurement</t>
        </is>
      </c>
      <c r="E6" t="inlineStr">
        <is>
          <t>Optional</t>
        </is>
      </c>
      <c r="F6" t="inlineStr">
        <is>
          <t>Spend-based emissions estimate</t>
        </is>
      </c>
      <c r="G6" t="inlineStr">
        <is>
          <t>Fallback calculation and intensity</t>
        </is>
      </c>
      <c r="H6" t="inlineStr">
        <is>
          <t>2500000</t>
        </is>
      </c>
    </row>
    <row r="7">
      <c r="A7" t="inlineStr">
        <is>
          <t>Revenue</t>
        </is>
      </c>
      <c r="B7" t="inlineStr">
        <is>
          <t>Supplier revenue attributable or total revenue</t>
        </is>
      </c>
      <c r="C7" t="inlineStr">
        <is>
          <t>Decimal</t>
        </is>
      </c>
      <c r="D7" t="inlineStr">
        <is>
          <t>Supplier survey / Finance</t>
        </is>
      </c>
      <c r="E7" t="inlineStr">
        <is>
          <t>Optional</t>
        </is>
      </c>
      <c r="F7" t="inlineStr">
        <is>
          <t>Revenue-based intensity estimate</t>
        </is>
      </c>
      <c r="G7" t="inlineStr">
        <is>
          <t>Fallback calculation</t>
        </is>
      </c>
      <c r="H7" t="inlineStr">
        <is>
          <t>12000000</t>
        </is>
      </c>
    </row>
    <row r="8">
      <c r="A8" t="inlineStr">
        <is>
          <t>Reported_Emissions</t>
        </is>
      </c>
      <c r="B8" t="inlineStr">
        <is>
          <t>Supplier reported total emissions</t>
        </is>
      </c>
      <c r="C8" t="inlineStr">
        <is>
          <t>Decimal</t>
        </is>
      </c>
      <c r="D8" t="inlineStr">
        <is>
          <t>CDP / Supplier portal</t>
        </is>
      </c>
      <c r="E8" t="inlineStr">
        <is>
          <t>Optional</t>
        </is>
      </c>
      <c r="F8" t="inlineStr">
        <is>
          <t>Preferred emissions source</t>
        </is>
      </c>
      <c r="G8" t="inlineStr">
        <is>
          <t>Highest confidence total</t>
        </is>
      </c>
      <c r="H8" t="inlineStr">
        <is>
          <t>1850.75</t>
        </is>
      </c>
    </row>
    <row r="9">
      <c r="A9" t="inlineStr">
        <is>
          <t>Scope1_Emission</t>
        </is>
      </c>
      <c r="B9" t="inlineStr">
        <is>
          <t>Direct emissions</t>
        </is>
      </c>
      <c r="C9" t="inlineStr">
        <is>
          <t>Decimal</t>
        </is>
      </c>
      <c r="D9" t="inlineStr">
        <is>
          <t>Supplier ESG report</t>
        </is>
      </c>
      <c r="E9" t="inlineStr">
        <is>
          <t>Optional</t>
        </is>
      </c>
      <c r="F9" t="inlineStr">
        <is>
          <t>Scope-level rollup</t>
        </is>
      </c>
      <c r="G9" t="inlineStr">
        <is>
          <t>Second priority fallback</t>
        </is>
      </c>
      <c r="H9" t="inlineStr">
        <is>
          <t>120.5</t>
        </is>
      </c>
    </row>
    <row r="10">
      <c r="A10" t="inlineStr">
        <is>
          <t>Scope2_Emission</t>
        </is>
      </c>
      <c r="B10" t="inlineStr">
        <is>
          <t>Purchased energy emissions</t>
        </is>
      </c>
      <c r="C10" t="inlineStr">
        <is>
          <t>Decimal</t>
        </is>
      </c>
      <c r="D10" t="inlineStr">
        <is>
          <t>Supplier ESG report</t>
        </is>
      </c>
      <c r="E10" t="inlineStr">
        <is>
          <t>Optional</t>
        </is>
      </c>
      <c r="F10" t="inlineStr">
        <is>
          <t>Scope-level rollup</t>
        </is>
      </c>
      <c r="G10" t="inlineStr">
        <is>
          <t>Second priority fallback</t>
        </is>
      </c>
      <c r="H10" t="inlineStr">
        <is>
          <t>80.2</t>
        </is>
      </c>
    </row>
    <row r="11">
      <c r="A11" t="inlineStr">
        <is>
          <t>Scope3_Emission</t>
        </is>
      </c>
      <c r="B11" t="inlineStr">
        <is>
          <t>Supplier value-chain emissions</t>
        </is>
      </c>
      <c r="C11" t="inlineStr">
        <is>
          <t>Decimal</t>
        </is>
      </c>
      <c r="D11" t="inlineStr">
        <is>
          <t>Supplier ESG report</t>
        </is>
      </c>
      <c r="E11" t="inlineStr">
        <is>
          <t>Optional</t>
        </is>
      </c>
      <c r="F11" t="inlineStr">
        <is>
          <t>Scope-level rollup</t>
        </is>
      </c>
      <c r="G11" t="inlineStr">
        <is>
          <t>Second priority fallback</t>
        </is>
      </c>
      <c r="H11" t="inlineStr">
        <is>
          <t>1650.1</t>
        </is>
      </c>
    </row>
    <row r="12">
      <c r="A12" t="inlineStr">
        <is>
          <t>Baseline_Year</t>
        </is>
      </c>
      <c r="B12" t="inlineStr">
        <is>
          <t>Supplier target baseline year</t>
        </is>
      </c>
      <c r="C12" t="inlineStr">
        <is>
          <t>Integer</t>
        </is>
      </c>
      <c r="D12" t="inlineStr">
        <is>
          <t>Supplier target table</t>
        </is>
      </c>
      <c r="E12" t="inlineStr">
        <is>
          <t>Optional</t>
        </is>
      </c>
      <c r="F12" t="inlineStr">
        <is>
          <t>Target pathway anchor</t>
        </is>
      </c>
      <c r="G12" t="inlineStr">
        <is>
          <t>Defines baseline emission</t>
        </is>
      </c>
      <c r="H12" t="inlineStr">
        <is>
          <t>2020</t>
        </is>
      </c>
    </row>
    <row r="13">
      <c r="A13" t="inlineStr">
        <is>
          <t>Target_Year</t>
        </is>
      </c>
      <c r="B13" t="inlineStr">
        <is>
          <t>Supplier target completion year</t>
        </is>
      </c>
      <c r="C13" t="inlineStr">
        <is>
          <t>Integer</t>
        </is>
      </c>
      <c r="D13" t="inlineStr">
        <is>
          <t>Supplier target table</t>
        </is>
      </c>
      <c r="E13" t="inlineStr">
        <is>
          <t>Optional</t>
        </is>
      </c>
      <c r="F13" t="inlineStr">
        <is>
          <t>Target pathway endpoint</t>
        </is>
      </c>
      <c r="G13" t="inlineStr">
        <is>
          <t>Forecast endpoint</t>
        </is>
      </c>
      <c r="H13" t="inlineStr">
        <is>
          <t>2030</t>
        </is>
      </c>
    </row>
    <row r="14">
      <c r="A14" t="inlineStr">
        <is>
          <t>Target_Reduction_Percentage</t>
        </is>
      </c>
      <c r="B14" t="inlineStr">
        <is>
          <t>Supplier target reduction from baseline</t>
        </is>
      </c>
      <c r="C14" t="inlineStr">
        <is>
          <t>Decimal</t>
        </is>
      </c>
      <c r="D14" t="inlineStr">
        <is>
          <t>Supplier target table</t>
        </is>
      </c>
      <c r="E14" t="inlineStr">
        <is>
          <t>Optional</t>
        </is>
      </c>
      <c r="F14" t="inlineStr">
        <is>
          <t>Supplier-specific target</t>
        </is>
      </c>
      <c r="G14" t="inlineStr">
        <is>
          <t>Target emission formula</t>
        </is>
      </c>
      <c r="H14" t="inlineStr">
        <is>
          <t>0.42</t>
        </is>
      </c>
    </row>
    <row r="15">
      <c r="A15" t="inlineStr">
        <is>
          <t>Interim_Target_Reduction_Percentage</t>
        </is>
      </c>
      <c r="B15" t="inlineStr">
        <is>
          <t>Interim reduction target</t>
        </is>
      </c>
      <c r="C15" t="inlineStr">
        <is>
          <t>Decimal</t>
        </is>
      </c>
      <c r="D15" t="inlineStr">
        <is>
          <t>Supplier target table</t>
        </is>
      </c>
      <c r="E15" t="inlineStr">
        <is>
          <t>Optional</t>
        </is>
      </c>
      <c r="F15" t="inlineStr">
        <is>
          <t>Midpoint governance</t>
        </is>
      </c>
      <c r="G15" t="inlineStr">
        <is>
          <t>Can support milestone dashboard</t>
        </is>
      </c>
      <c r="H15" t="inlineStr">
        <is>
          <t>0.21</t>
        </is>
      </c>
    </row>
    <row r="16">
      <c r="A16" t="inlineStr">
        <is>
          <t>Industry_Baseline_Year</t>
        </is>
      </c>
      <c r="B16" t="inlineStr">
        <is>
          <t>Industry baseline year</t>
        </is>
      </c>
      <c r="C16" t="inlineStr">
        <is>
          <t>Integer</t>
        </is>
      </c>
      <c r="D16" t="inlineStr">
        <is>
          <t>Industry benchmark table</t>
        </is>
      </c>
      <c r="E16" t="inlineStr">
        <is>
          <t>Optional</t>
        </is>
      </c>
      <c r="F16" t="inlineStr">
        <is>
          <t>Fallback pathway anchor</t>
        </is>
      </c>
      <c r="G16" t="inlineStr">
        <is>
          <t>Industry pathway</t>
        </is>
      </c>
      <c r="H16" t="inlineStr">
        <is>
          <t>2019</t>
        </is>
      </c>
    </row>
    <row r="17">
      <c r="A17" t="inlineStr">
        <is>
          <t>Industry_Target_Year</t>
        </is>
      </c>
      <c r="B17" t="inlineStr">
        <is>
          <t>Industry target year</t>
        </is>
      </c>
      <c r="C17" t="inlineStr">
        <is>
          <t>Integer</t>
        </is>
      </c>
      <c r="D17" t="inlineStr">
        <is>
          <t>Industry benchmark table</t>
        </is>
      </c>
      <c r="E17" t="inlineStr">
        <is>
          <t>Optional</t>
        </is>
      </c>
      <c r="F17" t="inlineStr">
        <is>
          <t>Fallback pathway endpoint</t>
        </is>
      </c>
      <c r="G17" t="inlineStr">
        <is>
          <t>Industry pathway</t>
        </is>
      </c>
      <c r="H17" t="inlineStr">
        <is>
          <t>2035</t>
        </is>
      </c>
    </row>
    <row r="18">
      <c r="A18" t="inlineStr">
        <is>
          <t>Industry_Reduction_Percentage</t>
        </is>
      </c>
      <c r="B18" t="inlineStr">
        <is>
          <t>Industry reduction haircut</t>
        </is>
      </c>
      <c r="C18" t="inlineStr">
        <is>
          <t>Decimal</t>
        </is>
      </c>
      <c r="D18" t="inlineStr">
        <is>
          <t>Benchmark / ESG scenario</t>
        </is>
      </c>
      <c r="E18" t="inlineStr">
        <is>
          <t>Optional</t>
        </is>
      </c>
      <c r="F18" t="inlineStr">
        <is>
          <t>Fallback reduction target</t>
        </is>
      </c>
      <c r="G18" t="inlineStr">
        <is>
          <t>Industry pathway</t>
        </is>
      </c>
      <c r="H18" t="inlineStr">
        <is>
          <t>0.35</t>
        </is>
      </c>
    </row>
    <row r="19">
      <c r="A19" t="inlineStr">
        <is>
          <t>Industry_Emission_Factor</t>
        </is>
      </c>
      <c r="B19" t="inlineStr">
        <is>
          <t>Average industry emissions factor</t>
        </is>
      </c>
      <c r="C19" t="inlineStr">
        <is>
          <t>Decimal</t>
        </is>
      </c>
      <c r="D19" t="inlineStr">
        <is>
          <t>LCA / EEIO factor database</t>
        </is>
      </c>
      <c r="E19" t="inlineStr">
        <is>
          <t>Optional</t>
        </is>
      </c>
      <c r="F19" t="inlineStr">
        <is>
          <t>Last-resort estimate</t>
        </is>
      </c>
      <c r="G19" t="inlineStr">
        <is>
          <t>Fallback source</t>
        </is>
      </c>
      <c r="H19" t="inlineStr">
        <is>
          <t>420.5</t>
        </is>
      </c>
    </row>
    <row r="20">
      <c r="A20" t="inlineStr">
        <is>
          <t>Spend_Based_Emission_Factor</t>
        </is>
      </c>
      <c r="B20" t="inlineStr">
        <is>
          <t>Emissions per currency spend</t>
        </is>
      </c>
      <c r="C20" t="inlineStr">
        <is>
          <t>Decimal</t>
        </is>
      </c>
      <c r="D20" t="inlineStr">
        <is>
          <t>EEIO / Procurement factor table</t>
        </is>
      </c>
      <c r="E20" t="inlineStr">
        <is>
          <t>Optional</t>
        </is>
      </c>
      <c r="F20" t="inlineStr">
        <is>
          <t>Spend-based estimate</t>
        </is>
      </c>
      <c r="G20" t="inlineStr">
        <is>
          <t>Fallback source</t>
        </is>
      </c>
      <c r="H20" t="inlineStr">
        <is>
          <t>0.00045</t>
        </is>
      </c>
    </row>
    <row r="21">
      <c r="A21" t="inlineStr">
        <is>
          <t>Revenue_Based_Emission_Intensity</t>
        </is>
      </c>
      <c r="B21" t="inlineStr">
        <is>
          <t>Emissions per currency revenue</t>
        </is>
      </c>
      <c r="C21" t="inlineStr">
        <is>
          <t>Decimal</t>
        </is>
      </c>
      <c r="D21" t="inlineStr">
        <is>
          <t>Benchmark / ESG data</t>
        </is>
      </c>
      <c r="E21" t="inlineStr">
        <is>
          <t>Optional</t>
        </is>
      </c>
      <c r="F21" t="inlineStr">
        <is>
          <t>Revenue-based estimate</t>
        </is>
      </c>
      <c r="G21" t="inlineStr">
        <is>
          <t>Fallback source</t>
        </is>
      </c>
      <c r="H21" t="inlineStr">
        <is>
          <t>0.00021</t>
        </is>
      </c>
    </row>
    <row r="22">
      <c r="A22" t="inlineStr">
        <is>
          <t>Total_Emission_Value</t>
        </is>
      </c>
      <c r="B22" t="inlineStr">
        <is>
          <t>Best available calculated total emissions</t>
        </is>
      </c>
      <c r="C22" t="inlineStr">
        <is>
          <t>Decimal</t>
        </is>
      </c>
      <c r="D22" t="inlineStr">
        <is>
          <t>Calculated</t>
        </is>
      </c>
      <c r="E22" t="inlineStr">
        <is>
          <t>Mandatory output</t>
        </is>
      </c>
      <c r="F22" t="inlineStr">
        <is>
          <t>Core model input</t>
        </is>
      </c>
      <c r="G22" t="inlineStr">
        <is>
          <t>Drives all forecasts</t>
        </is>
      </c>
      <c r="H22" t="inlineStr">
        <is>
          <t>1500.42</t>
        </is>
      </c>
    </row>
    <row r="23">
      <c r="A23" t="inlineStr">
        <is>
          <t>Forecast_Method_Flag</t>
        </is>
      </c>
      <c r="B23" t="inlineStr">
        <is>
          <t>Selected forecasting method</t>
        </is>
      </c>
      <c r="C23" t="inlineStr">
        <is>
          <t>String</t>
        </is>
      </c>
      <c r="D23" t="inlineStr">
        <is>
          <t>Calculated</t>
        </is>
      </c>
      <c r="E23" t="inlineStr">
        <is>
          <t>Mandatory output</t>
        </is>
      </c>
      <c r="F23" t="inlineStr">
        <is>
          <t>Governance transparency</t>
        </is>
      </c>
      <c r="G23" t="inlineStr">
        <is>
          <t>Explains forecast basis</t>
        </is>
      </c>
      <c r="H23" t="inlineStr">
        <is>
          <t>Supplier Target Pathway</t>
        </is>
      </c>
    </row>
    <row r="24">
      <c r="A24" t="inlineStr">
        <is>
          <t>Confidence_Score</t>
        </is>
      </c>
      <c r="B24" t="inlineStr">
        <is>
          <t>0-1 confidence score</t>
        </is>
      </c>
      <c r="C24" t="inlineStr">
        <is>
          <t>Decimal</t>
        </is>
      </c>
      <c r="D24" t="inlineStr">
        <is>
          <t>Calculated</t>
        </is>
      </c>
      <c r="E24" t="inlineStr">
        <is>
          <t>Mandatory output</t>
        </is>
      </c>
      <c r="F24" t="inlineStr">
        <is>
          <t>Risk and audit context</t>
        </is>
      </c>
      <c r="G24" t="inlineStr">
        <is>
          <t>Weights data reliability</t>
        </is>
      </c>
      <c r="H24" t="inlineStr">
        <is>
          <t>0.86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Calculated_Parameter</t>
        </is>
      </c>
      <c r="B1" t="inlineStr">
        <is>
          <t>Excel_Structured_Formula</t>
        </is>
      </c>
    </row>
    <row r="2">
      <c r="A2" t="inlineStr">
        <is>
          <t>Total_Emission_Value</t>
        </is>
      </c>
      <c r="B2">
        <f>IF([@[Reported_Emissions]]&lt;&gt;"",[@[Reported_Emissions]],IF(AND([@[Scope1_Emission]]&lt;&gt;"",[@[Scope2_Emission]]&lt;&gt;"",[@[Scope3_Emission]]&lt;&gt;""),[@[Scope1_Emission]]+[@[Scope2_Emission]]+[@[Scope3_Emission]],IF(AND([@[Gross_Spend]]&lt;&gt;"",[@[Spend_Based_Emission_Factor]]&lt;&gt;""),[@[Gross_Spend]]*[@[Spend_Based_Emission_Factor]],IF(AND([@[Revenue]]&lt;&gt;"",[@[Revenue_Based_Emission_Intensity]]&lt;&gt;""),[@[Revenue]]*[@[Revenue_Based_Emission_Intensity]],IF([@[Industry_Emission_Factor]]&lt;&gt;"",[@[Industry_Emission_Factor]],"Missing Data")))))</f>
        <v/>
      </c>
    </row>
    <row r="3">
      <c r="A3" t="inlineStr">
        <is>
          <t>Emission_Intensity</t>
        </is>
      </c>
      <c r="B3">
        <f>IFERROR([@[Forecast_Emission]]/[@[Gross_Spend]],"")</f>
        <v/>
      </c>
    </row>
    <row r="4">
      <c r="A4" t="inlineStr">
        <is>
          <t>Target_Emission</t>
        </is>
      </c>
      <c r="B4">
        <f>[@[Baseline_Emission]]*(1-[@[Target_Reduction_Percentage]])</f>
        <v/>
      </c>
    </row>
    <row r="5">
      <c r="A5" t="inlineStr">
        <is>
          <t>Annual_Reduction_Required</t>
        </is>
      </c>
      <c r="B5">
        <f>IFERROR(([@[Baseline_Emission]]-[@[Target_Emission]])/([@[Target_Year]]-[@[Baseline_Year]]),0)</f>
        <v/>
      </c>
    </row>
    <row r="6">
      <c r="A6" t="inlineStr">
        <is>
          <t>Forecast_Emission</t>
        </is>
      </c>
      <c r="B6">
        <f>IF([@[Forecast_Method_Flag]]="Historical Trend Pathway",[@[Total_Emission_Value]]*(1+[@[Historical_Trend]])^([@[Forecast_Year]]-[@[Supplier_Year]]),[@[Glide_Path_Emission]])</f>
        <v/>
      </c>
    </row>
    <row r="7">
      <c r="A7" t="inlineStr">
        <is>
          <t>Glide_Path_Emission</t>
        </is>
      </c>
      <c r="B7">
        <f>MAX([@[Target_Emission]],[@[Baseline_Emission]]-[@[Annual_Reduction_Required]]*([@[Forecast_Year]]-[@[Baseline_Year]]))</f>
        <v/>
      </c>
    </row>
    <row r="8">
      <c r="A8" t="inlineStr">
        <is>
          <t>Absolute_Reduction</t>
        </is>
      </c>
      <c r="B8">
        <f>[@[Baseline_Emission]]-[@[Forecast_Emission]]</f>
        <v/>
      </c>
    </row>
    <row r="9">
      <c r="A9" t="inlineStr">
        <is>
          <t>Intensity_Reduction</t>
        </is>
      </c>
      <c r="B9">
        <f>IFERROR(([@[Baseline_Intensity]]-[@[Emission_Intensity]])/[@[Baseline_Intensity]],"")</f>
        <v/>
      </c>
    </row>
    <row r="10">
      <c r="A10" t="inlineStr">
        <is>
          <t>Gap_to_Target</t>
        </is>
      </c>
      <c r="B10">
        <f>[@[Forecast_Emission]]-[@[Target_Emission]]</f>
        <v/>
      </c>
    </row>
    <row r="11">
      <c r="A11" t="inlineStr">
        <is>
          <t>YoY_Change</t>
        </is>
      </c>
      <c r="B11">
        <f>IFERROR(([@[Forecast_Emission]]-OFFSET([@[Forecast_Emission]],-1,0))/OFFSET([@[Forecast_Emission]],-1,0),"")</f>
        <v/>
      </c>
    </row>
    <row r="12">
      <c r="A12" t="inlineStr">
        <is>
          <t>CAGR</t>
        </is>
      </c>
      <c r="B12">
        <f>IFERROR(([@[Forecast_Emission]]/[@[Baseline_Emission]])^(1/([@[Forecast_Year]]-[@[Baseline_Year]]))-1,"")</f>
        <v/>
      </c>
    </row>
    <row r="13">
      <c r="A13" t="inlineStr">
        <is>
          <t>Supplier_Growth_Projection</t>
        </is>
      </c>
      <c r="B13">
        <f>IFERROR(([@[Current_Spend]]/[@[Baseline_Spend]])^(1/([@[Supplier_Year]]-[@[Baseline_Year]]))-1,"")</f>
        <v/>
      </c>
    </row>
    <row r="14">
      <c r="A14" t="inlineStr">
        <is>
          <t>Carbon_Budget_Remaining</t>
        </is>
      </c>
      <c r="B14">
        <f>[@[Target_Carbon_Budget]]-[@[Cumulative_Emissions]]</f>
        <v/>
      </c>
    </row>
    <row r="15">
      <c r="A15" t="inlineStr">
        <is>
          <t>Cumulative_Emissions</t>
        </is>
      </c>
      <c r="B15">
        <f>SUMIFS([Forecast_Emission],[Supplier_ID],[@[Supplier_ID]],[Forecast_Year],"&lt;="&amp;[@[Forecast_Year]])</f>
        <v/>
      </c>
    </row>
    <row r="16">
      <c r="A16" t="inlineStr">
        <is>
          <t>MAPE</t>
        </is>
      </c>
      <c r="B16">
        <f>AVERAGE(ABS((Actual_Range-Forecast_Range)/Actual_Range))</f>
        <v/>
      </c>
    </row>
    <row r="17">
      <c r="A17" t="inlineStr">
        <is>
          <t>RMSE</t>
        </is>
      </c>
      <c r="B17">
        <f>SQRT(AVERAGE((Actual_Range-Forecast_Range)^2))</f>
        <v/>
      </c>
    </row>
    <row r="18">
      <c r="A18" t="inlineStr">
        <is>
          <t>R2</t>
        </is>
      </c>
      <c r="B18">
        <f>1-(SUMXMY2(Actual_Range,Forecast_Range)/DEVSQ(Actual_Range))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2026-06-13T17:48:06Z</dcterms:created>
  <dcterms:modified xsi:type="dcterms:W3CDTF">2026-06-13T17:48:07Z</dcterms:modified>
</cp:coreProperties>
</file>